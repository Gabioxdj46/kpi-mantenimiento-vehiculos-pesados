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7.xml" ContentType="application/vnd.openxmlformats-officedocument.drawing+xml"/>
  <Override PartName="/xl/tables/table16.xml" ContentType="application/vnd.openxmlformats-officedocument.spreadsheetml.table+xml"/>
  <Override PartName="/xl/drawings/drawing8.xml" ContentType="application/vnd.openxmlformats-officedocument.drawing+xml"/>
  <Override PartName="/xl/tables/table17.xml" ContentType="application/vnd.openxmlformats-officedocument.spreadsheetml.table+xml"/>
  <Override PartName="/xl/drawings/drawing9.xml" ContentType="application/vnd.openxmlformats-officedocument.drawing+xml"/>
  <Override PartName="/xl/tables/table18.xml" ContentType="application/vnd.openxmlformats-officedocument.spreadsheetml.table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omments3.xml" ContentType="application/vnd.openxmlformats-officedocument.spreadsheetml.comment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2.xml" ContentType="application/vnd.openxmlformats-officedocument.drawing+xml"/>
  <Override PartName="/xl/tables/table26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37324DC4-9338-6A40-AC41-3097727ED1AA}" xr6:coauthVersionLast="47" xr6:coauthVersionMax="47" xr10:uidLastSave="{00000000-0000-0000-0000-000000000000}"/>
  <bookViews>
    <workbookView xWindow="-38220" yWindow="-4100" windowWidth="37060" windowHeight="19740" tabRatio="861" activeTab="8" xr2:uid="{96581298-D954-4633-913F-E7E8606ABC23}"/>
  </bookViews>
  <sheets>
    <sheet name="Flota Vehicular" sheetId="1" r:id="rId1"/>
    <sheet name="Seguros" sheetId="6" r:id="rId2"/>
    <sheet name="Impuestos" sheetId="7" r:id="rId3"/>
    <sheet name="Conductores" sheetId="3" r:id="rId4"/>
    <sheet name="Talleres" sheetId="4" r:id="rId5"/>
    <sheet name="Otras listas" sheetId="2" r:id="rId6"/>
    <sheet name="Rutas" sheetId="5" r:id="rId7"/>
    <sheet name="Enapitos" sheetId="8" state="hidden" r:id="rId8"/>
    <sheet name="Mantenimiento" sheetId="9" r:id="rId9"/>
    <sheet name="DAÑOS" sheetId="13" r:id="rId10"/>
    <sheet name="Flujo de Caja" sheetId="10" r:id="rId11"/>
    <sheet name="Reporte General" sheetId="11" r:id="rId12"/>
    <sheet name="Reporte Conductor" sheetId="12" state="hidden" r:id="rId13"/>
    <sheet name="KPI Individual" sheetId="15" r:id="rId14"/>
    <sheet name="Dashboard Gerencia" sheetId="14" r:id="rId15"/>
    <sheet name="_DatosGraficas" sheetId="16" state="hidden" r:id="rId16"/>
  </sheets>
  <definedNames>
    <definedName name="_xlnm._FilterDatabase" localSheetId="9" hidden="1">DAÑOS!$A$1:$K$37</definedName>
    <definedName name="_xlchart.v1.0" hidden="1">'Reporte General'!$D$79:$D$103</definedName>
    <definedName name="_xlchart.v1.1" hidden="1">'Reporte General'!$R$78</definedName>
    <definedName name="_xlchart.v1.2" hidden="1">'Reporte General'!$R$79:$R$103</definedName>
    <definedName name="_xlnm.Print_Area" localSheetId="0">'Flota Vehicular'!$A$1:$V$36</definedName>
    <definedName name="_xlnm.Print_Area" localSheetId="8">Mantenimiento!$A$1:$O$474</definedName>
    <definedName name="_xlnm.Print_Area" localSheetId="11">'Reporte General'!$A$1:$S$308</definedName>
    <definedName name="Lista_Calificacion">'Otras listas'!$W$6:$W$10</definedName>
    <definedName name="Lista_Combustible">'Otras listas'!$L$6:$L$10</definedName>
    <definedName name="Lista_Conductores">Conductores[Conductor]</definedName>
    <definedName name="Lista_Estaciones">'Otras listas'!$J$6:$J$13</definedName>
    <definedName name="Lista_infraccion">'Otras listas'!$U$6:$U$11</definedName>
    <definedName name="Lista_Marcas">Marcas[Marcas]</definedName>
    <definedName name="Lista_Modelos">OFFSET(Modelos[[#Headers],[Modelo]],MATCH('Flota Vehicular'!$F1,Modelos[Marcas],0),0,COUNTIF(Modelos[Marcas],'Flota Vehicular'!$F1))</definedName>
    <definedName name="Lista_PaqMnnto">'Otras listas'!$P$6:$P$28</definedName>
    <definedName name="Lista_Placas">'Flota Vehicular'!$H$6:$H$34</definedName>
    <definedName name="Lista_Poliza">Seguros!$F$4:$F$23</definedName>
    <definedName name="Lista_Servicios">'Otras listas'!$S$6:$S$28</definedName>
    <definedName name="Lista_Talleres">Talleres!$D$4:$D$23</definedName>
    <definedName name="Lista_Tipo_Vehiculo">Tipo_Vehiculo[Tipo Vehiculo]</definedName>
    <definedName name="Lista_TipoMnnto">'Otras listas'!$N$6:$N$8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1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U1644" i="5" l="1"/>
  <c r="U1745" i="5"/>
  <c r="U1768" i="5"/>
  <c r="U1660" i="5"/>
  <c r="U1756" i="5"/>
  <c r="U1671" i="5"/>
  <c r="U1732" i="5"/>
  <c r="U1633" i="5"/>
  <c r="U1643" i="5"/>
  <c r="U1744" i="5"/>
  <c r="U1692" i="5"/>
  <c r="U1767" i="5" l="1"/>
  <c r="G1769" i="5"/>
  <c r="M1769" i="5"/>
  <c r="Q1769" i="5" s="1"/>
  <c r="AC1769" i="5" s="1"/>
  <c r="Y1769" i="5"/>
  <c r="U1755" i="5"/>
  <c r="U1670" i="5"/>
  <c r="M1680" i="5"/>
  <c r="Q1680" i="5" s="1"/>
  <c r="AC1680" i="5" s="1"/>
  <c r="Y1680" i="5"/>
  <c r="U1743" i="5"/>
  <c r="M1744" i="5"/>
  <c r="Y1744" i="5"/>
  <c r="G1745" i="5"/>
  <c r="M1745" i="5"/>
  <c r="Y1745" i="5"/>
  <c r="U1642" i="5"/>
  <c r="G1643" i="5"/>
  <c r="M1643" i="5"/>
  <c r="AB1643" i="5" s="1"/>
  <c r="Y1643" i="5"/>
  <c r="I49" i="13"/>
  <c r="I50" i="13"/>
  <c r="I51" i="13"/>
  <c r="I52" i="13"/>
  <c r="I53" i="13"/>
  <c r="I54" i="13"/>
  <c r="I55" i="13"/>
  <c r="I56" i="13"/>
  <c r="I48" i="13"/>
  <c r="I2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34" i="13"/>
  <c r="AB1680" i="5" l="1"/>
  <c r="Q1643" i="5"/>
  <c r="AC1643" i="5" s="1"/>
  <c r="AB1745" i="5"/>
  <c r="N1745" i="5"/>
  <c r="Q1744" i="5"/>
  <c r="AC1744" i="5" s="1"/>
  <c r="N1744" i="5"/>
  <c r="AB1769" i="5"/>
  <c r="Q1745" i="5"/>
  <c r="AC1745" i="5" s="1"/>
  <c r="AB1744" i="5"/>
  <c r="G1712" i="5"/>
  <c r="M1712" i="5"/>
  <c r="Q1712" i="5" s="1"/>
  <c r="AC1712" i="5" s="1"/>
  <c r="Y1712" i="5"/>
  <c r="G1713" i="5"/>
  <c r="M1713" i="5"/>
  <c r="Q1713" i="5" s="1"/>
  <c r="AC1713" i="5" s="1"/>
  <c r="Y1713" i="5"/>
  <c r="G1724" i="5"/>
  <c r="M1724" i="5"/>
  <c r="Q1724" i="5" s="1"/>
  <c r="AC1724" i="5" s="1"/>
  <c r="Y1724" i="5"/>
  <c r="G1725" i="5"/>
  <c r="M1725" i="5"/>
  <c r="Q1725" i="5" s="1"/>
  <c r="AC1725" i="5" s="1"/>
  <c r="Y1725" i="5"/>
  <c r="U1691" i="5"/>
  <c r="U1754" i="5"/>
  <c r="G1756" i="5"/>
  <c r="M1756" i="5"/>
  <c r="Y1756" i="5"/>
  <c r="G1757" i="5"/>
  <c r="M1757" i="5"/>
  <c r="Q1757" i="5" s="1"/>
  <c r="AC1757" i="5" s="1"/>
  <c r="Y1757" i="5"/>
  <c r="U1669" i="5"/>
  <c r="G1671" i="5"/>
  <c r="M1671" i="5"/>
  <c r="Q1671" i="5" s="1"/>
  <c r="AC1671" i="5" s="1"/>
  <c r="Y1671" i="5"/>
  <c r="G1672" i="5"/>
  <c r="M1672" i="5"/>
  <c r="AB1672" i="5" s="1"/>
  <c r="Y1672" i="5"/>
  <c r="U1632" i="5"/>
  <c r="M1633" i="5"/>
  <c r="AB1633" i="5" s="1"/>
  <c r="Y1633" i="5"/>
  <c r="G1634" i="5"/>
  <c r="M1634" i="5"/>
  <c r="Q1634" i="5" s="1"/>
  <c r="AC1634" i="5" s="1"/>
  <c r="Y1634" i="5"/>
  <c r="U1678" i="5"/>
  <c r="G1681" i="5"/>
  <c r="M1681" i="5"/>
  <c r="AB1681" i="5" s="1"/>
  <c r="Y1681" i="5"/>
  <c r="U1766" i="5"/>
  <c r="G1768" i="5"/>
  <c r="M1768" i="5"/>
  <c r="Y1768" i="5"/>
  <c r="G1660" i="5"/>
  <c r="M1660" i="5"/>
  <c r="Q1660" i="5" s="1"/>
  <c r="AC1660" i="5" s="1"/>
  <c r="Y1660" i="5"/>
  <c r="G1661" i="5"/>
  <c r="M1661" i="5"/>
  <c r="Q1661" i="5" s="1"/>
  <c r="AC1661" i="5" s="1"/>
  <c r="Y1661" i="5"/>
  <c r="U1658" i="5"/>
  <c r="U1659" i="5"/>
  <c r="AB1768" i="5" l="1"/>
  <c r="N1768" i="5"/>
  <c r="Q1756" i="5"/>
  <c r="AC1756" i="5" s="1"/>
  <c r="N1756" i="5"/>
  <c r="AB1712" i="5"/>
  <c r="AB1724" i="5"/>
  <c r="AB1713" i="5"/>
  <c r="Q1633" i="5"/>
  <c r="AC1633" i="5" s="1"/>
  <c r="AB1725" i="5"/>
  <c r="Q1672" i="5"/>
  <c r="AC1672" i="5" s="1"/>
  <c r="Q1681" i="5"/>
  <c r="AC1681" i="5" s="1"/>
  <c r="AB1757" i="5"/>
  <c r="AB1661" i="5"/>
  <c r="AB1756" i="5"/>
  <c r="Q1768" i="5"/>
  <c r="AC1768" i="5" s="1"/>
  <c r="AB1671" i="5"/>
  <c r="AB1634" i="5"/>
  <c r="AB1660" i="5"/>
  <c r="G1627" i="5"/>
  <c r="M1627" i="5"/>
  <c r="Q1627" i="5" s="1"/>
  <c r="AC1627" i="5" s="1"/>
  <c r="Y1627" i="5"/>
  <c r="U1641" i="5"/>
  <c r="G1746" i="5"/>
  <c r="M1746" i="5"/>
  <c r="Q1746" i="5" s="1"/>
  <c r="AC1746" i="5" s="1"/>
  <c r="Y1746" i="5"/>
  <c r="AB1746" i="5"/>
  <c r="U1742" i="5"/>
  <c r="U1650" i="5"/>
  <c r="C281" i="9"/>
  <c r="C282" i="9"/>
  <c r="J374" i="9"/>
  <c r="J337" i="9"/>
  <c r="C338" i="9"/>
  <c r="J336" i="9"/>
  <c r="AB1627" i="5" l="1"/>
  <c r="C92" i="11"/>
  <c r="C63" i="11"/>
  <c r="U1690" i="5"/>
  <c r="G1692" i="5"/>
  <c r="M1692" i="5"/>
  <c r="AB1692" i="5" s="1"/>
  <c r="Y1692" i="5"/>
  <c r="G1693" i="5"/>
  <c r="M1693" i="5"/>
  <c r="Q1693" i="5" s="1"/>
  <c r="AC1693" i="5" s="1"/>
  <c r="Y1693" i="5"/>
  <c r="M34" i="1"/>
  <c r="Q34" i="1"/>
  <c r="R34" i="1"/>
  <c r="S34" i="1"/>
  <c r="U1765" i="5"/>
  <c r="G1767" i="5"/>
  <c r="M1767" i="5"/>
  <c r="Y1767" i="5"/>
  <c r="U1657" i="5"/>
  <c r="G1669" i="5"/>
  <c r="M1669" i="5"/>
  <c r="Q1669" i="5" s="1"/>
  <c r="AC1669" i="5" s="1"/>
  <c r="Y1669" i="5"/>
  <c r="U1741" i="5"/>
  <c r="G1743" i="5"/>
  <c r="M1743" i="5"/>
  <c r="Y1743" i="5"/>
  <c r="U1640" i="5"/>
  <c r="M1642" i="5"/>
  <c r="Q1642" i="5" s="1"/>
  <c r="AC1642" i="5" s="1"/>
  <c r="Y1642" i="5"/>
  <c r="G1644" i="5"/>
  <c r="M1644" i="5"/>
  <c r="AB1644" i="5" s="1"/>
  <c r="Y1644" i="5"/>
  <c r="M1732" i="5"/>
  <c r="Y1732" i="5"/>
  <c r="G1733" i="5"/>
  <c r="M1733" i="5"/>
  <c r="Q1733" i="5" s="1"/>
  <c r="AC1733" i="5" s="1"/>
  <c r="Y1733" i="5"/>
  <c r="M1678" i="5"/>
  <c r="Q1678" i="5" s="1"/>
  <c r="AC1678" i="5" s="1"/>
  <c r="Y1678" i="5"/>
  <c r="U1720" i="5"/>
  <c r="U1721" i="5"/>
  <c r="U1722" i="5"/>
  <c r="Y1722" i="5" s="1"/>
  <c r="U1723" i="5"/>
  <c r="Y1723" i="5" s="1"/>
  <c r="G1722" i="5"/>
  <c r="M1722" i="5"/>
  <c r="M1723" i="5"/>
  <c r="U1689" i="5"/>
  <c r="M1691" i="5"/>
  <c r="Q1691" i="5" s="1"/>
  <c r="AC1691" i="5" s="1"/>
  <c r="Y1691" i="5"/>
  <c r="Q1723" i="5" l="1"/>
  <c r="AC1723" i="5" s="1"/>
  <c r="N1723" i="5"/>
  <c r="Q1767" i="5"/>
  <c r="AC1767" i="5" s="1"/>
  <c r="N1767" i="5"/>
  <c r="Q1644" i="5"/>
  <c r="AC1644" i="5" s="1"/>
  <c r="Q1743" i="5"/>
  <c r="AC1743" i="5" s="1"/>
  <c r="N1743" i="5"/>
  <c r="Q1732" i="5"/>
  <c r="AC1732" i="5" s="1"/>
  <c r="N1732" i="5"/>
  <c r="AB1722" i="5"/>
  <c r="N1722" i="5"/>
  <c r="AB1693" i="5"/>
  <c r="U34" i="1"/>
  <c r="V34" i="1" s="1"/>
  <c r="Q1692" i="5"/>
  <c r="AC1692" i="5" s="1"/>
  <c r="Q1722" i="5"/>
  <c r="AC1722" i="5" s="1"/>
  <c r="AB1767" i="5"/>
  <c r="AB1642" i="5"/>
  <c r="AB1743" i="5"/>
  <c r="AB1669" i="5"/>
  <c r="AB1733" i="5"/>
  <c r="AB1732" i="5"/>
  <c r="AB1678" i="5"/>
  <c r="AB1723" i="5"/>
  <c r="AB1691" i="5"/>
  <c r="J391" i="9" l="1"/>
  <c r="C391" i="9"/>
  <c r="C392" i="9"/>
  <c r="G1754" i="5" l="1"/>
  <c r="M1754" i="5"/>
  <c r="Y1754" i="5"/>
  <c r="G1755" i="5"/>
  <c r="M1755" i="5"/>
  <c r="Y1755" i="5"/>
  <c r="U1667" i="5"/>
  <c r="U1668" i="5"/>
  <c r="G1670" i="5"/>
  <c r="M1670" i="5"/>
  <c r="Q1670" i="5" s="1"/>
  <c r="AC1670" i="5" s="1"/>
  <c r="Y1670" i="5"/>
  <c r="G1765" i="5"/>
  <c r="M1765" i="5"/>
  <c r="Y1765" i="5"/>
  <c r="G1766" i="5"/>
  <c r="M1766" i="5"/>
  <c r="Y1766" i="5"/>
  <c r="U1639" i="5"/>
  <c r="U1740" i="5"/>
  <c r="U1688" i="5"/>
  <c r="C9" i="9"/>
  <c r="C10" i="9"/>
  <c r="C11" i="9"/>
  <c r="C12" i="9"/>
  <c r="C94" i="9"/>
  <c r="C95" i="9"/>
  <c r="Q1755" i="5" l="1"/>
  <c r="AC1755" i="5" s="1"/>
  <c r="N1755" i="5"/>
  <c r="Q1765" i="5"/>
  <c r="AC1765" i="5" s="1"/>
  <c r="N1765" i="5"/>
  <c r="Q1754" i="5"/>
  <c r="AC1754" i="5" s="1"/>
  <c r="N1754" i="5"/>
  <c r="AB1766" i="5"/>
  <c r="N1766" i="5"/>
  <c r="AB1670" i="5"/>
  <c r="Q1766" i="5"/>
  <c r="AC1766" i="5" s="1"/>
  <c r="AB1755" i="5"/>
  <c r="AB1754" i="5"/>
  <c r="AB1765" i="5"/>
  <c r="G1741" i="5"/>
  <c r="M1741" i="5"/>
  <c r="Y1741" i="5"/>
  <c r="G1742" i="5"/>
  <c r="M1742" i="5"/>
  <c r="N1742" i="5" s="1"/>
  <c r="Y1742" i="5"/>
  <c r="G1640" i="5"/>
  <c r="M1640" i="5"/>
  <c r="AB1640" i="5" s="1"/>
  <c r="Y1640" i="5"/>
  <c r="M1641" i="5"/>
  <c r="Q1641" i="5" s="1"/>
  <c r="AC1641" i="5" s="1"/>
  <c r="Y1641" i="5"/>
  <c r="G1688" i="5"/>
  <c r="M1688" i="5"/>
  <c r="Q1688" i="5" s="1"/>
  <c r="AC1688" i="5" s="1"/>
  <c r="Y1688" i="5"/>
  <c r="M1689" i="5"/>
  <c r="Q1689" i="5" s="1"/>
  <c r="AC1689" i="5" s="1"/>
  <c r="Y1689" i="5"/>
  <c r="G1632" i="5"/>
  <c r="M1632" i="5"/>
  <c r="Q1632" i="5" s="1"/>
  <c r="AC1632" i="5" s="1"/>
  <c r="Y1632" i="5"/>
  <c r="M1657" i="5"/>
  <c r="Q1657" i="5" s="1"/>
  <c r="AC1657" i="5" s="1"/>
  <c r="Y1657" i="5"/>
  <c r="M1658" i="5"/>
  <c r="Q1658" i="5" s="1"/>
  <c r="AC1658" i="5" s="1"/>
  <c r="Y1658" i="5"/>
  <c r="G1659" i="5"/>
  <c r="M1659" i="5"/>
  <c r="Q1659" i="5" s="1"/>
  <c r="AC1659" i="5" s="1"/>
  <c r="Y1659" i="5"/>
  <c r="U1666" i="5"/>
  <c r="Y1666" i="5" s="1"/>
  <c r="M1667" i="5"/>
  <c r="Q1667" i="5" s="1"/>
  <c r="AC1667" i="5" s="1"/>
  <c r="Y1667" i="5"/>
  <c r="U1649" i="5"/>
  <c r="Y1649" i="5" s="1"/>
  <c r="G1650" i="5"/>
  <c r="M1650" i="5"/>
  <c r="Q1650" i="5" s="1"/>
  <c r="AC1650" i="5" s="1"/>
  <c r="Y1650" i="5"/>
  <c r="AB1650" i="5"/>
  <c r="M1651" i="5"/>
  <c r="Q1651" i="5" s="1"/>
  <c r="AC1651" i="5" s="1"/>
  <c r="Y1651" i="5"/>
  <c r="M1720" i="5"/>
  <c r="Y1720" i="5"/>
  <c r="M1721" i="5"/>
  <c r="Y1721" i="5"/>
  <c r="G1740" i="5"/>
  <c r="M1740" i="5"/>
  <c r="Y1740" i="5"/>
  <c r="G1639" i="5"/>
  <c r="M1639" i="5"/>
  <c r="Q1639" i="5" s="1"/>
  <c r="AC1639" i="5" s="1"/>
  <c r="Y1639" i="5"/>
  <c r="M1690" i="5"/>
  <c r="Q1690" i="5" s="1"/>
  <c r="AC1690" i="5" s="1"/>
  <c r="Y1690" i="5"/>
  <c r="U1761" i="5"/>
  <c r="Y1761" i="5" s="1"/>
  <c r="M1761" i="5"/>
  <c r="M1666" i="5"/>
  <c r="Q1666" i="5" s="1"/>
  <c r="AC1666" i="5" s="1"/>
  <c r="G1649" i="5"/>
  <c r="M1649" i="5"/>
  <c r="Q1649" i="5" s="1"/>
  <c r="AC1649" i="5" s="1"/>
  <c r="Q1742" i="5" l="1"/>
  <c r="AC1742" i="5" s="1"/>
  <c r="AB1657" i="5"/>
  <c r="Q1740" i="5"/>
  <c r="AC1740" i="5" s="1"/>
  <c r="N1740" i="5"/>
  <c r="Q1720" i="5"/>
  <c r="AC1720" i="5" s="1"/>
  <c r="N1720" i="5"/>
  <c r="Q1741" i="5"/>
  <c r="AC1741" i="5" s="1"/>
  <c r="N1741" i="5"/>
  <c r="Q1761" i="5"/>
  <c r="AC1761" i="5" s="1"/>
  <c r="N1761" i="5"/>
  <c r="Q1721" i="5"/>
  <c r="AC1721" i="5" s="1"/>
  <c r="N1721" i="5"/>
  <c r="AB1742" i="5"/>
  <c r="Q1640" i="5"/>
  <c r="AC1640" i="5" s="1"/>
  <c r="AB1741" i="5"/>
  <c r="AB1641" i="5"/>
  <c r="AB1688" i="5"/>
  <c r="AB1649" i="5"/>
  <c r="AB1632" i="5"/>
  <c r="AB1689" i="5"/>
  <c r="AB1651" i="5"/>
  <c r="AB1659" i="5"/>
  <c r="AB1667" i="5"/>
  <c r="AB1658" i="5"/>
  <c r="AB1721" i="5"/>
  <c r="AB1720" i="5"/>
  <c r="AB1761" i="5"/>
  <c r="AB1639" i="5"/>
  <c r="AB1740" i="5"/>
  <c r="AB1690" i="5"/>
  <c r="AB1666" i="5"/>
  <c r="J110" i="9" l="1"/>
  <c r="J196" i="9"/>
  <c r="U1677" i="5" l="1"/>
  <c r="Y1677" i="5" s="1"/>
  <c r="U1679" i="5"/>
  <c r="Y1679" i="5" s="1"/>
  <c r="U1682" i="5"/>
  <c r="Y1682" i="5" s="1"/>
  <c r="U1683" i="5"/>
  <c r="Y1683" i="5" s="1"/>
  <c r="U1684" i="5"/>
  <c r="Y1684" i="5" s="1"/>
  <c r="U1685" i="5"/>
  <c r="Y1685" i="5" s="1"/>
  <c r="U1686" i="5"/>
  <c r="Y1686" i="5" s="1"/>
  <c r="M19" i="1"/>
  <c r="Q19" i="1"/>
  <c r="R19" i="1"/>
  <c r="S19" i="1"/>
  <c r="G1682" i="5"/>
  <c r="M1682" i="5"/>
  <c r="Q1682" i="5" s="1"/>
  <c r="AC1682" i="5" s="1"/>
  <c r="M1679" i="5"/>
  <c r="Q1679" i="5" s="1"/>
  <c r="AC1679" i="5" s="1"/>
  <c r="M1683" i="5"/>
  <c r="AB1683" i="5" s="1"/>
  <c r="G1677" i="5"/>
  <c r="M1677" i="5"/>
  <c r="Q1677" i="5" s="1"/>
  <c r="AC1677" i="5" s="1"/>
  <c r="G1684" i="5"/>
  <c r="M1684" i="5"/>
  <c r="Q1684" i="5" s="1"/>
  <c r="AC1684" i="5" s="1"/>
  <c r="G1685" i="5"/>
  <c r="M1685" i="5"/>
  <c r="Q1685" i="5" s="1"/>
  <c r="AC1685" i="5" s="1"/>
  <c r="M1686" i="5"/>
  <c r="Q1686" i="5" s="1"/>
  <c r="AC1686" i="5" s="1"/>
  <c r="U1774" i="5"/>
  <c r="Y1774" i="5" s="1"/>
  <c r="U1775" i="5"/>
  <c r="Y1775" i="5" s="1"/>
  <c r="U1776" i="5"/>
  <c r="Y1776" i="5" s="1"/>
  <c r="U1777" i="5"/>
  <c r="Y1777" i="5" s="1"/>
  <c r="U1778" i="5"/>
  <c r="Y1778" i="5" s="1"/>
  <c r="U1779" i="5"/>
  <c r="G1774" i="5"/>
  <c r="M1774" i="5"/>
  <c r="Q1774" i="5" s="1"/>
  <c r="AC1774" i="5" s="1"/>
  <c r="G1775" i="5"/>
  <c r="M1775" i="5"/>
  <c r="Q1775" i="5" s="1"/>
  <c r="AC1775" i="5" s="1"/>
  <c r="M1776" i="5"/>
  <c r="G1777" i="5"/>
  <c r="M1777" i="5"/>
  <c r="G1778" i="5"/>
  <c r="M1778" i="5"/>
  <c r="U1630" i="5"/>
  <c r="U1631" i="5"/>
  <c r="U1635" i="5"/>
  <c r="U1636" i="5"/>
  <c r="U1637" i="5"/>
  <c r="U1638" i="5"/>
  <c r="U1645" i="5"/>
  <c r="U1646" i="5"/>
  <c r="U1647" i="5"/>
  <c r="U1648" i="5"/>
  <c r="U1652" i="5"/>
  <c r="U1653" i="5"/>
  <c r="U1654" i="5"/>
  <c r="U1655" i="5"/>
  <c r="U1656" i="5"/>
  <c r="U1662" i="5"/>
  <c r="U1663" i="5"/>
  <c r="U1664" i="5"/>
  <c r="U1665" i="5"/>
  <c r="U1673" i="5"/>
  <c r="U1674" i="5"/>
  <c r="U1675" i="5"/>
  <c r="Y1675" i="5" s="1"/>
  <c r="U1676" i="5"/>
  <c r="Y1676" i="5" s="1"/>
  <c r="U1687" i="5"/>
  <c r="Y1687" i="5" s="1"/>
  <c r="U1694" i="5"/>
  <c r="Y1694" i="5" s="1"/>
  <c r="U1727" i="5"/>
  <c r="Y1727" i="5" s="1"/>
  <c r="U1728" i="5"/>
  <c r="Y1728" i="5" s="1"/>
  <c r="U1729" i="5"/>
  <c r="Y1729" i="5" s="1"/>
  <c r="U1730" i="5"/>
  <c r="Y1730" i="5" s="1"/>
  <c r="U1731" i="5"/>
  <c r="Y1731" i="5" s="1"/>
  <c r="U1734" i="5"/>
  <c r="Y1734" i="5" s="1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G1676" i="5"/>
  <c r="G1687" i="5"/>
  <c r="G1694" i="5"/>
  <c r="G1698" i="5"/>
  <c r="G1702" i="5"/>
  <c r="G1706" i="5"/>
  <c r="G1708" i="5"/>
  <c r="G1709" i="5"/>
  <c r="G1714" i="5"/>
  <c r="G1716" i="5"/>
  <c r="G1717" i="5"/>
  <c r="G1718" i="5"/>
  <c r="G1719" i="5"/>
  <c r="G1726" i="5"/>
  <c r="G1728" i="5"/>
  <c r="G1729" i="5"/>
  <c r="G1730" i="5"/>
  <c r="G1731" i="5"/>
  <c r="G1734" i="5"/>
  <c r="G1736" i="5"/>
  <c r="G1737" i="5"/>
  <c r="G1738" i="5"/>
  <c r="G1739" i="5"/>
  <c r="G1747" i="5"/>
  <c r="G1750" i="5"/>
  <c r="G1751" i="5"/>
  <c r="G1753" i="5"/>
  <c r="G1758" i="5"/>
  <c r="G1760" i="5"/>
  <c r="G1764" i="5"/>
  <c r="G1770" i="5"/>
  <c r="G1772" i="5"/>
  <c r="G1773" i="5"/>
  <c r="G1779" i="5"/>
  <c r="G1780" i="5"/>
  <c r="G1781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M1675" i="5"/>
  <c r="Q1675" i="5" s="1"/>
  <c r="AC1675" i="5" s="1"/>
  <c r="M1676" i="5"/>
  <c r="AB1676" i="5" s="1"/>
  <c r="M1687" i="5"/>
  <c r="Q1687" i="5" s="1"/>
  <c r="AC1687" i="5" s="1"/>
  <c r="M1694" i="5"/>
  <c r="AB1694" i="5" s="1"/>
  <c r="M1695" i="5"/>
  <c r="Q1695" i="5" s="1"/>
  <c r="AC1695" i="5" s="1"/>
  <c r="M1696" i="5"/>
  <c r="Q1696" i="5" s="1"/>
  <c r="AC1696" i="5" s="1"/>
  <c r="M1697" i="5"/>
  <c r="Q1697" i="5" s="1"/>
  <c r="AC1697" i="5" s="1"/>
  <c r="M1698" i="5"/>
  <c r="Q1698" i="5" s="1"/>
  <c r="AC1698" i="5" s="1"/>
  <c r="M1699" i="5"/>
  <c r="M1700" i="5"/>
  <c r="Q1700" i="5" s="1"/>
  <c r="AC1700" i="5" s="1"/>
  <c r="M1701" i="5"/>
  <c r="Q1701" i="5" s="1"/>
  <c r="AC1701" i="5" s="1"/>
  <c r="M1702" i="5"/>
  <c r="Q1702" i="5" s="1"/>
  <c r="AC1702" i="5" s="1"/>
  <c r="M1703" i="5"/>
  <c r="Q1703" i="5" s="1"/>
  <c r="AC1703" i="5" s="1"/>
  <c r="M1704" i="5"/>
  <c r="Q1704" i="5" s="1"/>
  <c r="AC1704" i="5" s="1"/>
  <c r="M1705" i="5"/>
  <c r="Q1705" i="5" s="1"/>
  <c r="AC1705" i="5" s="1"/>
  <c r="M1706" i="5"/>
  <c r="Q1706" i="5" s="1"/>
  <c r="AC1706" i="5" s="1"/>
  <c r="M1707" i="5"/>
  <c r="M1708" i="5"/>
  <c r="Q1708" i="5" s="1"/>
  <c r="AC1708" i="5" s="1"/>
  <c r="M1709" i="5"/>
  <c r="Q1709" i="5" s="1"/>
  <c r="AC1709" i="5" s="1"/>
  <c r="M1710" i="5"/>
  <c r="Q1710" i="5" s="1"/>
  <c r="AC1710" i="5" s="1"/>
  <c r="M1711" i="5"/>
  <c r="Q1711" i="5" s="1"/>
  <c r="AC1711" i="5" s="1"/>
  <c r="M1714" i="5"/>
  <c r="Q1714" i="5" s="1"/>
  <c r="AC1714" i="5" s="1"/>
  <c r="M1715" i="5"/>
  <c r="M1716" i="5"/>
  <c r="M1717" i="5"/>
  <c r="M1718" i="5"/>
  <c r="M1719" i="5"/>
  <c r="M1726" i="5"/>
  <c r="Q1726" i="5" s="1"/>
  <c r="AC1726" i="5" s="1"/>
  <c r="M1727" i="5"/>
  <c r="M1728" i="5"/>
  <c r="M1729" i="5"/>
  <c r="M1730" i="5"/>
  <c r="M1731" i="5"/>
  <c r="M1734" i="5"/>
  <c r="AB1734" i="5" s="1"/>
  <c r="M1735" i="5"/>
  <c r="M1736" i="5"/>
  <c r="M1737" i="5"/>
  <c r="M1738" i="5"/>
  <c r="M1739" i="5"/>
  <c r="M1747" i="5"/>
  <c r="Q1747" i="5" s="1"/>
  <c r="AC1747" i="5" s="1"/>
  <c r="M1748" i="5"/>
  <c r="M1749" i="5"/>
  <c r="M1750" i="5"/>
  <c r="M1751" i="5"/>
  <c r="M1752" i="5"/>
  <c r="M1753" i="5"/>
  <c r="M1758" i="5"/>
  <c r="Q1758" i="5" s="1"/>
  <c r="AC1758" i="5" s="1"/>
  <c r="M1759" i="5"/>
  <c r="N1759" i="5" s="1"/>
  <c r="M1760" i="5"/>
  <c r="M1762" i="5"/>
  <c r="M1763" i="5"/>
  <c r="M1764" i="5"/>
  <c r="M1770" i="5"/>
  <c r="Q1770" i="5" s="1"/>
  <c r="AC1770" i="5" s="1"/>
  <c r="M1771" i="5"/>
  <c r="Q1771" i="5" s="1"/>
  <c r="AC1771" i="5" s="1"/>
  <c r="M1772" i="5"/>
  <c r="Q1772" i="5" s="1"/>
  <c r="AC1772" i="5" s="1"/>
  <c r="M1773" i="5"/>
  <c r="Q1773" i="5" s="1"/>
  <c r="AC1773" i="5" s="1"/>
  <c r="M1779" i="5"/>
  <c r="M1780" i="5"/>
  <c r="Q1780" i="5" s="1"/>
  <c r="AC1780" i="5" s="1"/>
  <c r="M1781" i="5"/>
  <c r="Q1781" i="5" s="1"/>
  <c r="AC1781" i="5" s="1"/>
  <c r="M1782" i="5"/>
  <c r="M1783" i="5"/>
  <c r="M1784" i="5"/>
  <c r="M1785" i="5"/>
  <c r="Q1785" i="5" s="1"/>
  <c r="AC1785" i="5" s="1"/>
  <c r="M1786" i="5"/>
  <c r="Q1786" i="5" s="1"/>
  <c r="AC1786" i="5" s="1"/>
  <c r="M1787" i="5"/>
  <c r="Q1787" i="5" s="1"/>
  <c r="AC1787" i="5" s="1"/>
  <c r="M1788" i="5"/>
  <c r="Q1788" i="5" s="1"/>
  <c r="AC1788" i="5" s="1"/>
  <c r="M1789" i="5"/>
  <c r="M1790" i="5"/>
  <c r="M1791" i="5"/>
  <c r="Q1791" i="5" s="1"/>
  <c r="AC1791" i="5" s="1"/>
  <c r="M1792" i="5"/>
  <c r="Q1792" i="5" s="1"/>
  <c r="AC1792" i="5" s="1"/>
  <c r="M1793" i="5"/>
  <c r="Q1793" i="5" s="1"/>
  <c r="AC1793" i="5" s="1"/>
  <c r="M1794" i="5"/>
  <c r="Q1794" i="5" s="1"/>
  <c r="AC1794" i="5" s="1"/>
  <c r="M1795" i="5"/>
  <c r="Q1795" i="5" s="1"/>
  <c r="AC1795" i="5" s="1"/>
  <c r="M1796" i="5"/>
  <c r="Q1796" i="5" s="1"/>
  <c r="AC1796" i="5" s="1"/>
  <c r="M1797" i="5"/>
  <c r="Q1797" i="5" s="1"/>
  <c r="AC1797" i="5" s="1"/>
  <c r="M1798" i="5"/>
  <c r="M1799" i="5"/>
  <c r="Q1799" i="5" s="1"/>
  <c r="AC1799" i="5" s="1"/>
  <c r="M1800" i="5"/>
  <c r="Q1800" i="5" s="1"/>
  <c r="AC1800" i="5" s="1"/>
  <c r="M1801" i="5"/>
  <c r="Q1801" i="5" s="1"/>
  <c r="AC1801" i="5" s="1"/>
  <c r="M1802" i="5"/>
  <c r="Q1802" i="5" s="1"/>
  <c r="AC1802" i="5" s="1"/>
  <c r="M1803" i="5"/>
  <c r="AB1803" i="5" s="1"/>
  <c r="M1804" i="5"/>
  <c r="AB1804" i="5" s="1"/>
  <c r="M1805" i="5"/>
  <c r="AB1805" i="5" s="1"/>
  <c r="M1806" i="5"/>
  <c r="Q1806" i="5" s="1"/>
  <c r="AC1806" i="5" s="1"/>
  <c r="M1807" i="5"/>
  <c r="Q1807" i="5" s="1"/>
  <c r="AC1807" i="5" s="1"/>
  <c r="M1808" i="5"/>
  <c r="Q1808" i="5" s="1"/>
  <c r="AC1808" i="5" s="1"/>
  <c r="M1809" i="5"/>
  <c r="AB1809" i="5" s="1"/>
  <c r="M1810" i="5"/>
  <c r="AB1810" i="5" s="1"/>
  <c r="M1811" i="5"/>
  <c r="AB1811" i="5" s="1"/>
  <c r="M1812" i="5"/>
  <c r="AB1812" i="5" s="1"/>
  <c r="M1813" i="5"/>
  <c r="AB1813" i="5" s="1"/>
  <c r="M1814" i="5"/>
  <c r="AB1814" i="5" s="1"/>
  <c r="M1815" i="5"/>
  <c r="AB1815" i="5" s="1"/>
  <c r="M1816" i="5"/>
  <c r="AB1816" i="5" s="1"/>
  <c r="M1817" i="5"/>
  <c r="Q1817" i="5" s="1"/>
  <c r="AC1817" i="5" s="1"/>
  <c r="M1818" i="5"/>
  <c r="Q1818" i="5" s="1"/>
  <c r="AC1818" i="5" s="1"/>
  <c r="M1819" i="5"/>
  <c r="Q1819" i="5" s="1"/>
  <c r="AC1819" i="5" s="1"/>
  <c r="M1820" i="5"/>
  <c r="Q1820" i="5" s="1"/>
  <c r="AC1820" i="5" s="1"/>
  <c r="M1821" i="5"/>
  <c r="Q1821" i="5" s="1"/>
  <c r="AC1821" i="5" s="1"/>
  <c r="M1822" i="5"/>
  <c r="Q1822" i="5" s="1"/>
  <c r="AC1822" i="5" s="1"/>
  <c r="M1823" i="5"/>
  <c r="Q1823" i="5" s="1"/>
  <c r="AC1823" i="5" s="1"/>
  <c r="M1824" i="5"/>
  <c r="Q1824" i="5" s="1"/>
  <c r="AC1824" i="5" s="1"/>
  <c r="M1825" i="5"/>
  <c r="Q1825" i="5" s="1"/>
  <c r="AC1825" i="5" s="1"/>
  <c r="M1826" i="5"/>
  <c r="Q1826" i="5" s="1"/>
  <c r="AC1826" i="5" s="1"/>
  <c r="M1827" i="5"/>
  <c r="Q1827" i="5" s="1"/>
  <c r="AC1827" i="5" s="1"/>
  <c r="M1828" i="5"/>
  <c r="Q1828" i="5" s="1"/>
  <c r="AC1828" i="5" s="1"/>
  <c r="M1829" i="5"/>
  <c r="AB1829" i="5" s="1"/>
  <c r="M1830" i="5"/>
  <c r="AB1830" i="5" s="1"/>
  <c r="M1831" i="5"/>
  <c r="AB1831" i="5" s="1"/>
  <c r="M1832" i="5"/>
  <c r="AB1832" i="5" s="1"/>
  <c r="M1833" i="5"/>
  <c r="AB1833" i="5" s="1"/>
  <c r="M1834" i="5"/>
  <c r="AB1834" i="5" s="1"/>
  <c r="M1835" i="5"/>
  <c r="AB1835" i="5" s="1"/>
  <c r="M1836" i="5"/>
  <c r="AB1836" i="5" s="1"/>
  <c r="M1837" i="5"/>
  <c r="Q1837" i="5" s="1"/>
  <c r="AC1837" i="5" s="1"/>
  <c r="M1838" i="5"/>
  <c r="Q1838" i="5" s="1"/>
  <c r="AC1838" i="5" s="1"/>
  <c r="M1839" i="5"/>
  <c r="M1840" i="5"/>
  <c r="Q1840" i="5" s="1"/>
  <c r="AC1840" i="5" s="1"/>
  <c r="M1841" i="5"/>
  <c r="Q1841" i="5" s="1"/>
  <c r="AC1841" i="5" s="1"/>
  <c r="M1842" i="5"/>
  <c r="Q1842" i="5" s="1"/>
  <c r="AC1842" i="5" s="1"/>
  <c r="M1843" i="5"/>
  <c r="Q1843" i="5" s="1"/>
  <c r="AC1843" i="5" s="1"/>
  <c r="M1844" i="5"/>
  <c r="Q1844" i="5" s="1"/>
  <c r="AC1844" i="5" s="1"/>
  <c r="M1845" i="5"/>
  <c r="Q1845" i="5" s="1"/>
  <c r="AC1845" i="5" s="1"/>
  <c r="M1846" i="5"/>
  <c r="M1847" i="5"/>
  <c r="Q1847" i="5" s="1"/>
  <c r="AC1847" i="5" s="1"/>
  <c r="M1848" i="5"/>
  <c r="Q1848" i="5" s="1"/>
  <c r="AC1848" i="5" s="1"/>
  <c r="M1849" i="5"/>
  <c r="Q1849" i="5" s="1"/>
  <c r="AC1849" i="5" s="1"/>
  <c r="M1850" i="5"/>
  <c r="Q1850" i="5" s="1"/>
  <c r="AC1850" i="5" s="1"/>
  <c r="M1851" i="5"/>
  <c r="M1852" i="5"/>
  <c r="Q1852" i="5" s="1"/>
  <c r="AC1852" i="5" s="1"/>
  <c r="M1853" i="5"/>
  <c r="Q1853" i="5" s="1"/>
  <c r="AC1853" i="5" s="1"/>
  <c r="M1854" i="5"/>
  <c r="Q1854" i="5" s="1"/>
  <c r="AC1854" i="5" s="1"/>
  <c r="M1855" i="5"/>
  <c r="Q1855" i="5" s="1"/>
  <c r="AC1855" i="5" s="1"/>
  <c r="M1856" i="5"/>
  <c r="Q1856" i="5" s="1"/>
  <c r="AC1856" i="5" s="1"/>
  <c r="M1857" i="5"/>
  <c r="Q1857" i="5" s="1"/>
  <c r="AC1857" i="5" s="1"/>
  <c r="M1858" i="5"/>
  <c r="Q1858" i="5" s="1"/>
  <c r="AC1858" i="5" s="1"/>
  <c r="M1859" i="5"/>
  <c r="M1860" i="5"/>
  <c r="M1861" i="5"/>
  <c r="M1862" i="5"/>
  <c r="Q1862" i="5" s="1"/>
  <c r="AC1862" i="5" s="1"/>
  <c r="M1863" i="5"/>
  <c r="M1864" i="5"/>
  <c r="Q1864" i="5" s="1"/>
  <c r="AC1864" i="5" s="1"/>
  <c r="M1865" i="5"/>
  <c r="M1866" i="5"/>
  <c r="M1867" i="5"/>
  <c r="Q1867" i="5" s="1"/>
  <c r="AC1867" i="5" s="1"/>
  <c r="M1868" i="5"/>
  <c r="Q1868" i="5" s="1"/>
  <c r="AC1868" i="5" s="1"/>
  <c r="M1869" i="5"/>
  <c r="Q1869" i="5" s="1"/>
  <c r="AC1869" i="5" s="1"/>
  <c r="M1870" i="5"/>
  <c r="Q1870" i="5" s="1"/>
  <c r="AC1870" i="5" s="1"/>
  <c r="M1871" i="5"/>
  <c r="M1872" i="5"/>
  <c r="Q1872" i="5" s="1"/>
  <c r="AC1872" i="5" s="1"/>
  <c r="M1873" i="5"/>
  <c r="Q1873" i="5" s="1"/>
  <c r="AC1873" i="5" s="1"/>
  <c r="M1874" i="5"/>
  <c r="Q1874" i="5" s="1"/>
  <c r="AC1874" i="5" s="1"/>
  <c r="M1875" i="5"/>
  <c r="Q1875" i="5" s="1"/>
  <c r="AC1875" i="5" s="1"/>
  <c r="M1876" i="5"/>
  <c r="Q1876" i="5" s="1"/>
  <c r="AC1876" i="5" s="1"/>
  <c r="M1877" i="5"/>
  <c r="Q1877" i="5" s="1"/>
  <c r="AC1877" i="5" s="1"/>
  <c r="M1878" i="5"/>
  <c r="Q1878" i="5" s="1"/>
  <c r="AC1878" i="5" s="1"/>
  <c r="M1879" i="5"/>
  <c r="Q1879" i="5" s="1"/>
  <c r="AC1879" i="5" s="1"/>
  <c r="M1880" i="5"/>
  <c r="M1881" i="5"/>
  <c r="M1882" i="5"/>
  <c r="Q1882" i="5" s="1"/>
  <c r="AC1882" i="5" s="1"/>
  <c r="M1883" i="5"/>
  <c r="M1884" i="5"/>
  <c r="Q1884" i="5" s="1"/>
  <c r="AC1884" i="5" s="1"/>
  <c r="M1885" i="5"/>
  <c r="Q1885" i="5" s="1"/>
  <c r="AC1885" i="5" s="1"/>
  <c r="M1886" i="5"/>
  <c r="Q1886" i="5" s="1"/>
  <c r="AC1886" i="5" s="1"/>
  <c r="M1887" i="5"/>
  <c r="Q1887" i="5" s="1"/>
  <c r="AC1887" i="5" s="1"/>
  <c r="M1888" i="5"/>
  <c r="M1889" i="5"/>
  <c r="Q1889" i="5" s="1"/>
  <c r="AC1889" i="5" s="1"/>
  <c r="M1890" i="5"/>
  <c r="M1891" i="5"/>
  <c r="M1892" i="5"/>
  <c r="Q1892" i="5" s="1"/>
  <c r="AC1892" i="5" s="1"/>
  <c r="M1893" i="5"/>
  <c r="Q1893" i="5" s="1"/>
  <c r="AC1893" i="5" s="1"/>
  <c r="M1894" i="5"/>
  <c r="Q1894" i="5" s="1"/>
  <c r="AC1894" i="5" s="1"/>
  <c r="M1895" i="5"/>
  <c r="Q1895" i="5" s="1"/>
  <c r="AC1895" i="5" s="1"/>
  <c r="M1896" i="5"/>
  <c r="Q1896" i="5" s="1"/>
  <c r="AC1896" i="5" s="1"/>
  <c r="M1897" i="5"/>
  <c r="Q1897" i="5" s="1"/>
  <c r="AC1897" i="5" s="1"/>
  <c r="M1898" i="5"/>
  <c r="M1899" i="5"/>
  <c r="Q1899" i="5" s="1"/>
  <c r="AC1899" i="5" s="1"/>
  <c r="M1900" i="5"/>
  <c r="Q1900" i="5" s="1"/>
  <c r="AC1900" i="5" s="1"/>
  <c r="M1901" i="5"/>
  <c r="M1902" i="5"/>
  <c r="M1903" i="5"/>
  <c r="M1904" i="5"/>
  <c r="M1905" i="5"/>
  <c r="Q1905" i="5" s="1"/>
  <c r="AC1905" i="5" s="1"/>
  <c r="M1906" i="5"/>
  <c r="M1907" i="5"/>
  <c r="Q1907" i="5" s="1"/>
  <c r="AC1907" i="5" s="1"/>
  <c r="M1908" i="5"/>
  <c r="Q1908" i="5" s="1"/>
  <c r="AC1908" i="5" s="1"/>
  <c r="M1909" i="5"/>
  <c r="M1910" i="5"/>
  <c r="M1911" i="5"/>
  <c r="M1912" i="5"/>
  <c r="Q1912" i="5" s="1"/>
  <c r="AC1912" i="5" s="1"/>
  <c r="M1913" i="5"/>
  <c r="Q1913" i="5" s="1"/>
  <c r="AC1913" i="5" s="1"/>
  <c r="M1914" i="5"/>
  <c r="Q1914" i="5" s="1"/>
  <c r="AC1914" i="5" s="1"/>
  <c r="M1915" i="5"/>
  <c r="Q1915" i="5" s="1"/>
  <c r="AC1915" i="5" s="1"/>
  <c r="M1916" i="5"/>
  <c r="Q1916" i="5" s="1"/>
  <c r="AC1916" i="5" s="1"/>
  <c r="M1917" i="5"/>
  <c r="Q1917" i="5" s="1"/>
  <c r="AC1917" i="5" s="1"/>
  <c r="M1918" i="5"/>
  <c r="Q1918" i="5" s="1"/>
  <c r="AC1918" i="5" s="1"/>
  <c r="M1919" i="5"/>
  <c r="Q1919" i="5" s="1"/>
  <c r="AC1919" i="5" s="1"/>
  <c r="M1920" i="5"/>
  <c r="Q1920" i="5" s="1"/>
  <c r="AC1920" i="5" s="1"/>
  <c r="M1921" i="5"/>
  <c r="Q1921" i="5" s="1"/>
  <c r="AC1921" i="5" s="1"/>
  <c r="M1922" i="5"/>
  <c r="Q1922" i="5" s="1"/>
  <c r="AC1922" i="5" s="1"/>
  <c r="M1923" i="5"/>
  <c r="Q1923" i="5" s="1"/>
  <c r="AC1923" i="5" s="1"/>
  <c r="M1924" i="5"/>
  <c r="Q1924" i="5" s="1"/>
  <c r="AC1924" i="5" s="1"/>
  <c r="M1925" i="5"/>
  <c r="Q1925" i="5" s="1"/>
  <c r="AC1925" i="5" s="1"/>
  <c r="M1926" i="5"/>
  <c r="Q1926" i="5" s="1"/>
  <c r="AC1926" i="5" s="1"/>
  <c r="M1927" i="5"/>
  <c r="Q1927" i="5" s="1"/>
  <c r="AC1927" i="5" s="1"/>
  <c r="M1928" i="5"/>
  <c r="Q1928" i="5" s="1"/>
  <c r="AC1928" i="5" s="1"/>
  <c r="M1929" i="5"/>
  <c r="M1930" i="5"/>
  <c r="Q1930" i="5" s="1"/>
  <c r="AC1930" i="5" s="1"/>
  <c r="M1931" i="5"/>
  <c r="M1932" i="5"/>
  <c r="Q1932" i="5" s="1"/>
  <c r="AC1932" i="5" s="1"/>
  <c r="M1933" i="5"/>
  <c r="Q1933" i="5" s="1"/>
  <c r="AC1933" i="5" s="1"/>
  <c r="M1934" i="5"/>
  <c r="Q1934" i="5" s="1"/>
  <c r="AC1934" i="5" s="1"/>
  <c r="M1935" i="5"/>
  <c r="Q1935" i="5" s="1"/>
  <c r="AC1935" i="5" s="1"/>
  <c r="M1936" i="5"/>
  <c r="Q1936" i="5" s="1"/>
  <c r="AC1936" i="5" s="1"/>
  <c r="M1937" i="5"/>
  <c r="Q1937" i="5" s="1"/>
  <c r="AC1937" i="5" s="1"/>
  <c r="M1938" i="5"/>
  <c r="Q1938" i="5" s="1"/>
  <c r="AC1938" i="5" s="1"/>
  <c r="M1939" i="5"/>
  <c r="M1940" i="5"/>
  <c r="Q1940" i="5" s="1"/>
  <c r="AC1940" i="5" s="1"/>
  <c r="M1941" i="5"/>
  <c r="Q1941" i="5" s="1"/>
  <c r="AC1941" i="5" s="1"/>
  <c r="M1942" i="5"/>
  <c r="Q1942" i="5" s="1"/>
  <c r="AC1942" i="5" s="1"/>
  <c r="M1943" i="5"/>
  <c r="Q1943" i="5" s="1"/>
  <c r="AC1943" i="5" s="1"/>
  <c r="M1944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AA1839" i="5"/>
  <c r="AA1840" i="5"/>
  <c r="AA1841" i="5"/>
  <c r="AA1842" i="5"/>
  <c r="AA1843" i="5"/>
  <c r="AA1844" i="5"/>
  <c r="AA1845" i="5"/>
  <c r="AA1846" i="5"/>
  <c r="AA1847" i="5"/>
  <c r="AA1848" i="5"/>
  <c r="AA1849" i="5"/>
  <c r="AA1850" i="5"/>
  <c r="AA1851" i="5"/>
  <c r="AA1852" i="5"/>
  <c r="AA1853" i="5"/>
  <c r="AA1854" i="5"/>
  <c r="AA1855" i="5"/>
  <c r="AA1856" i="5"/>
  <c r="AA1857" i="5"/>
  <c r="AA1858" i="5"/>
  <c r="AA1859" i="5"/>
  <c r="AA1860" i="5"/>
  <c r="AA1861" i="5"/>
  <c r="AA1862" i="5"/>
  <c r="AA1863" i="5"/>
  <c r="AA1864" i="5"/>
  <c r="AA1865" i="5"/>
  <c r="AA1866" i="5"/>
  <c r="AA1867" i="5"/>
  <c r="AA1868" i="5"/>
  <c r="AA1869" i="5"/>
  <c r="AA1870" i="5"/>
  <c r="AA1871" i="5"/>
  <c r="AA1872" i="5"/>
  <c r="AA1873" i="5"/>
  <c r="AA1874" i="5"/>
  <c r="AA1875" i="5"/>
  <c r="AA1876" i="5"/>
  <c r="AA1877" i="5"/>
  <c r="AA1878" i="5"/>
  <c r="AA1879" i="5"/>
  <c r="AA1880" i="5"/>
  <c r="AA1881" i="5"/>
  <c r="AA1882" i="5"/>
  <c r="AA1883" i="5"/>
  <c r="AA1884" i="5"/>
  <c r="AA1885" i="5"/>
  <c r="AA1886" i="5"/>
  <c r="AA1887" i="5"/>
  <c r="AA1888" i="5"/>
  <c r="AA1889" i="5"/>
  <c r="AA1890" i="5"/>
  <c r="AA1891" i="5"/>
  <c r="AA1892" i="5"/>
  <c r="AA1893" i="5"/>
  <c r="AA1894" i="5"/>
  <c r="AA1895" i="5"/>
  <c r="AA1896" i="5"/>
  <c r="AA1897" i="5"/>
  <c r="AA1898" i="5"/>
  <c r="AA1899" i="5"/>
  <c r="AA1900" i="5"/>
  <c r="AA1901" i="5"/>
  <c r="AA1902" i="5"/>
  <c r="AA1903" i="5"/>
  <c r="AA1904" i="5"/>
  <c r="AA1905" i="5"/>
  <c r="AA1906" i="5"/>
  <c r="AA1907" i="5"/>
  <c r="AA1908" i="5"/>
  <c r="AA1909" i="5"/>
  <c r="AA1910" i="5"/>
  <c r="AA1911" i="5"/>
  <c r="AA1912" i="5"/>
  <c r="AA1913" i="5"/>
  <c r="AA1914" i="5"/>
  <c r="AA1915" i="5"/>
  <c r="AA1916" i="5"/>
  <c r="AA1917" i="5"/>
  <c r="AA1918" i="5"/>
  <c r="AA1919" i="5"/>
  <c r="AA1920" i="5"/>
  <c r="AA1921" i="5"/>
  <c r="AA1922" i="5"/>
  <c r="AA1923" i="5"/>
  <c r="AA1924" i="5"/>
  <c r="AA1925" i="5"/>
  <c r="AA1926" i="5"/>
  <c r="AA1927" i="5"/>
  <c r="AA1928" i="5"/>
  <c r="AA1929" i="5"/>
  <c r="AA1930" i="5"/>
  <c r="AA1931" i="5"/>
  <c r="AA1932" i="5"/>
  <c r="AA1933" i="5"/>
  <c r="AA1934" i="5"/>
  <c r="AA1935" i="5"/>
  <c r="AA1936" i="5"/>
  <c r="AA1937" i="5"/>
  <c r="AA1938" i="5"/>
  <c r="AA1939" i="5"/>
  <c r="AA1940" i="5"/>
  <c r="AA1941" i="5"/>
  <c r="AA1942" i="5"/>
  <c r="AA1943" i="5"/>
  <c r="AA1944" i="5"/>
  <c r="J71" i="9"/>
  <c r="J206" i="9"/>
  <c r="U1580" i="5"/>
  <c r="Y1580" i="5" s="1"/>
  <c r="G1580" i="5"/>
  <c r="M1580" i="5"/>
  <c r="N1580" i="5" s="1"/>
  <c r="U1492" i="5"/>
  <c r="Q1784" i="5" l="1"/>
  <c r="AC1784" i="5" s="1"/>
  <c r="N1784" i="5"/>
  <c r="Q1779" i="5"/>
  <c r="AC1779" i="5" s="1"/>
  <c r="N1779" i="5"/>
  <c r="Q1790" i="5"/>
  <c r="AC1790" i="5" s="1"/>
  <c r="N1790" i="5"/>
  <c r="Q1783" i="5"/>
  <c r="AC1783" i="5" s="1"/>
  <c r="N1783" i="5"/>
  <c r="Q1748" i="5"/>
  <c r="AC1748" i="5" s="1"/>
  <c r="N1748" i="5"/>
  <c r="Q1782" i="5"/>
  <c r="AC1782" i="5" s="1"/>
  <c r="N1782" i="5"/>
  <c r="Q1738" i="5"/>
  <c r="AC1738" i="5" s="1"/>
  <c r="N1738" i="5"/>
  <c r="Q1735" i="5"/>
  <c r="AC1735" i="5" s="1"/>
  <c r="N1735" i="5"/>
  <c r="Q1739" i="5"/>
  <c r="AC1739" i="5" s="1"/>
  <c r="N1739" i="5"/>
  <c r="AB1730" i="5"/>
  <c r="N1730" i="5"/>
  <c r="Q1736" i="5"/>
  <c r="AC1736" i="5" s="1"/>
  <c r="N1736" i="5"/>
  <c r="AB1729" i="5"/>
  <c r="N1729" i="5"/>
  <c r="AB1728" i="5"/>
  <c r="N1728" i="5"/>
  <c r="Q1778" i="5"/>
  <c r="AC1778" i="5" s="1"/>
  <c r="N1778" i="5"/>
  <c r="Q1789" i="5"/>
  <c r="AC1789" i="5" s="1"/>
  <c r="N1789" i="5"/>
  <c r="Q1719" i="5"/>
  <c r="AC1719" i="5" s="1"/>
  <c r="N1719" i="5"/>
  <c r="Q1777" i="5"/>
  <c r="AC1777" i="5" s="1"/>
  <c r="N1777" i="5"/>
  <c r="Q1760" i="5"/>
  <c r="AC1760" i="5" s="1"/>
  <c r="N1760" i="5"/>
  <c r="Q1727" i="5"/>
  <c r="AC1727" i="5" s="1"/>
  <c r="N1727" i="5"/>
  <c r="Q1753" i="5"/>
  <c r="AC1753" i="5" s="1"/>
  <c r="N1753" i="5"/>
  <c r="Q1718" i="5"/>
  <c r="AC1718" i="5" s="1"/>
  <c r="N1718" i="5"/>
  <c r="Q1752" i="5"/>
  <c r="AC1752" i="5" s="1"/>
  <c r="N1752" i="5"/>
  <c r="Q1717" i="5"/>
  <c r="AC1717" i="5" s="1"/>
  <c r="N1717" i="5"/>
  <c r="Q1737" i="5"/>
  <c r="AC1737" i="5" s="1"/>
  <c r="N1737" i="5"/>
  <c r="AB1731" i="5"/>
  <c r="N1731" i="5"/>
  <c r="Q1763" i="5"/>
  <c r="AC1763" i="5" s="1"/>
  <c r="N1763" i="5"/>
  <c r="Q1762" i="5"/>
  <c r="AC1762" i="5" s="1"/>
  <c r="N1762" i="5"/>
  <c r="Q1751" i="5"/>
  <c r="AC1751" i="5" s="1"/>
  <c r="N1751" i="5"/>
  <c r="Q1716" i="5"/>
  <c r="AC1716" i="5" s="1"/>
  <c r="N1716" i="5"/>
  <c r="Q1776" i="5"/>
  <c r="AC1776" i="5" s="1"/>
  <c r="N1776" i="5"/>
  <c r="Q1750" i="5"/>
  <c r="AC1750" i="5" s="1"/>
  <c r="N1750" i="5"/>
  <c r="Q1715" i="5"/>
  <c r="AC1715" i="5" s="1"/>
  <c r="N1715" i="5"/>
  <c r="Q1764" i="5"/>
  <c r="AC1764" i="5" s="1"/>
  <c r="N1764" i="5"/>
  <c r="Q1749" i="5"/>
  <c r="AC1749" i="5" s="1"/>
  <c r="N1749" i="5"/>
  <c r="G1690" i="5"/>
  <c r="G1691" i="5"/>
  <c r="AB1682" i="5"/>
  <c r="G1683" i="5"/>
  <c r="G1689" i="5"/>
  <c r="AB1679" i="5"/>
  <c r="U19" i="1"/>
  <c r="V19" i="1" s="1"/>
  <c r="Q1683" i="5"/>
  <c r="AC1683" i="5" s="1"/>
  <c r="T19" i="1"/>
  <c r="AB1677" i="5"/>
  <c r="AB1685" i="5"/>
  <c r="AB1684" i="5"/>
  <c r="Q1694" i="5"/>
  <c r="AC1694" i="5" s="1"/>
  <c r="Q1676" i="5"/>
  <c r="AC1676" i="5" s="1"/>
  <c r="AB1778" i="5"/>
  <c r="AB1826" i="5"/>
  <c r="AB1774" i="5"/>
  <c r="AB1686" i="5"/>
  <c r="AB1775" i="5"/>
  <c r="AB1827" i="5"/>
  <c r="AB1776" i="5"/>
  <c r="AB1828" i="5"/>
  <c r="AB1928" i="5"/>
  <c r="AB1824" i="5"/>
  <c r="AB1821" i="5"/>
  <c r="AB1939" i="5"/>
  <c r="AB1859" i="5"/>
  <c r="AB1839" i="5"/>
  <c r="Q1728" i="5"/>
  <c r="AC1728" i="5" s="1"/>
  <c r="AB1820" i="5"/>
  <c r="AB1825" i="5"/>
  <c r="AB1927" i="5"/>
  <c r="AB1823" i="5"/>
  <c r="AB1822" i="5"/>
  <c r="Q1734" i="5"/>
  <c r="AC1734" i="5" s="1"/>
  <c r="Q1839" i="5"/>
  <c r="AC1839" i="5" s="1"/>
  <c r="AB1777" i="5"/>
  <c r="Q1832" i="5"/>
  <c r="AC1832" i="5" s="1"/>
  <c r="Q1731" i="5"/>
  <c r="AC1731" i="5" s="1"/>
  <c r="AB1819" i="5"/>
  <c r="Q1835" i="5"/>
  <c r="AC1835" i="5" s="1"/>
  <c r="Q1814" i="5"/>
  <c r="AC1814" i="5" s="1"/>
  <c r="AB1865" i="5"/>
  <c r="AB1944" i="5"/>
  <c r="Q1812" i="5"/>
  <c r="AC1812" i="5" s="1"/>
  <c r="AB1903" i="5"/>
  <c r="AB1883" i="5"/>
  <c r="AB1863" i="5"/>
  <c r="AB1843" i="5"/>
  <c r="AB1866" i="5"/>
  <c r="AB1845" i="5"/>
  <c r="AB1902" i="5"/>
  <c r="AB1842" i="5"/>
  <c r="Q1836" i="5"/>
  <c r="AC1836" i="5" s="1"/>
  <c r="Q1816" i="5"/>
  <c r="AC1816" i="5" s="1"/>
  <c r="Q1815" i="5"/>
  <c r="AC1815" i="5" s="1"/>
  <c r="AB1906" i="5"/>
  <c r="AB1846" i="5"/>
  <c r="AB1844" i="5"/>
  <c r="AB1901" i="5"/>
  <c r="AB1881" i="5"/>
  <c r="AB1861" i="5"/>
  <c r="AB1841" i="5"/>
  <c r="Q1813" i="5"/>
  <c r="AC1813" i="5" s="1"/>
  <c r="AB1904" i="5"/>
  <c r="AB1880" i="5"/>
  <c r="AB1860" i="5"/>
  <c r="AB1840" i="5"/>
  <c r="AB1926" i="5"/>
  <c r="Q1803" i="5"/>
  <c r="AC1803" i="5" s="1"/>
  <c r="AB1675" i="5"/>
  <c r="AB1925" i="5"/>
  <c r="Q1860" i="5"/>
  <c r="AC1860" i="5" s="1"/>
  <c r="Q1834" i="5"/>
  <c r="AC1834" i="5" s="1"/>
  <c r="Q1730" i="5"/>
  <c r="AC1730" i="5" s="1"/>
  <c r="AB1900" i="5"/>
  <c r="AB1924" i="5"/>
  <c r="Q1859" i="5"/>
  <c r="AC1859" i="5" s="1"/>
  <c r="Q1833" i="5"/>
  <c r="AC1833" i="5" s="1"/>
  <c r="Q1729" i="5"/>
  <c r="AC1729" i="5" s="1"/>
  <c r="Q1866" i="5"/>
  <c r="AC1866" i="5" s="1"/>
  <c r="Q1863" i="5"/>
  <c r="AC1863" i="5" s="1"/>
  <c r="Q1861" i="5"/>
  <c r="AC1861" i="5" s="1"/>
  <c r="AB1899" i="5"/>
  <c r="AB1923" i="5"/>
  <c r="AB1921" i="5"/>
  <c r="AB1890" i="5"/>
  <c r="AB1864" i="5"/>
  <c r="AB1920" i="5"/>
  <c r="AB1919" i="5"/>
  <c r="AB1911" i="5"/>
  <c r="AB1871" i="5"/>
  <c r="AB1910" i="5"/>
  <c r="AB1929" i="5"/>
  <c r="AB1909" i="5"/>
  <c r="AB1869" i="5"/>
  <c r="AB1849" i="5"/>
  <c r="Q1805" i="5"/>
  <c r="AC1805" i="5" s="1"/>
  <c r="Q1804" i="5"/>
  <c r="AC1804" i="5" s="1"/>
  <c r="AB1862" i="5"/>
  <c r="AB1931" i="5"/>
  <c r="AB1891" i="5"/>
  <c r="AB1851" i="5"/>
  <c r="AB1870" i="5"/>
  <c r="Q1939" i="5"/>
  <c r="AC1939" i="5" s="1"/>
  <c r="AB1888" i="5"/>
  <c r="AB1868" i="5"/>
  <c r="AB1848" i="5"/>
  <c r="Q1865" i="5"/>
  <c r="AC1865" i="5" s="1"/>
  <c r="AB1922" i="5"/>
  <c r="Q1871" i="5"/>
  <c r="AC1871" i="5" s="1"/>
  <c r="Q1846" i="5"/>
  <c r="AC1846" i="5" s="1"/>
  <c r="AB1867" i="5"/>
  <c r="AB1847" i="5"/>
  <c r="Q1890" i="5"/>
  <c r="AC1890" i="5" s="1"/>
  <c r="Q1891" i="5"/>
  <c r="AC1891" i="5" s="1"/>
  <c r="Q1911" i="5"/>
  <c r="AC1911" i="5" s="1"/>
  <c r="Q1903" i="5"/>
  <c r="AC1903" i="5" s="1"/>
  <c r="Q1881" i="5"/>
  <c r="AC1881" i="5" s="1"/>
  <c r="AB1943" i="5"/>
  <c r="AB1907" i="5"/>
  <c r="AB1879" i="5"/>
  <c r="AB1807" i="5"/>
  <c r="Q1902" i="5"/>
  <c r="AC1902" i="5" s="1"/>
  <c r="Q1880" i="5"/>
  <c r="AC1880" i="5" s="1"/>
  <c r="AB1898" i="5"/>
  <c r="AB1889" i="5"/>
  <c r="Q1910" i="5"/>
  <c r="AC1910" i="5" s="1"/>
  <c r="AB1850" i="5"/>
  <c r="AB1885" i="5"/>
  <c r="AB1908" i="5"/>
  <c r="AB1941" i="5"/>
  <c r="AB1905" i="5"/>
  <c r="Q1944" i="5"/>
  <c r="AC1944" i="5" s="1"/>
  <c r="Q1810" i="5"/>
  <c r="AC1810" i="5" s="1"/>
  <c r="AB1936" i="5"/>
  <c r="AB1916" i="5"/>
  <c r="AB1896" i="5"/>
  <c r="AB1876" i="5"/>
  <c r="AB1856" i="5"/>
  <c r="AB1887" i="5"/>
  <c r="Q1888" i="5"/>
  <c r="AC1888" i="5" s="1"/>
  <c r="AB1886" i="5"/>
  <c r="Q1909" i="5"/>
  <c r="AC1909" i="5" s="1"/>
  <c r="Q1929" i="5"/>
  <c r="AC1929" i="5" s="1"/>
  <c r="Q1883" i="5"/>
  <c r="AC1883" i="5" s="1"/>
  <c r="Q1904" i="5"/>
  <c r="AC1904" i="5" s="1"/>
  <c r="AB1940" i="5"/>
  <c r="Q1831" i="5"/>
  <c r="AC1831" i="5" s="1"/>
  <c r="Q1809" i="5"/>
  <c r="AC1809" i="5" s="1"/>
  <c r="AB1935" i="5"/>
  <c r="AB1915" i="5"/>
  <c r="AB1895" i="5"/>
  <c r="AB1875" i="5"/>
  <c r="AB1855" i="5"/>
  <c r="AB1884" i="5"/>
  <c r="AB1808" i="5"/>
  <c r="AB1942" i="5"/>
  <c r="AB1806" i="5"/>
  <c r="Q1830" i="5"/>
  <c r="AC1830" i="5" s="1"/>
  <c r="AB1934" i="5"/>
  <c r="AB1914" i="5"/>
  <c r="AB1894" i="5"/>
  <c r="AB1874" i="5"/>
  <c r="AB1854" i="5"/>
  <c r="Q1906" i="5"/>
  <c r="AC1906" i="5" s="1"/>
  <c r="AB1882" i="5"/>
  <c r="AB1930" i="5"/>
  <c r="Q1851" i="5"/>
  <c r="AC1851" i="5" s="1"/>
  <c r="Q1829" i="5"/>
  <c r="AC1829" i="5" s="1"/>
  <c r="AB1933" i="5"/>
  <c r="AB1913" i="5"/>
  <c r="AB1893" i="5"/>
  <c r="AB1873" i="5"/>
  <c r="AB1853" i="5"/>
  <c r="Q1931" i="5"/>
  <c r="AC1931" i="5" s="1"/>
  <c r="Q1901" i="5"/>
  <c r="AC1901" i="5" s="1"/>
  <c r="Q1811" i="5"/>
  <c r="AC1811" i="5" s="1"/>
  <c r="AB1687" i="5"/>
  <c r="AB1932" i="5"/>
  <c r="AB1912" i="5"/>
  <c r="AB1892" i="5"/>
  <c r="AB1872" i="5"/>
  <c r="AB1852" i="5"/>
  <c r="AB1727" i="5"/>
  <c r="Q1759" i="5"/>
  <c r="AC1759" i="5" s="1"/>
  <c r="Q1707" i="5"/>
  <c r="AC1707" i="5" s="1"/>
  <c r="Q1699" i="5"/>
  <c r="AC1699" i="5" s="1"/>
  <c r="AB1918" i="5"/>
  <c r="AB1858" i="5"/>
  <c r="AB1818" i="5"/>
  <c r="AB1937" i="5"/>
  <c r="AB1917" i="5"/>
  <c r="AB1897" i="5"/>
  <c r="AB1877" i="5"/>
  <c r="AB1857" i="5"/>
  <c r="AB1837" i="5"/>
  <c r="AB1817" i="5"/>
  <c r="AB1938" i="5"/>
  <c r="AB1838" i="5"/>
  <c r="AB1878" i="5"/>
  <c r="Q1898" i="5"/>
  <c r="AC1898" i="5" s="1"/>
  <c r="Q1798" i="5"/>
  <c r="AC1798" i="5" s="1"/>
  <c r="AB1580" i="5"/>
  <c r="Q1580" i="5"/>
  <c r="AC1580" i="5" s="1"/>
  <c r="U1550" i="5"/>
  <c r="Y1550" i="5" s="1"/>
  <c r="U1481" i="5"/>
  <c r="U1519" i="5"/>
  <c r="U1590" i="5"/>
  <c r="U1529" i="5"/>
  <c r="U1581" i="5"/>
  <c r="U1602" i="5"/>
  <c r="U1603" i="5"/>
  <c r="U1549" i="5"/>
  <c r="G1551" i="5"/>
  <c r="M1551" i="5"/>
  <c r="AB1551" i="5" s="1"/>
  <c r="Y1551" i="5"/>
  <c r="M1550" i="5"/>
  <c r="Q1550" i="5" s="1"/>
  <c r="AC1550" i="5" s="1"/>
  <c r="Q1551" i="5" l="1"/>
  <c r="AC1551" i="5" s="1"/>
  <c r="AB1550" i="5"/>
  <c r="C14" i="9" l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J261" i="9" l="1"/>
  <c r="U1501" i="5"/>
  <c r="U1502" i="5"/>
  <c r="U1589" i="5"/>
  <c r="U1528" i="5"/>
  <c r="J93" i="9" l="1"/>
  <c r="U1612" i="5"/>
  <c r="U1613" i="5"/>
  <c r="U1480" i="5"/>
  <c r="M1519" i="5"/>
  <c r="Q1519" i="5" s="1"/>
  <c r="AC1519" i="5" s="1"/>
  <c r="Y1519" i="5"/>
  <c r="J371" i="9"/>
  <c r="J45" i="9"/>
  <c r="AB1519" i="5" l="1"/>
  <c r="U1579" i="5"/>
  <c r="U1491" i="5"/>
  <c r="M1492" i="5"/>
  <c r="AB1492" i="5" s="1"/>
  <c r="Y1492" i="5"/>
  <c r="U1559" i="5"/>
  <c r="U1560" i="5"/>
  <c r="G1561" i="5"/>
  <c r="M1561" i="5"/>
  <c r="Y1561" i="5"/>
  <c r="U1500" i="5"/>
  <c r="G1502" i="5"/>
  <c r="M1502" i="5"/>
  <c r="AC1502" i="5" s="1"/>
  <c r="Y1502" i="5"/>
  <c r="U1567" i="5"/>
  <c r="U1568" i="5"/>
  <c r="U1517" i="5"/>
  <c r="U1518" i="5"/>
  <c r="U1587" i="5"/>
  <c r="U1588" i="5"/>
  <c r="U1527" i="5"/>
  <c r="M1528" i="5"/>
  <c r="Q1528" i="5" s="1"/>
  <c r="AC1528" i="5" s="1"/>
  <c r="Y1528" i="5"/>
  <c r="G1529" i="5"/>
  <c r="M1529" i="5"/>
  <c r="AB1529" i="5" s="1"/>
  <c r="Y1529" i="5"/>
  <c r="U1510" i="5"/>
  <c r="U1511" i="5"/>
  <c r="U1512" i="5"/>
  <c r="Y1512" i="5" s="1"/>
  <c r="G1512" i="5"/>
  <c r="M1512" i="5"/>
  <c r="Q1512" i="5" s="1"/>
  <c r="AC1512" i="5" s="1"/>
  <c r="Q1561" i="5" l="1"/>
  <c r="AC1561" i="5" s="1"/>
  <c r="N1561" i="5"/>
  <c r="Q1492" i="5"/>
  <c r="AC1492" i="5" s="1"/>
  <c r="Q1529" i="5"/>
  <c r="AC1529" i="5" s="1"/>
  <c r="AB1528" i="5"/>
  <c r="AB1561" i="5"/>
  <c r="AB1502" i="5"/>
  <c r="AB1512" i="5"/>
  <c r="U1547" i="5"/>
  <c r="U1548" i="5"/>
  <c r="U1578" i="5"/>
  <c r="G1579" i="5"/>
  <c r="M1579" i="5"/>
  <c r="Y1579" i="5"/>
  <c r="Q1579" i="5" l="1"/>
  <c r="AC1579" i="5" s="1"/>
  <c r="N1579" i="5"/>
  <c r="AB1579" i="5"/>
  <c r="U1558" i="5"/>
  <c r="U1499" i="5"/>
  <c r="U1600" i="5"/>
  <c r="U1601" i="5"/>
  <c r="I3" i="13"/>
  <c r="I4" i="13"/>
  <c r="I5" i="13"/>
  <c r="I8" i="13"/>
  <c r="I10" i="13"/>
  <c r="I12" i="13"/>
  <c r="I16" i="13"/>
  <c r="I19" i="13"/>
  <c r="I27" i="13"/>
  <c r="I29" i="13"/>
  <c r="T2" i="13"/>
  <c r="G1602" i="5"/>
  <c r="M1602" i="5"/>
  <c r="Y1602" i="5"/>
  <c r="G1603" i="5"/>
  <c r="M1603" i="5"/>
  <c r="Y1603" i="5"/>
  <c r="U1509" i="5"/>
  <c r="G1500" i="5"/>
  <c r="M1500" i="5"/>
  <c r="Q1500" i="5" s="1"/>
  <c r="AC1500" i="5" s="1"/>
  <c r="Y1500" i="5"/>
  <c r="U1526" i="5"/>
  <c r="Q1603" i="5" l="1"/>
  <c r="AC1603" i="5" s="1"/>
  <c r="N1603" i="5"/>
  <c r="Q1602" i="5"/>
  <c r="AC1602" i="5" s="1"/>
  <c r="N1602" i="5"/>
  <c r="AB1500" i="5"/>
  <c r="AB1602" i="5"/>
  <c r="AB1603" i="5"/>
  <c r="J279" i="9" l="1"/>
  <c r="U1525" i="5" l="1"/>
  <c r="M1491" i="5"/>
  <c r="Q1491" i="5" s="1"/>
  <c r="AC1491" i="5" s="1"/>
  <c r="Y1491" i="5"/>
  <c r="U1577" i="5"/>
  <c r="AB1491" i="5" l="1"/>
  <c r="G1612" i="5"/>
  <c r="M1612" i="5"/>
  <c r="Y1612" i="5"/>
  <c r="G1480" i="5"/>
  <c r="M1480" i="5"/>
  <c r="Q1480" i="5" s="1"/>
  <c r="AC1480" i="5" s="1"/>
  <c r="Y1480" i="5"/>
  <c r="M1481" i="5"/>
  <c r="Y1481" i="5"/>
  <c r="G1549" i="5"/>
  <c r="M1549" i="5"/>
  <c r="AB1549" i="5" s="1"/>
  <c r="Y1549" i="5"/>
  <c r="U1498" i="5"/>
  <c r="Y1498" i="5" s="1"/>
  <c r="U1599" i="5"/>
  <c r="M1600" i="5"/>
  <c r="Y1600" i="5"/>
  <c r="M1601" i="5"/>
  <c r="Y1601" i="5"/>
  <c r="U1557" i="5"/>
  <c r="Y1557" i="5" s="1"/>
  <c r="U1508" i="5"/>
  <c r="M1509" i="5"/>
  <c r="Q1509" i="5" s="1"/>
  <c r="AC1509" i="5" s="1"/>
  <c r="Y1509" i="5"/>
  <c r="G1510" i="5"/>
  <c r="M1510" i="5"/>
  <c r="Q1510" i="5" s="1"/>
  <c r="AC1510" i="5" s="1"/>
  <c r="Y1510" i="5"/>
  <c r="U1488" i="5"/>
  <c r="U1489" i="5"/>
  <c r="U1490" i="5"/>
  <c r="U1576" i="5"/>
  <c r="G1578" i="5"/>
  <c r="M1578" i="5"/>
  <c r="Y1578" i="5"/>
  <c r="G1587" i="5"/>
  <c r="M1587" i="5"/>
  <c r="Y1587" i="5"/>
  <c r="G1588" i="5"/>
  <c r="M1588" i="5"/>
  <c r="Y1588" i="5"/>
  <c r="G1589" i="5"/>
  <c r="M1589" i="5"/>
  <c r="Y1589" i="5"/>
  <c r="G1525" i="5"/>
  <c r="M1525" i="5"/>
  <c r="Q1525" i="5" s="1"/>
  <c r="AC1525" i="5" s="1"/>
  <c r="Y1525" i="5"/>
  <c r="G1526" i="5"/>
  <c r="M1526" i="5"/>
  <c r="Q1526" i="5" s="1"/>
  <c r="AC1526" i="5" s="1"/>
  <c r="Y1526" i="5"/>
  <c r="M1527" i="5"/>
  <c r="Q1527" i="5" s="1"/>
  <c r="AC1527" i="5" s="1"/>
  <c r="Y1527" i="5"/>
  <c r="U1497" i="5"/>
  <c r="G1498" i="5"/>
  <c r="M1498" i="5"/>
  <c r="AB1498" i="5" s="1"/>
  <c r="M1499" i="5"/>
  <c r="Q1499" i="5" s="1"/>
  <c r="AC1499" i="5" s="1"/>
  <c r="Y1499" i="5"/>
  <c r="M1557" i="5"/>
  <c r="G1558" i="5"/>
  <c r="M1558" i="5"/>
  <c r="Y1558" i="5"/>
  <c r="M1567" i="5"/>
  <c r="Y1567" i="5"/>
  <c r="G1568" i="5"/>
  <c r="M1568" i="5"/>
  <c r="Y1568" i="5"/>
  <c r="G1517" i="5"/>
  <c r="M1517" i="5"/>
  <c r="AB1517" i="5" s="1"/>
  <c r="Y1517" i="5"/>
  <c r="G1518" i="5"/>
  <c r="M1518" i="5"/>
  <c r="Q1518" i="5" s="1"/>
  <c r="AC1518" i="5" s="1"/>
  <c r="Y1518" i="5"/>
  <c r="Q1481" i="5" l="1"/>
  <c r="AC1481" i="5" s="1"/>
  <c r="Q1557" i="5"/>
  <c r="AC1557" i="5" s="1"/>
  <c r="N1557" i="5"/>
  <c r="Q1589" i="5"/>
  <c r="AC1589" i="5" s="1"/>
  <c r="N1589" i="5"/>
  <c r="Q1568" i="5"/>
  <c r="AC1568" i="5" s="1"/>
  <c r="N1568" i="5"/>
  <c r="Q1601" i="5"/>
  <c r="AC1601" i="5" s="1"/>
  <c r="N1601" i="5"/>
  <c r="Q1578" i="5"/>
  <c r="AC1578" i="5" s="1"/>
  <c r="N1578" i="5"/>
  <c r="Q1588" i="5"/>
  <c r="AC1588" i="5" s="1"/>
  <c r="N1588" i="5"/>
  <c r="Q1587" i="5"/>
  <c r="AC1587" i="5" s="1"/>
  <c r="N1587" i="5"/>
  <c r="Q1600" i="5"/>
  <c r="AC1600" i="5" s="1"/>
  <c r="N1600" i="5"/>
  <c r="Q1567" i="5"/>
  <c r="AC1567" i="5" s="1"/>
  <c r="N1567" i="5"/>
  <c r="Q1612" i="5"/>
  <c r="AC1612" i="5" s="1"/>
  <c r="N1612" i="5"/>
  <c r="Q1558" i="5"/>
  <c r="AC1558" i="5" s="1"/>
  <c r="N1558" i="5"/>
  <c r="AB1612" i="5"/>
  <c r="Q1549" i="5"/>
  <c r="AC1549" i="5" s="1"/>
  <c r="AB1480" i="5"/>
  <c r="AB1481" i="5"/>
  <c r="AB1601" i="5"/>
  <c r="AB1510" i="5"/>
  <c r="AB1600" i="5"/>
  <c r="AB1509" i="5"/>
  <c r="AB1525" i="5"/>
  <c r="AB1527" i="5"/>
  <c r="AB1578" i="5"/>
  <c r="AB1587" i="5"/>
  <c r="AB1589" i="5"/>
  <c r="AB1588" i="5"/>
  <c r="AB1526" i="5"/>
  <c r="Q1498" i="5"/>
  <c r="AC1498" i="5" s="1"/>
  <c r="AB1518" i="5"/>
  <c r="AB1557" i="5"/>
  <c r="AB1558" i="5"/>
  <c r="AB1499" i="5"/>
  <c r="AB1567" i="5"/>
  <c r="AB1568" i="5"/>
  <c r="Q1517" i="5"/>
  <c r="AC1517" i="5" s="1"/>
  <c r="G1599" i="5"/>
  <c r="M1599" i="5"/>
  <c r="Y1599" i="5"/>
  <c r="Q1599" i="5" l="1"/>
  <c r="AC1599" i="5" s="1"/>
  <c r="N1599" i="5"/>
  <c r="AB1599" i="5"/>
  <c r="J244" i="9"/>
  <c r="J229" i="9"/>
  <c r="J144" i="9" l="1"/>
  <c r="J434" i="9" l="1"/>
  <c r="J433" i="9"/>
  <c r="J440" i="9"/>
  <c r="J432" i="9"/>
  <c r="J441" i="9"/>
  <c r="J442" i="9"/>
  <c r="J443" i="9"/>
  <c r="J444" i="9"/>
  <c r="J154" i="9"/>
  <c r="M1576" i="5"/>
  <c r="Y1576" i="5"/>
  <c r="M1577" i="5"/>
  <c r="Y1577" i="5"/>
  <c r="AB1577" i="5"/>
  <c r="M1488" i="5"/>
  <c r="Q1488" i="5" s="1"/>
  <c r="AC1488" i="5" s="1"/>
  <c r="Y1488" i="5"/>
  <c r="G1489" i="5"/>
  <c r="M1489" i="5"/>
  <c r="Q1489" i="5" s="1"/>
  <c r="AC1489" i="5" s="1"/>
  <c r="Y1489" i="5"/>
  <c r="G1490" i="5"/>
  <c r="M1490" i="5"/>
  <c r="Q1490" i="5" s="1"/>
  <c r="AC1490" i="5" s="1"/>
  <c r="Y1490" i="5"/>
  <c r="G1547" i="5"/>
  <c r="M1547" i="5"/>
  <c r="Q1547" i="5" s="1"/>
  <c r="AC1547" i="5" s="1"/>
  <c r="Y1547" i="5"/>
  <c r="G1548" i="5"/>
  <c r="M1548" i="5"/>
  <c r="Q1548" i="5" s="1"/>
  <c r="AC1548" i="5" s="1"/>
  <c r="Y1548" i="5"/>
  <c r="M1559" i="5"/>
  <c r="Y1559" i="5"/>
  <c r="G1560" i="5"/>
  <c r="M1560" i="5"/>
  <c r="Y1560" i="5"/>
  <c r="G1508" i="5"/>
  <c r="M1508" i="5"/>
  <c r="Q1508" i="5" s="1"/>
  <c r="AC1508" i="5" s="1"/>
  <c r="Y1508" i="5"/>
  <c r="G1511" i="5"/>
  <c r="M1511" i="5"/>
  <c r="Q1511" i="5" s="1"/>
  <c r="AC1511" i="5" s="1"/>
  <c r="Y1511" i="5"/>
  <c r="G1497" i="5"/>
  <c r="M1497" i="5"/>
  <c r="Q1497" i="5" s="1"/>
  <c r="AC1497" i="5" s="1"/>
  <c r="Y1497" i="5"/>
  <c r="M1501" i="5"/>
  <c r="Y1501" i="5"/>
  <c r="Q1576" i="5" l="1"/>
  <c r="AC1576" i="5" s="1"/>
  <c r="N1576" i="5"/>
  <c r="Q1577" i="5"/>
  <c r="AC1577" i="5" s="1"/>
  <c r="N1577" i="5"/>
  <c r="Q1560" i="5"/>
  <c r="AC1560" i="5" s="1"/>
  <c r="N1560" i="5"/>
  <c r="Q1559" i="5"/>
  <c r="AC1559" i="5" s="1"/>
  <c r="N1559" i="5"/>
  <c r="AB1548" i="5"/>
  <c r="AB1576" i="5"/>
  <c r="AB1489" i="5"/>
  <c r="AB1559" i="5"/>
  <c r="AB1488" i="5"/>
  <c r="AB1560" i="5"/>
  <c r="AB1490" i="5"/>
  <c r="AB1508" i="5"/>
  <c r="AB1547" i="5"/>
  <c r="AB1511" i="5"/>
  <c r="AB1501" i="5"/>
  <c r="AB1497" i="5"/>
  <c r="Q1501" i="5"/>
  <c r="AC1501" i="5" s="1"/>
  <c r="J200" i="9" l="1"/>
  <c r="J428" i="9"/>
  <c r="J351" i="9"/>
  <c r="J352" i="9"/>
  <c r="J353" i="9"/>
  <c r="U1523" i="5" l="1"/>
  <c r="U1524" i="5"/>
  <c r="U1530" i="5"/>
  <c r="U1531" i="5"/>
  <c r="U1532" i="5"/>
  <c r="U1533" i="5"/>
  <c r="U1534" i="5"/>
  <c r="U1535" i="5"/>
  <c r="U1536" i="5"/>
  <c r="U1537" i="5"/>
  <c r="U1538" i="5"/>
  <c r="U1539" i="5"/>
  <c r="U1540" i="5"/>
  <c r="U1541" i="5"/>
  <c r="U1542" i="5"/>
  <c r="U1543" i="5"/>
  <c r="U1544" i="5"/>
  <c r="U1545" i="5"/>
  <c r="U1546" i="5"/>
  <c r="U1552" i="5"/>
  <c r="U1553" i="5"/>
  <c r="Y1553" i="5" s="1"/>
  <c r="U1554" i="5"/>
  <c r="Y1554" i="5" s="1"/>
  <c r="U1555" i="5"/>
  <c r="Y1555" i="5" s="1"/>
  <c r="U1556" i="5"/>
  <c r="Y1556" i="5" s="1"/>
  <c r="U1562" i="5"/>
  <c r="Y1562" i="5" s="1"/>
  <c r="U1563" i="5"/>
  <c r="Y1563" i="5" s="1"/>
  <c r="U1564" i="5"/>
  <c r="Y1564" i="5" s="1"/>
  <c r="U1565" i="5"/>
  <c r="Y1565" i="5" s="1"/>
  <c r="U1566" i="5"/>
  <c r="Y1566" i="5" s="1"/>
  <c r="U1569" i="5"/>
  <c r="Y1569" i="5" s="1"/>
  <c r="U1570" i="5"/>
  <c r="Y1570" i="5" s="1"/>
  <c r="U1571" i="5"/>
  <c r="Y1571" i="5" s="1"/>
  <c r="U1572" i="5"/>
  <c r="Y1572" i="5" s="1"/>
  <c r="U1573" i="5"/>
  <c r="Y1573" i="5" s="1"/>
  <c r="U1574" i="5"/>
  <c r="Y1574" i="5" s="1"/>
  <c r="U1575" i="5"/>
  <c r="Y1575" i="5" s="1"/>
  <c r="Y1582" i="5"/>
  <c r="U1583" i="5"/>
  <c r="Y1583" i="5" s="1"/>
  <c r="U1584" i="5"/>
  <c r="Y1584" i="5" s="1"/>
  <c r="U1585" i="5"/>
  <c r="Y1585" i="5" s="1"/>
  <c r="U1586" i="5"/>
  <c r="Y1586" i="5" s="1"/>
  <c r="Y1590" i="5"/>
  <c r="Y1591" i="5"/>
  <c r="U1592" i="5"/>
  <c r="Y1592" i="5" s="1"/>
  <c r="U1593" i="5"/>
  <c r="Y1593" i="5" s="1"/>
  <c r="U1595" i="5"/>
  <c r="Y1595" i="5" s="1"/>
  <c r="U1596" i="5"/>
  <c r="Y1596" i="5" s="1"/>
  <c r="U1597" i="5"/>
  <c r="Y1597" i="5" s="1"/>
  <c r="U1598" i="5"/>
  <c r="Y1598" i="5" s="1"/>
  <c r="U1604" i="5"/>
  <c r="Y1604" i="5" s="1"/>
  <c r="U1605" i="5"/>
  <c r="Y1605" i="5" s="1"/>
  <c r="U1606" i="5"/>
  <c r="Y1606" i="5" s="1"/>
  <c r="U1607" i="5"/>
  <c r="Y1607" i="5" s="1"/>
  <c r="G1451" i="5"/>
  <c r="M1451" i="5"/>
  <c r="Q1451" i="5" s="1"/>
  <c r="AC1451" i="5" s="1"/>
  <c r="Y1451" i="5"/>
  <c r="G1555" i="5"/>
  <c r="G1562" i="5"/>
  <c r="G1564" i="5"/>
  <c r="G1565" i="5"/>
  <c r="G1569" i="5"/>
  <c r="G1570" i="5"/>
  <c r="G1572" i="5"/>
  <c r="G1574" i="5"/>
  <c r="G1581" i="5"/>
  <c r="G1582" i="5"/>
  <c r="G1584" i="5"/>
  <c r="G1585" i="5"/>
  <c r="G1590" i="5"/>
  <c r="G1591" i="5"/>
  <c r="G1593" i="5"/>
  <c r="G1594" i="5"/>
  <c r="G1596" i="5"/>
  <c r="G1597" i="5"/>
  <c r="G1598" i="5"/>
  <c r="G1604" i="5"/>
  <c r="G1606" i="5"/>
  <c r="G1607" i="5"/>
  <c r="G1609" i="5"/>
  <c r="G1611" i="5"/>
  <c r="G1613" i="5"/>
  <c r="G1614" i="5"/>
  <c r="G1617" i="5"/>
  <c r="G1618" i="5"/>
  <c r="G1621" i="5"/>
  <c r="G1622" i="5"/>
  <c r="G1623" i="5"/>
  <c r="G1628" i="5"/>
  <c r="G1630" i="5"/>
  <c r="G1631" i="5"/>
  <c r="G1635" i="5"/>
  <c r="G1637" i="5"/>
  <c r="G1638" i="5"/>
  <c r="G1645" i="5"/>
  <c r="G1647" i="5"/>
  <c r="G1648" i="5"/>
  <c r="G1652" i="5"/>
  <c r="G1655" i="5"/>
  <c r="G1656" i="5"/>
  <c r="G1662" i="5"/>
  <c r="G1673" i="5"/>
  <c r="M1553" i="5"/>
  <c r="M1554" i="5"/>
  <c r="M1555" i="5"/>
  <c r="M1556" i="5"/>
  <c r="M1562" i="5"/>
  <c r="Q1562" i="5" s="1"/>
  <c r="AC1562" i="5" s="1"/>
  <c r="M1563" i="5"/>
  <c r="M1564" i="5"/>
  <c r="M1565" i="5"/>
  <c r="M1566" i="5"/>
  <c r="M1569" i="5"/>
  <c r="N1569" i="5" s="1"/>
  <c r="M1570" i="5"/>
  <c r="M1571" i="5"/>
  <c r="M1572" i="5"/>
  <c r="M1573" i="5"/>
  <c r="M1574" i="5"/>
  <c r="M1575" i="5"/>
  <c r="M1581" i="5"/>
  <c r="M1582" i="5"/>
  <c r="Q1582" i="5" s="1"/>
  <c r="AC1582" i="5" s="1"/>
  <c r="M1583" i="5"/>
  <c r="N1583" i="5" s="1"/>
  <c r="M1584" i="5"/>
  <c r="N1584" i="5" s="1"/>
  <c r="M1585" i="5"/>
  <c r="M1586" i="5"/>
  <c r="M1590" i="5"/>
  <c r="M1591" i="5"/>
  <c r="M1592" i="5"/>
  <c r="M1593" i="5"/>
  <c r="M1594" i="5"/>
  <c r="M1595" i="5"/>
  <c r="N1595" i="5" s="1"/>
  <c r="M1596" i="5"/>
  <c r="M1597" i="5"/>
  <c r="M1598" i="5"/>
  <c r="M1604" i="5"/>
  <c r="M1605" i="5"/>
  <c r="N1605" i="5" s="1"/>
  <c r="M1606" i="5"/>
  <c r="M1607" i="5"/>
  <c r="Q1607" i="5" s="1"/>
  <c r="AC1607" i="5" s="1"/>
  <c r="M1608" i="5"/>
  <c r="M1609" i="5"/>
  <c r="M1610" i="5"/>
  <c r="M1611" i="5"/>
  <c r="M1613" i="5"/>
  <c r="M1614" i="5"/>
  <c r="Q1614" i="5" s="1"/>
  <c r="AC1614" i="5" s="1"/>
  <c r="M1615" i="5"/>
  <c r="M1616" i="5"/>
  <c r="N1616" i="5" s="1"/>
  <c r="M1617" i="5"/>
  <c r="N1617" i="5" s="1"/>
  <c r="M1618" i="5"/>
  <c r="M1619" i="5"/>
  <c r="M1620" i="5"/>
  <c r="Q1620" i="5" s="1"/>
  <c r="AC1620" i="5" s="1"/>
  <c r="M1621" i="5"/>
  <c r="Q1621" i="5" s="1"/>
  <c r="AC1621" i="5" s="1"/>
  <c r="M1622" i="5"/>
  <c r="M1623" i="5"/>
  <c r="Q1623" i="5" s="1"/>
  <c r="AC1623" i="5" s="1"/>
  <c r="M1624" i="5"/>
  <c r="M1625" i="5"/>
  <c r="M1626" i="5"/>
  <c r="M1628" i="5"/>
  <c r="M1629" i="5"/>
  <c r="Q1629" i="5" s="1"/>
  <c r="AC1629" i="5" s="1"/>
  <c r="M1630" i="5"/>
  <c r="Q1630" i="5" s="1"/>
  <c r="AC1630" i="5" s="1"/>
  <c r="M1631" i="5"/>
  <c r="Q1631" i="5" s="1"/>
  <c r="AC1631" i="5" s="1"/>
  <c r="M1635" i="5"/>
  <c r="Q1635" i="5" s="1"/>
  <c r="AC1635" i="5" s="1"/>
  <c r="M1636" i="5"/>
  <c r="Q1636" i="5" s="1"/>
  <c r="AC1636" i="5" s="1"/>
  <c r="M1637" i="5"/>
  <c r="Q1637" i="5" s="1"/>
  <c r="AC1637" i="5" s="1"/>
  <c r="M1638" i="5"/>
  <c r="Q1638" i="5" s="1"/>
  <c r="AC1638" i="5" s="1"/>
  <c r="M1645" i="5"/>
  <c r="Q1645" i="5" s="1"/>
  <c r="AC1645" i="5" s="1"/>
  <c r="M1646" i="5"/>
  <c r="Q1646" i="5" s="1"/>
  <c r="AC1646" i="5" s="1"/>
  <c r="M1647" i="5"/>
  <c r="M1648" i="5"/>
  <c r="M1652" i="5"/>
  <c r="Q1652" i="5" s="1"/>
  <c r="AC1652" i="5" s="1"/>
  <c r="M1653" i="5"/>
  <c r="Q1653" i="5" s="1"/>
  <c r="AC1653" i="5" s="1"/>
  <c r="M1654" i="5"/>
  <c r="Q1654" i="5" s="1"/>
  <c r="AC1654" i="5" s="1"/>
  <c r="M1655" i="5"/>
  <c r="Q1655" i="5" s="1"/>
  <c r="AC1655" i="5" s="1"/>
  <c r="M1656" i="5"/>
  <c r="Q1656" i="5" s="1"/>
  <c r="AC1656" i="5" s="1"/>
  <c r="M1662" i="5"/>
  <c r="Q1662" i="5" s="1"/>
  <c r="AC1662" i="5" s="1"/>
  <c r="M1663" i="5"/>
  <c r="Q1663" i="5" s="1"/>
  <c r="AC1663" i="5" s="1"/>
  <c r="M1664" i="5"/>
  <c r="Q1664" i="5" s="1"/>
  <c r="AC1664" i="5" s="1"/>
  <c r="M1665" i="5"/>
  <c r="Q1665" i="5" s="1"/>
  <c r="AC1665" i="5" s="1"/>
  <c r="M1668" i="5"/>
  <c r="Q1668" i="5" s="1"/>
  <c r="AC1668" i="5" s="1"/>
  <c r="M1673" i="5"/>
  <c r="Q1673" i="5" s="1"/>
  <c r="AC1673" i="5" s="1"/>
  <c r="M1674" i="5"/>
  <c r="Q1674" i="5" s="1"/>
  <c r="AC1674" i="5" s="1"/>
  <c r="Y1581" i="5"/>
  <c r="Y1630" i="5"/>
  <c r="Y1631" i="5"/>
  <c r="Y1635" i="5"/>
  <c r="Y1636" i="5"/>
  <c r="Y1637" i="5"/>
  <c r="Y1638" i="5"/>
  <c r="Y1645" i="5"/>
  <c r="Y1646" i="5"/>
  <c r="Y1647" i="5"/>
  <c r="Y1648" i="5"/>
  <c r="Y1652" i="5"/>
  <c r="Y1653" i="5"/>
  <c r="Y1654" i="5"/>
  <c r="Y1655" i="5"/>
  <c r="Y1656" i="5"/>
  <c r="Y1662" i="5"/>
  <c r="Y1663" i="5"/>
  <c r="Y1664" i="5"/>
  <c r="Y1665" i="5"/>
  <c r="Y1668" i="5"/>
  <c r="Y1673" i="5"/>
  <c r="Y1674" i="5"/>
  <c r="U1316" i="5"/>
  <c r="U1450" i="5"/>
  <c r="U1355" i="5"/>
  <c r="Y1355" i="5" s="1"/>
  <c r="M1356" i="5"/>
  <c r="Q1356" i="5" s="1"/>
  <c r="AC1356" i="5" s="1"/>
  <c r="Y1356" i="5"/>
  <c r="U1464" i="5"/>
  <c r="Y1464" i="5" s="1"/>
  <c r="U1406" i="5"/>
  <c r="U1407" i="5"/>
  <c r="Y1407" i="5" s="1"/>
  <c r="U1344" i="5"/>
  <c r="Y1344" i="5" s="1"/>
  <c r="U1365" i="5"/>
  <c r="U1366" i="5"/>
  <c r="Y1366" i="5" s="1"/>
  <c r="G1367" i="5"/>
  <c r="M1367" i="5"/>
  <c r="Q1367" i="5" s="1"/>
  <c r="AC1367" i="5" s="1"/>
  <c r="Y1367" i="5"/>
  <c r="U1334" i="5"/>
  <c r="Y1334" i="5" s="1"/>
  <c r="U1438" i="5"/>
  <c r="Y1438" i="5" s="1"/>
  <c r="J67" i="9"/>
  <c r="M1398" i="5"/>
  <c r="Y1398" i="5"/>
  <c r="U1396" i="5"/>
  <c r="U1463" i="5"/>
  <c r="Y1463" i="5" s="1"/>
  <c r="G1464" i="5"/>
  <c r="M1464" i="5"/>
  <c r="U1354" i="5"/>
  <c r="G1455" i="5"/>
  <c r="M1455" i="5"/>
  <c r="Q1455" i="5" s="1"/>
  <c r="AC1455" i="5" s="1"/>
  <c r="Y1455" i="5"/>
  <c r="G1334" i="5"/>
  <c r="M1334" i="5"/>
  <c r="AB1334" i="5" s="1"/>
  <c r="G1439" i="5"/>
  <c r="M1439" i="5"/>
  <c r="Q1439" i="5" s="1"/>
  <c r="AC1439" i="5" s="1"/>
  <c r="Y1439" i="5"/>
  <c r="U1436" i="5"/>
  <c r="U1437" i="5"/>
  <c r="G1438" i="5"/>
  <c r="M1438" i="5"/>
  <c r="U1323" i="5"/>
  <c r="G1324" i="5"/>
  <c r="M1324" i="5"/>
  <c r="AB1324" i="5" s="1"/>
  <c r="Y1324" i="5"/>
  <c r="G1366" i="5"/>
  <c r="M1366" i="5"/>
  <c r="Q1366" i="5" s="1"/>
  <c r="AC1366" i="5" s="1"/>
  <c r="G1407" i="5"/>
  <c r="M1407" i="5"/>
  <c r="G1344" i="5"/>
  <c r="M1344" i="5"/>
  <c r="Q1344" i="5" s="1"/>
  <c r="AC1344" i="5" s="1"/>
  <c r="G1345" i="5"/>
  <c r="M1345" i="5"/>
  <c r="AB1345" i="5" s="1"/>
  <c r="Y1345" i="5"/>
  <c r="U1395" i="5"/>
  <c r="G1465" i="5"/>
  <c r="M1465" i="5"/>
  <c r="Q1465" i="5" s="1"/>
  <c r="AC1465" i="5" s="1"/>
  <c r="Y1465" i="5"/>
  <c r="U1462" i="5"/>
  <c r="G1463" i="5"/>
  <c r="M1463" i="5"/>
  <c r="Q1463" i="5" s="1"/>
  <c r="AC1463" i="5" s="1"/>
  <c r="G1355" i="5"/>
  <c r="M1355" i="5"/>
  <c r="Q1355" i="5" s="1"/>
  <c r="AC1355" i="5" s="1"/>
  <c r="U1353" i="5"/>
  <c r="Q1590" i="5" l="1"/>
  <c r="AC1590" i="5" s="1"/>
  <c r="N1590" i="5"/>
  <c r="Q1581" i="5"/>
  <c r="AC1581" i="5" s="1"/>
  <c r="N1581" i="5"/>
  <c r="Q1613" i="5"/>
  <c r="AC1613" i="5" s="1"/>
  <c r="N1613" i="5"/>
  <c r="Q1611" i="5"/>
  <c r="AC1611" i="5" s="1"/>
  <c r="N1611" i="5"/>
  <c r="Q1556" i="5"/>
  <c r="AC1556" i="5" s="1"/>
  <c r="N1556" i="5"/>
  <c r="Q1610" i="5"/>
  <c r="AC1610" i="5" s="1"/>
  <c r="N1610" i="5"/>
  <c r="Q1609" i="5"/>
  <c r="AC1609" i="5" s="1"/>
  <c r="N1609" i="5"/>
  <c r="Q1554" i="5"/>
  <c r="AC1554" i="5" s="1"/>
  <c r="N1554" i="5"/>
  <c r="Q1585" i="5"/>
  <c r="AC1585" i="5" s="1"/>
  <c r="N1585" i="5"/>
  <c r="Q1606" i="5"/>
  <c r="AC1606" i="5" s="1"/>
  <c r="N1606" i="5"/>
  <c r="Q1575" i="5"/>
  <c r="AC1575" i="5" s="1"/>
  <c r="N1575" i="5"/>
  <c r="Q1574" i="5"/>
  <c r="AC1574" i="5" s="1"/>
  <c r="N1574" i="5"/>
  <c r="Q1586" i="5"/>
  <c r="AC1586" i="5" s="1"/>
  <c r="N1586" i="5"/>
  <c r="Q1553" i="5"/>
  <c r="AC1553" i="5" s="1"/>
  <c r="N1553" i="5"/>
  <c r="Q1597" i="5"/>
  <c r="AC1597" i="5" s="1"/>
  <c r="N1597" i="5"/>
  <c r="Q1566" i="5"/>
  <c r="AC1566" i="5" s="1"/>
  <c r="N1566" i="5"/>
  <c r="Q1555" i="5"/>
  <c r="AC1555" i="5" s="1"/>
  <c r="N1555" i="5"/>
  <c r="Q1608" i="5"/>
  <c r="AC1608" i="5" s="1"/>
  <c r="N1608" i="5"/>
  <c r="Q1573" i="5"/>
  <c r="AC1573" i="5" s="1"/>
  <c r="N1573" i="5"/>
  <c r="Q1572" i="5"/>
  <c r="AC1572" i="5" s="1"/>
  <c r="N1572" i="5"/>
  <c r="Q1619" i="5"/>
  <c r="AC1619" i="5" s="1"/>
  <c r="N1619" i="5"/>
  <c r="Q1596" i="5"/>
  <c r="AC1596" i="5" s="1"/>
  <c r="N1596" i="5"/>
  <c r="Q1571" i="5"/>
  <c r="AC1571" i="5" s="1"/>
  <c r="N1571" i="5"/>
  <c r="Q1565" i="5"/>
  <c r="AC1565" i="5" s="1"/>
  <c r="N1565" i="5"/>
  <c r="Q1598" i="5"/>
  <c r="AC1598" i="5" s="1"/>
  <c r="N1598" i="5"/>
  <c r="Q1615" i="5"/>
  <c r="AC1615" i="5" s="1"/>
  <c r="N1615" i="5"/>
  <c r="Q1564" i="5"/>
  <c r="AC1564" i="5" s="1"/>
  <c r="N1564" i="5"/>
  <c r="Q1563" i="5"/>
  <c r="AC1563" i="5" s="1"/>
  <c r="N1563" i="5"/>
  <c r="Q1407" i="5"/>
  <c r="AC1407" i="5" s="1"/>
  <c r="N1407" i="5"/>
  <c r="Q1464" i="5"/>
  <c r="AC1464" i="5" s="1"/>
  <c r="N1464" i="5"/>
  <c r="Q1438" i="5"/>
  <c r="AC1438" i="5" s="1"/>
  <c r="N1438" i="5"/>
  <c r="AB1630" i="5"/>
  <c r="AB1673" i="5"/>
  <c r="AB1586" i="5"/>
  <c r="AB1554" i="5"/>
  <c r="AB1451" i="5"/>
  <c r="AB1584" i="5"/>
  <c r="AB1583" i="5"/>
  <c r="AB1647" i="5"/>
  <c r="AB1569" i="5"/>
  <c r="AB1605" i="5"/>
  <c r="AB1574" i="5"/>
  <c r="AB1648" i="5"/>
  <c r="AB1595" i="5"/>
  <c r="AB1570" i="5"/>
  <c r="Q1569" i="5"/>
  <c r="AC1569" i="5" s="1"/>
  <c r="AB1604" i="5"/>
  <c r="Q1570" i="5"/>
  <c r="AC1570" i="5" s="1"/>
  <c r="Q1648" i="5"/>
  <c r="AC1648" i="5" s="1"/>
  <c r="AB1367" i="5"/>
  <c r="Q1647" i="5"/>
  <c r="AC1647" i="5" s="1"/>
  <c r="AB1356" i="5"/>
  <c r="AB1582" i="5"/>
  <c r="AB1581" i="5"/>
  <c r="AB1575" i="5"/>
  <c r="Q1626" i="5"/>
  <c r="AC1626" i="5" s="1"/>
  <c r="Q1604" i="5"/>
  <c r="AC1604" i="5" s="1"/>
  <c r="AB1553" i="5"/>
  <c r="Q1628" i="5"/>
  <c r="AC1628" i="5" s="1"/>
  <c r="AB1607" i="5"/>
  <c r="Q1605" i="5"/>
  <c r="AC1605" i="5" s="1"/>
  <c r="Q1625" i="5"/>
  <c r="AC1625" i="5" s="1"/>
  <c r="Q1595" i="5"/>
  <c r="AC1595" i="5" s="1"/>
  <c r="AB1646" i="5"/>
  <c r="AB1668" i="5"/>
  <c r="AB1606" i="5"/>
  <c r="Q1624" i="5"/>
  <c r="AC1624" i="5" s="1"/>
  <c r="Q1594" i="5"/>
  <c r="AC1594" i="5" s="1"/>
  <c r="AB1645" i="5"/>
  <c r="AB1565" i="5"/>
  <c r="AB1566" i="5"/>
  <c r="AB1665" i="5"/>
  <c r="AB1638" i="5"/>
  <c r="AB1564" i="5"/>
  <c r="Q1622" i="5"/>
  <c r="AC1622" i="5" s="1"/>
  <c r="AB1637" i="5"/>
  <c r="AB1593" i="5"/>
  <c r="Q1584" i="5"/>
  <c r="AC1584" i="5" s="1"/>
  <c r="Q1583" i="5"/>
  <c r="AC1583" i="5" s="1"/>
  <c r="AB1664" i="5"/>
  <c r="AB1636" i="5"/>
  <c r="AB1562" i="5"/>
  <c r="AB1662" i="5"/>
  <c r="AB1585" i="5"/>
  <c r="Q1593" i="5"/>
  <c r="AC1593" i="5" s="1"/>
  <c r="AB1635" i="5"/>
  <c r="AB1591" i="5"/>
  <c r="AB1556" i="5"/>
  <c r="AB1563" i="5"/>
  <c r="AB1663" i="5"/>
  <c r="AB1592" i="5"/>
  <c r="AB1656" i="5"/>
  <c r="Q1617" i="5"/>
  <c r="AC1617" i="5" s="1"/>
  <c r="Q1592" i="5"/>
  <c r="AC1592" i="5" s="1"/>
  <c r="AB1674" i="5"/>
  <c r="AB1631" i="5"/>
  <c r="AB1590" i="5"/>
  <c r="AB1555" i="5"/>
  <c r="Q1618" i="5"/>
  <c r="AC1618" i="5" s="1"/>
  <c r="AB1655" i="5"/>
  <c r="Q1616" i="5"/>
  <c r="AC1616" i="5" s="1"/>
  <c r="Q1591" i="5"/>
  <c r="AC1591" i="5" s="1"/>
  <c r="AB1653" i="5"/>
  <c r="AB1597" i="5"/>
  <c r="AB1572" i="5"/>
  <c r="AB1652" i="5"/>
  <c r="AB1596" i="5"/>
  <c r="AB1571" i="5"/>
  <c r="AB1654" i="5"/>
  <c r="AB1598" i="5"/>
  <c r="AB1573" i="5"/>
  <c r="AB1398" i="5"/>
  <c r="Q1398" i="5"/>
  <c r="AC1398" i="5" s="1"/>
  <c r="Q1334" i="5"/>
  <c r="AC1334" i="5" s="1"/>
  <c r="AB1439" i="5"/>
  <c r="Q1324" i="5"/>
  <c r="AC1324" i="5" s="1"/>
  <c r="N1463" i="5"/>
  <c r="AB1464" i="5"/>
  <c r="AB1455" i="5"/>
  <c r="AB1438" i="5"/>
  <c r="AB1366" i="5"/>
  <c r="AB1344" i="5"/>
  <c r="AB1463" i="5"/>
  <c r="Q1345" i="5"/>
  <c r="AC1345" i="5" s="1"/>
  <c r="AB1355" i="5"/>
  <c r="AB1407" i="5"/>
  <c r="AB1465" i="5"/>
  <c r="I26" i="13" l="1"/>
  <c r="I20" i="13"/>
  <c r="I15" i="13"/>
  <c r="I6" i="13"/>
  <c r="I21" i="13"/>
  <c r="I22" i="13"/>
  <c r="I14" i="13"/>
  <c r="I23" i="13"/>
  <c r="I24" i="13"/>
  <c r="I25" i="13"/>
  <c r="I18" i="13"/>
  <c r="I7" i="13"/>
  <c r="I13" i="13"/>
  <c r="I28" i="13"/>
  <c r="I9" i="13"/>
  <c r="I31" i="13"/>
  <c r="I30" i="13"/>
  <c r="I32" i="13"/>
  <c r="I11" i="13"/>
  <c r="I33" i="13"/>
  <c r="I17" i="13"/>
  <c r="J195" i="9"/>
  <c r="J276" i="9" l="1"/>
  <c r="J387" i="9"/>
  <c r="J170" i="9"/>
  <c r="J108" i="9"/>
  <c r="G1396" i="5"/>
  <c r="M1396" i="5"/>
  <c r="Q1396" i="5" s="1"/>
  <c r="AC1396" i="5" s="1"/>
  <c r="Y1396" i="5"/>
  <c r="G1397" i="5"/>
  <c r="M1397" i="5"/>
  <c r="Q1397" i="5" s="1"/>
  <c r="AC1397" i="5" s="1"/>
  <c r="Y1397" i="5"/>
  <c r="G1335" i="5"/>
  <c r="M1335" i="5"/>
  <c r="Q1335" i="5" s="1"/>
  <c r="AC1335" i="5" s="1"/>
  <c r="Y1335" i="5"/>
  <c r="G1365" i="5"/>
  <c r="M1365" i="5"/>
  <c r="Q1365" i="5" s="1"/>
  <c r="AC1365" i="5" s="1"/>
  <c r="Y1365" i="5"/>
  <c r="G1450" i="5"/>
  <c r="M1450" i="5"/>
  <c r="AB1450" i="5" s="1"/>
  <c r="Y1450" i="5"/>
  <c r="G1323" i="5"/>
  <c r="M1323" i="5"/>
  <c r="Q1323" i="5" s="1"/>
  <c r="AC1323" i="5" s="1"/>
  <c r="Y1323" i="5"/>
  <c r="G1418" i="5"/>
  <c r="M1418" i="5"/>
  <c r="Q1418" i="5" s="1"/>
  <c r="AC1418" i="5" s="1"/>
  <c r="Y1418" i="5"/>
  <c r="M1406" i="5"/>
  <c r="Y1406" i="5"/>
  <c r="G1408" i="5"/>
  <c r="M1408" i="5"/>
  <c r="Q1408" i="5" s="1"/>
  <c r="AC1408" i="5" s="1"/>
  <c r="Y1408" i="5"/>
  <c r="U1342" i="5"/>
  <c r="U1343" i="5"/>
  <c r="U1461" i="5"/>
  <c r="U1351" i="5"/>
  <c r="U1352" i="5"/>
  <c r="M1353" i="5"/>
  <c r="Q1353" i="5" s="1"/>
  <c r="AC1353" i="5" s="1"/>
  <c r="Y1353" i="5"/>
  <c r="G1354" i="5"/>
  <c r="M1354" i="5"/>
  <c r="Q1354" i="5" s="1"/>
  <c r="AC1354" i="5" s="1"/>
  <c r="Y1354" i="5"/>
  <c r="U1447" i="5"/>
  <c r="U1448" i="5"/>
  <c r="U1449" i="5"/>
  <c r="U1363" i="5"/>
  <c r="Y1363" i="5" s="1"/>
  <c r="U1364" i="5"/>
  <c r="U1435" i="5"/>
  <c r="U1331" i="5"/>
  <c r="U1332" i="5"/>
  <c r="U1333" i="5"/>
  <c r="U1446" i="5"/>
  <c r="U1362" i="5"/>
  <c r="G1363" i="5"/>
  <c r="M1363" i="5"/>
  <c r="Q1363" i="5" s="1"/>
  <c r="AC1363" i="5" s="1"/>
  <c r="U1460" i="5"/>
  <c r="U1341" i="5"/>
  <c r="G1462" i="5"/>
  <c r="M1462" i="5"/>
  <c r="Y1462" i="5"/>
  <c r="G1466" i="5"/>
  <c r="M1466" i="5"/>
  <c r="AB1466" i="5" s="1"/>
  <c r="Y1466" i="5"/>
  <c r="M1467" i="5"/>
  <c r="Y1467" i="5"/>
  <c r="G1468" i="5"/>
  <c r="M1468" i="5"/>
  <c r="Y1468" i="5"/>
  <c r="C91" i="11"/>
  <c r="C61" i="11"/>
  <c r="J407" i="9"/>
  <c r="Q1450" i="5" l="1"/>
  <c r="AC1450" i="5" s="1"/>
  <c r="N1450" i="5"/>
  <c r="AB1396" i="5"/>
  <c r="Q1468" i="5"/>
  <c r="AC1468" i="5" s="1"/>
  <c r="N1468" i="5"/>
  <c r="Q1462" i="5"/>
  <c r="AC1462" i="5" s="1"/>
  <c r="N1462" i="5"/>
  <c r="Q1467" i="5"/>
  <c r="AC1467" i="5" s="1"/>
  <c r="N1467" i="5"/>
  <c r="AB1406" i="5"/>
  <c r="N1406" i="5"/>
  <c r="Q1406" i="5"/>
  <c r="AC1406" i="5" s="1"/>
  <c r="AB1397" i="5"/>
  <c r="AB1335" i="5"/>
  <c r="AB1408" i="5"/>
  <c r="AB1365" i="5"/>
  <c r="AB1323" i="5"/>
  <c r="AB1418" i="5"/>
  <c r="AB1462" i="5"/>
  <c r="AB1353" i="5"/>
  <c r="AB1354" i="5"/>
  <c r="AB1363" i="5"/>
  <c r="AB1467" i="5"/>
  <c r="Q1466" i="5"/>
  <c r="AC1466" i="5" s="1"/>
  <c r="AB1468" i="5"/>
  <c r="U1433" i="5"/>
  <c r="U1434" i="5"/>
  <c r="M1332" i="5"/>
  <c r="Q1332" i="5" s="1"/>
  <c r="AC1332" i="5" s="1"/>
  <c r="Y1332" i="5"/>
  <c r="G1333" i="5"/>
  <c r="M1333" i="5"/>
  <c r="Q1333" i="5" s="1"/>
  <c r="AC1333" i="5" s="1"/>
  <c r="Y1333" i="5"/>
  <c r="U1330" i="5"/>
  <c r="U1424" i="5"/>
  <c r="U1425" i="5"/>
  <c r="U1426" i="5"/>
  <c r="Y1426" i="5" s="1"/>
  <c r="U1427" i="5"/>
  <c r="Y1427" i="5" s="1"/>
  <c r="G1426" i="5"/>
  <c r="M1426" i="5"/>
  <c r="G1427" i="5"/>
  <c r="M1427" i="5"/>
  <c r="Q1427" i="5" s="1"/>
  <c r="AC1427" i="5" s="1"/>
  <c r="G1374" i="5"/>
  <c r="M1374" i="5"/>
  <c r="Q1374" i="5" s="1"/>
  <c r="AC1374" i="5" s="1"/>
  <c r="Y1374" i="5"/>
  <c r="Q1426" i="5" l="1"/>
  <c r="AC1426" i="5" s="1"/>
  <c r="N1426" i="5"/>
  <c r="AB1332" i="5"/>
  <c r="AB1374" i="5"/>
  <c r="AB1427" i="5"/>
  <c r="AB1426" i="5"/>
  <c r="AB1333" i="5"/>
  <c r="J369" i="9"/>
  <c r="J308" i="9" l="1"/>
  <c r="J309" i="9"/>
  <c r="J307" i="9"/>
  <c r="J227" i="9"/>
  <c r="J91" i="9"/>
  <c r="J204" i="9"/>
  <c r="U1391" i="5"/>
  <c r="Y1391" i="5" s="1"/>
  <c r="U1392" i="5"/>
  <c r="Y1392" i="5" s="1"/>
  <c r="U1393" i="5"/>
  <c r="Y1393" i="5" s="1"/>
  <c r="U1394" i="5"/>
  <c r="Y1394" i="5" s="1"/>
  <c r="G1393" i="5"/>
  <c r="M1393" i="5"/>
  <c r="Q1393" i="5" s="1"/>
  <c r="AC1393" i="5" s="1"/>
  <c r="G1394" i="5"/>
  <c r="M1394" i="5"/>
  <c r="Q1394" i="5" s="1"/>
  <c r="AC1394" i="5" s="1"/>
  <c r="M1395" i="5"/>
  <c r="AB1395" i="5" s="1"/>
  <c r="Y1395" i="5"/>
  <c r="U1403" i="5"/>
  <c r="Y1403" i="5" s="1"/>
  <c r="U1404" i="5"/>
  <c r="Y1404" i="5" s="1"/>
  <c r="U1405" i="5"/>
  <c r="Y1405" i="5" s="1"/>
  <c r="G1404" i="5"/>
  <c r="M1404" i="5"/>
  <c r="M1405" i="5"/>
  <c r="U1361" i="5"/>
  <c r="Y1361" i="5" s="1"/>
  <c r="G1460" i="5"/>
  <c r="M1460" i="5"/>
  <c r="Y1460" i="5"/>
  <c r="G1461" i="5"/>
  <c r="M1461" i="5"/>
  <c r="Y1461" i="5"/>
  <c r="G1469" i="5"/>
  <c r="M1469" i="5"/>
  <c r="Y1469" i="5"/>
  <c r="G1434" i="5"/>
  <c r="M1434" i="5"/>
  <c r="Y1434" i="5"/>
  <c r="G1435" i="5"/>
  <c r="M1435" i="5"/>
  <c r="Y1435" i="5"/>
  <c r="G1436" i="5"/>
  <c r="M1436" i="5"/>
  <c r="Y1436" i="5"/>
  <c r="M1316" i="5"/>
  <c r="AB1316" i="5" s="1"/>
  <c r="Y1316" i="5"/>
  <c r="G1317" i="5"/>
  <c r="M1317" i="5"/>
  <c r="Q1317" i="5" s="1"/>
  <c r="AC1317" i="5" s="1"/>
  <c r="Y1317" i="5"/>
  <c r="G1446" i="5"/>
  <c r="M1446" i="5"/>
  <c r="Y1446" i="5"/>
  <c r="G1447" i="5"/>
  <c r="M1447" i="5"/>
  <c r="Y1447" i="5"/>
  <c r="G1448" i="5"/>
  <c r="M1448" i="5"/>
  <c r="Y1448" i="5"/>
  <c r="G1449" i="5"/>
  <c r="M1449" i="5"/>
  <c r="Y1449" i="5"/>
  <c r="G1361" i="5"/>
  <c r="M1361" i="5"/>
  <c r="Q1361" i="5" s="1"/>
  <c r="AC1361" i="5" s="1"/>
  <c r="G1362" i="5"/>
  <c r="M1362" i="5"/>
  <c r="Q1362" i="5" s="1"/>
  <c r="AC1362" i="5" s="1"/>
  <c r="Y1362" i="5"/>
  <c r="G1341" i="5"/>
  <c r="M1341" i="5"/>
  <c r="Q1341" i="5" s="1"/>
  <c r="AC1341" i="5" s="1"/>
  <c r="Y1341" i="5"/>
  <c r="G1342" i="5"/>
  <c r="M1342" i="5"/>
  <c r="Q1342" i="5" s="1"/>
  <c r="AC1342" i="5" s="1"/>
  <c r="Y1342" i="5"/>
  <c r="G1343" i="5"/>
  <c r="M1343" i="5"/>
  <c r="Q1343" i="5" s="1"/>
  <c r="AC1343" i="5" s="1"/>
  <c r="Y1343" i="5"/>
  <c r="U1458" i="5"/>
  <c r="Y1458" i="5" s="1"/>
  <c r="G1351" i="5"/>
  <c r="M1351" i="5"/>
  <c r="Q1351" i="5" s="1"/>
  <c r="AC1351" i="5" s="1"/>
  <c r="Y1351" i="5"/>
  <c r="G1352" i="5"/>
  <c r="M1352" i="5"/>
  <c r="AB1352" i="5" s="1"/>
  <c r="Y1352" i="5"/>
  <c r="G1433" i="5"/>
  <c r="M1433" i="5"/>
  <c r="Y1433" i="5"/>
  <c r="G1437" i="5"/>
  <c r="M1437" i="5"/>
  <c r="Y1437" i="5"/>
  <c r="G1330" i="5"/>
  <c r="M1330" i="5"/>
  <c r="Q1330" i="5" s="1"/>
  <c r="AC1330" i="5" s="1"/>
  <c r="Y1330" i="5"/>
  <c r="G1331" i="5"/>
  <c r="M1331" i="5"/>
  <c r="Q1331" i="5" s="1"/>
  <c r="AC1331" i="5" s="1"/>
  <c r="Y1331" i="5"/>
  <c r="G1424" i="5"/>
  <c r="M1424" i="5"/>
  <c r="Y1424" i="5"/>
  <c r="G1425" i="5"/>
  <c r="M1425" i="5"/>
  <c r="Y1425" i="5"/>
  <c r="M1391" i="5"/>
  <c r="Q1391" i="5" s="1"/>
  <c r="AC1391" i="5" s="1"/>
  <c r="G1392" i="5"/>
  <c r="M1392" i="5"/>
  <c r="Q1392" i="5" s="1"/>
  <c r="AC1392" i="5" s="1"/>
  <c r="M1403" i="5"/>
  <c r="G1456" i="5"/>
  <c r="M1456" i="5"/>
  <c r="Q1456" i="5" s="1"/>
  <c r="AC1456" i="5" s="1"/>
  <c r="Y1456" i="5"/>
  <c r="G1458" i="5"/>
  <c r="M1458" i="5"/>
  <c r="Q1469" i="5" l="1"/>
  <c r="AC1469" i="5" s="1"/>
  <c r="N1469" i="5"/>
  <c r="Q1437" i="5"/>
  <c r="AC1437" i="5" s="1"/>
  <c r="N1437" i="5"/>
  <c r="Q1424" i="5"/>
  <c r="AC1424" i="5" s="1"/>
  <c r="N1424" i="5"/>
  <c r="Q1403" i="5"/>
  <c r="AC1403" i="5" s="1"/>
  <c r="N1403" i="5"/>
  <c r="Q1404" i="5"/>
  <c r="AC1404" i="5" s="1"/>
  <c r="N1404" i="5"/>
  <c r="Q1425" i="5"/>
  <c r="AC1425" i="5" s="1"/>
  <c r="N1425" i="5"/>
  <c r="Q1458" i="5"/>
  <c r="AC1458" i="5" s="1"/>
  <c r="N1458" i="5"/>
  <c r="Q1461" i="5"/>
  <c r="AC1461" i="5" s="1"/>
  <c r="N1461" i="5"/>
  <c r="AB1436" i="5"/>
  <c r="N1436" i="5"/>
  <c r="AB1460" i="5"/>
  <c r="N1460" i="5"/>
  <c r="Q1435" i="5"/>
  <c r="AC1435" i="5" s="1"/>
  <c r="N1435" i="5"/>
  <c r="Q1405" i="5"/>
  <c r="AC1405" i="5" s="1"/>
  <c r="N1405" i="5"/>
  <c r="Q1449" i="5"/>
  <c r="AC1449" i="5" s="1"/>
  <c r="N1449" i="5"/>
  <c r="AB1447" i="5"/>
  <c r="N1447" i="5"/>
  <c r="AB1448" i="5"/>
  <c r="N1448" i="5"/>
  <c r="Q1446" i="5"/>
  <c r="AC1446" i="5" s="1"/>
  <c r="N1446" i="5"/>
  <c r="AB1393" i="5"/>
  <c r="Q1434" i="5"/>
  <c r="AC1434" i="5" s="1"/>
  <c r="N1434" i="5"/>
  <c r="Q1433" i="5"/>
  <c r="AC1433" i="5" s="1"/>
  <c r="N1433" i="5"/>
  <c r="AB1434" i="5"/>
  <c r="Q1395" i="5"/>
  <c r="AC1395" i="5" s="1"/>
  <c r="Q1460" i="5"/>
  <c r="AC1460" i="5" s="1"/>
  <c r="AB1394" i="5"/>
  <c r="AB1405" i="5"/>
  <c r="Q1436" i="5"/>
  <c r="AC1436" i="5" s="1"/>
  <c r="AB1404" i="5"/>
  <c r="AB1446" i="5"/>
  <c r="Q1447" i="5"/>
  <c r="AC1447" i="5" s="1"/>
  <c r="Q1316" i="5"/>
  <c r="AC1316" i="5" s="1"/>
  <c r="Q1352" i="5"/>
  <c r="AC1352" i="5" s="1"/>
  <c r="AB1461" i="5"/>
  <c r="AB1435" i="5"/>
  <c r="AB1469" i="5"/>
  <c r="AB1317" i="5"/>
  <c r="Q1448" i="5"/>
  <c r="AC1448" i="5" s="1"/>
  <c r="AB1449" i="5"/>
  <c r="AB1425" i="5"/>
  <c r="AB1342" i="5"/>
  <c r="AB1341" i="5"/>
  <c r="AB1361" i="5"/>
  <c r="AB1362" i="5"/>
  <c r="AB1437" i="5"/>
  <c r="AB1343" i="5"/>
  <c r="AB1351" i="5"/>
  <c r="AB1392" i="5"/>
  <c r="AB1424" i="5"/>
  <c r="AB1433" i="5"/>
  <c r="AB1330" i="5"/>
  <c r="AB1331" i="5"/>
  <c r="AB1403" i="5"/>
  <c r="AB1391" i="5"/>
  <c r="AB1456" i="5"/>
  <c r="AB1458" i="5"/>
  <c r="G1364" i="5"/>
  <c r="M1364" i="5"/>
  <c r="AB1364" i="5" s="1"/>
  <c r="Y1364" i="5"/>
  <c r="Q1364" i="5" l="1"/>
  <c r="AC1364" i="5" s="1"/>
  <c r="C5" i="9"/>
  <c r="C6" i="9"/>
  <c r="C7" i="9"/>
  <c r="C8" i="9"/>
  <c r="C13" i="9"/>
  <c r="U1445" i="5"/>
  <c r="Y1445" i="5" s="1"/>
  <c r="U1452" i="5"/>
  <c r="Y1452" i="5" s="1"/>
  <c r="U1453" i="5"/>
  <c r="Y1453" i="5" s="1"/>
  <c r="U1454" i="5"/>
  <c r="Y1454" i="5" s="1"/>
  <c r="U1457" i="5"/>
  <c r="Y1457" i="5" s="1"/>
  <c r="G1445" i="5"/>
  <c r="M1445" i="5"/>
  <c r="G1452" i="5"/>
  <c r="M1452" i="5"/>
  <c r="Q1452" i="5" s="1"/>
  <c r="AC1452" i="5" s="1"/>
  <c r="M1453" i="5"/>
  <c r="M1454" i="5"/>
  <c r="M1457" i="5"/>
  <c r="U1368" i="5"/>
  <c r="Y1368" i="5" s="1"/>
  <c r="U1369" i="5"/>
  <c r="Y1369" i="5" s="1"/>
  <c r="U1370" i="5"/>
  <c r="Y1370" i="5" s="1"/>
  <c r="U1371" i="5"/>
  <c r="Y1371" i="5" s="1"/>
  <c r="U1372" i="5"/>
  <c r="Y1372" i="5" s="1"/>
  <c r="M1369" i="5"/>
  <c r="Q1369" i="5" s="1"/>
  <c r="AC1369" i="5" s="1"/>
  <c r="G1368" i="5"/>
  <c r="M1368" i="5"/>
  <c r="Q1368" i="5" s="1"/>
  <c r="AC1368" i="5" s="1"/>
  <c r="G1370" i="5"/>
  <c r="M1370" i="5"/>
  <c r="AB1370" i="5" s="1"/>
  <c r="M1371" i="5"/>
  <c r="Q1371" i="5" s="1"/>
  <c r="AC1371" i="5" s="1"/>
  <c r="G1372" i="5"/>
  <c r="M1372" i="5"/>
  <c r="Q1372" i="5" s="1"/>
  <c r="AC1372" i="5" s="1"/>
  <c r="J202" i="9"/>
  <c r="J208" i="9"/>
  <c r="J209" i="9"/>
  <c r="C17" i="1"/>
  <c r="M17" i="1"/>
  <c r="G1680" i="5" s="1"/>
  <c r="Q17" i="1"/>
  <c r="R17" i="1"/>
  <c r="S17" i="1"/>
  <c r="J44" i="9"/>
  <c r="G1678" i="5" l="1"/>
  <c r="G1679" i="5"/>
  <c r="G1674" i="5"/>
  <c r="G1675" i="5"/>
  <c r="G1369" i="5"/>
  <c r="G1519" i="5"/>
  <c r="Q1454" i="5"/>
  <c r="AC1454" i="5" s="1"/>
  <c r="N1454" i="5"/>
  <c r="Q1453" i="5"/>
  <c r="AC1453" i="5" s="1"/>
  <c r="N1453" i="5"/>
  <c r="Q1457" i="5"/>
  <c r="AC1457" i="5" s="1"/>
  <c r="N1457" i="5"/>
  <c r="Q1445" i="5"/>
  <c r="AC1445" i="5" s="1"/>
  <c r="N1445" i="5"/>
  <c r="AB1369" i="5"/>
  <c r="Q1370" i="5"/>
  <c r="AC1370" i="5" s="1"/>
  <c r="G1371" i="5"/>
  <c r="AB1368" i="5"/>
  <c r="AB1452" i="5"/>
  <c r="AB1445" i="5"/>
  <c r="AB1453" i="5"/>
  <c r="AB1454" i="5"/>
  <c r="AB1457" i="5"/>
  <c r="AB1372" i="5"/>
  <c r="AB1371" i="5"/>
  <c r="T17" i="1"/>
  <c r="U17" i="1"/>
  <c r="V17" i="1" s="1"/>
  <c r="G1234" i="5"/>
  <c r="M1234" i="5"/>
  <c r="Q1234" i="5" s="1"/>
  <c r="AC1234" i="5" s="1"/>
  <c r="G1235" i="5"/>
  <c r="M1235" i="5"/>
  <c r="Q1235" i="5" s="1"/>
  <c r="AC1235" i="5" s="1"/>
  <c r="M1230" i="5"/>
  <c r="Q1230" i="5" s="1"/>
  <c r="AC1230" i="5" s="1"/>
  <c r="M1231" i="5"/>
  <c r="Q1231" i="5" s="1"/>
  <c r="AC1231" i="5" s="1"/>
  <c r="M1232" i="5"/>
  <c r="Q1232" i="5" s="1"/>
  <c r="AC1232" i="5" s="1"/>
  <c r="M1233" i="5"/>
  <c r="Q1233" i="5" s="1"/>
  <c r="AC1233" i="5" s="1"/>
  <c r="G1221" i="5"/>
  <c r="M1221" i="5"/>
  <c r="Q1221" i="5" s="1"/>
  <c r="AC1221" i="5" s="1"/>
  <c r="M1222" i="5"/>
  <c r="Q1222" i="5" s="1"/>
  <c r="AC1222" i="5" s="1"/>
  <c r="M1223" i="5"/>
  <c r="Q1223" i="5" s="1"/>
  <c r="AC1223" i="5" s="1"/>
  <c r="M1224" i="5"/>
  <c r="Q1224" i="5" s="1"/>
  <c r="AC1224" i="5" s="1"/>
  <c r="U1211" i="5"/>
  <c r="Y1211" i="5" s="1"/>
  <c r="U1212" i="5"/>
  <c r="Y1212" i="5" s="1"/>
  <c r="U1213" i="5"/>
  <c r="Y1213" i="5" s="1"/>
  <c r="U1214" i="5"/>
  <c r="Y1214" i="5" s="1"/>
  <c r="U1215" i="5"/>
  <c r="Y1215" i="5" s="1"/>
  <c r="U1216" i="5"/>
  <c r="Y1216" i="5" s="1"/>
  <c r="U1217" i="5"/>
  <c r="Y1217" i="5" s="1"/>
  <c r="G1214" i="5"/>
  <c r="M1214" i="5"/>
  <c r="Q1214" i="5" s="1"/>
  <c r="AC1214" i="5" s="1"/>
  <c r="G1215" i="5"/>
  <c r="M1215" i="5"/>
  <c r="AB1215" i="5" s="1"/>
  <c r="G1216" i="5"/>
  <c r="M1216" i="5"/>
  <c r="Q1216" i="5" s="1"/>
  <c r="AC1216" i="5" s="1"/>
  <c r="G1212" i="5"/>
  <c r="M1212" i="5"/>
  <c r="Q1212" i="5" s="1"/>
  <c r="AC1212" i="5" s="1"/>
  <c r="G1213" i="5"/>
  <c r="M1213" i="5"/>
  <c r="Q1213" i="5" s="1"/>
  <c r="AC1213" i="5" s="1"/>
  <c r="M1217" i="5"/>
  <c r="Q1217" i="5" s="1"/>
  <c r="AC1217" i="5" s="1"/>
  <c r="U1210" i="5"/>
  <c r="Y1210" i="5" s="1"/>
  <c r="G1211" i="5"/>
  <c r="M1211" i="5"/>
  <c r="Q1211" i="5" s="1"/>
  <c r="AC1211" i="5" s="1"/>
  <c r="U1209" i="5"/>
  <c r="Y1209" i="5" s="1"/>
  <c r="G1210" i="5"/>
  <c r="M1210" i="5"/>
  <c r="Q1210" i="5" s="1"/>
  <c r="AC1210" i="5" s="1"/>
  <c r="U1208" i="5"/>
  <c r="Y1208" i="5" s="1"/>
  <c r="M1209" i="5"/>
  <c r="AB1209" i="5" s="1"/>
  <c r="G1208" i="5"/>
  <c r="M1208" i="5"/>
  <c r="AB1208" i="5" s="1"/>
  <c r="J180" i="9"/>
  <c r="J181" i="9"/>
  <c r="J182" i="9"/>
  <c r="J183" i="9"/>
  <c r="J184" i="9"/>
  <c r="J179" i="9"/>
  <c r="AB1214" i="5" l="1"/>
  <c r="Q1215" i="5"/>
  <c r="AC1215" i="5" s="1"/>
  <c r="Q1208" i="5"/>
  <c r="AC1208" i="5" s="1"/>
  <c r="AB1212" i="5"/>
  <c r="AB1210" i="5"/>
  <c r="AB1216" i="5"/>
  <c r="AB1217" i="5"/>
  <c r="AB1213" i="5"/>
  <c r="AB1211" i="5"/>
  <c r="Q1209" i="5"/>
  <c r="AC1209" i="5" s="1"/>
  <c r="J259" i="9" l="1"/>
  <c r="J331" i="9"/>
  <c r="J143" i="9" l="1"/>
  <c r="U1309" i="5" l="1"/>
  <c r="U1310" i="5"/>
  <c r="U1311" i="5"/>
  <c r="U1312" i="5"/>
  <c r="U1313" i="5"/>
  <c r="U1314" i="5"/>
  <c r="U1315" i="5"/>
  <c r="U1318" i="5"/>
  <c r="U1319" i="5"/>
  <c r="U1320" i="5"/>
  <c r="U1321" i="5"/>
  <c r="U1322" i="5"/>
  <c r="U1325" i="5"/>
  <c r="U1326" i="5"/>
  <c r="U1327" i="5"/>
  <c r="U1328" i="5"/>
  <c r="U1329" i="5"/>
  <c r="U1336" i="5"/>
  <c r="U1337" i="5"/>
  <c r="U1338" i="5"/>
  <c r="U1339" i="5"/>
  <c r="U1340" i="5"/>
  <c r="U1346" i="5"/>
  <c r="U1347" i="5"/>
  <c r="U1348" i="5"/>
  <c r="U1349" i="5"/>
  <c r="U1350" i="5"/>
  <c r="U1357" i="5"/>
  <c r="U1358" i="5"/>
  <c r="U1359" i="5"/>
  <c r="U1360" i="5"/>
  <c r="U1373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9" i="5"/>
  <c r="U1400" i="5"/>
  <c r="U1401" i="5"/>
  <c r="U1402" i="5"/>
  <c r="U1409" i="5"/>
  <c r="U1410" i="5"/>
  <c r="U1411" i="5"/>
  <c r="U1412" i="5"/>
  <c r="U1413" i="5"/>
  <c r="U1414" i="5"/>
  <c r="U1415" i="5"/>
  <c r="U1416" i="5"/>
  <c r="U1417" i="5"/>
  <c r="U1419" i="5"/>
  <c r="U1420" i="5"/>
  <c r="U1421" i="5"/>
  <c r="U1422" i="5"/>
  <c r="U1423" i="5"/>
  <c r="U1428" i="5"/>
  <c r="U1429" i="5"/>
  <c r="U1430" i="5"/>
  <c r="U1431" i="5"/>
  <c r="U1432" i="5"/>
  <c r="U1440" i="5"/>
  <c r="U1441" i="5"/>
  <c r="U1442" i="5"/>
  <c r="U1443" i="5"/>
  <c r="U1444" i="5"/>
  <c r="U1459" i="5"/>
  <c r="U1470" i="5"/>
  <c r="U1471" i="5"/>
  <c r="U1472" i="5"/>
  <c r="U1473" i="5"/>
  <c r="U1474" i="5"/>
  <c r="U1475" i="5"/>
  <c r="U1476" i="5"/>
  <c r="U1477" i="5"/>
  <c r="U1478" i="5"/>
  <c r="U1479" i="5"/>
  <c r="U1482" i="5"/>
  <c r="U1483" i="5"/>
  <c r="G1306" i="5" l="1"/>
  <c r="M1306" i="5"/>
  <c r="Y1306" i="5"/>
  <c r="AA1306" i="5"/>
  <c r="AB1306" i="5" l="1"/>
  <c r="Q1306" i="5"/>
  <c r="AC1306" i="5" s="1"/>
  <c r="N1306" i="5"/>
  <c r="U1305" i="5"/>
  <c r="U1299" i="5"/>
  <c r="Y1299" i="5" s="1"/>
  <c r="G1299" i="5"/>
  <c r="M1299" i="5"/>
  <c r="Q1299" i="5" s="1"/>
  <c r="AC1299" i="5" s="1"/>
  <c r="U1266" i="5"/>
  <c r="Y1266" i="5" s="1"/>
  <c r="M1266" i="5"/>
  <c r="Q1266" i="5" s="1"/>
  <c r="AC1266" i="5" s="1"/>
  <c r="AB1299" i="5" l="1"/>
  <c r="AB1266" i="5"/>
  <c r="N1299" i="5"/>
  <c r="N1266" i="5"/>
  <c r="U1245" i="5" l="1"/>
  <c r="U1293" i="5"/>
  <c r="G1294" i="5"/>
  <c r="M1294" i="5"/>
  <c r="AB1294" i="5" s="1"/>
  <c r="Y1294" i="5"/>
  <c r="Q1294" i="5" l="1"/>
  <c r="AC1294" i="5" s="1"/>
  <c r="N1294" i="5"/>
  <c r="G1268" i="5"/>
  <c r="M1268" i="5"/>
  <c r="AB1268" i="5" s="1"/>
  <c r="Y1268" i="5"/>
  <c r="U1282" i="5"/>
  <c r="U1283" i="5"/>
  <c r="Y1283" i="5" s="1"/>
  <c r="U1203" i="5"/>
  <c r="U1181" i="5"/>
  <c r="U1172" i="5"/>
  <c r="U1291" i="5"/>
  <c r="U1292" i="5"/>
  <c r="G1293" i="5"/>
  <c r="M1293" i="5"/>
  <c r="AB1293" i="5" s="1"/>
  <c r="Y1293" i="5"/>
  <c r="G1284" i="5"/>
  <c r="M1284" i="5"/>
  <c r="AB1284" i="5" s="1"/>
  <c r="Y1284" i="5"/>
  <c r="G1283" i="5"/>
  <c r="M1283" i="5"/>
  <c r="Q1283" i="5" s="1"/>
  <c r="AC1283" i="5" s="1"/>
  <c r="U1162" i="5"/>
  <c r="U1152" i="5"/>
  <c r="Q1268" i="5" l="1"/>
  <c r="AC1268" i="5" s="1"/>
  <c r="N1268" i="5"/>
  <c r="Q1284" i="5"/>
  <c r="AC1284" i="5" s="1"/>
  <c r="N1284" i="5"/>
  <c r="Q1293" i="5"/>
  <c r="AC1293" i="5" s="1"/>
  <c r="N1293" i="5"/>
  <c r="N1283" i="5"/>
  <c r="AB1283" i="5"/>
  <c r="M1272" i="5" l="1"/>
  <c r="N1272" i="5" s="1"/>
  <c r="M1282" i="5"/>
  <c r="N1282" i="5" s="1"/>
  <c r="U1244" i="5"/>
  <c r="U1242" i="5"/>
  <c r="Y1242" i="5" s="1"/>
  <c r="G1242" i="5"/>
  <c r="M1242" i="5"/>
  <c r="AB1242" i="5" s="1"/>
  <c r="Q1242" i="5" l="1"/>
  <c r="AC1242" i="5" s="1"/>
  <c r="U1192" i="5"/>
  <c r="U1202" i="5"/>
  <c r="G1204" i="5"/>
  <c r="M1204" i="5"/>
  <c r="Q1204" i="5" s="1"/>
  <c r="AC1204" i="5" s="1"/>
  <c r="Y1204" i="5"/>
  <c r="G1205" i="5"/>
  <c r="M1205" i="5"/>
  <c r="Q1205" i="5" s="1"/>
  <c r="AC1205" i="5" s="1"/>
  <c r="Y1205" i="5"/>
  <c r="U1303" i="5"/>
  <c r="U1304" i="5"/>
  <c r="AB1204" i="5" l="1"/>
  <c r="AB1205" i="5"/>
  <c r="C103" i="11"/>
  <c r="C74" i="11"/>
  <c r="C59" i="11" l="1"/>
  <c r="C88" i="11"/>
  <c r="J274" i="9"/>
  <c r="C4" i="9" l="1"/>
  <c r="M2" i="13" l="1"/>
  <c r="U2" i="13" s="1"/>
  <c r="V2" i="13"/>
  <c r="O2" i="13"/>
  <c r="C53" i="3"/>
  <c r="C54" i="3"/>
  <c r="C55" i="3"/>
  <c r="C56" i="3"/>
  <c r="C57" i="3"/>
  <c r="C58" i="3"/>
  <c r="C59" i="3"/>
  <c r="U1280" i="5"/>
  <c r="U1281" i="5"/>
  <c r="U1161" i="5"/>
  <c r="M1162" i="5"/>
  <c r="Q1162" i="5" s="1"/>
  <c r="AC1162" i="5" s="1"/>
  <c r="Y1162" i="5"/>
  <c r="M1163" i="5"/>
  <c r="AB1163" i="5" s="1"/>
  <c r="Y1163" i="5"/>
  <c r="G1164" i="5"/>
  <c r="M1164" i="5"/>
  <c r="AB1164" i="5" s="1"/>
  <c r="Y1164" i="5"/>
  <c r="G1172" i="5"/>
  <c r="M1172" i="5"/>
  <c r="Q1172" i="5" s="1"/>
  <c r="AC1172" i="5" s="1"/>
  <c r="Y1172" i="5"/>
  <c r="M1173" i="5"/>
  <c r="Q1173" i="5" s="1"/>
  <c r="AC1173" i="5" s="1"/>
  <c r="Y1173" i="5"/>
  <c r="G1256" i="5"/>
  <c r="M1256" i="5"/>
  <c r="Y1256" i="5"/>
  <c r="G1257" i="5"/>
  <c r="M1257" i="5"/>
  <c r="AB1257" i="5" s="1"/>
  <c r="Y1257" i="5"/>
  <c r="U1180" i="5"/>
  <c r="M1182" i="5"/>
  <c r="Q1182" i="5" s="1"/>
  <c r="AC1182" i="5" s="1"/>
  <c r="Y1182" i="5"/>
  <c r="G1183" i="5"/>
  <c r="M1183" i="5"/>
  <c r="Q1183" i="5" s="1"/>
  <c r="AC1183" i="5" s="1"/>
  <c r="Y1183" i="5"/>
  <c r="J380" i="9"/>
  <c r="G1192" i="5"/>
  <c r="M1192" i="5"/>
  <c r="Q1192" i="5" s="1"/>
  <c r="AC1192" i="5" s="1"/>
  <c r="Y1192" i="5"/>
  <c r="G1193" i="5"/>
  <c r="M1193" i="5"/>
  <c r="Q1193" i="5" s="1"/>
  <c r="AC1193" i="5" s="1"/>
  <c r="Y1193" i="5"/>
  <c r="M1194" i="5"/>
  <c r="Q1194" i="5" s="1"/>
  <c r="AC1194" i="5" s="1"/>
  <c r="Y1194" i="5"/>
  <c r="M1244" i="5"/>
  <c r="Q1244" i="5" s="1"/>
  <c r="AC1244" i="5" s="1"/>
  <c r="Y1244" i="5"/>
  <c r="M1245" i="5"/>
  <c r="Q1245" i="5" s="1"/>
  <c r="AC1245" i="5" s="1"/>
  <c r="Y1245" i="5"/>
  <c r="G1282" i="5"/>
  <c r="AB1282" i="5"/>
  <c r="Y1282" i="5"/>
  <c r="U1160" i="5"/>
  <c r="G1304" i="5"/>
  <c r="M1304" i="5"/>
  <c r="Y1304" i="5"/>
  <c r="G1305" i="5"/>
  <c r="M1305" i="5"/>
  <c r="Y1305" i="5"/>
  <c r="U1201" i="5"/>
  <c r="G1202" i="5"/>
  <c r="M1202" i="5"/>
  <c r="Q1202" i="5" s="1"/>
  <c r="AC1202" i="5" s="1"/>
  <c r="Y1202" i="5"/>
  <c r="G1203" i="5"/>
  <c r="M1203" i="5"/>
  <c r="AB1203" i="5" s="1"/>
  <c r="Y1203" i="5"/>
  <c r="M1291" i="5"/>
  <c r="Q1291" i="5" s="1"/>
  <c r="AC1291" i="5" s="1"/>
  <c r="Y1291" i="5"/>
  <c r="M1153" i="5"/>
  <c r="Q1153" i="5" s="1"/>
  <c r="AC1153" i="5" s="1"/>
  <c r="Y1153" i="5"/>
  <c r="Q1203" i="5" l="1"/>
  <c r="AC1203" i="5" s="1"/>
  <c r="AB1173" i="5"/>
  <c r="AB1256" i="5"/>
  <c r="N1256" i="5"/>
  <c r="AB1305" i="5"/>
  <c r="N1305" i="5"/>
  <c r="Q1305" i="5"/>
  <c r="AC1305" i="5" s="1"/>
  <c r="Q1164" i="5"/>
  <c r="AC1164" i="5" s="1"/>
  <c r="Q1304" i="5"/>
  <c r="AC1304" i="5" s="1"/>
  <c r="N1304" i="5"/>
  <c r="Q1256" i="5"/>
  <c r="AC1256" i="5" s="1"/>
  <c r="Q1163" i="5"/>
  <c r="AC1163" i="5" s="1"/>
  <c r="AB1162" i="5"/>
  <c r="AB1172" i="5"/>
  <c r="Q1257" i="5"/>
  <c r="AC1257" i="5" s="1"/>
  <c r="AB1182" i="5"/>
  <c r="AB1183" i="5"/>
  <c r="N1291" i="5"/>
  <c r="AB1245" i="5"/>
  <c r="AB1192" i="5"/>
  <c r="AB1194" i="5"/>
  <c r="AB1193" i="5"/>
  <c r="AB1244" i="5"/>
  <c r="AB1304" i="5"/>
  <c r="Q1282" i="5"/>
  <c r="AC1282" i="5" s="1"/>
  <c r="AB1291" i="5"/>
  <c r="AB1202" i="5"/>
  <c r="AB1153" i="5"/>
  <c r="M1152" i="5"/>
  <c r="Q1152" i="5" s="1"/>
  <c r="AC1152" i="5" s="1"/>
  <c r="Y1152" i="5"/>
  <c r="M1280" i="5"/>
  <c r="Y1280" i="5"/>
  <c r="G1281" i="5"/>
  <c r="M1281" i="5"/>
  <c r="N1281" i="5" s="1"/>
  <c r="Y1281" i="5"/>
  <c r="U1159" i="5"/>
  <c r="G1161" i="5"/>
  <c r="M1161" i="5"/>
  <c r="Q1161" i="5" s="1"/>
  <c r="AC1161" i="5" s="1"/>
  <c r="Y1161" i="5"/>
  <c r="J104" i="9"/>
  <c r="Q1280" i="5" l="1"/>
  <c r="AC1280" i="5" s="1"/>
  <c r="N1280" i="5"/>
  <c r="AB1152" i="5"/>
  <c r="AB1280" i="5"/>
  <c r="AB1281" i="5"/>
  <c r="Q1281" i="5"/>
  <c r="AC1281" i="5" s="1"/>
  <c r="AB1161" i="5"/>
  <c r="U1289" i="5" l="1"/>
  <c r="Y1289" i="5" s="1"/>
  <c r="G1289" i="5"/>
  <c r="M1289" i="5"/>
  <c r="Q1289" i="5" s="1"/>
  <c r="AC1289" i="5" s="1"/>
  <c r="AB1289" i="5" l="1"/>
  <c r="U1070" i="5"/>
  <c r="U1198" i="5"/>
  <c r="Y1198" i="5" s="1"/>
  <c r="G1198" i="5"/>
  <c r="M1198" i="5"/>
  <c r="AB1198" i="5" l="1"/>
  <c r="Q1198" i="5"/>
  <c r="AC1198" i="5" s="1"/>
  <c r="U1169" i="5"/>
  <c r="Y1169" i="5" s="1"/>
  <c r="U1170" i="5"/>
  <c r="Y1170" i="5" s="1"/>
  <c r="U1171" i="5"/>
  <c r="Y1171" i="5" s="1"/>
  <c r="M1292" i="5"/>
  <c r="N1292" i="5" s="1"/>
  <c r="Q1292" i="5"/>
  <c r="AC1292" i="5" s="1"/>
  <c r="Y1292" i="5"/>
  <c r="G1170" i="5"/>
  <c r="M1170" i="5"/>
  <c r="AB1170" i="5" s="1"/>
  <c r="G1171" i="5"/>
  <c r="M1171" i="5"/>
  <c r="AB1171" i="5" s="1"/>
  <c r="U1276" i="5"/>
  <c r="Y1276" i="5" s="1"/>
  <c r="U1297" i="5"/>
  <c r="Y1297" i="5" s="1"/>
  <c r="G1276" i="5"/>
  <c r="M1276" i="5"/>
  <c r="N1276" i="5" s="1"/>
  <c r="G1297" i="5"/>
  <c r="M1297" i="5"/>
  <c r="U1240" i="5"/>
  <c r="Y1240" i="5" s="1"/>
  <c r="G1240" i="5"/>
  <c r="M1240" i="5"/>
  <c r="Q1240" i="5" s="1"/>
  <c r="AC1240" i="5" s="1"/>
  <c r="U1262" i="5"/>
  <c r="U1263" i="5"/>
  <c r="U1264" i="5"/>
  <c r="U1265" i="5"/>
  <c r="Y1265" i="5" s="1"/>
  <c r="U1267" i="5"/>
  <c r="Y1267" i="5" s="1"/>
  <c r="U1269" i="5"/>
  <c r="G1265" i="5"/>
  <c r="M1265" i="5"/>
  <c r="G1267" i="5"/>
  <c r="M1267" i="5"/>
  <c r="U1189" i="5"/>
  <c r="Y1189" i="5" s="1"/>
  <c r="U1190" i="5"/>
  <c r="Y1190" i="5" s="1"/>
  <c r="U1191" i="5"/>
  <c r="Y1191" i="5" s="1"/>
  <c r="M1190" i="5"/>
  <c r="Q1190" i="5" s="1"/>
  <c r="AC1190" i="5" s="1"/>
  <c r="U1251" i="5"/>
  <c r="U1252" i="5"/>
  <c r="M1253" i="5"/>
  <c r="G1254" i="5"/>
  <c r="M1254" i="5"/>
  <c r="M1255" i="5"/>
  <c r="M1180" i="5"/>
  <c r="Q1180" i="5" s="1"/>
  <c r="AC1180" i="5" s="1"/>
  <c r="Y1180" i="5"/>
  <c r="M1181" i="5"/>
  <c r="Q1181" i="5" s="1"/>
  <c r="AC1181" i="5" s="1"/>
  <c r="Y1181" i="5"/>
  <c r="G1303" i="5"/>
  <c r="M1303" i="5"/>
  <c r="Y1303" i="5"/>
  <c r="M1201" i="5"/>
  <c r="Q1201" i="5" s="1"/>
  <c r="AC1201" i="5" s="1"/>
  <c r="Y1201" i="5"/>
  <c r="M1160" i="5"/>
  <c r="Q1160" i="5" s="1"/>
  <c r="AC1160" i="5" s="1"/>
  <c r="Y1160" i="5"/>
  <c r="M1159" i="5"/>
  <c r="Q1159" i="5" s="1"/>
  <c r="AC1159" i="5" s="1"/>
  <c r="Y1159" i="5"/>
  <c r="M1169" i="5"/>
  <c r="Q1169" i="5" s="1"/>
  <c r="AC1169" i="5" s="1"/>
  <c r="M1189" i="5"/>
  <c r="Q1189" i="5" s="1"/>
  <c r="AC1189" i="5" s="1"/>
  <c r="G1191" i="5"/>
  <c r="M1191" i="5"/>
  <c r="Q1191" i="5" s="1"/>
  <c r="AC1191" i="5" s="1"/>
  <c r="Q1267" i="5" l="1"/>
  <c r="AC1267" i="5" s="1"/>
  <c r="N1267" i="5"/>
  <c r="Q1255" i="5"/>
  <c r="AC1255" i="5" s="1"/>
  <c r="N1255" i="5"/>
  <c r="Q1254" i="5"/>
  <c r="AC1254" i="5" s="1"/>
  <c r="N1254" i="5"/>
  <c r="Q1265" i="5"/>
  <c r="AC1265" i="5" s="1"/>
  <c r="N1265" i="5"/>
  <c r="AB1303" i="5"/>
  <c r="N1303" i="5"/>
  <c r="AB1181" i="5"/>
  <c r="AB1276" i="5"/>
  <c r="Q1276" i="5"/>
  <c r="AC1276" i="5" s="1"/>
  <c r="Q1253" i="5"/>
  <c r="AC1253" i="5" s="1"/>
  <c r="N1253" i="5"/>
  <c r="Q1170" i="5"/>
  <c r="AC1170" i="5" s="1"/>
  <c r="AB1292" i="5"/>
  <c r="AB1297" i="5"/>
  <c r="N1297" i="5"/>
  <c r="Q1297" i="5"/>
  <c r="AC1297" i="5" s="1"/>
  <c r="Q1171" i="5"/>
  <c r="AC1171" i="5" s="1"/>
  <c r="AB1180" i="5"/>
  <c r="Q1303" i="5"/>
  <c r="AC1303" i="5" s="1"/>
  <c r="AB1240" i="5"/>
  <c r="AB1265" i="5"/>
  <c r="AB1267" i="5"/>
  <c r="AB1159" i="5"/>
  <c r="AB1190" i="5"/>
  <c r="AB1201" i="5"/>
  <c r="AB1160" i="5"/>
  <c r="AB1169" i="5"/>
  <c r="AB1189" i="5"/>
  <c r="AB1191" i="5"/>
  <c r="U1250" i="5"/>
  <c r="G1252" i="5"/>
  <c r="M1252" i="5"/>
  <c r="Y1252" i="5"/>
  <c r="Q1252" i="5" l="1"/>
  <c r="AC1252" i="5" s="1"/>
  <c r="N1252" i="5"/>
  <c r="AB1252" i="5"/>
  <c r="C73" i="11" l="1"/>
  <c r="C72" i="11"/>
  <c r="C71" i="11"/>
  <c r="C70" i="11"/>
  <c r="C69" i="11"/>
  <c r="C68" i="11"/>
  <c r="C67" i="11"/>
  <c r="C66" i="11"/>
  <c r="C65" i="11"/>
  <c r="C64" i="11"/>
  <c r="C62" i="11"/>
  <c r="C60" i="11"/>
  <c r="C58" i="11"/>
  <c r="C57" i="11"/>
  <c r="C56" i="11"/>
  <c r="C55" i="11"/>
  <c r="C54" i="11"/>
  <c r="C53" i="11"/>
  <c r="C52" i="11"/>
  <c r="C51" i="11"/>
  <c r="C50" i="11"/>
  <c r="C51" i="3"/>
  <c r="C52" i="3"/>
  <c r="G1062" i="5"/>
  <c r="M1062" i="5"/>
  <c r="Q1062" i="5" s="1"/>
  <c r="AC1062" i="5" s="1"/>
  <c r="Y1062" i="5"/>
  <c r="AA1062" i="5"/>
  <c r="AB1062" i="5" l="1"/>
  <c r="M1263" i="5"/>
  <c r="Y1263" i="5"/>
  <c r="M1264" i="5"/>
  <c r="Y1264" i="5"/>
  <c r="G1262" i="5"/>
  <c r="M1262" i="5"/>
  <c r="Y1262" i="5"/>
  <c r="M1250" i="5"/>
  <c r="Y1250" i="5"/>
  <c r="M1251" i="5"/>
  <c r="Y1251" i="5"/>
  <c r="C49" i="3"/>
  <c r="C50" i="3"/>
  <c r="U1165" i="5"/>
  <c r="U1166" i="5"/>
  <c r="U1167" i="5"/>
  <c r="U1168" i="5"/>
  <c r="U1174" i="5"/>
  <c r="U1175" i="5"/>
  <c r="U1176" i="5"/>
  <c r="U1177" i="5"/>
  <c r="U1178" i="5"/>
  <c r="U1179" i="5"/>
  <c r="U1184" i="5"/>
  <c r="U1185" i="5"/>
  <c r="U1186" i="5"/>
  <c r="U1187" i="5"/>
  <c r="U1188" i="5"/>
  <c r="U1195" i="5"/>
  <c r="U1196" i="5"/>
  <c r="U1197" i="5"/>
  <c r="U1199" i="5"/>
  <c r="U1200" i="5"/>
  <c r="U1206" i="5"/>
  <c r="U1207" i="5"/>
  <c r="U1218" i="5"/>
  <c r="U1219" i="5"/>
  <c r="U1220" i="5"/>
  <c r="U1225" i="5"/>
  <c r="U1226" i="5"/>
  <c r="U1227" i="5"/>
  <c r="U1228" i="5"/>
  <c r="U1229" i="5"/>
  <c r="U1236" i="5"/>
  <c r="Y1236" i="5" s="1"/>
  <c r="U1237" i="5"/>
  <c r="Y1237" i="5" s="1"/>
  <c r="U1238" i="5"/>
  <c r="Y1238" i="5" s="1"/>
  <c r="U1239" i="5"/>
  <c r="Y1239" i="5" s="1"/>
  <c r="U1241" i="5"/>
  <c r="Y1241" i="5" s="1"/>
  <c r="U1243" i="5"/>
  <c r="U1246" i="5"/>
  <c r="U1247" i="5"/>
  <c r="U1248" i="5"/>
  <c r="U1249" i="5"/>
  <c r="U1258" i="5"/>
  <c r="U1259" i="5"/>
  <c r="U1260" i="5"/>
  <c r="U1261" i="5"/>
  <c r="U1270" i="5"/>
  <c r="U1271" i="5"/>
  <c r="U1272" i="5"/>
  <c r="U1273" i="5"/>
  <c r="U1274" i="5"/>
  <c r="U1275" i="5"/>
  <c r="U1277" i="5"/>
  <c r="U1278" i="5"/>
  <c r="U1279" i="5"/>
  <c r="U1285" i="5"/>
  <c r="U1286" i="5"/>
  <c r="U1287" i="5"/>
  <c r="Y1287" i="5" s="1"/>
  <c r="U1288" i="5"/>
  <c r="Y1288" i="5" s="1"/>
  <c r="U1290" i="5"/>
  <c r="Y1290" i="5" s="1"/>
  <c r="U1295" i="5"/>
  <c r="Y1295" i="5" s="1"/>
  <c r="U1296" i="5"/>
  <c r="Y1296" i="5" s="1"/>
  <c r="U1298" i="5"/>
  <c r="Y1298" i="5" s="1"/>
  <c r="U1300" i="5"/>
  <c r="Y1300" i="5" s="1"/>
  <c r="U1301" i="5"/>
  <c r="Y1301" i="5" s="1"/>
  <c r="U1302" i="5"/>
  <c r="Y1302" i="5" s="1"/>
  <c r="U1307" i="5"/>
  <c r="Y1307" i="5" s="1"/>
  <c r="U1308" i="5"/>
  <c r="Y1308" i="5" s="1"/>
  <c r="U1147" i="5"/>
  <c r="U1149" i="5"/>
  <c r="U1150" i="5"/>
  <c r="U1151" i="5"/>
  <c r="U1154" i="5"/>
  <c r="U1155" i="5"/>
  <c r="U1156" i="5"/>
  <c r="U1157" i="5"/>
  <c r="U1158" i="5"/>
  <c r="M1238" i="5"/>
  <c r="Q1238" i="5" s="1"/>
  <c r="AC1238" i="5" s="1"/>
  <c r="M1239" i="5"/>
  <c r="AB1239" i="5" s="1"/>
  <c r="M1236" i="5"/>
  <c r="Q1236" i="5" s="1"/>
  <c r="AC1236" i="5" s="1"/>
  <c r="G1237" i="5"/>
  <c r="M1237" i="5"/>
  <c r="Q1237" i="5" s="1"/>
  <c r="AC1237" i="5" s="1"/>
  <c r="G1241" i="5"/>
  <c r="M1241" i="5"/>
  <c r="Q1241" i="5" s="1"/>
  <c r="AC1241" i="5" s="1"/>
  <c r="G1288" i="5"/>
  <c r="G1290" i="5"/>
  <c r="G1295" i="5"/>
  <c r="G1307" i="5"/>
  <c r="G1311" i="5"/>
  <c r="G1312" i="5"/>
  <c r="G1314" i="5"/>
  <c r="G1315" i="5"/>
  <c r="G1318" i="5"/>
  <c r="G1322" i="5"/>
  <c r="G1325" i="5"/>
  <c r="G1327" i="5"/>
  <c r="G1329" i="5"/>
  <c r="G1336" i="5"/>
  <c r="G1338" i="5"/>
  <c r="G1340" i="5"/>
  <c r="G1346" i="5"/>
  <c r="G1348" i="5"/>
  <c r="G1350" i="5"/>
  <c r="G1357" i="5"/>
  <c r="G1359" i="5"/>
  <c r="G1360" i="5"/>
  <c r="G1373" i="5"/>
  <c r="G1375" i="5"/>
  <c r="G1378" i="5"/>
  <c r="G1379" i="5"/>
  <c r="G1381" i="5"/>
  <c r="G1382" i="5"/>
  <c r="G1383" i="5"/>
  <c r="G1385" i="5"/>
  <c r="G1386" i="5"/>
  <c r="G1387" i="5"/>
  <c r="G1390" i="5"/>
  <c r="G1399" i="5"/>
  <c r="G1402" i="5"/>
  <c r="G1409" i="5"/>
  <c r="G1412" i="5"/>
  <c r="G1413" i="5"/>
  <c r="G1415" i="5"/>
  <c r="G1417" i="5"/>
  <c r="G1419" i="5"/>
  <c r="G1421" i="5"/>
  <c r="G1422" i="5"/>
  <c r="G1423" i="5"/>
  <c r="G1428" i="5"/>
  <c r="G1430" i="5"/>
  <c r="G1431" i="5"/>
  <c r="G1432" i="5"/>
  <c r="G1440" i="5"/>
  <c r="G1443" i="5"/>
  <c r="G1444" i="5"/>
  <c r="G1459" i="5"/>
  <c r="G1470" i="5"/>
  <c r="G1471" i="5"/>
  <c r="G1474" i="5"/>
  <c r="G1475" i="5"/>
  <c r="G1477" i="5"/>
  <c r="G1479" i="5"/>
  <c r="G1482" i="5"/>
  <c r="G1484" i="5"/>
  <c r="G1485" i="5"/>
  <c r="G1487" i="5"/>
  <c r="G1493" i="5"/>
  <c r="G1503" i="5"/>
  <c r="G1505" i="5"/>
  <c r="G1506" i="5"/>
  <c r="G1507" i="5"/>
  <c r="G1513" i="5"/>
  <c r="G1514" i="5"/>
  <c r="G1515" i="5"/>
  <c r="G1516" i="5"/>
  <c r="G1520" i="5"/>
  <c r="G1522" i="5"/>
  <c r="G1523" i="5"/>
  <c r="G1530" i="5"/>
  <c r="G1533" i="5"/>
  <c r="G1534" i="5"/>
  <c r="G1537" i="5"/>
  <c r="G1538" i="5"/>
  <c r="G1542" i="5"/>
  <c r="G1544" i="5"/>
  <c r="G1545" i="5"/>
  <c r="G1546" i="5"/>
  <c r="G1552" i="5"/>
  <c r="M1287" i="5"/>
  <c r="Q1287" i="5" s="1"/>
  <c r="AC1287" i="5" s="1"/>
  <c r="M1288" i="5"/>
  <c r="Q1288" i="5" s="1"/>
  <c r="AC1288" i="5" s="1"/>
  <c r="M1290" i="5"/>
  <c r="Q1290" i="5" s="1"/>
  <c r="AC1290" i="5" s="1"/>
  <c r="M1295" i="5"/>
  <c r="Q1295" i="5" s="1"/>
  <c r="AC1295" i="5" s="1"/>
  <c r="M1296" i="5"/>
  <c r="M1298" i="5"/>
  <c r="N1298" i="5" s="1"/>
  <c r="M1300" i="5"/>
  <c r="M1301" i="5"/>
  <c r="M1302" i="5"/>
  <c r="N1302" i="5" s="1"/>
  <c r="M1307" i="5"/>
  <c r="M1308" i="5"/>
  <c r="N1308" i="5" s="1"/>
  <c r="M1309" i="5"/>
  <c r="M1310" i="5"/>
  <c r="N1310" i="5" s="1"/>
  <c r="M1311" i="5"/>
  <c r="Q1311" i="5" s="1"/>
  <c r="AC1311" i="5" s="1"/>
  <c r="M1312" i="5"/>
  <c r="Q1312" i="5" s="1"/>
  <c r="AC1312" i="5" s="1"/>
  <c r="M1313" i="5"/>
  <c r="M1314" i="5"/>
  <c r="Q1314" i="5" s="1"/>
  <c r="AC1314" i="5" s="1"/>
  <c r="M1315" i="5"/>
  <c r="Q1315" i="5" s="1"/>
  <c r="AC1315" i="5" s="1"/>
  <c r="M1318" i="5"/>
  <c r="Q1318" i="5" s="1"/>
  <c r="AC1318" i="5" s="1"/>
  <c r="M1319" i="5"/>
  <c r="Q1319" i="5" s="1"/>
  <c r="AC1319" i="5" s="1"/>
  <c r="M1320" i="5"/>
  <c r="Q1320" i="5" s="1"/>
  <c r="AC1320" i="5" s="1"/>
  <c r="M1321" i="5"/>
  <c r="Q1321" i="5" s="1"/>
  <c r="AC1321" i="5" s="1"/>
  <c r="M1322" i="5"/>
  <c r="Q1322" i="5" s="1"/>
  <c r="AC1322" i="5" s="1"/>
  <c r="M1325" i="5"/>
  <c r="M1326" i="5"/>
  <c r="M1327" i="5"/>
  <c r="Q1327" i="5" s="1"/>
  <c r="AC1327" i="5" s="1"/>
  <c r="M1328" i="5"/>
  <c r="Q1328" i="5" s="1"/>
  <c r="AC1328" i="5" s="1"/>
  <c r="M1329" i="5"/>
  <c r="Q1329" i="5" s="1"/>
  <c r="AC1329" i="5" s="1"/>
  <c r="M1336" i="5"/>
  <c r="Q1336" i="5" s="1"/>
  <c r="AC1336" i="5" s="1"/>
  <c r="M1337" i="5"/>
  <c r="M1338" i="5"/>
  <c r="Q1338" i="5" s="1"/>
  <c r="AC1338" i="5" s="1"/>
  <c r="M1339" i="5"/>
  <c r="M1340" i="5"/>
  <c r="M1346" i="5"/>
  <c r="Q1346" i="5" s="1"/>
  <c r="AC1346" i="5" s="1"/>
  <c r="M1347" i="5"/>
  <c r="Q1347" i="5" s="1"/>
  <c r="AC1347" i="5" s="1"/>
  <c r="M1348" i="5"/>
  <c r="Q1348" i="5" s="1"/>
  <c r="AC1348" i="5" s="1"/>
  <c r="M1349" i="5"/>
  <c r="Q1349" i="5" s="1"/>
  <c r="AC1349" i="5" s="1"/>
  <c r="M1350" i="5"/>
  <c r="Q1350" i="5" s="1"/>
  <c r="AC1350" i="5" s="1"/>
  <c r="M1357" i="5"/>
  <c r="Q1357" i="5" s="1"/>
  <c r="AC1357" i="5" s="1"/>
  <c r="M1358" i="5"/>
  <c r="M1359" i="5"/>
  <c r="Q1359" i="5" s="1"/>
  <c r="AC1359" i="5" s="1"/>
  <c r="M1360" i="5"/>
  <c r="Q1360" i="5" s="1"/>
  <c r="AC1360" i="5" s="1"/>
  <c r="M1373" i="5"/>
  <c r="Q1373" i="5" s="1"/>
  <c r="AC1373" i="5" s="1"/>
  <c r="M1375" i="5"/>
  <c r="M1376" i="5"/>
  <c r="M1377" i="5"/>
  <c r="M1378" i="5"/>
  <c r="Q1378" i="5" s="1"/>
  <c r="AC1378" i="5" s="1"/>
  <c r="M1379" i="5"/>
  <c r="Q1379" i="5" s="1"/>
  <c r="AC1379" i="5" s="1"/>
  <c r="M1380" i="5"/>
  <c r="M1381" i="5"/>
  <c r="M1382" i="5"/>
  <c r="Q1382" i="5" s="1"/>
  <c r="AC1382" i="5" s="1"/>
  <c r="M1383" i="5"/>
  <c r="M1384" i="5"/>
  <c r="M1385" i="5"/>
  <c r="Q1385" i="5" s="1"/>
  <c r="AC1385" i="5" s="1"/>
  <c r="M1386" i="5"/>
  <c r="Q1386" i="5" s="1"/>
  <c r="AC1386" i="5" s="1"/>
  <c r="M1387" i="5"/>
  <c r="Q1387" i="5" s="1"/>
  <c r="AC1387" i="5" s="1"/>
  <c r="M1388" i="5"/>
  <c r="Q1388" i="5" s="1"/>
  <c r="AC1388" i="5" s="1"/>
  <c r="M1389" i="5"/>
  <c r="Q1389" i="5" s="1"/>
  <c r="AC1389" i="5" s="1"/>
  <c r="M1390" i="5"/>
  <c r="Q1390" i="5" s="1"/>
  <c r="AC1390" i="5" s="1"/>
  <c r="M1399" i="5"/>
  <c r="Q1399" i="5" s="1"/>
  <c r="AC1399" i="5" s="1"/>
  <c r="M1400" i="5"/>
  <c r="M1401" i="5"/>
  <c r="M1402" i="5"/>
  <c r="M1409" i="5"/>
  <c r="Q1409" i="5" s="1"/>
  <c r="AC1409" i="5" s="1"/>
  <c r="M1410" i="5"/>
  <c r="N1410" i="5" s="1"/>
  <c r="M1411" i="5"/>
  <c r="M1412" i="5"/>
  <c r="Q1412" i="5" s="1"/>
  <c r="AC1412" i="5" s="1"/>
  <c r="M1413" i="5"/>
  <c r="Q1413" i="5" s="1"/>
  <c r="AC1413" i="5" s="1"/>
  <c r="M1414" i="5"/>
  <c r="M1415" i="5"/>
  <c r="M1416" i="5"/>
  <c r="M1417" i="5"/>
  <c r="M1419" i="5"/>
  <c r="Q1419" i="5" s="1"/>
  <c r="AC1419" i="5" s="1"/>
  <c r="M1420" i="5"/>
  <c r="M1421" i="5"/>
  <c r="M1422" i="5"/>
  <c r="M1423" i="5"/>
  <c r="M1428" i="5"/>
  <c r="Q1428" i="5" s="1"/>
  <c r="AC1428" i="5" s="1"/>
  <c r="M1429" i="5"/>
  <c r="N1429" i="5" s="1"/>
  <c r="M1430" i="5"/>
  <c r="M1431" i="5"/>
  <c r="M1432" i="5"/>
  <c r="M1440" i="5"/>
  <c r="M1441" i="5"/>
  <c r="M1442" i="5"/>
  <c r="M1443" i="5"/>
  <c r="M1444" i="5"/>
  <c r="M1459" i="5"/>
  <c r="N1459" i="5" s="1"/>
  <c r="M1470" i="5"/>
  <c r="Q1470" i="5" s="1"/>
  <c r="AC1470" i="5" s="1"/>
  <c r="M1471" i="5"/>
  <c r="Q1471" i="5" s="1"/>
  <c r="AC1471" i="5" s="1"/>
  <c r="M1472" i="5"/>
  <c r="M1473" i="5"/>
  <c r="Q1473" i="5" s="1"/>
  <c r="AC1473" i="5" s="1"/>
  <c r="M1474" i="5"/>
  <c r="Q1474" i="5" s="1"/>
  <c r="AC1474" i="5" s="1"/>
  <c r="M1475" i="5"/>
  <c r="M1476" i="5"/>
  <c r="Q1476" i="5" s="1"/>
  <c r="AC1476" i="5" s="1"/>
  <c r="M1477" i="5"/>
  <c r="Q1477" i="5" s="1"/>
  <c r="AC1477" i="5" s="1"/>
  <c r="M1478" i="5"/>
  <c r="Q1478" i="5" s="1"/>
  <c r="AC1478" i="5" s="1"/>
  <c r="M1479" i="5"/>
  <c r="Q1479" i="5" s="1"/>
  <c r="AC1479" i="5" s="1"/>
  <c r="M1482" i="5"/>
  <c r="Q1482" i="5" s="1"/>
  <c r="AC1482" i="5" s="1"/>
  <c r="M1483" i="5"/>
  <c r="Q1483" i="5" s="1"/>
  <c r="AC1483" i="5" s="1"/>
  <c r="M1484" i="5"/>
  <c r="Q1484" i="5" s="1"/>
  <c r="AC1484" i="5" s="1"/>
  <c r="M1485" i="5"/>
  <c r="M1486" i="5"/>
  <c r="M1487" i="5"/>
  <c r="M1493" i="5"/>
  <c r="Q1493" i="5" s="1"/>
  <c r="AC1493" i="5" s="1"/>
  <c r="M1494" i="5"/>
  <c r="Q1494" i="5" s="1"/>
  <c r="AC1494" i="5" s="1"/>
  <c r="M1495" i="5"/>
  <c r="Q1495" i="5" s="1"/>
  <c r="AC1495" i="5" s="1"/>
  <c r="M1496" i="5"/>
  <c r="Q1496" i="5" s="1"/>
  <c r="AC1496" i="5" s="1"/>
  <c r="M1503" i="5"/>
  <c r="Q1503" i="5" s="1"/>
  <c r="AC1503" i="5" s="1"/>
  <c r="M1504" i="5"/>
  <c r="Q1504" i="5" s="1"/>
  <c r="AC1504" i="5" s="1"/>
  <c r="M1505" i="5"/>
  <c r="Q1505" i="5" s="1"/>
  <c r="AC1505" i="5" s="1"/>
  <c r="M1506" i="5"/>
  <c r="Q1506" i="5" s="1"/>
  <c r="AC1506" i="5" s="1"/>
  <c r="M1507" i="5"/>
  <c r="Q1507" i="5" s="1"/>
  <c r="AC1507" i="5" s="1"/>
  <c r="M1513" i="5"/>
  <c r="Q1513" i="5" s="1"/>
  <c r="AC1513" i="5" s="1"/>
  <c r="M1514" i="5"/>
  <c r="Q1514" i="5" s="1"/>
  <c r="AC1514" i="5" s="1"/>
  <c r="M1515" i="5"/>
  <c r="Q1515" i="5" s="1"/>
  <c r="AC1515" i="5" s="1"/>
  <c r="M1516" i="5"/>
  <c r="Q1516" i="5" s="1"/>
  <c r="AC1516" i="5" s="1"/>
  <c r="M1520" i="5"/>
  <c r="Q1520" i="5" s="1"/>
  <c r="AC1520" i="5" s="1"/>
  <c r="M1521" i="5"/>
  <c r="Q1521" i="5" s="1"/>
  <c r="AC1521" i="5" s="1"/>
  <c r="M1522" i="5"/>
  <c r="Q1522" i="5" s="1"/>
  <c r="AC1522" i="5" s="1"/>
  <c r="M1523" i="5"/>
  <c r="Q1523" i="5" s="1"/>
  <c r="AC1523" i="5" s="1"/>
  <c r="M1524" i="5"/>
  <c r="M1530" i="5"/>
  <c r="Q1530" i="5" s="1"/>
  <c r="AC1530" i="5" s="1"/>
  <c r="M1531" i="5"/>
  <c r="Q1531" i="5" s="1"/>
  <c r="AC1531" i="5" s="1"/>
  <c r="M1532" i="5"/>
  <c r="M1533" i="5"/>
  <c r="Q1533" i="5" s="1"/>
  <c r="AC1533" i="5" s="1"/>
  <c r="M1534" i="5"/>
  <c r="M1535" i="5"/>
  <c r="Q1535" i="5" s="1"/>
  <c r="AC1535" i="5" s="1"/>
  <c r="M1536" i="5"/>
  <c r="Q1536" i="5" s="1"/>
  <c r="AC1536" i="5" s="1"/>
  <c r="M1537" i="5"/>
  <c r="Q1537" i="5" s="1"/>
  <c r="AC1537" i="5" s="1"/>
  <c r="M1538" i="5"/>
  <c r="Q1538" i="5" s="1"/>
  <c r="AC1538" i="5" s="1"/>
  <c r="M1539" i="5"/>
  <c r="Q1539" i="5" s="1"/>
  <c r="AC1539" i="5" s="1"/>
  <c r="M1540" i="5"/>
  <c r="Q1540" i="5" s="1"/>
  <c r="AC1540" i="5" s="1"/>
  <c r="M1541" i="5"/>
  <c r="Q1541" i="5" s="1"/>
  <c r="AC1541" i="5" s="1"/>
  <c r="M1542" i="5"/>
  <c r="M1543" i="5"/>
  <c r="M1544" i="5"/>
  <c r="M1545" i="5"/>
  <c r="Q1545" i="5" s="1"/>
  <c r="AC1545" i="5" s="1"/>
  <c r="M1546" i="5"/>
  <c r="Q1546" i="5" s="1"/>
  <c r="AC1546" i="5" s="1"/>
  <c r="M1552" i="5"/>
  <c r="Q1552" i="5" s="1"/>
  <c r="AC1552" i="5" s="1"/>
  <c r="Y1309" i="5"/>
  <c r="Y1310" i="5"/>
  <c r="Y1311" i="5"/>
  <c r="Y1312" i="5"/>
  <c r="Y1313" i="5"/>
  <c r="Y1314" i="5"/>
  <c r="Y1315" i="5"/>
  <c r="Y1318" i="5"/>
  <c r="Y1319" i="5"/>
  <c r="Y1320" i="5"/>
  <c r="Y1321" i="5"/>
  <c r="Y1322" i="5"/>
  <c r="Y1325" i="5"/>
  <c r="Y1326" i="5"/>
  <c r="Y1327" i="5"/>
  <c r="Y1328" i="5"/>
  <c r="Y1329" i="5"/>
  <c r="Y1336" i="5"/>
  <c r="Y1337" i="5"/>
  <c r="Y1338" i="5"/>
  <c r="Y1339" i="5"/>
  <c r="Y1340" i="5"/>
  <c r="Y1346" i="5"/>
  <c r="Y1347" i="5"/>
  <c r="Y1348" i="5"/>
  <c r="Y1349" i="5"/>
  <c r="Y1350" i="5"/>
  <c r="Y1357" i="5"/>
  <c r="Y1358" i="5"/>
  <c r="Y1359" i="5"/>
  <c r="Y1360" i="5"/>
  <c r="Y1373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9" i="5"/>
  <c r="Y1400" i="5"/>
  <c r="Y1401" i="5"/>
  <c r="Y1402" i="5"/>
  <c r="Y1409" i="5"/>
  <c r="Y1410" i="5"/>
  <c r="Y1411" i="5"/>
  <c r="Y1412" i="5"/>
  <c r="Y1413" i="5"/>
  <c r="Y1414" i="5"/>
  <c r="Y1415" i="5"/>
  <c r="Y1416" i="5"/>
  <c r="Y1417" i="5"/>
  <c r="Y1419" i="5"/>
  <c r="Y1420" i="5"/>
  <c r="Y1421" i="5"/>
  <c r="Y1422" i="5"/>
  <c r="Y1423" i="5"/>
  <c r="Y1428" i="5"/>
  <c r="Y1429" i="5"/>
  <c r="Y1430" i="5"/>
  <c r="Y1431" i="5"/>
  <c r="Y1432" i="5"/>
  <c r="Y1440" i="5"/>
  <c r="Y1441" i="5"/>
  <c r="Y1442" i="5"/>
  <c r="Y1443" i="5"/>
  <c r="Y1444" i="5"/>
  <c r="Y1459" i="5"/>
  <c r="Y1470" i="5"/>
  <c r="Y1471" i="5"/>
  <c r="Y1472" i="5"/>
  <c r="Y1473" i="5"/>
  <c r="Y1474" i="5"/>
  <c r="Y1475" i="5"/>
  <c r="Y1476" i="5"/>
  <c r="Y1477" i="5"/>
  <c r="Y1478" i="5"/>
  <c r="Y1479" i="5"/>
  <c r="Y1482" i="5"/>
  <c r="Y1483" i="5"/>
  <c r="Y1523" i="5"/>
  <c r="Y1524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52" i="5"/>
  <c r="U1001" i="5"/>
  <c r="Y1001" i="5" s="1"/>
  <c r="G1001" i="5"/>
  <c r="M1001" i="5"/>
  <c r="Q1001" i="5" s="1"/>
  <c r="AC1001" i="5" s="1"/>
  <c r="U1000" i="5"/>
  <c r="Y1000" i="5" s="1"/>
  <c r="G1000" i="5"/>
  <c r="M1000" i="5"/>
  <c r="Q1000" i="5" s="1"/>
  <c r="AC1000" i="5" s="1"/>
  <c r="Q1417" i="5" l="1"/>
  <c r="AC1417" i="5" s="1"/>
  <c r="N1417" i="5"/>
  <c r="Q1402" i="5"/>
  <c r="AC1402" i="5" s="1"/>
  <c r="N1402" i="5"/>
  <c r="Q1401" i="5"/>
  <c r="AC1401" i="5" s="1"/>
  <c r="N1401" i="5"/>
  <c r="Q1400" i="5"/>
  <c r="AC1400" i="5" s="1"/>
  <c r="N1400" i="5"/>
  <c r="Q1423" i="5"/>
  <c r="AC1423" i="5" s="1"/>
  <c r="N1423" i="5"/>
  <c r="Q1415" i="5"/>
  <c r="AC1415" i="5" s="1"/>
  <c r="N1415" i="5"/>
  <c r="Q1421" i="5"/>
  <c r="AC1421" i="5" s="1"/>
  <c r="N1421" i="5"/>
  <c r="Q1416" i="5"/>
  <c r="AC1416" i="5" s="1"/>
  <c r="N1416" i="5"/>
  <c r="Q1414" i="5"/>
  <c r="AC1414" i="5" s="1"/>
  <c r="N1414" i="5"/>
  <c r="Q1422" i="5"/>
  <c r="AC1422" i="5" s="1"/>
  <c r="N1422" i="5"/>
  <c r="Q1443" i="5"/>
  <c r="AC1443" i="5" s="1"/>
  <c r="N1443" i="5"/>
  <c r="Q1442" i="5"/>
  <c r="AC1442" i="5" s="1"/>
  <c r="N1442" i="5"/>
  <c r="Q1444" i="5"/>
  <c r="AC1444" i="5" s="1"/>
  <c r="N1444" i="5"/>
  <c r="Q1441" i="5"/>
  <c r="AC1441" i="5" s="1"/>
  <c r="N1441" i="5"/>
  <c r="Q1432" i="5"/>
  <c r="AC1432" i="5" s="1"/>
  <c r="N1432" i="5"/>
  <c r="Q1430" i="5"/>
  <c r="AC1430" i="5" s="1"/>
  <c r="N1430" i="5"/>
  <c r="Q1431" i="5"/>
  <c r="AC1431" i="5" s="1"/>
  <c r="N1431" i="5"/>
  <c r="Q1420" i="5"/>
  <c r="AC1420" i="5" s="1"/>
  <c r="N1420" i="5"/>
  <c r="Q1309" i="5"/>
  <c r="AC1309" i="5" s="1"/>
  <c r="N1309" i="5"/>
  <c r="AB1264" i="5"/>
  <c r="N1264" i="5"/>
  <c r="Q1301" i="5"/>
  <c r="AC1301" i="5" s="1"/>
  <c r="N1301" i="5"/>
  <c r="Q1250" i="5"/>
  <c r="AC1250" i="5" s="1"/>
  <c r="N1250" i="5"/>
  <c r="Q1262" i="5"/>
  <c r="AC1262" i="5" s="1"/>
  <c r="N1262" i="5"/>
  <c r="Q1300" i="5"/>
  <c r="AC1300" i="5" s="1"/>
  <c r="N1300" i="5"/>
  <c r="Q1251" i="5"/>
  <c r="AC1251" i="5" s="1"/>
  <c r="N1251" i="5"/>
  <c r="Q1296" i="5"/>
  <c r="AC1296" i="5" s="1"/>
  <c r="N1296" i="5"/>
  <c r="Q1263" i="5"/>
  <c r="AC1263" i="5" s="1"/>
  <c r="N1263" i="5"/>
  <c r="AB1263" i="5"/>
  <c r="Q1264" i="5"/>
  <c r="AC1264" i="5" s="1"/>
  <c r="AB1250" i="5"/>
  <c r="Q1239" i="5"/>
  <c r="AC1239" i="5" s="1"/>
  <c r="AB1262" i="5"/>
  <c r="AB1251" i="5"/>
  <c r="AB1389" i="5"/>
  <c r="AB1388" i="5"/>
  <c r="AB1290" i="5"/>
  <c r="AB1238" i="5"/>
  <c r="AB1237" i="5"/>
  <c r="AB1236" i="5"/>
  <c r="AB1296" i="5"/>
  <c r="AB1295" i="5"/>
  <c r="AB1478" i="5"/>
  <c r="AB1544" i="5"/>
  <c r="AB1411" i="5"/>
  <c r="AB1377" i="5"/>
  <c r="AB1298" i="5"/>
  <c r="AB1477" i="5"/>
  <c r="AB1543" i="5"/>
  <c r="AB1524" i="5"/>
  <c r="AB1410" i="5"/>
  <c r="AB1376" i="5"/>
  <c r="AB1326" i="5"/>
  <c r="AB1476" i="5"/>
  <c r="AB1542" i="5"/>
  <c r="AB1440" i="5"/>
  <c r="AB1375" i="5"/>
  <c r="AB1325" i="5"/>
  <c r="AB1422" i="5"/>
  <c r="AB1432" i="5"/>
  <c r="AB1241" i="5"/>
  <c r="AB1390" i="5"/>
  <c r="AB1545" i="5"/>
  <c r="Q1410" i="5"/>
  <c r="AC1410" i="5" s="1"/>
  <c r="AB1530" i="5"/>
  <c r="Q1542" i="5"/>
  <c r="AC1542" i="5" s="1"/>
  <c r="Q1376" i="5"/>
  <c r="AC1376" i="5" s="1"/>
  <c r="AB1546" i="5"/>
  <c r="AB1301" i="5"/>
  <c r="Q1544" i="5"/>
  <c r="AC1544" i="5" s="1"/>
  <c r="AB1378" i="5"/>
  <c r="AB1523" i="5"/>
  <c r="Q1375" i="5"/>
  <c r="AC1375" i="5" s="1"/>
  <c r="AB1428" i="5"/>
  <c r="AB1315" i="5"/>
  <c r="AB1357" i="5"/>
  <c r="Q1487" i="5"/>
  <c r="AC1487" i="5" s="1"/>
  <c r="AB1531" i="5"/>
  <c r="AB1329" i="5"/>
  <c r="AB1300" i="5"/>
  <c r="Q1543" i="5"/>
  <c r="AC1543" i="5" s="1"/>
  <c r="AB1409" i="5"/>
  <c r="Q1411" i="5"/>
  <c r="AC1411" i="5" s="1"/>
  <c r="AB1350" i="5"/>
  <c r="Q1486" i="5"/>
  <c r="AC1486" i="5" s="1"/>
  <c r="Q1298" i="5"/>
  <c r="AC1298" i="5" s="1"/>
  <c r="AB1444" i="5"/>
  <c r="AB1328" i="5"/>
  <c r="AB1539" i="5"/>
  <c r="AB1318" i="5"/>
  <c r="AB1349" i="5"/>
  <c r="Q1485" i="5"/>
  <c r="AC1485" i="5" s="1"/>
  <c r="AB1379" i="5"/>
  <c r="AB1412" i="5"/>
  <c r="AB1402" i="5"/>
  <c r="AB1373" i="5"/>
  <c r="AB1314" i="5"/>
  <c r="AB1443" i="5"/>
  <c r="Q1377" i="5"/>
  <c r="AC1377" i="5" s="1"/>
  <c r="AB1423" i="5"/>
  <c r="Q1440" i="5"/>
  <c r="AC1440" i="5" s="1"/>
  <c r="AB1534" i="5"/>
  <c r="AB1417" i="5"/>
  <c r="AB1310" i="5"/>
  <c r="AB1472" i="5"/>
  <c r="AB1339" i="5"/>
  <c r="AB1381" i="5"/>
  <c r="AB1337" i="5"/>
  <c r="AB1552" i="5"/>
  <c r="AB1459" i="5"/>
  <c r="AB1413" i="5"/>
  <c r="AB1442" i="5"/>
  <c r="Q1472" i="5"/>
  <c r="AC1472" i="5" s="1"/>
  <c r="Q1326" i="5"/>
  <c r="AC1326" i="5" s="1"/>
  <c r="AB1307" i="5"/>
  <c r="AB1302" i="5"/>
  <c r="Q1459" i="5"/>
  <c r="AC1459" i="5" s="1"/>
  <c r="Q1310" i="5"/>
  <c r="AC1310" i="5" s="1"/>
  <c r="AB1429" i="5"/>
  <c r="AB1358" i="5"/>
  <c r="AB1538" i="5"/>
  <c r="AB1322" i="5"/>
  <c r="Q1381" i="5"/>
  <c r="AC1381" i="5" s="1"/>
  <c r="AB1383" i="5"/>
  <c r="AB1471" i="5"/>
  <c r="AB1382" i="5"/>
  <c r="AB1308" i="5"/>
  <c r="AB1532" i="5"/>
  <c r="AB1327" i="5"/>
  <c r="Q1308" i="5"/>
  <c r="AC1308" i="5" s="1"/>
  <c r="AB1473" i="5"/>
  <c r="AB1340" i="5"/>
  <c r="AB1470" i="5"/>
  <c r="AB1380" i="5"/>
  <c r="Q1325" i="5"/>
  <c r="AC1325" i="5" s="1"/>
  <c r="Q1307" i="5"/>
  <c r="AC1307" i="5" s="1"/>
  <c r="AB1384" i="5"/>
  <c r="AB1416" i="5"/>
  <c r="AB1309" i="5"/>
  <c r="Q1340" i="5"/>
  <c r="AC1340" i="5" s="1"/>
  <c r="AB1415" i="5"/>
  <c r="AB1338" i="5"/>
  <c r="Q1339" i="5"/>
  <c r="AC1339" i="5" s="1"/>
  <c r="AB1533" i="5"/>
  <c r="AB1414" i="5"/>
  <c r="AB1336" i="5"/>
  <c r="Q1337" i="5"/>
  <c r="AC1337" i="5" s="1"/>
  <c r="Q1534" i="5"/>
  <c r="AC1534" i="5" s="1"/>
  <c r="AB1441" i="5"/>
  <c r="Q1532" i="5"/>
  <c r="AC1532" i="5" s="1"/>
  <c r="Q1384" i="5"/>
  <c r="AC1384" i="5" s="1"/>
  <c r="Q1383" i="5"/>
  <c r="AC1383" i="5" s="1"/>
  <c r="Q1524" i="5"/>
  <c r="AC1524" i="5" s="1"/>
  <c r="Q1380" i="5"/>
  <c r="AC1380" i="5" s="1"/>
  <c r="Q1302" i="5"/>
  <c r="AC1302" i="5" s="1"/>
  <c r="AB1475" i="5"/>
  <c r="AB1313" i="5"/>
  <c r="AB1483" i="5"/>
  <c r="AB1431" i="5"/>
  <c r="AB1401" i="5"/>
  <c r="AB1360" i="5"/>
  <c r="AB1321" i="5"/>
  <c r="AB1288" i="5"/>
  <c r="AB1541" i="5"/>
  <c r="AB1482" i="5"/>
  <c r="AB1430" i="5"/>
  <c r="AB1400" i="5"/>
  <c r="AB1359" i="5"/>
  <c r="AB1320" i="5"/>
  <c r="AB1287" i="5"/>
  <c r="AB1479" i="5"/>
  <c r="AB1399" i="5"/>
  <c r="AB1319" i="5"/>
  <c r="AB1537" i="5"/>
  <c r="AB1387" i="5"/>
  <c r="AB1536" i="5"/>
  <c r="AB1420" i="5"/>
  <c r="AB1386" i="5"/>
  <c r="AB1347" i="5"/>
  <c r="AB1312" i="5"/>
  <c r="AB1540" i="5"/>
  <c r="AB1348" i="5"/>
  <c r="AB1421" i="5"/>
  <c r="Q1429" i="5"/>
  <c r="AC1429" i="5" s="1"/>
  <c r="AB1346" i="5"/>
  <c r="Q1358" i="5"/>
  <c r="AC1358" i="5" s="1"/>
  <c r="Q1475" i="5"/>
  <c r="AC1475" i="5" s="1"/>
  <c r="Q1313" i="5"/>
  <c r="AC1313" i="5" s="1"/>
  <c r="AB1474" i="5"/>
  <c r="AB1535" i="5"/>
  <c r="AB1419" i="5"/>
  <c r="AB1385" i="5"/>
  <c r="AB1311" i="5"/>
  <c r="AB1001" i="5"/>
  <c r="AB1000" i="5"/>
  <c r="U1015" i="5" l="1"/>
  <c r="Y1015" i="5" s="1"/>
  <c r="U1037" i="5"/>
  <c r="U1038" i="5"/>
  <c r="U1028" i="5"/>
  <c r="U1122" i="5"/>
  <c r="Y1122" i="5" s="1"/>
  <c r="U1123" i="5"/>
  <c r="Y1123" i="5" s="1"/>
  <c r="U1081" i="5"/>
  <c r="G1082" i="5"/>
  <c r="M1082" i="5"/>
  <c r="Q1082" i="5" s="1"/>
  <c r="AC1082" i="5" s="1"/>
  <c r="Y1082" i="5"/>
  <c r="U1146" i="5"/>
  <c r="U1027" i="5"/>
  <c r="G1088" i="5"/>
  <c r="M1088" i="5"/>
  <c r="Q1088" i="5" s="1"/>
  <c r="AC1088" i="5" s="1"/>
  <c r="Y1088" i="5"/>
  <c r="AA1088" i="5"/>
  <c r="U1061" i="5"/>
  <c r="Y1061" i="5" s="1"/>
  <c r="G1039" i="5"/>
  <c r="M1039" i="5"/>
  <c r="Q1039" i="5" s="1"/>
  <c r="AC1039" i="5" s="1"/>
  <c r="Y1039" i="5"/>
  <c r="U1104" i="5"/>
  <c r="U1105" i="5"/>
  <c r="U1095" i="5"/>
  <c r="U1096" i="5"/>
  <c r="J89" i="9"/>
  <c r="M1133" i="5"/>
  <c r="Y1133" i="5"/>
  <c r="U1026" i="5"/>
  <c r="U1145" i="5"/>
  <c r="U1013" i="5"/>
  <c r="M1015" i="5"/>
  <c r="Q1015" i="5" s="1"/>
  <c r="AC1015" i="5" s="1"/>
  <c r="G1016" i="5"/>
  <c r="M1016" i="5"/>
  <c r="Q1016" i="5" s="1"/>
  <c r="AC1016" i="5" s="1"/>
  <c r="Y1016" i="5"/>
  <c r="U1094" i="5"/>
  <c r="G1122" i="5"/>
  <c r="M1122" i="5"/>
  <c r="M1123" i="5"/>
  <c r="J194" i="9"/>
  <c r="J191" i="9"/>
  <c r="M1061" i="5"/>
  <c r="Q1061" i="5" s="1"/>
  <c r="AC1061" i="5" s="1"/>
  <c r="AB1039" i="5" l="1"/>
  <c r="Q1122" i="5"/>
  <c r="AC1122" i="5" s="1"/>
  <c r="N1122" i="5"/>
  <c r="Q1133" i="5"/>
  <c r="AC1133" i="5" s="1"/>
  <c r="N1133" i="5"/>
  <c r="Q1123" i="5"/>
  <c r="AC1123" i="5" s="1"/>
  <c r="N1123" i="5"/>
  <c r="AB1088" i="5"/>
  <c r="AB1133" i="5"/>
  <c r="AB1082" i="5"/>
  <c r="AB1123" i="5"/>
  <c r="AB1015" i="5"/>
  <c r="AB1016" i="5"/>
  <c r="AB1061" i="5"/>
  <c r="AB1122" i="5"/>
  <c r="M1070" i="5"/>
  <c r="Q1070" i="5" s="1"/>
  <c r="AC1070" i="5" s="1"/>
  <c r="Y1070" i="5"/>
  <c r="U1080" i="5"/>
  <c r="J242" i="9"/>
  <c r="J243" i="9"/>
  <c r="AB1070" i="5" l="1"/>
  <c r="U512" i="5"/>
  <c r="M1095" i="5"/>
  <c r="Y1095" i="5"/>
  <c r="M1096" i="5"/>
  <c r="Y1096" i="5"/>
  <c r="U1144" i="5"/>
  <c r="G1146" i="5"/>
  <c r="M1146" i="5"/>
  <c r="Y1146" i="5"/>
  <c r="M1147" i="5"/>
  <c r="Y1147" i="5"/>
  <c r="U1025" i="5"/>
  <c r="U1058" i="5"/>
  <c r="U1059" i="5"/>
  <c r="U1060" i="5"/>
  <c r="U1131" i="5"/>
  <c r="Y1131" i="5" s="1"/>
  <c r="U1132" i="5"/>
  <c r="Y1132" i="5" s="1"/>
  <c r="U1130" i="5"/>
  <c r="M1132" i="5"/>
  <c r="Q1132" i="5" s="1"/>
  <c r="AC1132" i="5" s="1"/>
  <c r="M1131" i="5"/>
  <c r="M1013" i="5"/>
  <c r="Q1013" i="5" s="1"/>
  <c r="AC1013" i="5" s="1"/>
  <c r="Y1013" i="5"/>
  <c r="G1094" i="5"/>
  <c r="M1094" i="5"/>
  <c r="Y1094" i="5"/>
  <c r="G1097" i="5"/>
  <c r="M1097" i="5"/>
  <c r="Q1097" i="5" s="1"/>
  <c r="AC1097" i="5" s="1"/>
  <c r="Y1097" i="5"/>
  <c r="U1103" i="5"/>
  <c r="G1037" i="5"/>
  <c r="M1037" i="5"/>
  <c r="Q1037" i="5" s="1"/>
  <c r="AC1037" i="5" s="1"/>
  <c r="Y1037" i="5"/>
  <c r="M1038" i="5"/>
  <c r="Q1038" i="5" s="1"/>
  <c r="AC1038" i="5" s="1"/>
  <c r="Y1038" i="5"/>
  <c r="U1046" i="5"/>
  <c r="U1047" i="5"/>
  <c r="U1048" i="5"/>
  <c r="U1049" i="5"/>
  <c r="U1143" i="5"/>
  <c r="Q1147" i="5" l="1"/>
  <c r="AC1147" i="5" s="1"/>
  <c r="N1147" i="5"/>
  <c r="Q1094" i="5"/>
  <c r="AC1094" i="5" s="1"/>
  <c r="N1094" i="5"/>
  <c r="Q1146" i="5"/>
  <c r="AC1146" i="5" s="1"/>
  <c r="N1146" i="5"/>
  <c r="AB1096" i="5"/>
  <c r="N1096" i="5"/>
  <c r="AB1132" i="5"/>
  <c r="N1132" i="5"/>
  <c r="Q1095" i="5"/>
  <c r="AC1095" i="5" s="1"/>
  <c r="N1095" i="5"/>
  <c r="Q1096" i="5"/>
  <c r="AC1096" i="5" s="1"/>
  <c r="Q1131" i="5"/>
  <c r="AC1131" i="5" s="1"/>
  <c r="N1131" i="5"/>
  <c r="AB1131" i="5"/>
  <c r="AB1095" i="5"/>
  <c r="AB1146" i="5"/>
  <c r="AB1037" i="5"/>
  <c r="AB1147" i="5"/>
  <c r="AB1094" i="5"/>
  <c r="AB1013" i="5"/>
  <c r="AB1097" i="5"/>
  <c r="AB1038" i="5"/>
  <c r="M1144" i="5" l="1"/>
  <c r="AB1144" i="5" s="1"/>
  <c r="Y1144" i="5"/>
  <c r="M1145" i="5"/>
  <c r="Y1145" i="5"/>
  <c r="U1129" i="5"/>
  <c r="G1130" i="5"/>
  <c r="M1130" i="5"/>
  <c r="AB1130" i="5" s="1"/>
  <c r="Y1130" i="5"/>
  <c r="U1079" i="5"/>
  <c r="U1128" i="5"/>
  <c r="U1057" i="5"/>
  <c r="M1059" i="5"/>
  <c r="AB1059" i="5" s="1"/>
  <c r="Y1059" i="5"/>
  <c r="M1060" i="5"/>
  <c r="Q1060" i="5" s="1"/>
  <c r="AC1060" i="5" s="1"/>
  <c r="Y1060" i="5"/>
  <c r="Q1145" i="5" l="1"/>
  <c r="AC1145" i="5" s="1"/>
  <c r="N1145" i="5"/>
  <c r="Q1144" i="5"/>
  <c r="AC1144" i="5" s="1"/>
  <c r="N1144" i="5"/>
  <c r="Q1130" i="5"/>
  <c r="AC1130" i="5" s="1"/>
  <c r="N1130" i="5"/>
  <c r="Q1059" i="5"/>
  <c r="AC1059" i="5" s="1"/>
  <c r="AB1145" i="5"/>
  <c r="AB1060" i="5"/>
  <c r="J152" i="9" l="1"/>
  <c r="J141" i="9"/>
  <c r="J140" i="9"/>
  <c r="J103" i="9"/>
  <c r="J86" i="9"/>
  <c r="J21" i="9"/>
  <c r="J427" i="9"/>
  <c r="J381" i="9"/>
  <c r="J367" i="9"/>
  <c r="J260" i="9"/>
  <c r="J142" i="9"/>
  <c r="J131" i="9"/>
  <c r="J64" i="9"/>
  <c r="J42" i="9"/>
  <c r="J8" i="9"/>
  <c r="J7" i="9"/>
  <c r="J41" i="9"/>
  <c r="J40" i="9"/>
  <c r="J63" i="9"/>
  <c r="J62" i="9"/>
  <c r="J129" i="9"/>
  <c r="J128" i="9"/>
  <c r="U958" i="5" l="1"/>
  <c r="Y958" i="5" s="1"/>
  <c r="G958" i="5"/>
  <c r="M958" i="5"/>
  <c r="AB958" i="5" s="1"/>
  <c r="U784" i="5"/>
  <c r="Y784" i="5" s="1"/>
  <c r="C46" i="3"/>
  <c r="C47" i="3"/>
  <c r="C48" i="3"/>
  <c r="G784" i="5"/>
  <c r="M784" i="5"/>
  <c r="Q784" i="5" s="1"/>
  <c r="AC784" i="5" s="1"/>
  <c r="J329" i="9"/>
  <c r="J267" i="9"/>
  <c r="J269" i="9"/>
  <c r="J168" i="9"/>
  <c r="J169" i="9"/>
  <c r="J175" i="9"/>
  <c r="J167" i="9"/>
  <c r="J327" i="9"/>
  <c r="Q958" i="5" l="1"/>
  <c r="AC958" i="5" s="1"/>
  <c r="AB784" i="5"/>
  <c r="U515" i="5"/>
  <c r="Y515" i="5" s="1"/>
  <c r="M515" i="5"/>
  <c r="Q515" i="5" s="1"/>
  <c r="AC515" i="5" s="1"/>
  <c r="AB515" i="5" l="1"/>
  <c r="J226" i="9" l="1"/>
  <c r="U1102" i="5"/>
  <c r="M1104" i="5"/>
  <c r="Q1104" i="5" s="1"/>
  <c r="AC1104" i="5" s="1"/>
  <c r="Y1104" i="5"/>
  <c r="G1105" i="5"/>
  <c r="M1105" i="5"/>
  <c r="Y1105" i="5"/>
  <c r="G1025" i="5"/>
  <c r="M1025" i="5"/>
  <c r="Q1025" i="5" s="1"/>
  <c r="AC1025" i="5" s="1"/>
  <c r="Y1025" i="5"/>
  <c r="M1026" i="5"/>
  <c r="Q1026" i="5" s="1"/>
  <c r="AC1026" i="5" s="1"/>
  <c r="Y1026" i="5"/>
  <c r="M1027" i="5"/>
  <c r="AB1027" i="5" s="1"/>
  <c r="Y1027" i="5"/>
  <c r="G1028" i="5"/>
  <c r="M1028" i="5"/>
  <c r="Q1028" i="5" s="1"/>
  <c r="AC1028" i="5" s="1"/>
  <c r="Y1028" i="5"/>
  <c r="U1118" i="5"/>
  <c r="U1045" i="5"/>
  <c r="M1047" i="5"/>
  <c r="Q1047" i="5" s="1"/>
  <c r="AC1047" i="5" s="1"/>
  <c r="Y1047" i="5"/>
  <c r="M1048" i="5"/>
  <c r="Q1048" i="5" s="1"/>
  <c r="AC1048" i="5" s="1"/>
  <c r="Y1048" i="5"/>
  <c r="M1049" i="5"/>
  <c r="Q1049" i="5" s="1"/>
  <c r="AC1049" i="5" s="1"/>
  <c r="Y1049" i="5"/>
  <c r="AB1104" i="5" l="1"/>
  <c r="N1104" i="5"/>
  <c r="AB1026" i="5"/>
  <c r="AB1105" i="5"/>
  <c r="N1105" i="5"/>
  <c r="Q1105" i="5"/>
  <c r="AC1105" i="5" s="1"/>
  <c r="AB1049" i="5"/>
  <c r="Q1027" i="5"/>
  <c r="AC1027" i="5" s="1"/>
  <c r="AB1025" i="5"/>
  <c r="AB1047" i="5"/>
  <c r="AB1048" i="5"/>
  <c r="AB1028" i="5"/>
  <c r="U1117" i="5" l="1"/>
  <c r="M1119" i="5"/>
  <c r="M1120" i="5"/>
  <c r="M1121" i="5"/>
  <c r="U1044" i="5"/>
  <c r="Y1044" i="5" s="1"/>
  <c r="U1056" i="5"/>
  <c r="M1058" i="5"/>
  <c r="Q1058" i="5" s="1"/>
  <c r="AC1058" i="5" s="1"/>
  <c r="Y1058" i="5"/>
  <c r="M1080" i="5"/>
  <c r="Q1080" i="5" s="1"/>
  <c r="AC1080" i="5" s="1"/>
  <c r="Y1080" i="5"/>
  <c r="M1081" i="5"/>
  <c r="Q1081" i="5" s="1"/>
  <c r="AC1081" i="5" s="1"/>
  <c r="Y1081" i="5"/>
  <c r="U1108" i="5"/>
  <c r="U1109" i="5"/>
  <c r="Y1109" i="5" s="1"/>
  <c r="U1110" i="5"/>
  <c r="Y1110" i="5" s="1"/>
  <c r="U1111" i="5"/>
  <c r="Y1111" i="5" s="1"/>
  <c r="M1109" i="5"/>
  <c r="M1110" i="5"/>
  <c r="M1111" i="5"/>
  <c r="G1128" i="5"/>
  <c r="M1128" i="5"/>
  <c r="Y1128" i="5"/>
  <c r="M1129" i="5"/>
  <c r="Y1129" i="5"/>
  <c r="M1044" i="5"/>
  <c r="Q1044" i="5" s="1"/>
  <c r="AC1044" i="5" s="1"/>
  <c r="M1045" i="5"/>
  <c r="AB1045" i="5" s="1"/>
  <c r="Y1045" i="5"/>
  <c r="M1046" i="5"/>
  <c r="Q1046" i="5" s="1"/>
  <c r="AC1046" i="5" s="1"/>
  <c r="Y1046" i="5"/>
  <c r="M1003" i="5"/>
  <c r="Q1003" i="5" s="1"/>
  <c r="AC1003" i="5" s="1"/>
  <c r="Y1003" i="5"/>
  <c r="U1055" i="5"/>
  <c r="M1143" i="5"/>
  <c r="Y1143" i="5"/>
  <c r="U1007" i="5"/>
  <c r="G1009" i="5"/>
  <c r="M1009" i="5"/>
  <c r="AB1009" i="5" s="1"/>
  <c r="Y1009" i="5"/>
  <c r="U1032" i="5"/>
  <c r="U1033" i="5"/>
  <c r="U1034" i="5"/>
  <c r="Y1034" i="5" s="1"/>
  <c r="U1035" i="5"/>
  <c r="Y1035" i="5" s="1"/>
  <c r="U1036" i="5"/>
  <c r="Y1036" i="5" s="1"/>
  <c r="M1034" i="5"/>
  <c r="Q1034" i="5" s="1"/>
  <c r="AC1034" i="5" s="1"/>
  <c r="G1035" i="5"/>
  <c r="M1035" i="5"/>
  <c r="Q1035" i="5" s="1"/>
  <c r="AC1035" i="5" s="1"/>
  <c r="M1036" i="5"/>
  <c r="Q1036" i="5" s="1"/>
  <c r="AC1036" i="5" s="1"/>
  <c r="U1024" i="5"/>
  <c r="Y1024" i="5" s="1"/>
  <c r="U1021" i="5"/>
  <c r="U1022" i="5"/>
  <c r="Y1022" i="5" s="1"/>
  <c r="U1023" i="5"/>
  <c r="Y1023" i="5" s="1"/>
  <c r="M1022" i="5"/>
  <c r="Q1022" i="5" s="1"/>
  <c r="AC1022" i="5" s="1"/>
  <c r="M1023" i="5"/>
  <c r="AB1023" i="5" s="1"/>
  <c r="G1024" i="5"/>
  <c r="M1024" i="5"/>
  <c r="Q1024" i="5" s="1"/>
  <c r="AC1024" i="5" s="1"/>
  <c r="Q1143" i="5" l="1"/>
  <c r="AC1143" i="5" s="1"/>
  <c r="N1143" i="5"/>
  <c r="AB1128" i="5"/>
  <c r="N1128" i="5"/>
  <c r="AB1111" i="5"/>
  <c r="N1111" i="5"/>
  <c r="Q1110" i="5"/>
  <c r="AC1110" i="5" s="1"/>
  <c r="N1110" i="5"/>
  <c r="Q1120" i="5"/>
  <c r="AC1120" i="5" s="1"/>
  <c r="N1120" i="5"/>
  <c r="Q1119" i="5"/>
  <c r="AC1119" i="5" s="1"/>
  <c r="N1119" i="5"/>
  <c r="Q1121" i="5"/>
  <c r="AC1121" i="5" s="1"/>
  <c r="N1121" i="5"/>
  <c r="Q1129" i="5"/>
  <c r="AC1129" i="5" s="1"/>
  <c r="N1129" i="5"/>
  <c r="Q1109" i="5"/>
  <c r="AC1109" i="5" s="1"/>
  <c r="N1109" i="5"/>
  <c r="Q1128" i="5"/>
  <c r="AC1128" i="5" s="1"/>
  <c r="Q1111" i="5"/>
  <c r="AC1111" i="5" s="1"/>
  <c r="AB1058" i="5"/>
  <c r="AB1109" i="5"/>
  <c r="Q1045" i="5"/>
  <c r="AC1045" i="5" s="1"/>
  <c r="AB1080" i="5"/>
  <c r="AB1129" i="5"/>
  <c r="AB1081" i="5"/>
  <c r="AB1110" i="5"/>
  <c r="AB1044" i="5"/>
  <c r="AB1046" i="5"/>
  <c r="AB1003" i="5"/>
  <c r="Q1009" i="5"/>
  <c r="AC1009" i="5" s="1"/>
  <c r="AB1143" i="5"/>
  <c r="AB1022" i="5"/>
  <c r="AB1034" i="5"/>
  <c r="AB1035" i="5"/>
  <c r="Q1023" i="5"/>
  <c r="AC1023" i="5" s="1"/>
  <c r="AB1036" i="5"/>
  <c r="AB1024" i="5"/>
  <c r="M1007" i="5" l="1"/>
  <c r="Q1007" i="5" s="1"/>
  <c r="AC1007" i="5" s="1"/>
  <c r="Y1007" i="5"/>
  <c r="M1102" i="5"/>
  <c r="Y1102" i="5"/>
  <c r="M1103" i="5"/>
  <c r="Y1103" i="5"/>
  <c r="G1021" i="5"/>
  <c r="M1021" i="5"/>
  <c r="AB1021" i="5" s="1"/>
  <c r="Y1021" i="5"/>
  <c r="AB1103" i="5" l="1"/>
  <c r="N1103" i="5"/>
  <c r="Q1102" i="5"/>
  <c r="AC1102" i="5" s="1"/>
  <c r="N1102" i="5"/>
  <c r="AB1102" i="5"/>
  <c r="Q1103" i="5"/>
  <c r="AC1103" i="5" s="1"/>
  <c r="AB1007" i="5"/>
  <c r="Q1021" i="5"/>
  <c r="AC1021" i="5" s="1"/>
  <c r="M1056" i="5"/>
  <c r="Q1056" i="5" s="1"/>
  <c r="AC1056" i="5" s="1"/>
  <c r="Y1056" i="5"/>
  <c r="M1057" i="5"/>
  <c r="Q1057" i="5" s="1"/>
  <c r="AC1057" i="5" s="1"/>
  <c r="Y1057" i="5"/>
  <c r="G1117" i="5"/>
  <c r="M1117" i="5"/>
  <c r="Y1117" i="5"/>
  <c r="M1118" i="5"/>
  <c r="Y1118" i="5"/>
  <c r="G1079" i="5"/>
  <c r="M1079" i="5"/>
  <c r="Q1079" i="5" s="1"/>
  <c r="AC1079" i="5" s="1"/>
  <c r="Y1079" i="5"/>
  <c r="M1087" i="5"/>
  <c r="Y1087" i="5"/>
  <c r="M1055" i="5"/>
  <c r="Q1055" i="5" s="1"/>
  <c r="AC1055" i="5" s="1"/>
  <c r="Y1055" i="5"/>
  <c r="M1108" i="5"/>
  <c r="Y1108" i="5"/>
  <c r="U1043" i="5"/>
  <c r="U1050" i="5"/>
  <c r="U1116" i="5"/>
  <c r="U1124" i="5"/>
  <c r="U1125" i="5"/>
  <c r="U1126" i="5"/>
  <c r="U1127" i="5"/>
  <c r="U1134" i="5"/>
  <c r="U1135" i="5"/>
  <c r="U1136" i="5"/>
  <c r="U1137" i="5"/>
  <c r="U1138" i="5"/>
  <c r="U1139" i="5"/>
  <c r="U1140" i="5"/>
  <c r="U1141" i="5"/>
  <c r="U1142" i="5"/>
  <c r="Q1117" i="5" l="1"/>
  <c r="AC1117" i="5" s="1"/>
  <c r="N1117" i="5"/>
  <c r="Q1087" i="5"/>
  <c r="AC1087" i="5" s="1"/>
  <c r="N1087" i="5"/>
  <c r="Q1118" i="5"/>
  <c r="AC1118" i="5" s="1"/>
  <c r="N1118" i="5"/>
  <c r="Q1108" i="5"/>
  <c r="AC1108" i="5" s="1"/>
  <c r="N1108" i="5"/>
  <c r="AB1057" i="5"/>
  <c r="AB1079" i="5"/>
  <c r="AB1118" i="5"/>
  <c r="AB1056" i="5"/>
  <c r="AB1117" i="5"/>
  <c r="AB1087" i="5"/>
  <c r="AB1055" i="5"/>
  <c r="AB1108" i="5"/>
  <c r="M1043" i="5"/>
  <c r="Q1043" i="5" s="1"/>
  <c r="AC1043" i="5" s="1"/>
  <c r="Y1043" i="5"/>
  <c r="G1050" i="5"/>
  <c r="M1050" i="5"/>
  <c r="Q1050" i="5" s="1"/>
  <c r="AC1050" i="5" s="1"/>
  <c r="Y1050" i="5"/>
  <c r="G1033" i="5"/>
  <c r="M1033" i="5"/>
  <c r="Q1033" i="5" s="1"/>
  <c r="AC1033" i="5" s="1"/>
  <c r="Y1033" i="5"/>
  <c r="M1032" i="5"/>
  <c r="Q1032" i="5" s="1"/>
  <c r="AC1032" i="5" s="1"/>
  <c r="Y1032" i="5"/>
  <c r="AB1050" i="5" l="1"/>
  <c r="AB1043" i="5"/>
  <c r="AB1033" i="5"/>
  <c r="AB1032" i="5"/>
  <c r="G1124" i="5"/>
  <c r="G1127" i="5"/>
  <c r="G1134" i="5"/>
  <c r="G1138" i="5"/>
  <c r="G1148" i="5"/>
  <c r="G1154" i="5"/>
  <c r="G1157" i="5"/>
  <c r="G1158" i="5"/>
  <c r="G1165" i="5"/>
  <c r="G1168" i="5"/>
  <c r="G1174" i="5"/>
  <c r="G1177" i="5"/>
  <c r="G1184" i="5"/>
  <c r="G1188" i="5"/>
  <c r="G1195" i="5"/>
  <c r="G1206" i="5"/>
  <c r="G1219" i="5"/>
  <c r="G1227" i="5"/>
  <c r="G1228" i="5"/>
  <c r="G1243" i="5"/>
  <c r="G1246" i="5"/>
  <c r="G1248" i="5"/>
  <c r="G1249" i="5"/>
  <c r="G1258" i="5"/>
  <c r="G1260" i="5"/>
  <c r="G1269" i="5"/>
  <c r="G1272" i="5"/>
  <c r="G1273" i="5"/>
  <c r="G1274" i="5"/>
  <c r="G1277" i="5"/>
  <c r="G1285" i="5"/>
  <c r="M1124" i="5"/>
  <c r="N1124" i="5" s="1"/>
  <c r="M1125" i="5"/>
  <c r="M1126" i="5"/>
  <c r="M1127" i="5"/>
  <c r="M1134" i="5"/>
  <c r="N1134" i="5" s="1"/>
  <c r="M1135" i="5"/>
  <c r="M1136" i="5"/>
  <c r="M1137" i="5"/>
  <c r="M1138" i="5"/>
  <c r="M1139" i="5"/>
  <c r="M1140" i="5"/>
  <c r="M1141" i="5"/>
  <c r="M1142" i="5"/>
  <c r="M1148" i="5"/>
  <c r="Q1148" i="5" s="1"/>
  <c r="AC1148" i="5" s="1"/>
  <c r="M1149" i="5"/>
  <c r="Q1149" i="5" s="1"/>
  <c r="AC1149" i="5" s="1"/>
  <c r="M1150" i="5"/>
  <c r="Q1150" i="5" s="1"/>
  <c r="AC1150" i="5" s="1"/>
  <c r="M1151" i="5"/>
  <c r="Q1151" i="5" s="1"/>
  <c r="AC1151" i="5" s="1"/>
  <c r="M1154" i="5"/>
  <c r="M1155" i="5"/>
  <c r="M1156" i="5"/>
  <c r="M1157" i="5"/>
  <c r="M1158" i="5"/>
  <c r="M1165" i="5"/>
  <c r="M1166" i="5"/>
  <c r="Q1166" i="5" s="1"/>
  <c r="AC1166" i="5" s="1"/>
  <c r="M1167" i="5"/>
  <c r="M1168" i="5"/>
  <c r="Q1168" i="5" s="1"/>
  <c r="AC1168" i="5" s="1"/>
  <c r="M1174" i="5"/>
  <c r="Q1174" i="5" s="1"/>
  <c r="AC1174" i="5" s="1"/>
  <c r="M1175" i="5"/>
  <c r="Q1175" i="5" s="1"/>
  <c r="AC1175" i="5" s="1"/>
  <c r="M1176" i="5"/>
  <c r="Q1176" i="5" s="1"/>
  <c r="AC1176" i="5" s="1"/>
  <c r="M1177" i="5"/>
  <c r="Q1177" i="5" s="1"/>
  <c r="AC1177" i="5" s="1"/>
  <c r="M1178" i="5"/>
  <c r="Q1178" i="5" s="1"/>
  <c r="AC1178" i="5" s="1"/>
  <c r="M1179" i="5"/>
  <c r="Q1179" i="5" s="1"/>
  <c r="AC1179" i="5" s="1"/>
  <c r="M1184" i="5"/>
  <c r="Q1184" i="5" s="1"/>
  <c r="AC1184" i="5" s="1"/>
  <c r="M1185" i="5"/>
  <c r="Q1185" i="5" s="1"/>
  <c r="AC1185" i="5" s="1"/>
  <c r="M1186" i="5"/>
  <c r="Q1186" i="5" s="1"/>
  <c r="AC1186" i="5" s="1"/>
  <c r="M1187" i="5"/>
  <c r="Q1187" i="5" s="1"/>
  <c r="AC1187" i="5" s="1"/>
  <c r="M1188" i="5"/>
  <c r="M1195" i="5"/>
  <c r="M1196" i="5"/>
  <c r="M1197" i="5"/>
  <c r="M1199" i="5"/>
  <c r="Q1199" i="5" s="1"/>
  <c r="AC1199" i="5" s="1"/>
  <c r="M1200" i="5"/>
  <c r="M1206" i="5"/>
  <c r="M1207" i="5"/>
  <c r="Q1207" i="5" s="1"/>
  <c r="AC1207" i="5" s="1"/>
  <c r="Q1218" i="5"/>
  <c r="AC1218" i="5" s="1"/>
  <c r="Q1219" i="5"/>
  <c r="AC1219" i="5" s="1"/>
  <c r="M1220" i="5"/>
  <c r="Q1220" i="5" s="1"/>
  <c r="AC1220" i="5" s="1"/>
  <c r="M1225" i="5"/>
  <c r="Q1225" i="5" s="1"/>
  <c r="AC1225" i="5" s="1"/>
  <c r="M1226" i="5"/>
  <c r="Q1226" i="5" s="1"/>
  <c r="AC1226" i="5" s="1"/>
  <c r="M1227" i="5"/>
  <c r="Q1227" i="5" s="1"/>
  <c r="AC1227" i="5" s="1"/>
  <c r="M1228" i="5"/>
  <c r="Q1228" i="5" s="1"/>
  <c r="AC1228" i="5" s="1"/>
  <c r="M1229" i="5"/>
  <c r="Q1229" i="5" s="1"/>
  <c r="AC1229" i="5" s="1"/>
  <c r="M1243" i="5"/>
  <c r="Q1243" i="5" s="1"/>
  <c r="AC1243" i="5" s="1"/>
  <c r="M1246" i="5"/>
  <c r="Q1246" i="5" s="1"/>
  <c r="AC1246" i="5" s="1"/>
  <c r="M1247" i="5"/>
  <c r="N1247" i="5" s="1"/>
  <c r="M1248" i="5"/>
  <c r="N1248" i="5" s="1"/>
  <c r="M1249" i="5"/>
  <c r="N1249" i="5" s="1"/>
  <c r="M1258" i="5"/>
  <c r="M1259" i="5"/>
  <c r="N1259" i="5" s="1"/>
  <c r="M1260" i="5"/>
  <c r="M1261" i="5"/>
  <c r="M1269" i="5"/>
  <c r="M1270" i="5"/>
  <c r="M1271" i="5"/>
  <c r="M1273" i="5"/>
  <c r="Q1273" i="5" s="1"/>
  <c r="AC1273" i="5" s="1"/>
  <c r="M1274" i="5"/>
  <c r="Q1274" i="5" s="1"/>
  <c r="AC1274" i="5" s="1"/>
  <c r="M1275" i="5"/>
  <c r="M1277" i="5"/>
  <c r="M1278" i="5"/>
  <c r="M1279" i="5"/>
  <c r="M1285" i="5"/>
  <c r="Q1285" i="5" s="1"/>
  <c r="AC1285" i="5" s="1"/>
  <c r="M1286" i="5"/>
  <c r="Y1124" i="5"/>
  <c r="Y1125" i="5"/>
  <c r="Y1126" i="5"/>
  <c r="Y1127" i="5"/>
  <c r="Y1134" i="5"/>
  <c r="Y1135" i="5"/>
  <c r="Y1136" i="5"/>
  <c r="Y1137" i="5"/>
  <c r="Y1138" i="5"/>
  <c r="Y1139" i="5"/>
  <c r="Y1140" i="5"/>
  <c r="Y1141" i="5"/>
  <c r="Y1142" i="5"/>
  <c r="Y1148" i="5"/>
  <c r="Y1149" i="5"/>
  <c r="Y1150" i="5"/>
  <c r="Y1151" i="5"/>
  <c r="Y1154" i="5"/>
  <c r="Y1155" i="5"/>
  <c r="Y1156" i="5"/>
  <c r="Y1157" i="5"/>
  <c r="Y1158" i="5"/>
  <c r="Y1165" i="5"/>
  <c r="Y1166" i="5"/>
  <c r="Y1167" i="5"/>
  <c r="Y1168" i="5"/>
  <c r="Y1174" i="5"/>
  <c r="Y1175" i="5"/>
  <c r="Y1176" i="5"/>
  <c r="Y1177" i="5"/>
  <c r="Y1178" i="5"/>
  <c r="Y1179" i="5"/>
  <c r="Y1184" i="5"/>
  <c r="Y1185" i="5"/>
  <c r="Y1186" i="5"/>
  <c r="Y1187" i="5"/>
  <c r="Y1188" i="5"/>
  <c r="Y1195" i="5"/>
  <c r="Y1196" i="5"/>
  <c r="Y1197" i="5"/>
  <c r="Y1199" i="5"/>
  <c r="Y1200" i="5"/>
  <c r="Y1206" i="5"/>
  <c r="Y1207" i="5"/>
  <c r="Y1218" i="5"/>
  <c r="Y1219" i="5"/>
  <c r="Y1220" i="5"/>
  <c r="Y1225" i="5"/>
  <c r="Y1226" i="5"/>
  <c r="Y1227" i="5"/>
  <c r="Y1228" i="5"/>
  <c r="Y1229" i="5"/>
  <c r="Y1243" i="5"/>
  <c r="Y1246" i="5"/>
  <c r="Y1247" i="5"/>
  <c r="Y1248" i="5"/>
  <c r="Y1249" i="5"/>
  <c r="Y1258" i="5"/>
  <c r="Y1259" i="5"/>
  <c r="Y1260" i="5"/>
  <c r="Y1261" i="5"/>
  <c r="Y1269" i="5"/>
  <c r="Y1270" i="5"/>
  <c r="Y1271" i="5"/>
  <c r="Y1272" i="5"/>
  <c r="Y1273" i="5"/>
  <c r="Y1274" i="5"/>
  <c r="Y1275" i="5"/>
  <c r="Y1277" i="5"/>
  <c r="Y1278" i="5"/>
  <c r="Y1279" i="5"/>
  <c r="Y1285" i="5"/>
  <c r="Y1286" i="5"/>
  <c r="U904" i="5"/>
  <c r="U914" i="5"/>
  <c r="U925" i="5"/>
  <c r="Q1279" i="5" l="1"/>
  <c r="AC1279" i="5" s="1"/>
  <c r="N1279" i="5"/>
  <c r="Q1277" i="5"/>
  <c r="AC1277" i="5" s="1"/>
  <c r="N1277" i="5"/>
  <c r="Q1275" i="5"/>
  <c r="AC1275" i="5" s="1"/>
  <c r="N1275" i="5"/>
  <c r="Q1271" i="5"/>
  <c r="AC1271" i="5" s="1"/>
  <c r="N1271" i="5"/>
  <c r="Q1270" i="5"/>
  <c r="AC1270" i="5" s="1"/>
  <c r="N1270" i="5"/>
  <c r="Q1272" i="5"/>
  <c r="AC1272" i="5" s="1"/>
  <c r="Q1261" i="5"/>
  <c r="AC1261" i="5" s="1"/>
  <c r="N1261" i="5"/>
  <c r="Q1260" i="5"/>
  <c r="AC1260" i="5" s="1"/>
  <c r="N1260" i="5"/>
  <c r="Q1278" i="5"/>
  <c r="AC1278" i="5" s="1"/>
  <c r="N1278" i="5"/>
  <c r="Q1286" i="5"/>
  <c r="AC1286" i="5" s="1"/>
  <c r="Q1135" i="5"/>
  <c r="AC1135" i="5" s="1"/>
  <c r="N1135" i="5"/>
  <c r="Q1139" i="5"/>
  <c r="AC1139" i="5" s="1"/>
  <c r="N1139" i="5"/>
  <c r="Q1136" i="5"/>
  <c r="AC1136" i="5" s="1"/>
  <c r="N1136" i="5"/>
  <c r="Q1126" i="5"/>
  <c r="AC1126" i="5" s="1"/>
  <c r="N1126" i="5"/>
  <c r="Q1127" i="5"/>
  <c r="AC1127" i="5" s="1"/>
  <c r="N1127" i="5"/>
  <c r="Q1137" i="5"/>
  <c r="AC1137" i="5" s="1"/>
  <c r="N1137" i="5"/>
  <c r="Q1125" i="5"/>
  <c r="AC1125" i="5" s="1"/>
  <c r="N1125" i="5"/>
  <c r="Q1138" i="5"/>
  <c r="AC1138" i="5" s="1"/>
  <c r="N1138" i="5"/>
  <c r="Q1142" i="5"/>
  <c r="AC1142" i="5" s="1"/>
  <c r="N1142" i="5"/>
  <c r="Q1141" i="5"/>
  <c r="AC1141" i="5" s="1"/>
  <c r="N1141" i="5"/>
  <c r="Q1140" i="5"/>
  <c r="AC1140" i="5" s="1"/>
  <c r="N1140" i="5"/>
  <c r="AB1185" i="5"/>
  <c r="AB1186" i="5"/>
  <c r="AB1246" i="5"/>
  <c r="AB1243" i="5"/>
  <c r="AB1285" i="5"/>
  <c r="AB1187" i="5"/>
  <c r="AB1269" i="5"/>
  <c r="AB1200" i="5"/>
  <c r="AB1259" i="5"/>
  <c r="AB1134" i="5"/>
  <c r="AB1165" i="5"/>
  <c r="AB1167" i="5"/>
  <c r="AB1206" i="5"/>
  <c r="AB1158" i="5"/>
  <c r="AB1226" i="5"/>
  <c r="AB1140" i="5"/>
  <c r="AB1220" i="5"/>
  <c r="AB1139" i="5"/>
  <c r="AB1271" i="5"/>
  <c r="AB1137" i="5"/>
  <c r="AB1270" i="5"/>
  <c r="AB1218" i="5"/>
  <c r="AB1168" i="5"/>
  <c r="AB1136" i="5"/>
  <c r="AB1258" i="5"/>
  <c r="AB1197" i="5"/>
  <c r="AB1157" i="5"/>
  <c r="AB1275" i="5"/>
  <c r="AB1141" i="5"/>
  <c r="AB1225" i="5"/>
  <c r="AB1273" i="5"/>
  <c r="AB1219" i="5"/>
  <c r="AB1138" i="5"/>
  <c r="AB1196" i="5"/>
  <c r="AB1156" i="5"/>
  <c r="AB1124" i="5"/>
  <c r="AB1195" i="5"/>
  <c r="AB1247" i="5"/>
  <c r="AB1188" i="5"/>
  <c r="AB1154" i="5"/>
  <c r="AB1177" i="5"/>
  <c r="AB1274" i="5"/>
  <c r="AB1176" i="5"/>
  <c r="AB1175" i="5"/>
  <c r="AB1272" i="5"/>
  <c r="AB1174" i="5"/>
  <c r="AB1249" i="5"/>
  <c r="AB1286" i="5"/>
  <c r="AB1248" i="5"/>
  <c r="AB1155" i="5"/>
  <c r="AB1279" i="5"/>
  <c r="AB1229" i="5"/>
  <c r="AB1184" i="5"/>
  <c r="AB1151" i="5"/>
  <c r="AB1278" i="5"/>
  <c r="AB1228" i="5"/>
  <c r="AB1179" i="5"/>
  <c r="AB1148" i="5"/>
  <c r="AB1150" i="5"/>
  <c r="AB1149" i="5"/>
  <c r="AB1277" i="5"/>
  <c r="AB1227" i="5"/>
  <c r="AB1178" i="5"/>
  <c r="AB1142" i="5"/>
  <c r="Q1269" i="5"/>
  <c r="AC1269" i="5" s="1"/>
  <c r="Q1167" i="5"/>
  <c r="AC1167" i="5" s="1"/>
  <c r="Q1206" i="5"/>
  <c r="AC1206" i="5" s="1"/>
  <c r="Q1134" i="5"/>
  <c r="AC1134" i="5" s="1"/>
  <c r="Q1165" i="5"/>
  <c r="AC1165" i="5" s="1"/>
  <c r="Q1158" i="5"/>
  <c r="AC1158" i="5" s="1"/>
  <c r="Q1258" i="5"/>
  <c r="AC1258" i="5" s="1"/>
  <c r="Q1157" i="5"/>
  <c r="AC1157" i="5" s="1"/>
  <c r="Q1249" i="5"/>
  <c r="AC1249" i="5" s="1"/>
  <c r="Q1188" i="5"/>
  <c r="AC1188" i="5" s="1"/>
  <c r="AB1207" i="5"/>
  <c r="AB1135" i="5"/>
  <c r="AB1261" i="5"/>
  <c r="AB1166" i="5"/>
  <c r="Q1200" i="5"/>
  <c r="AC1200" i="5" s="1"/>
  <c r="Q1197" i="5"/>
  <c r="AC1197" i="5" s="1"/>
  <c r="Q1124" i="5"/>
  <c r="AC1124" i="5" s="1"/>
  <c r="Q1248" i="5"/>
  <c r="AC1248" i="5" s="1"/>
  <c r="Q1195" i="5"/>
  <c r="AC1195" i="5" s="1"/>
  <c r="Q1155" i="5"/>
  <c r="AC1155" i="5" s="1"/>
  <c r="Q1247" i="5"/>
  <c r="AC1247" i="5" s="1"/>
  <c r="Q1154" i="5"/>
  <c r="AC1154" i="5" s="1"/>
  <c r="AB1260" i="5"/>
  <c r="AB1127" i="5"/>
  <c r="Q1259" i="5"/>
  <c r="AC1259" i="5" s="1"/>
  <c r="Q1196" i="5"/>
  <c r="AC1196" i="5" s="1"/>
  <c r="AB1199" i="5"/>
  <c r="AB1126" i="5"/>
  <c r="AB1125" i="5"/>
  <c r="Q1156" i="5"/>
  <c r="AC1156" i="5" s="1"/>
  <c r="U920" i="5"/>
  <c r="U921" i="5"/>
  <c r="U939" i="5"/>
  <c r="U932" i="5" l="1"/>
  <c r="G934" i="5"/>
  <c r="M934" i="5"/>
  <c r="AB934" i="5" s="1"/>
  <c r="Y934" i="5"/>
  <c r="U955" i="5"/>
  <c r="Y955" i="5" s="1"/>
  <c r="G955" i="5"/>
  <c r="M955" i="5"/>
  <c r="Q955" i="5" s="1"/>
  <c r="AC955" i="5" s="1"/>
  <c r="G905" i="5"/>
  <c r="M905" i="5"/>
  <c r="AB905" i="5" s="1"/>
  <c r="Y905" i="5"/>
  <c r="U908" i="5"/>
  <c r="Y908" i="5" s="1"/>
  <c r="M908" i="5"/>
  <c r="Q908" i="5" s="1"/>
  <c r="AC908" i="5" s="1"/>
  <c r="AB908" i="5" l="1"/>
  <c r="AB955" i="5"/>
  <c r="Q934" i="5"/>
  <c r="AC934" i="5" s="1"/>
  <c r="Q905" i="5"/>
  <c r="AC905" i="5" s="1"/>
  <c r="U434" i="5" l="1"/>
  <c r="Y434" i="5" s="1"/>
  <c r="U309" i="5"/>
  <c r="Y309" i="5" s="1"/>
  <c r="G309" i="5"/>
  <c r="M309" i="5"/>
  <c r="AB309" i="5" s="1"/>
  <c r="G434" i="5"/>
  <c r="M434" i="5"/>
  <c r="Q434" i="5" s="1"/>
  <c r="AC434" i="5" s="1"/>
  <c r="AB434" i="5" l="1"/>
  <c r="Q309" i="5"/>
  <c r="AC309" i="5" s="1"/>
  <c r="U918" i="5"/>
  <c r="U919" i="5"/>
  <c r="M921" i="5"/>
  <c r="Q921" i="5" s="1"/>
  <c r="AC921" i="5" s="1"/>
  <c r="Y921" i="5"/>
  <c r="G904" i="5"/>
  <c r="M904" i="5"/>
  <c r="Q904" i="5" s="1"/>
  <c r="AC904" i="5" s="1"/>
  <c r="Y904" i="5"/>
  <c r="AB921" i="5" l="1"/>
  <c r="AB904" i="5"/>
  <c r="U637" i="5"/>
  <c r="M932" i="5" l="1"/>
  <c r="Q932" i="5" s="1"/>
  <c r="AC932" i="5" s="1"/>
  <c r="Y932" i="5"/>
  <c r="G933" i="5"/>
  <c r="M933" i="5"/>
  <c r="Q933" i="5" s="1"/>
  <c r="AC933" i="5" s="1"/>
  <c r="Y933" i="5"/>
  <c r="M925" i="5"/>
  <c r="Q925" i="5" s="1"/>
  <c r="AC925" i="5" s="1"/>
  <c r="Y925" i="5"/>
  <c r="M914" i="5"/>
  <c r="Q914" i="5" s="1"/>
  <c r="AC914" i="5" s="1"/>
  <c r="Y914" i="5"/>
  <c r="AB933" i="5" l="1"/>
  <c r="AB925" i="5"/>
  <c r="AB932" i="5"/>
  <c r="AB914" i="5"/>
  <c r="C43" i="3" l="1"/>
  <c r="C44" i="3"/>
  <c r="C45" i="3"/>
  <c r="M918" i="5" l="1"/>
  <c r="AB918" i="5" s="1"/>
  <c r="Y918" i="5"/>
  <c r="M919" i="5"/>
  <c r="AB919" i="5" s="1"/>
  <c r="Y919" i="5"/>
  <c r="G944" i="5"/>
  <c r="M944" i="5"/>
  <c r="Q944" i="5" s="1"/>
  <c r="AC944" i="5" s="1"/>
  <c r="Y944" i="5"/>
  <c r="AA944" i="5"/>
  <c r="G941" i="5"/>
  <c r="M941" i="5"/>
  <c r="Q941" i="5" s="1"/>
  <c r="AC941" i="5" s="1"/>
  <c r="Y941" i="5"/>
  <c r="M942" i="5"/>
  <c r="Q942" i="5" s="1"/>
  <c r="AC942" i="5" s="1"/>
  <c r="Y942" i="5"/>
  <c r="AA942" i="5"/>
  <c r="M939" i="5"/>
  <c r="Q939" i="5" s="1"/>
  <c r="AC939" i="5" s="1"/>
  <c r="Y939" i="5"/>
  <c r="G940" i="5"/>
  <c r="M940" i="5"/>
  <c r="Q940" i="5" s="1"/>
  <c r="AC940" i="5" s="1"/>
  <c r="Y940" i="5"/>
  <c r="G943" i="5"/>
  <c r="M943" i="5"/>
  <c r="Q943" i="5" s="1"/>
  <c r="AC943" i="5" s="1"/>
  <c r="Y943" i="5"/>
  <c r="AA943" i="5"/>
  <c r="Q918" i="5" l="1"/>
  <c r="AC918" i="5" s="1"/>
  <c r="Q919" i="5"/>
  <c r="AC919" i="5" s="1"/>
  <c r="AB942" i="5"/>
  <c r="AB944" i="5"/>
  <c r="AB941" i="5"/>
  <c r="AB940" i="5"/>
  <c r="AB939" i="5"/>
  <c r="AB943" i="5"/>
  <c r="U746" i="5" l="1"/>
  <c r="U797" i="5"/>
  <c r="J366" i="9" l="1"/>
  <c r="U769" i="5" l="1"/>
  <c r="U877" i="5"/>
  <c r="U850" i="5"/>
  <c r="U851" i="5"/>
  <c r="U796" i="5"/>
  <c r="U768" i="5" l="1"/>
  <c r="U876" i="5"/>
  <c r="G878" i="5" l="1"/>
  <c r="Q878" i="5"/>
  <c r="AC878" i="5" s="1"/>
  <c r="Y878" i="5"/>
  <c r="M796" i="5"/>
  <c r="Q796" i="5" s="1"/>
  <c r="AC796" i="5" s="1"/>
  <c r="Y796" i="5"/>
  <c r="U875" i="5"/>
  <c r="U756" i="5"/>
  <c r="U757" i="5"/>
  <c r="G758" i="5"/>
  <c r="M758" i="5"/>
  <c r="Q758" i="5" s="1"/>
  <c r="AC758" i="5" s="1"/>
  <c r="Y758" i="5"/>
  <c r="U831" i="5"/>
  <c r="U832" i="5"/>
  <c r="M833" i="5"/>
  <c r="M834" i="5"/>
  <c r="Y834" i="5"/>
  <c r="J268" i="9"/>
  <c r="Q834" i="5" l="1"/>
  <c r="AC834" i="5" s="1"/>
  <c r="N834" i="5"/>
  <c r="Q833" i="5"/>
  <c r="AC833" i="5" s="1"/>
  <c r="N833" i="5"/>
  <c r="AB758" i="5"/>
  <c r="AB878" i="5"/>
  <c r="AB834" i="5"/>
  <c r="AB796" i="5"/>
  <c r="M877" i="5"/>
  <c r="Y877" i="5"/>
  <c r="G380" i="9"/>
  <c r="U779" i="5"/>
  <c r="U780" i="5"/>
  <c r="U864" i="5"/>
  <c r="U865" i="5"/>
  <c r="U794" i="5"/>
  <c r="U795" i="5"/>
  <c r="Y795" i="5" s="1"/>
  <c r="M795" i="5"/>
  <c r="Q795" i="5" s="1"/>
  <c r="AC795" i="5" s="1"/>
  <c r="U767" i="5"/>
  <c r="U848" i="5"/>
  <c r="M850" i="5"/>
  <c r="Y850" i="5"/>
  <c r="M851" i="5"/>
  <c r="Y851" i="5"/>
  <c r="Q877" i="5" l="1"/>
  <c r="AC877" i="5" s="1"/>
  <c r="N877" i="5"/>
  <c r="Q851" i="5"/>
  <c r="AC851" i="5" s="1"/>
  <c r="N851" i="5"/>
  <c r="Q850" i="5"/>
  <c r="AC850" i="5" s="1"/>
  <c r="N850" i="5"/>
  <c r="AB877" i="5"/>
  <c r="AB795" i="5"/>
  <c r="AB850" i="5"/>
  <c r="AB851" i="5"/>
  <c r="U755" i="5" l="1"/>
  <c r="M756" i="5"/>
  <c r="Q756" i="5" s="1"/>
  <c r="AC756" i="5" s="1"/>
  <c r="Y756" i="5"/>
  <c r="G835" i="5"/>
  <c r="Q835" i="5"/>
  <c r="AC835" i="5" s="1"/>
  <c r="Y835" i="5"/>
  <c r="M794" i="5"/>
  <c r="Q794" i="5" s="1"/>
  <c r="AC794" i="5" s="1"/>
  <c r="Y794" i="5"/>
  <c r="M779" i="5"/>
  <c r="Q779" i="5" s="1"/>
  <c r="AC779" i="5" s="1"/>
  <c r="Y779" i="5"/>
  <c r="M780" i="5"/>
  <c r="Q780" i="5" s="1"/>
  <c r="AC780" i="5" s="1"/>
  <c r="Y780" i="5"/>
  <c r="U892" i="5"/>
  <c r="Y892" i="5" s="1"/>
  <c r="M892" i="5"/>
  <c r="U783" i="5"/>
  <c r="U439" i="5"/>
  <c r="Q892" i="5" l="1"/>
  <c r="AC892" i="5" s="1"/>
  <c r="N892" i="5"/>
  <c r="AB756" i="5"/>
  <c r="AB835" i="5"/>
  <c r="AB794" i="5"/>
  <c r="AB779" i="5"/>
  <c r="AB780" i="5"/>
  <c r="AB892" i="5"/>
  <c r="U431" i="5"/>
  <c r="Y431" i="5" s="1"/>
  <c r="G431" i="5"/>
  <c r="M431" i="5"/>
  <c r="Q431" i="5" s="1"/>
  <c r="AC431" i="5" s="1"/>
  <c r="U428" i="5"/>
  <c r="Y428" i="5" s="1"/>
  <c r="U429" i="5"/>
  <c r="Y429" i="5" s="1"/>
  <c r="G428" i="5"/>
  <c r="M428" i="5"/>
  <c r="Q428" i="5" s="1"/>
  <c r="AC428" i="5" s="1"/>
  <c r="G429" i="5"/>
  <c r="M429" i="5"/>
  <c r="Q429" i="5" s="1"/>
  <c r="AC429" i="5" s="1"/>
  <c r="AB431" i="5" l="1"/>
  <c r="AB429" i="5"/>
  <c r="AB428" i="5"/>
  <c r="U382" i="5" l="1"/>
  <c r="Y382" i="5" s="1"/>
  <c r="D379" i="5"/>
  <c r="D380" i="5"/>
  <c r="D381" i="5"/>
  <c r="D378" i="5"/>
  <c r="G382" i="5"/>
  <c r="M382" i="5"/>
  <c r="Q382" i="5" s="1"/>
  <c r="AC382" i="5" s="1"/>
  <c r="J225" i="9"/>
  <c r="U792" i="5"/>
  <c r="U793" i="5"/>
  <c r="M746" i="5"/>
  <c r="Q746" i="5" s="1"/>
  <c r="AC746" i="5" s="1"/>
  <c r="Y746" i="5"/>
  <c r="U830" i="5"/>
  <c r="M864" i="5"/>
  <c r="Y864" i="5"/>
  <c r="M865" i="5"/>
  <c r="Y865" i="5"/>
  <c r="U872" i="5"/>
  <c r="U873" i="5"/>
  <c r="U874" i="5"/>
  <c r="U766" i="5"/>
  <c r="U861" i="5"/>
  <c r="M862" i="5"/>
  <c r="M863" i="5"/>
  <c r="M875" i="5"/>
  <c r="Y875" i="5"/>
  <c r="M876" i="5"/>
  <c r="Y876" i="5"/>
  <c r="U821" i="5"/>
  <c r="Y821" i="5" s="1"/>
  <c r="U822" i="5"/>
  <c r="Y822" i="5" s="1"/>
  <c r="U812" i="5"/>
  <c r="U813" i="5"/>
  <c r="U814" i="5"/>
  <c r="U815" i="5"/>
  <c r="U816" i="5"/>
  <c r="U817" i="5"/>
  <c r="U818" i="5"/>
  <c r="M821" i="5"/>
  <c r="Q821" i="5" s="1"/>
  <c r="AC821" i="5" s="1"/>
  <c r="M822" i="5"/>
  <c r="AB822" i="5" s="1"/>
  <c r="G416" i="9"/>
  <c r="G417" i="9"/>
  <c r="G418" i="9"/>
  <c r="G419" i="9"/>
  <c r="G420" i="9"/>
  <c r="G421" i="9"/>
  <c r="G422" i="9"/>
  <c r="G423" i="9"/>
  <c r="G424" i="9"/>
  <c r="G425" i="9"/>
  <c r="G415" i="9"/>
  <c r="M33" i="1" s="1"/>
  <c r="J418" i="9"/>
  <c r="J419" i="9"/>
  <c r="J420" i="9"/>
  <c r="J421" i="9"/>
  <c r="J422" i="9"/>
  <c r="J423" i="9"/>
  <c r="J424" i="9"/>
  <c r="J425" i="9"/>
  <c r="J426" i="9"/>
  <c r="J446" i="9"/>
  <c r="J448" i="9"/>
  <c r="J450" i="9"/>
  <c r="J451" i="9"/>
  <c r="J452" i="9"/>
  <c r="J453" i="9"/>
  <c r="J454" i="9"/>
  <c r="J455" i="9"/>
  <c r="J456" i="9"/>
  <c r="J457" i="9"/>
  <c r="Q33" i="1"/>
  <c r="R33" i="1"/>
  <c r="S33" i="1"/>
  <c r="U791" i="5"/>
  <c r="U846" i="5"/>
  <c r="U847" i="5"/>
  <c r="U829" i="5"/>
  <c r="U753" i="5"/>
  <c r="U754" i="5"/>
  <c r="G1619" i="5" l="1"/>
  <c r="G1620" i="5"/>
  <c r="G1132" i="5"/>
  <c r="G1133" i="5"/>
  <c r="G1129" i="5"/>
  <c r="G1131" i="5"/>
  <c r="G892" i="5"/>
  <c r="G1126" i="5"/>
  <c r="Q876" i="5"/>
  <c r="AC876" i="5" s="1"/>
  <c r="N876" i="5"/>
  <c r="Q875" i="5"/>
  <c r="AC875" i="5" s="1"/>
  <c r="N875" i="5"/>
  <c r="Q864" i="5"/>
  <c r="AC864" i="5" s="1"/>
  <c r="N864" i="5"/>
  <c r="Q863" i="5"/>
  <c r="AC863" i="5" s="1"/>
  <c r="N863" i="5"/>
  <c r="Q862" i="5"/>
  <c r="AC862" i="5" s="1"/>
  <c r="N862" i="5"/>
  <c r="Q865" i="5"/>
  <c r="AC865" i="5" s="1"/>
  <c r="N865" i="5"/>
  <c r="AB865" i="5"/>
  <c r="AB746" i="5"/>
  <c r="N382" i="5"/>
  <c r="AB864" i="5"/>
  <c r="AB382" i="5"/>
  <c r="Q822" i="5"/>
  <c r="AC822" i="5" s="1"/>
  <c r="AB875" i="5"/>
  <c r="AB876" i="5"/>
  <c r="AB821" i="5"/>
  <c r="U33" i="1"/>
  <c r="V33" i="1" s="1"/>
  <c r="M861" i="5" l="1"/>
  <c r="Y861" i="5"/>
  <c r="U777" i="5"/>
  <c r="Y777" i="5" s="1"/>
  <c r="U778" i="5"/>
  <c r="Y778" i="5" s="1"/>
  <c r="U776" i="5"/>
  <c r="Y776" i="5" s="1"/>
  <c r="U871" i="5"/>
  <c r="Y871" i="5" s="1"/>
  <c r="J197" i="9"/>
  <c r="J198" i="9"/>
  <c r="J199" i="9"/>
  <c r="J210" i="9"/>
  <c r="M849" i="5"/>
  <c r="N849" i="5" s="1"/>
  <c r="M845" i="5"/>
  <c r="N845" i="5" s="1"/>
  <c r="M846" i="5"/>
  <c r="Y846" i="5"/>
  <c r="M847" i="5"/>
  <c r="N847" i="5" s="1"/>
  <c r="Y847" i="5"/>
  <c r="M848" i="5"/>
  <c r="Y848" i="5"/>
  <c r="M753" i="5"/>
  <c r="AB753" i="5" s="1"/>
  <c r="Y753" i="5"/>
  <c r="M754" i="5"/>
  <c r="AB754" i="5" s="1"/>
  <c r="Y754" i="5"/>
  <c r="M755" i="5"/>
  <c r="AB755" i="5" s="1"/>
  <c r="Y755" i="5"/>
  <c r="M21" i="1"/>
  <c r="Q21" i="1"/>
  <c r="R21" i="1"/>
  <c r="S21" i="1"/>
  <c r="M812" i="5"/>
  <c r="Q812" i="5" s="1"/>
  <c r="AC812" i="5" s="1"/>
  <c r="Y812" i="5"/>
  <c r="G813" i="5"/>
  <c r="Q813" i="5"/>
  <c r="AC813" i="5" s="1"/>
  <c r="Y813" i="5"/>
  <c r="M814" i="5"/>
  <c r="Q814" i="5" s="1"/>
  <c r="AC814" i="5" s="1"/>
  <c r="Y814" i="5"/>
  <c r="M815" i="5"/>
  <c r="Q815" i="5" s="1"/>
  <c r="AC815" i="5" s="1"/>
  <c r="Y815" i="5"/>
  <c r="M776" i="5"/>
  <c r="Q776" i="5" s="1"/>
  <c r="AC776" i="5" s="1"/>
  <c r="M777" i="5"/>
  <c r="Q777" i="5" s="1"/>
  <c r="AC777" i="5" s="1"/>
  <c r="M778" i="5"/>
  <c r="AB778" i="5" s="1"/>
  <c r="M766" i="5"/>
  <c r="AB766" i="5" s="1"/>
  <c r="Y766" i="5"/>
  <c r="M767" i="5"/>
  <c r="AB767" i="5" s="1"/>
  <c r="Y767" i="5"/>
  <c r="M768" i="5"/>
  <c r="Q768" i="5" s="1"/>
  <c r="AC768" i="5" s="1"/>
  <c r="Y768" i="5"/>
  <c r="M769" i="5"/>
  <c r="Q769" i="5" s="1"/>
  <c r="AC769" i="5" s="1"/>
  <c r="Y769" i="5"/>
  <c r="M829" i="5"/>
  <c r="Y829" i="5"/>
  <c r="M830" i="5"/>
  <c r="Y830" i="5"/>
  <c r="M831" i="5"/>
  <c r="Y831" i="5"/>
  <c r="M832" i="5"/>
  <c r="Y832" i="5"/>
  <c r="M791" i="5"/>
  <c r="AB791" i="5" s="1"/>
  <c r="Y791" i="5"/>
  <c r="M792" i="5"/>
  <c r="AB792" i="5" s="1"/>
  <c r="Y792" i="5"/>
  <c r="M793" i="5"/>
  <c r="AB793" i="5" s="1"/>
  <c r="Y793" i="5"/>
  <c r="M871" i="5"/>
  <c r="M872" i="5"/>
  <c r="Y872" i="5"/>
  <c r="M873" i="5"/>
  <c r="Y873" i="5"/>
  <c r="M803" i="5"/>
  <c r="Q803" i="5" s="1"/>
  <c r="AC803" i="5" s="1"/>
  <c r="Y803" i="5"/>
  <c r="G804" i="5"/>
  <c r="Q804" i="5"/>
  <c r="AC804" i="5" s="1"/>
  <c r="Y804" i="5"/>
  <c r="U449" i="5"/>
  <c r="Y449" i="5" s="1"/>
  <c r="M449" i="5"/>
  <c r="Q449" i="5" s="1"/>
  <c r="AC449" i="5" s="1"/>
  <c r="U453" i="5"/>
  <c r="Y453" i="5" s="1"/>
  <c r="G453" i="5"/>
  <c r="M453" i="5"/>
  <c r="Q453" i="5" s="1"/>
  <c r="AC453" i="5" s="1"/>
  <c r="M817" i="5"/>
  <c r="Q817" i="5" s="1"/>
  <c r="AC817" i="5" s="1"/>
  <c r="Y817" i="5"/>
  <c r="M818" i="5"/>
  <c r="AB818" i="5" s="1"/>
  <c r="Y818" i="5"/>
  <c r="U608" i="5"/>
  <c r="U739" i="5"/>
  <c r="U740" i="5"/>
  <c r="U741" i="5"/>
  <c r="U742" i="5"/>
  <c r="U743" i="5"/>
  <c r="U744" i="5"/>
  <c r="U745" i="5"/>
  <c r="U747" i="5"/>
  <c r="U748" i="5"/>
  <c r="U749" i="5"/>
  <c r="U750" i="5"/>
  <c r="U751" i="5"/>
  <c r="U752" i="5"/>
  <c r="U759" i="5"/>
  <c r="U760" i="5"/>
  <c r="U761" i="5"/>
  <c r="U762" i="5"/>
  <c r="U763" i="5"/>
  <c r="U764" i="5"/>
  <c r="U765" i="5"/>
  <c r="U771" i="5"/>
  <c r="U772" i="5"/>
  <c r="U773" i="5"/>
  <c r="U774" i="5"/>
  <c r="U775" i="5"/>
  <c r="U781" i="5"/>
  <c r="U782" i="5"/>
  <c r="U785" i="5"/>
  <c r="U786" i="5"/>
  <c r="U787" i="5"/>
  <c r="U788" i="5"/>
  <c r="U789" i="5"/>
  <c r="U790" i="5"/>
  <c r="U799" i="5"/>
  <c r="U800" i="5"/>
  <c r="U801" i="5"/>
  <c r="U802" i="5"/>
  <c r="U805" i="5"/>
  <c r="U806" i="5"/>
  <c r="U807" i="5"/>
  <c r="U808" i="5"/>
  <c r="U809" i="5"/>
  <c r="U810" i="5"/>
  <c r="U811" i="5"/>
  <c r="U819" i="5"/>
  <c r="U820" i="5"/>
  <c r="U823" i="5"/>
  <c r="U824" i="5"/>
  <c r="U825" i="5"/>
  <c r="U826" i="5"/>
  <c r="U827" i="5"/>
  <c r="U828" i="5"/>
  <c r="U836" i="5"/>
  <c r="U837" i="5"/>
  <c r="U838" i="5"/>
  <c r="U839" i="5"/>
  <c r="U840" i="5"/>
  <c r="U841" i="5"/>
  <c r="U842" i="5"/>
  <c r="U843" i="5"/>
  <c r="U844" i="5"/>
  <c r="U845" i="5"/>
  <c r="U849" i="5"/>
  <c r="U852" i="5"/>
  <c r="U853" i="5"/>
  <c r="U854" i="5"/>
  <c r="U855" i="5"/>
  <c r="U856" i="5"/>
  <c r="U857" i="5"/>
  <c r="U858" i="5"/>
  <c r="U859" i="5"/>
  <c r="U860" i="5"/>
  <c r="U866" i="5"/>
  <c r="U731" i="5"/>
  <c r="U732" i="5"/>
  <c r="U733" i="5"/>
  <c r="U734" i="5"/>
  <c r="U735" i="5"/>
  <c r="U736" i="5"/>
  <c r="U737" i="5"/>
  <c r="U738" i="5"/>
  <c r="G1696" i="5" l="1"/>
  <c r="G1697" i="5"/>
  <c r="G1541" i="5"/>
  <c r="G1695" i="5"/>
  <c r="G1539" i="5"/>
  <c r="G1540" i="5"/>
  <c r="G1218" i="5"/>
  <c r="G1377" i="5"/>
  <c r="G1209" i="5"/>
  <c r="G1217" i="5"/>
  <c r="G1376" i="5"/>
  <c r="G814" i="5"/>
  <c r="G1207" i="5"/>
  <c r="AB832" i="5"/>
  <c r="N832" i="5"/>
  <c r="AB831" i="5"/>
  <c r="N831" i="5"/>
  <c r="Q872" i="5"/>
  <c r="AC872" i="5" s="1"/>
  <c r="N872" i="5"/>
  <c r="Q848" i="5"/>
  <c r="AC848" i="5" s="1"/>
  <c r="N848" i="5"/>
  <c r="Q846" i="5"/>
  <c r="AC846" i="5" s="1"/>
  <c r="N846" i="5"/>
  <c r="AB830" i="5"/>
  <c r="N830" i="5"/>
  <c r="Q829" i="5"/>
  <c r="AC829" i="5" s="1"/>
  <c r="N829" i="5"/>
  <c r="AB871" i="5"/>
  <c r="N871" i="5"/>
  <c r="AB873" i="5"/>
  <c r="N873" i="5"/>
  <c r="AB861" i="5"/>
  <c r="N861" i="5"/>
  <c r="G815" i="5"/>
  <c r="Q861" i="5"/>
  <c r="AC861" i="5" s="1"/>
  <c r="AB846" i="5"/>
  <c r="AB848" i="5"/>
  <c r="Q753" i="5"/>
  <c r="AC753" i="5" s="1"/>
  <c r="T21" i="1"/>
  <c r="Q778" i="5"/>
  <c r="AC778" i="5" s="1"/>
  <c r="AB847" i="5"/>
  <c r="Q754" i="5"/>
  <c r="AC754" i="5" s="1"/>
  <c r="Q847" i="5"/>
  <c r="AC847" i="5" s="1"/>
  <c r="AB812" i="5"/>
  <c r="Q755" i="5"/>
  <c r="AC755" i="5" s="1"/>
  <c r="AB813" i="5"/>
  <c r="Q766" i="5"/>
  <c r="AC766" i="5" s="1"/>
  <c r="U21" i="1"/>
  <c r="V21" i="1" s="1"/>
  <c r="AB815" i="5"/>
  <c r="Q767" i="5"/>
  <c r="AC767" i="5" s="1"/>
  <c r="AB814" i="5"/>
  <c r="AB776" i="5"/>
  <c r="AB777" i="5"/>
  <c r="Q793" i="5"/>
  <c r="AC793" i="5" s="1"/>
  <c r="AB768" i="5"/>
  <c r="Q791" i="5"/>
  <c r="AC791" i="5" s="1"/>
  <c r="AB769" i="5"/>
  <c r="AB829" i="5"/>
  <c r="Q831" i="5"/>
  <c r="AC831" i="5" s="1"/>
  <c r="Q871" i="5"/>
  <c r="AC871" i="5" s="1"/>
  <c r="Q832" i="5"/>
  <c r="AC832" i="5" s="1"/>
  <c r="Q830" i="5"/>
  <c r="AC830" i="5" s="1"/>
  <c r="Q792" i="5"/>
  <c r="AC792" i="5" s="1"/>
  <c r="AB872" i="5"/>
  <c r="AB803" i="5"/>
  <c r="Q873" i="5"/>
  <c r="AC873" i="5" s="1"/>
  <c r="AB804" i="5"/>
  <c r="Q818" i="5"/>
  <c r="AC818" i="5" s="1"/>
  <c r="AB449" i="5"/>
  <c r="AB453" i="5"/>
  <c r="AB817" i="5"/>
  <c r="E7" i="11"/>
  <c r="J2" i="15" s="1"/>
  <c r="C95" i="11"/>
  <c r="C96" i="11"/>
  <c r="C97" i="11"/>
  <c r="C98" i="11"/>
  <c r="C99" i="11"/>
  <c r="C100" i="11"/>
  <c r="C101" i="11"/>
  <c r="C102" i="11"/>
  <c r="C94" i="11"/>
  <c r="C80" i="11"/>
  <c r="C81" i="11"/>
  <c r="C82" i="11"/>
  <c r="C83" i="11"/>
  <c r="C84" i="11"/>
  <c r="C85" i="11"/>
  <c r="C86" i="11"/>
  <c r="C87" i="11"/>
  <c r="C89" i="11"/>
  <c r="C90" i="11"/>
  <c r="C93" i="11"/>
  <c r="C79" i="11"/>
  <c r="U717" i="5"/>
  <c r="Y717" i="5" s="1"/>
  <c r="M717" i="5"/>
  <c r="Q717" i="5" s="1"/>
  <c r="AC717" i="5" s="1"/>
  <c r="U700" i="5"/>
  <c r="Y700" i="5" s="1"/>
  <c r="U701" i="5"/>
  <c r="Y701" i="5" s="1"/>
  <c r="G700" i="5"/>
  <c r="M700" i="5"/>
  <c r="Q700" i="5" s="1"/>
  <c r="AC700" i="5" s="1"/>
  <c r="G701" i="5"/>
  <c r="M701" i="5"/>
  <c r="AB701" i="5" s="1"/>
  <c r="U692" i="5"/>
  <c r="Y692" i="5" s="1"/>
  <c r="U596" i="5"/>
  <c r="Y596" i="5" s="1"/>
  <c r="G596" i="5"/>
  <c r="M596" i="5"/>
  <c r="Q596" i="5" s="1"/>
  <c r="AC596" i="5" s="1"/>
  <c r="U584" i="5"/>
  <c r="Y584" i="5" s="1"/>
  <c r="G584" i="5"/>
  <c r="M584" i="5"/>
  <c r="Q584" i="5" s="1"/>
  <c r="AC584" i="5" s="1"/>
  <c r="U558" i="5"/>
  <c r="Y558" i="5" s="1"/>
  <c r="G558" i="5"/>
  <c r="M558" i="5"/>
  <c r="Q558" i="5" s="1"/>
  <c r="AC558" i="5" s="1"/>
  <c r="G798" i="5"/>
  <c r="Q798" i="5"/>
  <c r="AC798" i="5" s="1"/>
  <c r="Y798" i="5"/>
  <c r="M799" i="5"/>
  <c r="Q799" i="5" s="1"/>
  <c r="AC799" i="5" s="1"/>
  <c r="Y799" i="5"/>
  <c r="M800" i="5"/>
  <c r="Q800" i="5" s="1"/>
  <c r="AC800" i="5" s="1"/>
  <c r="Y800" i="5"/>
  <c r="M801" i="5"/>
  <c r="Q801" i="5" s="1"/>
  <c r="AC801" i="5" s="1"/>
  <c r="Y801" i="5"/>
  <c r="U524" i="5"/>
  <c r="Y524" i="5" s="1"/>
  <c r="G770" i="5"/>
  <c r="G782" i="5"/>
  <c r="G787" i="5"/>
  <c r="G805" i="5"/>
  <c r="G809" i="5"/>
  <c r="G816" i="5"/>
  <c r="G823" i="5"/>
  <c r="G828" i="5"/>
  <c r="G836" i="5"/>
  <c r="G840" i="5"/>
  <c r="G841" i="5"/>
  <c r="G852" i="5"/>
  <c r="G856" i="5"/>
  <c r="G857" i="5"/>
  <c r="G867" i="5"/>
  <c r="G879" i="5"/>
  <c r="G887" i="5"/>
  <c r="G890" i="5"/>
  <c r="G891" i="5"/>
  <c r="G893" i="5"/>
  <c r="G894" i="5"/>
  <c r="G895" i="5"/>
  <c r="G896" i="5"/>
  <c r="G897" i="5"/>
  <c r="G898" i="5"/>
  <c r="G899" i="5"/>
  <c r="G900" i="5"/>
  <c r="G906" i="5"/>
  <c r="G910" i="5"/>
  <c r="G915" i="5"/>
  <c r="G922" i="5"/>
  <c r="G927" i="5"/>
  <c r="G935" i="5"/>
  <c r="G945" i="5"/>
  <c r="G949" i="5"/>
  <c r="G953" i="5"/>
  <c r="G959" i="5"/>
  <c r="G960" i="5"/>
  <c r="G961" i="5"/>
  <c r="G962" i="5"/>
  <c r="G963" i="5"/>
  <c r="G966" i="5"/>
  <c r="G971" i="5"/>
  <c r="G975" i="5"/>
  <c r="G979" i="5"/>
  <c r="G982" i="5"/>
  <c r="G983" i="5"/>
  <c r="G987" i="5"/>
  <c r="G988" i="5"/>
  <c r="G989" i="5"/>
  <c r="G990" i="5"/>
  <c r="G991" i="5"/>
  <c r="G992" i="5"/>
  <c r="G994" i="5"/>
  <c r="G996" i="5"/>
  <c r="G997" i="5"/>
  <c r="G1004" i="5"/>
  <c r="G1010" i="5"/>
  <c r="G1017" i="5"/>
  <c r="G1029" i="5"/>
  <c r="G1040" i="5"/>
  <c r="G1051" i="5"/>
  <c r="G1063" i="5"/>
  <c r="G1064" i="5"/>
  <c r="G1065" i="5"/>
  <c r="G1066" i="5"/>
  <c r="G1067" i="5"/>
  <c r="G1071" i="5"/>
  <c r="G1075" i="5"/>
  <c r="G1078" i="5"/>
  <c r="G1083" i="5"/>
  <c r="G1089" i="5"/>
  <c r="G1092" i="5"/>
  <c r="G1098" i="5"/>
  <c r="G1106" i="5"/>
  <c r="G1112" i="5"/>
  <c r="G1113" i="5"/>
  <c r="M763" i="5"/>
  <c r="Q763" i="5" s="1"/>
  <c r="AC763" i="5" s="1"/>
  <c r="M764" i="5"/>
  <c r="Q764" i="5" s="1"/>
  <c r="AC764" i="5" s="1"/>
  <c r="M765" i="5"/>
  <c r="M771" i="5"/>
  <c r="Q771" i="5" s="1"/>
  <c r="AC771" i="5" s="1"/>
  <c r="M772" i="5"/>
  <c r="Q772" i="5" s="1"/>
  <c r="AC772" i="5" s="1"/>
  <c r="M773" i="5"/>
  <c r="Q773" i="5" s="1"/>
  <c r="AC773" i="5" s="1"/>
  <c r="M774" i="5"/>
  <c r="Q774" i="5" s="1"/>
  <c r="AC774" i="5" s="1"/>
  <c r="M775" i="5"/>
  <c r="Q775" i="5" s="1"/>
  <c r="AC775" i="5" s="1"/>
  <c r="M781" i="5"/>
  <c r="Q781" i="5" s="1"/>
  <c r="AC781" i="5" s="1"/>
  <c r="Q782" i="5"/>
  <c r="AC782" i="5" s="1"/>
  <c r="M783" i="5"/>
  <c r="Q783" i="5" s="1"/>
  <c r="AC783" i="5" s="1"/>
  <c r="M785" i="5"/>
  <c r="Q785" i="5" s="1"/>
  <c r="AC785" i="5" s="1"/>
  <c r="M786" i="5"/>
  <c r="Q786" i="5" s="1"/>
  <c r="AC786" i="5" s="1"/>
  <c r="Q787" i="5"/>
  <c r="AC787" i="5" s="1"/>
  <c r="M788" i="5"/>
  <c r="Q788" i="5" s="1"/>
  <c r="AC788" i="5" s="1"/>
  <c r="M789" i="5"/>
  <c r="Q789" i="5" s="1"/>
  <c r="AC789" i="5" s="1"/>
  <c r="M790" i="5"/>
  <c r="Q790" i="5" s="1"/>
  <c r="AC790" i="5" s="1"/>
  <c r="M797" i="5"/>
  <c r="Q797" i="5" s="1"/>
  <c r="AC797" i="5" s="1"/>
  <c r="M802" i="5"/>
  <c r="M806" i="5"/>
  <c r="M807" i="5"/>
  <c r="Q807" i="5" s="1"/>
  <c r="AC807" i="5" s="1"/>
  <c r="M808" i="5"/>
  <c r="Q808" i="5" s="1"/>
  <c r="AC808" i="5" s="1"/>
  <c r="M810" i="5"/>
  <c r="M811" i="5"/>
  <c r="Q811" i="5" s="1"/>
  <c r="AC811" i="5" s="1"/>
  <c r="Q816" i="5"/>
  <c r="AC816" i="5" s="1"/>
  <c r="M819" i="5"/>
  <c r="M820" i="5"/>
  <c r="M824" i="5"/>
  <c r="N824" i="5" s="1"/>
  <c r="M825" i="5"/>
  <c r="M826" i="5"/>
  <c r="M827" i="5"/>
  <c r="M828" i="5"/>
  <c r="M837" i="5"/>
  <c r="M838" i="5"/>
  <c r="N838" i="5" s="1"/>
  <c r="M839" i="5"/>
  <c r="Q840" i="5"/>
  <c r="AC840" i="5" s="1"/>
  <c r="Q841" i="5"/>
  <c r="AC841" i="5" s="1"/>
  <c r="M842" i="5"/>
  <c r="M843" i="5"/>
  <c r="N843" i="5" s="1"/>
  <c r="M844" i="5"/>
  <c r="Q845" i="5"/>
  <c r="AC845" i="5" s="1"/>
  <c r="Q849" i="5"/>
  <c r="AC849" i="5" s="1"/>
  <c r="M853" i="5"/>
  <c r="N853" i="5" s="1"/>
  <c r="M854" i="5"/>
  <c r="N854" i="5" s="1"/>
  <c r="M855" i="5"/>
  <c r="N855" i="5" s="1"/>
  <c r="Q856" i="5"/>
  <c r="AC856" i="5" s="1"/>
  <c r="Q857" i="5"/>
  <c r="AC857" i="5" s="1"/>
  <c r="M858" i="5"/>
  <c r="M859" i="5"/>
  <c r="M860" i="5"/>
  <c r="M866" i="5"/>
  <c r="Q867" i="5"/>
  <c r="AC867" i="5" s="1"/>
  <c r="M868" i="5"/>
  <c r="M869" i="5"/>
  <c r="M870" i="5"/>
  <c r="M874" i="5"/>
  <c r="Q879" i="5"/>
  <c r="AC879" i="5" s="1"/>
  <c r="M880" i="5"/>
  <c r="M881" i="5"/>
  <c r="M882" i="5"/>
  <c r="M883" i="5"/>
  <c r="M884" i="5"/>
  <c r="N884" i="5" s="1"/>
  <c r="M885" i="5"/>
  <c r="N885" i="5" s="1"/>
  <c r="Q887" i="5"/>
  <c r="AC887" i="5" s="1"/>
  <c r="M888" i="5"/>
  <c r="M889" i="5"/>
  <c r="M891" i="5"/>
  <c r="N891" i="5" s="1"/>
  <c r="M893" i="5"/>
  <c r="N893" i="5" s="1"/>
  <c r="M894" i="5"/>
  <c r="M895" i="5"/>
  <c r="M896" i="5"/>
  <c r="M897" i="5"/>
  <c r="M898" i="5"/>
  <c r="Q899" i="5"/>
  <c r="AC899" i="5" s="1"/>
  <c r="Q900" i="5"/>
  <c r="AC900" i="5" s="1"/>
  <c r="M901" i="5"/>
  <c r="M902" i="5"/>
  <c r="M903" i="5"/>
  <c r="M906" i="5"/>
  <c r="M907" i="5"/>
  <c r="Q907" i="5" s="1"/>
  <c r="AC907" i="5" s="1"/>
  <c r="M909" i="5"/>
  <c r="Q909" i="5" s="1"/>
  <c r="AC909" i="5" s="1"/>
  <c r="M910" i="5"/>
  <c r="Q910" i="5" s="1"/>
  <c r="AC910" i="5" s="1"/>
  <c r="M911" i="5"/>
  <c r="Q911" i="5" s="1"/>
  <c r="AC911" i="5" s="1"/>
  <c r="M912" i="5"/>
  <c r="Q912" i="5" s="1"/>
  <c r="AC912" i="5" s="1"/>
  <c r="M913" i="5"/>
  <c r="Q913" i="5" s="1"/>
  <c r="AC913" i="5" s="1"/>
  <c r="M915" i="5"/>
  <c r="Q915" i="5" s="1"/>
  <c r="AC915" i="5" s="1"/>
  <c r="M916" i="5"/>
  <c r="Q916" i="5" s="1"/>
  <c r="AC916" i="5" s="1"/>
  <c r="M917" i="5"/>
  <c r="Q917" i="5" s="1"/>
  <c r="AC917" i="5" s="1"/>
  <c r="M920" i="5"/>
  <c r="Q920" i="5" s="1"/>
  <c r="AC920" i="5" s="1"/>
  <c r="M922" i="5"/>
  <c r="M923" i="5"/>
  <c r="M924" i="5"/>
  <c r="Q924" i="5" s="1"/>
  <c r="AC924" i="5" s="1"/>
  <c r="M926" i="5"/>
  <c r="Q926" i="5" s="1"/>
  <c r="AC926" i="5" s="1"/>
  <c r="M927" i="5"/>
  <c r="M928" i="5"/>
  <c r="M929" i="5"/>
  <c r="M930" i="5"/>
  <c r="M931" i="5"/>
  <c r="Q931" i="5" s="1"/>
  <c r="AC931" i="5" s="1"/>
  <c r="M935" i="5"/>
  <c r="Q935" i="5" s="1"/>
  <c r="AC935" i="5" s="1"/>
  <c r="M936" i="5"/>
  <c r="Q936" i="5" s="1"/>
  <c r="AC936" i="5" s="1"/>
  <c r="M937" i="5"/>
  <c r="Q937" i="5" s="1"/>
  <c r="AC937" i="5" s="1"/>
  <c r="M938" i="5"/>
  <c r="Q938" i="5" s="1"/>
  <c r="AC938" i="5" s="1"/>
  <c r="M945" i="5"/>
  <c r="Q945" i="5" s="1"/>
  <c r="AC945" i="5" s="1"/>
  <c r="M946" i="5"/>
  <c r="Q946" i="5" s="1"/>
  <c r="AC946" i="5" s="1"/>
  <c r="M947" i="5"/>
  <c r="Q947" i="5" s="1"/>
  <c r="AC947" i="5" s="1"/>
  <c r="M948" i="5"/>
  <c r="Q948" i="5" s="1"/>
  <c r="AC948" i="5" s="1"/>
  <c r="M949" i="5"/>
  <c r="Q949" i="5" s="1"/>
  <c r="AC949" i="5" s="1"/>
  <c r="M950" i="5"/>
  <c r="Q950" i="5" s="1"/>
  <c r="AC950" i="5" s="1"/>
  <c r="M951" i="5"/>
  <c r="Q951" i="5" s="1"/>
  <c r="AC951" i="5" s="1"/>
  <c r="M952" i="5"/>
  <c r="Q952" i="5" s="1"/>
  <c r="AC952" i="5" s="1"/>
  <c r="M953" i="5"/>
  <c r="Q953" i="5" s="1"/>
  <c r="AC953" i="5" s="1"/>
  <c r="M954" i="5"/>
  <c r="Q954" i="5" s="1"/>
  <c r="AC954" i="5" s="1"/>
  <c r="M956" i="5"/>
  <c r="M957" i="5"/>
  <c r="M959" i="5"/>
  <c r="M960" i="5"/>
  <c r="Q960" i="5" s="1"/>
  <c r="AC960" i="5" s="1"/>
  <c r="M961" i="5"/>
  <c r="Q961" i="5" s="1"/>
  <c r="AC961" i="5" s="1"/>
  <c r="M962" i="5"/>
  <c r="Q962" i="5" s="1"/>
  <c r="AC962" i="5" s="1"/>
  <c r="M963" i="5"/>
  <c r="Q963" i="5" s="1"/>
  <c r="AC963" i="5" s="1"/>
  <c r="M964" i="5"/>
  <c r="M965" i="5"/>
  <c r="M966" i="5"/>
  <c r="M967" i="5"/>
  <c r="M968" i="5"/>
  <c r="M969" i="5"/>
  <c r="N969" i="5" s="1"/>
  <c r="M970" i="5"/>
  <c r="M971" i="5"/>
  <c r="N971" i="5" s="1"/>
  <c r="M972" i="5"/>
  <c r="N972" i="5" s="1"/>
  <c r="M973" i="5"/>
  <c r="N973" i="5" s="1"/>
  <c r="M974" i="5"/>
  <c r="N974" i="5" s="1"/>
  <c r="M975" i="5"/>
  <c r="M976" i="5"/>
  <c r="M977" i="5"/>
  <c r="M978" i="5"/>
  <c r="M979" i="5"/>
  <c r="M980" i="5"/>
  <c r="M981" i="5"/>
  <c r="M982" i="5"/>
  <c r="M983" i="5"/>
  <c r="M984" i="5"/>
  <c r="M985" i="5"/>
  <c r="N985" i="5" s="1"/>
  <c r="M986" i="5"/>
  <c r="N986" i="5" s="1"/>
  <c r="M987" i="5"/>
  <c r="N987" i="5" s="1"/>
  <c r="M988" i="5"/>
  <c r="N988" i="5" s="1"/>
  <c r="M989" i="5"/>
  <c r="M990" i="5"/>
  <c r="M991" i="5"/>
  <c r="M992" i="5"/>
  <c r="N992" i="5" s="1"/>
  <c r="M993" i="5"/>
  <c r="N993" i="5" s="1"/>
  <c r="M994" i="5"/>
  <c r="M995" i="5"/>
  <c r="M996" i="5"/>
  <c r="Q996" i="5" s="1"/>
  <c r="AC996" i="5" s="1"/>
  <c r="M997" i="5"/>
  <c r="Q997" i="5" s="1"/>
  <c r="AC997" i="5" s="1"/>
  <c r="M998" i="5"/>
  <c r="Q998" i="5" s="1"/>
  <c r="AC998" i="5" s="1"/>
  <c r="M999" i="5"/>
  <c r="Q999" i="5" s="1"/>
  <c r="AC999" i="5" s="1"/>
  <c r="M1002" i="5"/>
  <c r="Q1002" i="5" s="1"/>
  <c r="AC1002" i="5" s="1"/>
  <c r="M1004" i="5"/>
  <c r="Q1004" i="5" s="1"/>
  <c r="AC1004" i="5" s="1"/>
  <c r="M1005" i="5"/>
  <c r="Q1005" i="5" s="1"/>
  <c r="AC1005" i="5" s="1"/>
  <c r="M1006" i="5"/>
  <c r="M1008" i="5"/>
  <c r="M1010" i="5"/>
  <c r="M1011" i="5"/>
  <c r="M1012" i="5"/>
  <c r="Q1012" i="5" s="1"/>
  <c r="AC1012" i="5" s="1"/>
  <c r="M1014" i="5"/>
  <c r="Q1014" i="5" s="1"/>
  <c r="AC1014" i="5" s="1"/>
  <c r="M1017" i="5"/>
  <c r="Q1017" i="5" s="1"/>
  <c r="AC1017" i="5" s="1"/>
  <c r="M1018" i="5"/>
  <c r="Q1018" i="5" s="1"/>
  <c r="AC1018" i="5" s="1"/>
  <c r="M1019" i="5"/>
  <c r="M1020" i="5"/>
  <c r="Q1020" i="5" s="1"/>
  <c r="AC1020" i="5" s="1"/>
  <c r="M1029" i="5"/>
  <c r="M1030" i="5"/>
  <c r="Q1030" i="5" s="1"/>
  <c r="AC1030" i="5" s="1"/>
  <c r="M1031" i="5"/>
  <c r="Q1031" i="5" s="1"/>
  <c r="AC1031" i="5" s="1"/>
  <c r="M1040" i="5"/>
  <c r="Q1040" i="5" s="1"/>
  <c r="AC1040" i="5" s="1"/>
  <c r="M1041" i="5"/>
  <c r="Q1041" i="5" s="1"/>
  <c r="AC1041" i="5" s="1"/>
  <c r="M1042" i="5"/>
  <c r="Q1042" i="5" s="1"/>
  <c r="AC1042" i="5" s="1"/>
  <c r="M1051" i="5"/>
  <c r="M1052" i="5"/>
  <c r="M1053" i="5"/>
  <c r="Q1053" i="5" s="1"/>
  <c r="AC1053" i="5" s="1"/>
  <c r="M1054" i="5"/>
  <c r="Q1054" i="5" s="1"/>
  <c r="AC1054" i="5" s="1"/>
  <c r="M1063" i="5"/>
  <c r="M1064" i="5"/>
  <c r="M1065" i="5"/>
  <c r="M1066" i="5"/>
  <c r="M1067" i="5"/>
  <c r="Q1067" i="5" s="1"/>
  <c r="AC1067" i="5" s="1"/>
  <c r="M1068" i="5"/>
  <c r="Q1068" i="5" s="1"/>
  <c r="AC1068" i="5" s="1"/>
  <c r="M1069" i="5"/>
  <c r="Q1069" i="5" s="1"/>
  <c r="AC1069" i="5" s="1"/>
  <c r="M1071" i="5"/>
  <c r="Q1071" i="5" s="1"/>
  <c r="AC1071" i="5" s="1"/>
  <c r="M1072" i="5"/>
  <c r="Q1072" i="5" s="1"/>
  <c r="AC1072" i="5" s="1"/>
  <c r="M1073" i="5"/>
  <c r="M1074" i="5"/>
  <c r="Q1074" i="5" s="1"/>
  <c r="AC1074" i="5" s="1"/>
  <c r="M1075" i="5"/>
  <c r="Q1075" i="5" s="1"/>
  <c r="AC1075" i="5" s="1"/>
  <c r="M1076" i="5"/>
  <c r="Q1076" i="5" s="1"/>
  <c r="AC1076" i="5" s="1"/>
  <c r="M1077" i="5"/>
  <c r="Q1077" i="5" s="1"/>
  <c r="AC1077" i="5" s="1"/>
  <c r="M1078" i="5"/>
  <c r="Q1078" i="5" s="1"/>
  <c r="AC1078" i="5" s="1"/>
  <c r="M1083" i="5"/>
  <c r="Q1083" i="5" s="1"/>
  <c r="AC1083" i="5" s="1"/>
  <c r="M1084" i="5"/>
  <c r="N1084" i="5" s="1"/>
  <c r="M1085" i="5"/>
  <c r="N1085" i="5" s="1"/>
  <c r="M1086" i="5"/>
  <c r="M1089" i="5"/>
  <c r="M1090" i="5"/>
  <c r="N1090" i="5" s="1"/>
  <c r="M1091" i="5"/>
  <c r="N1091" i="5" s="1"/>
  <c r="M1092" i="5"/>
  <c r="N1092" i="5" s="1"/>
  <c r="M1093" i="5"/>
  <c r="N1093" i="5" s="1"/>
  <c r="M1098" i="5"/>
  <c r="M1099" i="5"/>
  <c r="M1100" i="5"/>
  <c r="M1101" i="5"/>
  <c r="M1106" i="5"/>
  <c r="N1106" i="5" s="1"/>
  <c r="M1107" i="5"/>
  <c r="M1112" i="5"/>
  <c r="N1112" i="5" s="1"/>
  <c r="M1113" i="5"/>
  <c r="M1114" i="5"/>
  <c r="M1115" i="5"/>
  <c r="M1116" i="5"/>
  <c r="N1116" i="5" s="1"/>
  <c r="Y763" i="5"/>
  <c r="Y764" i="5"/>
  <c r="Y765" i="5"/>
  <c r="Y770" i="5"/>
  <c r="Y771" i="5"/>
  <c r="Y772" i="5"/>
  <c r="Y773" i="5"/>
  <c r="Y774" i="5"/>
  <c r="Y775" i="5"/>
  <c r="Y781" i="5"/>
  <c r="Y782" i="5"/>
  <c r="Y783" i="5"/>
  <c r="Y785" i="5"/>
  <c r="Y786" i="5"/>
  <c r="Y787" i="5"/>
  <c r="Y788" i="5"/>
  <c r="Y789" i="5"/>
  <c r="Y790" i="5"/>
  <c r="Y797" i="5"/>
  <c r="Y802" i="5"/>
  <c r="Y805" i="5"/>
  <c r="Y806" i="5"/>
  <c r="Y807" i="5"/>
  <c r="Y808" i="5"/>
  <c r="Y809" i="5"/>
  <c r="Y810" i="5"/>
  <c r="Y811" i="5"/>
  <c r="Y816" i="5"/>
  <c r="Y819" i="5"/>
  <c r="Y820" i="5"/>
  <c r="Y823" i="5"/>
  <c r="Y824" i="5"/>
  <c r="Y825" i="5"/>
  <c r="Y826" i="5"/>
  <c r="Y827" i="5"/>
  <c r="Y828" i="5"/>
  <c r="Y836" i="5"/>
  <c r="Y837" i="5"/>
  <c r="Y838" i="5"/>
  <c r="Y839" i="5"/>
  <c r="Y840" i="5"/>
  <c r="Y841" i="5"/>
  <c r="Y842" i="5"/>
  <c r="Y843" i="5"/>
  <c r="Y844" i="5"/>
  <c r="Y845" i="5"/>
  <c r="Y849" i="5"/>
  <c r="Y852" i="5"/>
  <c r="Y853" i="5"/>
  <c r="Y854" i="5"/>
  <c r="Y855" i="5"/>
  <c r="Y856" i="5"/>
  <c r="Y857" i="5"/>
  <c r="Y858" i="5"/>
  <c r="Y859" i="5"/>
  <c r="Y860" i="5"/>
  <c r="Y866" i="5"/>
  <c r="Y1116" i="5"/>
  <c r="U541" i="5"/>
  <c r="Y541" i="5" s="1"/>
  <c r="M637" i="5"/>
  <c r="Q637" i="5" s="1"/>
  <c r="AC637" i="5" s="1"/>
  <c r="Y637" i="5"/>
  <c r="U557" i="5"/>
  <c r="U652" i="5"/>
  <c r="U540" i="5"/>
  <c r="Y540" i="5" s="1"/>
  <c r="M541" i="5"/>
  <c r="Q541" i="5" s="1"/>
  <c r="AC541" i="5" s="1"/>
  <c r="M693" i="5"/>
  <c r="Q693" i="5" s="1"/>
  <c r="AC693" i="5" s="1"/>
  <c r="Y693" i="5"/>
  <c r="U578" i="5"/>
  <c r="U597" i="5"/>
  <c r="U598" i="5"/>
  <c r="G525" i="5"/>
  <c r="M525" i="5"/>
  <c r="AB525" i="5" s="1"/>
  <c r="Y525" i="5"/>
  <c r="U636" i="5"/>
  <c r="Y636" i="5" s="1"/>
  <c r="M636" i="5"/>
  <c r="Q636" i="5" s="1"/>
  <c r="AC636" i="5" s="1"/>
  <c r="M599" i="5"/>
  <c r="Q599" i="5" s="1"/>
  <c r="AC599" i="5" s="1"/>
  <c r="Y599" i="5"/>
  <c r="G670" i="5"/>
  <c r="M670" i="5"/>
  <c r="AB670" i="5" s="1"/>
  <c r="Y670" i="5"/>
  <c r="U523" i="5"/>
  <c r="M579" i="5"/>
  <c r="Q579" i="5" s="1"/>
  <c r="AC579" i="5" s="1"/>
  <c r="Y579" i="5"/>
  <c r="U690" i="5"/>
  <c r="U691" i="5"/>
  <c r="G692" i="5"/>
  <c r="M692" i="5"/>
  <c r="Q692" i="5" s="1"/>
  <c r="AC692" i="5" s="1"/>
  <c r="U539" i="5"/>
  <c r="G540" i="5"/>
  <c r="M540" i="5"/>
  <c r="AB540" i="5" s="1"/>
  <c r="U635" i="5"/>
  <c r="Y635" i="5" s="1"/>
  <c r="M635" i="5"/>
  <c r="Q635" i="5" s="1"/>
  <c r="AC635" i="5" s="1"/>
  <c r="G524" i="5"/>
  <c r="M524" i="5"/>
  <c r="Q524" i="5" s="1"/>
  <c r="AC524" i="5" s="1"/>
  <c r="Q1115" i="5" l="1"/>
  <c r="AC1115" i="5" s="1"/>
  <c r="N1115" i="5"/>
  <c r="Q1114" i="5"/>
  <c r="AC1114" i="5" s="1"/>
  <c r="N1114" i="5"/>
  <c r="Q1099" i="5"/>
  <c r="AC1099" i="5" s="1"/>
  <c r="N1099" i="5"/>
  <c r="Q1098" i="5"/>
  <c r="AC1098" i="5" s="1"/>
  <c r="N1098" i="5"/>
  <c r="Q1107" i="5"/>
  <c r="AC1107" i="5" s="1"/>
  <c r="N1107" i="5"/>
  <c r="Q1100" i="5"/>
  <c r="AC1100" i="5" s="1"/>
  <c r="N1100" i="5"/>
  <c r="Q1113" i="5"/>
  <c r="AC1113" i="5" s="1"/>
  <c r="N1113" i="5"/>
  <c r="Q1101" i="5"/>
  <c r="AC1101" i="5" s="1"/>
  <c r="N1101" i="5"/>
  <c r="Q1089" i="5"/>
  <c r="AC1089" i="5" s="1"/>
  <c r="N1089" i="5"/>
  <c r="Q1086" i="5"/>
  <c r="AC1086" i="5" s="1"/>
  <c r="N1086" i="5"/>
  <c r="Q995" i="5"/>
  <c r="AC995" i="5" s="1"/>
  <c r="N995" i="5"/>
  <c r="Q994" i="5"/>
  <c r="AC994" i="5" s="1"/>
  <c r="N994" i="5"/>
  <c r="Q839" i="5"/>
  <c r="AC839" i="5" s="1"/>
  <c r="N839" i="5"/>
  <c r="Q967" i="5"/>
  <c r="AC967" i="5" s="1"/>
  <c r="N967" i="5"/>
  <c r="Q895" i="5"/>
  <c r="AC895" i="5" s="1"/>
  <c r="N895" i="5"/>
  <c r="Q826" i="5"/>
  <c r="AC826" i="5" s="1"/>
  <c r="N826" i="5"/>
  <c r="Q980" i="5"/>
  <c r="AC980" i="5" s="1"/>
  <c r="N980" i="5"/>
  <c r="Q858" i="5"/>
  <c r="AC858" i="5" s="1"/>
  <c r="N858" i="5"/>
  <c r="Q978" i="5"/>
  <c r="AC978" i="5" s="1"/>
  <c r="N978" i="5"/>
  <c r="Q888" i="5"/>
  <c r="AC888" i="5" s="1"/>
  <c r="N888" i="5"/>
  <c r="Q898" i="5"/>
  <c r="AC898" i="5" s="1"/>
  <c r="N898" i="5"/>
  <c r="Q976" i="5"/>
  <c r="AC976" i="5" s="1"/>
  <c r="N976" i="5"/>
  <c r="Q983" i="5"/>
  <c r="AC983" i="5" s="1"/>
  <c r="N983" i="5"/>
  <c r="Q896" i="5"/>
  <c r="AC896" i="5" s="1"/>
  <c r="N896" i="5"/>
  <c r="Q827" i="5"/>
  <c r="AC827" i="5" s="1"/>
  <c r="N827" i="5"/>
  <c r="Q966" i="5"/>
  <c r="AC966" i="5" s="1"/>
  <c r="N966" i="5"/>
  <c r="Q965" i="5"/>
  <c r="AC965" i="5" s="1"/>
  <c r="N965" i="5"/>
  <c r="Q991" i="5"/>
  <c r="AC991" i="5" s="1"/>
  <c r="N991" i="5"/>
  <c r="Q975" i="5"/>
  <c r="AC975" i="5" s="1"/>
  <c r="N975" i="5"/>
  <c r="Q842" i="5"/>
  <c r="AC842" i="5" s="1"/>
  <c r="N842" i="5"/>
  <c r="Q869" i="5"/>
  <c r="AC869" i="5" s="1"/>
  <c r="N869" i="5"/>
  <c r="Q837" i="5"/>
  <c r="AC837" i="5" s="1"/>
  <c r="N837" i="5"/>
  <c r="Q982" i="5"/>
  <c r="AC982" i="5" s="1"/>
  <c r="N982" i="5"/>
  <c r="Q859" i="5"/>
  <c r="AC859" i="5" s="1"/>
  <c r="N859" i="5"/>
  <c r="Q964" i="5"/>
  <c r="AC964" i="5" s="1"/>
  <c r="N964" i="5"/>
  <c r="Q990" i="5"/>
  <c r="AC990" i="5" s="1"/>
  <c r="N990" i="5"/>
  <c r="Q883" i="5"/>
  <c r="AC883" i="5" s="1"/>
  <c r="N883" i="5"/>
  <c r="Q880" i="5"/>
  <c r="AC880" i="5" s="1"/>
  <c r="N880" i="5"/>
  <c r="Q874" i="5"/>
  <c r="AC874" i="5" s="1"/>
  <c r="N874" i="5"/>
  <c r="Q870" i="5"/>
  <c r="AC870" i="5" s="1"/>
  <c r="N870" i="5"/>
  <c r="Q968" i="5"/>
  <c r="AC968" i="5" s="1"/>
  <c r="N968" i="5"/>
  <c r="Q897" i="5"/>
  <c r="AC897" i="5" s="1"/>
  <c r="N897" i="5"/>
  <c r="Q828" i="5"/>
  <c r="AC828" i="5" s="1"/>
  <c r="N828" i="5"/>
  <c r="Q981" i="5"/>
  <c r="AC981" i="5" s="1"/>
  <c r="N981" i="5"/>
  <c r="Q860" i="5"/>
  <c r="AC860" i="5" s="1"/>
  <c r="N860" i="5"/>
  <c r="Q825" i="5"/>
  <c r="AC825" i="5" s="1"/>
  <c r="N825" i="5"/>
  <c r="Q889" i="5"/>
  <c r="AC889" i="5" s="1"/>
  <c r="N889" i="5"/>
  <c r="Q989" i="5"/>
  <c r="AC989" i="5" s="1"/>
  <c r="N989" i="5"/>
  <c r="Q882" i="5"/>
  <c r="AC882" i="5" s="1"/>
  <c r="N882" i="5"/>
  <c r="Q844" i="5"/>
  <c r="AC844" i="5" s="1"/>
  <c r="N844" i="5"/>
  <c r="Q984" i="5"/>
  <c r="AC984" i="5" s="1"/>
  <c r="N984" i="5"/>
  <c r="Q970" i="5"/>
  <c r="AC970" i="5" s="1"/>
  <c r="N970" i="5"/>
  <c r="Q868" i="5"/>
  <c r="AC868" i="5" s="1"/>
  <c r="N868" i="5"/>
  <c r="Q866" i="5"/>
  <c r="AC866" i="5" s="1"/>
  <c r="N866" i="5"/>
  <c r="Q894" i="5"/>
  <c r="AC894" i="5" s="1"/>
  <c r="N894" i="5"/>
  <c r="Q979" i="5"/>
  <c r="AC979" i="5" s="1"/>
  <c r="N979" i="5"/>
  <c r="Q977" i="5"/>
  <c r="AC977" i="5" s="1"/>
  <c r="N977" i="5"/>
  <c r="Q881" i="5"/>
  <c r="AC881" i="5" s="1"/>
  <c r="N881" i="5"/>
  <c r="AB717" i="5"/>
  <c r="Q701" i="5"/>
  <c r="AC701" i="5" s="1"/>
  <c r="AB700" i="5"/>
  <c r="N700" i="5"/>
  <c r="N701" i="5"/>
  <c r="AB596" i="5"/>
  <c r="AB584" i="5"/>
  <c r="AB558" i="5"/>
  <c r="AB798" i="5"/>
  <c r="AB800" i="5"/>
  <c r="AB786" i="5"/>
  <c r="AB799" i="5"/>
  <c r="AB849" i="5"/>
  <c r="AB808" i="5"/>
  <c r="AB774" i="5"/>
  <c r="AB840" i="5"/>
  <c r="AB807" i="5"/>
  <c r="AB773" i="5"/>
  <c r="AB839" i="5"/>
  <c r="AB816" i="5"/>
  <c r="N670" i="5"/>
  <c r="Q525" i="5"/>
  <c r="AC525" i="5" s="1"/>
  <c r="AB783" i="5"/>
  <c r="AB843" i="5"/>
  <c r="Q922" i="5"/>
  <c r="AC922" i="5" s="1"/>
  <c r="Q1085" i="5"/>
  <c r="AC1085" i="5" s="1"/>
  <c r="AB801" i="5"/>
  <c r="AB810" i="5"/>
  <c r="AB809" i="5"/>
  <c r="Q1084" i="5"/>
  <c r="AC1084" i="5" s="1"/>
  <c r="AB806" i="5"/>
  <c r="AB838" i="5"/>
  <c r="AB805" i="5"/>
  <c r="Q843" i="5"/>
  <c r="AC843" i="5" s="1"/>
  <c r="AB866" i="5"/>
  <c r="AB802" i="5"/>
  <c r="AB770" i="5"/>
  <c r="AB782" i="5"/>
  <c r="AB844" i="5"/>
  <c r="AB860" i="5"/>
  <c r="AB836" i="5"/>
  <c r="AB765" i="5"/>
  <c r="Q969" i="5"/>
  <c r="AC969" i="5" s="1"/>
  <c r="Q806" i="5"/>
  <c r="AC806" i="5" s="1"/>
  <c r="AB825" i="5"/>
  <c r="Q890" i="5"/>
  <c r="AC890" i="5" s="1"/>
  <c r="Q923" i="5"/>
  <c r="AC923" i="5" s="1"/>
  <c r="Q838" i="5"/>
  <c r="AC838" i="5" s="1"/>
  <c r="Q1073" i="5"/>
  <c r="AC1073" i="5" s="1"/>
  <c r="Q1112" i="5"/>
  <c r="AC1112" i="5" s="1"/>
  <c r="Q1106" i="5"/>
  <c r="AC1106" i="5" s="1"/>
  <c r="Q1029" i="5"/>
  <c r="AC1029" i="5" s="1"/>
  <c r="Q802" i="5"/>
  <c r="AC802" i="5" s="1"/>
  <c r="AB772" i="5"/>
  <c r="AB845" i="5"/>
  <c r="AB811" i="5"/>
  <c r="AB785" i="5"/>
  <c r="Q993" i="5"/>
  <c r="AC993" i="5" s="1"/>
  <c r="Q810" i="5"/>
  <c r="AC810" i="5" s="1"/>
  <c r="Q765" i="5"/>
  <c r="AC765" i="5" s="1"/>
  <c r="AB842" i="5"/>
  <c r="AB781" i="5"/>
  <c r="Q805" i="5"/>
  <c r="AC805" i="5" s="1"/>
  <c r="Q1019" i="5"/>
  <c r="AC1019" i="5" s="1"/>
  <c r="AB837" i="5"/>
  <c r="Q893" i="5"/>
  <c r="AC893" i="5" s="1"/>
  <c r="Q836" i="5"/>
  <c r="AC836" i="5" s="1"/>
  <c r="AB797" i="5"/>
  <c r="AB771" i="5"/>
  <c r="Q1052" i="5"/>
  <c r="AC1052" i="5" s="1"/>
  <c r="Q992" i="5"/>
  <c r="AC992" i="5" s="1"/>
  <c r="Q809" i="5"/>
  <c r="AC809" i="5" s="1"/>
  <c r="AB1116" i="5"/>
  <c r="AB841" i="5"/>
  <c r="AB775" i="5"/>
  <c r="AB826" i="5"/>
  <c r="Q891" i="5"/>
  <c r="AC891" i="5" s="1"/>
  <c r="Q770" i="5"/>
  <c r="AC770" i="5" s="1"/>
  <c r="Q1116" i="5"/>
  <c r="AC1116" i="5" s="1"/>
  <c r="Q1051" i="5"/>
  <c r="AC1051" i="5" s="1"/>
  <c r="Q1093" i="5"/>
  <c r="AC1093" i="5" s="1"/>
  <c r="Q987" i="5"/>
  <c r="AC987" i="5" s="1"/>
  <c r="Q1008" i="5"/>
  <c r="AC1008" i="5" s="1"/>
  <c r="Q957" i="5"/>
  <c r="AC957" i="5" s="1"/>
  <c r="Q902" i="5"/>
  <c r="AC902" i="5" s="1"/>
  <c r="Q820" i="5"/>
  <c r="AC820" i="5" s="1"/>
  <c r="AB820" i="5"/>
  <c r="AB789" i="5"/>
  <c r="Q1063" i="5"/>
  <c r="AC1063" i="5" s="1"/>
  <c r="AB788" i="5"/>
  <c r="AB858" i="5"/>
  <c r="Q929" i="5"/>
  <c r="AC929" i="5" s="1"/>
  <c r="Q985" i="5"/>
  <c r="AC985" i="5" s="1"/>
  <c r="Q852" i="5"/>
  <c r="AC852" i="5" s="1"/>
  <c r="AB852" i="5"/>
  <c r="AB857" i="5"/>
  <c r="Q1011" i="5"/>
  <c r="AC1011" i="5" s="1"/>
  <c r="Q824" i="5"/>
  <c r="AC824" i="5" s="1"/>
  <c r="AB824" i="5"/>
  <c r="Q1092" i="5"/>
  <c r="AC1092" i="5" s="1"/>
  <c r="Q1091" i="5"/>
  <c r="AC1091" i="5" s="1"/>
  <c r="Q974" i="5"/>
  <c r="AC974" i="5" s="1"/>
  <c r="Q927" i="5"/>
  <c r="AC927" i="5" s="1"/>
  <c r="Q959" i="5"/>
  <c r="AC959" i="5" s="1"/>
  <c r="Q886" i="5"/>
  <c r="AC886" i="5" s="1"/>
  <c r="Q1064" i="5"/>
  <c r="AC1064" i="5" s="1"/>
  <c r="Q928" i="5"/>
  <c r="AC928" i="5" s="1"/>
  <c r="Q853" i="5"/>
  <c r="AC853" i="5" s="1"/>
  <c r="AB853" i="5"/>
  <c r="AB787" i="5"/>
  <c r="AB856" i="5"/>
  <c r="AB764" i="5"/>
  <c r="Q1066" i="5"/>
  <c r="AC1066" i="5" s="1"/>
  <c r="Q930" i="5"/>
  <c r="AC930" i="5" s="1"/>
  <c r="Q855" i="5"/>
  <c r="AC855" i="5" s="1"/>
  <c r="AB855" i="5"/>
  <c r="Q1010" i="5"/>
  <c r="AC1010" i="5" s="1"/>
  <c r="Q823" i="5"/>
  <c r="AC823" i="5" s="1"/>
  <c r="AB823" i="5"/>
  <c r="AB790" i="5"/>
  <c r="Q986" i="5"/>
  <c r="AC986" i="5" s="1"/>
  <c r="Q1090" i="5"/>
  <c r="AC1090" i="5" s="1"/>
  <c r="Q971" i="5"/>
  <c r="AC971" i="5" s="1"/>
  <c r="Q884" i="5"/>
  <c r="AC884" i="5" s="1"/>
  <c r="Q819" i="5"/>
  <c r="AC819" i="5" s="1"/>
  <c r="AB819" i="5"/>
  <c r="AB859" i="5"/>
  <c r="Q988" i="5"/>
  <c r="AC988" i="5" s="1"/>
  <c r="Q1065" i="5"/>
  <c r="AC1065" i="5" s="1"/>
  <c r="Q973" i="5"/>
  <c r="AC973" i="5" s="1"/>
  <c r="Q903" i="5"/>
  <c r="AC903" i="5" s="1"/>
  <c r="Q854" i="5"/>
  <c r="AC854" i="5" s="1"/>
  <c r="AB854" i="5"/>
  <c r="Q972" i="5"/>
  <c r="AC972" i="5" s="1"/>
  <c r="Q885" i="5"/>
  <c r="AC885" i="5" s="1"/>
  <c r="Q956" i="5"/>
  <c r="AC956" i="5" s="1"/>
  <c r="AB828" i="5"/>
  <c r="Q906" i="5"/>
  <c r="AC906" i="5" s="1"/>
  <c r="Q1006" i="5"/>
  <c r="AC1006" i="5" s="1"/>
  <c r="Q901" i="5"/>
  <c r="AC901" i="5" s="1"/>
  <c r="AB763" i="5"/>
  <c r="AB827" i="5"/>
  <c r="AB693" i="5"/>
  <c r="AB599" i="5"/>
  <c r="AB637" i="5"/>
  <c r="AB541" i="5"/>
  <c r="Q540" i="5"/>
  <c r="AC540" i="5" s="1"/>
  <c r="Q670" i="5"/>
  <c r="AC670" i="5" s="1"/>
  <c r="AB636" i="5"/>
  <c r="AB579" i="5"/>
  <c r="AB692" i="5"/>
  <c r="AB635" i="5"/>
  <c r="AB524" i="5"/>
  <c r="U576" i="5" l="1"/>
  <c r="U634" i="5" l="1"/>
  <c r="U651" i="5"/>
  <c r="M653" i="5"/>
  <c r="Y653" i="5"/>
  <c r="U538" i="5"/>
  <c r="M539" i="5"/>
  <c r="Q539" i="5" s="1"/>
  <c r="AC539" i="5" s="1"/>
  <c r="Y539" i="5"/>
  <c r="G598" i="5"/>
  <c r="M598" i="5"/>
  <c r="Q598" i="5" s="1"/>
  <c r="AC598" i="5" s="1"/>
  <c r="Y598" i="5"/>
  <c r="M578" i="5"/>
  <c r="Q578" i="5" s="1"/>
  <c r="AC578" i="5" s="1"/>
  <c r="Y578" i="5"/>
  <c r="AB653" i="5" l="1"/>
  <c r="N653" i="5"/>
  <c r="AB539" i="5"/>
  <c r="Q653" i="5"/>
  <c r="AC653" i="5" s="1"/>
  <c r="AB598" i="5"/>
  <c r="AB578" i="5"/>
  <c r="U668" i="5" l="1"/>
  <c r="U368" i="5" l="1"/>
  <c r="Y368" i="5" s="1"/>
  <c r="G368" i="5"/>
  <c r="M368" i="5"/>
  <c r="U375" i="5"/>
  <c r="Y375" i="5" s="1"/>
  <c r="U371" i="5"/>
  <c r="Y371" i="5" s="1"/>
  <c r="U372" i="5"/>
  <c r="Y372" i="5" s="1"/>
  <c r="K372" i="5"/>
  <c r="M372" i="5" s="1"/>
  <c r="K373" i="5"/>
  <c r="M373" i="5" s="1"/>
  <c r="K374" i="5"/>
  <c r="M374" i="5" s="1"/>
  <c r="K375" i="5"/>
  <c r="M375" i="5" s="1"/>
  <c r="N375" i="5" s="1"/>
  <c r="K371" i="5"/>
  <c r="M371" i="5" s="1"/>
  <c r="N371" i="5" s="1"/>
  <c r="G375" i="5"/>
  <c r="D372" i="5"/>
  <c r="D373" i="5"/>
  <c r="D371" i="5"/>
  <c r="G371" i="5"/>
  <c r="G372" i="5"/>
  <c r="U715" i="5"/>
  <c r="U716" i="5"/>
  <c r="Y716" i="5" s="1"/>
  <c r="M716" i="5"/>
  <c r="M718" i="5"/>
  <c r="Y718" i="5"/>
  <c r="G719" i="5"/>
  <c r="M719" i="5"/>
  <c r="Q719" i="5" s="1"/>
  <c r="AC719" i="5" s="1"/>
  <c r="Y719" i="5"/>
  <c r="U556" i="5"/>
  <c r="M557" i="5"/>
  <c r="Q557" i="5" s="1"/>
  <c r="AC557" i="5" s="1"/>
  <c r="Y557" i="5"/>
  <c r="U729" i="5"/>
  <c r="U730" i="5"/>
  <c r="U631" i="5"/>
  <c r="U632" i="5"/>
  <c r="U633" i="5"/>
  <c r="U575" i="5"/>
  <c r="Y575" i="5" s="1"/>
  <c r="M576" i="5"/>
  <c r="Q576" i="5" s="1"/>
  <c r="AC576" i="5" s="1"/>
  <c r="Y576" i="5"/>
  <c r="U650" i="5"/>
  <c r="U537" i="5"/>
  <c r="Y537" i="5" s="1"/>
  <c r="U615" i="5"/>
  <c r="G617" i="5"/>
  <c r="M617" i="5"/>
  <c r="Q617" i="5" s="1"/>
  <c r="AC617" i="5" s="1"/>
  <c r="Y617" i="5"/>
  <c r="U714" i="5"/>
  <c r="U555" i="5"/>
  <c r="U689" i="5"/>
  <c r="M690" i="5"/>
  <c r="Q690" i="5" s="1"/>
  <c r="AC690" i="5" s="1"/>
  <c r="Y690" i="5"/>
  <c r="G703" i="5"/>
  <c r="M703" i="5"/>
  <c r="Q703" i="5" s="1"/>
  <c r="AC703" i="5" s="1"/>
  <c r="Y703" i="5"/>
  <c r="U574" i="5"/>
  <c r="Y574" i="5" s="1"/>
  <c r="U728" i="5"/>
  <c r="U536" i="5"/>
  <c r="M537" i="5"/>
  <c r="Q537" i="5" s="1"/>
  <c r="AC537" i="5" s="1"/>
  <c r="U520" i="5"/>
  <c r="U521" i="5"/>
  <c r="U522" i="5"/>
  <c r="Y522" i="5" s="1"/>
  <c r="M597" i="5"/>
  <c r="Q597" i="5" s="1"/>
  <c r="AC597" i="5" s="1"/>
  <c r="Y597" i="5"/>
  <c r="M668" i="5"/>
  <c r="Y668" i="5"/>
  <c r="M522" i="5"/>
  <c r="Q522" i="5" s="1"/>
  <c r="AC522" i="5" s="1"/>
  <c r="G523" i="5"/>
  <c r="M523" i="5"/>
  <c r="AB523" i="5" s="1"/>
  <c r="Y523" i="5"/>
  <c r="M575" i="5"/>
  <c r="Q575" i="5" s="1"/>
  <c r="AC575" i="5" s="1"/>
  <c r="U357" i="5"/>
  <c r="Y357" i="5" s="1"/>
  <c r="U358" i="5"/>
  <c r="Y358" i="5" s="1"/>
  <c r="U359" i="5"/>
  <c r="Y359" i="5" s="1"/>
  <c r="U360" i="5"/>
  <c r="Y360" i="5" s="1"/>
  <c r="U361" i="5"/>
  <c r="Y361" i="5" s="1"/>
  <c r="U362" i="5"/>
  <c r="Y362" i="5" s="1"/>
  <c r="U363" i="5"/>
  <c r="Y363" i="5" s="1"/>
  <c r="U364" i="5"/>
  <c r="Y364" i="5" s="1"/>
  <c r="U365" i="5"/>
  <c r="Y365" i="5" s="1"/>
  <c r="U366" i="5"/>
  <c r="Y366" i="5" s="1"/>
  <c r="U367" i="5"/>
  <c r="Y367" i="5" s="1"/>
  <c r="U369" i="5"/>
  <c r="Y369" i="5" s="1"/>
  <c r="U370" i="5"/>
  <c r="Y370" i="5" s="1"/>
  <c r="U373" i="5"/>
  <c r="Y373" i="5" s="1"/>
  <c r="U374" i="5"/>
  <c r="Y374" i="5" s="1"/>
  <c r="U376" i="5"/>
  <c r="Y376" i="5" s="1"/>
  <c r="U377" i="5"/>
  <c r="Y377" i="5" s="1"/>
  <c r="U378" i="5"/>
  <c r="Y378" i="5" s="1"/>
  <c r="U379" i="5"/>
  <c r="Y379" i="5" s="1"/>
  <c r="U380" i="5"/>
  <c r="Y380" i="5" s="1"/>
  <c r="U381" i="5"/>
  <c r="Y381" i="5" s="1"/>
  <c r="G366" i="5"/>
  <c r="M366" i="5"/>
  <c r="G362" i="5"/>
  <c r="M362" i="5"/>
  <c r="M358" i="5"/>
  <c r="G378" i="5"/>
  <c r="M378" i="5"/>
  <c r="G379" i="5"/>
  <c r="M379" i="5"/>
  <c r="G356" i="5"/>
  <c r="M356" i="5"/>
  <c r="Q356" i="5" s="1"/>
  <c r="AC356" i="5" s="1"/>
  <c r="M357" i="5"/>
  <c r="M359" i="5"/>
  <c r="G360" i="5"/>
  <c r="M360" i="5"/>
  <c r="Q360" i="5" s="1"/>
  <c r="AC360" i="5" s="1"/>
  <c r="M361" i="5"/>
  <c r="M363" i="5"/>
  <c r="G364" i="5"/>
  <c r="M364" i="5"/>
  <c r="Q364" i="5" s="1"/>
  <c r="AC364" i="5" s="1"/>
  <c r="M365" i="5"/>
  <c r="G367" i="5"/>
  <c r="M367" i="5"/>
  <c r="G369" i="5"/>
  <c r="M369" i="5"/>
  <c r="Q369" i="5" s="1"/>
  <c r="AC369" i="5" s="1"/>
  <c r="M370" i="5"/>
  <c r="G373" i="5"/>
  <c r="G374" i="5"/>
  <c r="G376" i="5"/>
  <c r="M376" i="5"/>
  <c r="Q376" i="5" s="1"/>
  <c r="AC376" i="5" s="1"/>
  <c r="M377" i="5"/>
  <c r="G380" i="5"/>
  <c r="M380" i="5"/>
  <c r="G381" i="5"/>
  <c r="M381" i="5"/>
  <c r="G383" i="5"/>
  <c r="M383" i="5"/>
  <c r="Q383" i="5" s="1"/>
  <c r="AC383" i="5" s="1"/>
  <c r="Y383" i="5"/>
  <c r="U352" i="5"/>
  <c r="U353" i="5"/>
  <c r="U354" i="5"/>
  <c r="U355" i="5"/>
  <c r="U333" i="5"/>
  <c r="Y333" i="5" s="1"/>
  <c r="U334" i="5"/>
  <c r="Y334" i="5" s="1"/>
  <c r="Y335" i="5"/>
  <c r="U336" i="5"/>
  <c r="Y336" i="5" s="1"/>
  <c r="U337" i="5"/>
  <c r="Y337" i="5" s="1"/>
  <c r="U331" i="5"/>
  <c r="Y331" i="5" s="1"/>
  <c r="U320" i="5"/>
  <c r="U321" i="5"/>
  <c r="U322" i="5"/>
  <c r="U323" i="5"/>
  <c r="U324" i="5"/>
  <c r="U325" i="5"/>
  <c r="U326" i="5"/>
  <c r="U328" i="5"/>
  <c r="Y328" i="5" s="1"/>
  <c r="U329" i="5"/>
  <c r="Y329" i="5" s="1"/>
  <c r="U330" i="5"/>
  <c r="Y330" i="5" s="1"/>
  <c r="D330" i="5"/>
  <c r="D331" i="5"/>
  <c r="D329" i="5"/>
  <c r="D323" i="5"/>
  <c r="D324" i="5"/>
  <c r="D325" i="5"/>
  <c r="D326" i="5"/>
  <c r="D322" i="5"/>
  <c r="G327" i="5"/>
  <c r="M327" i="5"/>
  <c r="Q327" i="5" s="1"/>
  <c r="AC327" i="5" s="1"/>
  <c r="M328" i="5"/>
  <c r="AB328" i="5" s="1"/>
  <c r="M329" i="5"/>
  <c r="AB329" i="5" s="1"/>
  <c r="M330" i="5"/>
  <c r="Q330" i="5" s="1"/>
  <c r="AC330" i="5" s="1"/>
  <c r="M331" i="5"/>
  <c r="Q331" i="5" s="1"/>
  <c r="AC331" i="5" s="1"/>
  <c r="G332" i="5"/>
  <c r="M332" i="5"/>
  <c r="Q332" i="5" s="1"/>
  <c r="AC332" i="5" s="1"/>
  <c r="Y332" i="5"/>
  <c r="M333" i="5"/>
  <c r="Q333" i="5" s="1"/>
  <c r="AC333" i="5" s="1"/>
  <c r="M334" i="5"/>
  <c r="Q334" i="5" s="1"/>
  <c r="AC334" i="5" s="1"/>
  <c r="G335" i="5"/>
  <c r="M335" i="5"/>
  <c r="Q335" i="5" s="1"/>
  <c r="AC335" i="5" s="1"/>
  <c r="M336" i="5"/>
  <c r="Q336" i="5" s="1"/>
  <c r="AC336" i="5" s="1"/>
  <c r="M337" i="5"/>
  <c r="Q337" i="5" s="1"/>
  <c r="AC337" i="5" s="1"/>
  <c r="G338" i="5"/>
  <c r="M338" i="5"/>
  <c r="Q338" i="5" s="1"/>
  <c r="AC338" i="5" s="1"/>
  <c r="Y338" i="5"/>
  <c r="U318" i="5"/>
  <c r="Y318" i="5" s="1"/>
  <c r="U319" i="5"/>
  <c r="Y319" i="5" s="1"/>
  <c r="K313" i="5"/>
  <c r="K314" i="5"/>
  <c r="K315" i="5"/>
  <c r="K316" i="5"/>
  <c r="K317" i="5"/>
  <c r="K318" i="5"/>
  <c r="M318" i="5" s="1"/>
  <c r="Q318" i="5" s="1"/>
  <c r="AC318" i="5" s="1"/>
  <c r="K319" i="5"/>
  <c r="M319" i="5" s="1"/>
  <c r="K312" i="5"/>
  <c r="D313" i="5"/>
  <c r="D314" i="5"/>
  <c r="D315" i="5"/>
  <c r="D316" i="5"/>
  <c r="D317" i="5"/>
  <c r="D318" i="5"/>
  <c r="D319" i="5"/>
  <c r="D312" i="5"/>
  <c r="G318" i="5"/>
  <c r="U535" i="5"/>
  <c r="M574" i="5"/>
  <c r="Q574" i="5" s="1"/>
  <c r="AC574" i="5" s="1"/>
  <c r="Q377" i="5" l="1"/>
  <c r="AC377" i="5" s="1"/>
  <c r="N377" i="5"/>
  <c r="Q380" i="5"/>
  <c r="AC380" i="5" s="1"/>
  <c r="N380" i="5"/>
  <c r="Q378" i="5"/>
  <c r="AC378" i="5" s="1"/>
  <c r="N378" i="5"/>
  <c r="Q379" i="5"/>
  <c r="AC379" i="5" s="1"/>
  <c r="N379" i="5"/>
  <c r="Q381" i="5"/>
  <c r="AC381" i="5" s="1"/>
  <c r="N381" i="5"/>
  <c r="Q718" i="5"/>
  <c r="AC718" i="5" s="1"/>
  <c r="N718" i="5"/>
  <c r="Q716" i="5"/>
  <c r="AC716" i="5" s="1"/>
  <c r="N716" i="5"/>
  <c r="AB617" i="5"/>
  <c r="Q358" i="5"/>
  <c r="AC358" i="5" s="1"/>
  <c r="N358" i="5"/>
  <c r="Q359" i="5"/>
  <c r="AC359" i="5" s="1"/>
  <c r="N359" i="5"/>
  <c r="Q367" i="5"/>
  <c r="AC367" i="5" s="1"/>
  <c r="N367" i="5"/>
  <c r="Q363" i="5"/>
  <c r="AC363" i="5" s="1"/>
  <c r="N363" i="5"/>
  <c r="Q362" i="5"/>
  <c r="AC362" i="5" s="1"/>
  <c r="N362" i="5"/>
  <c r="Q368" i="5"/>
  <c r="AC368" i="5" s="1"/>
  <c r="N368" i="5"/>
  <c r="Q370" i="5"/>
  <c r="AC370" i="5" s="1"/>
  <c r="N370" i="5"/>
  <c r="Q374" i="5"/>
  <c r="AC374" i="5" s="1"/>
  <c r="N374" i="5"/>
  <c r="Q357" i="5"/>
  <c r="AC357" i="5" s="1"/>
  <c r="N357" i="5"/>
  <c r="Q372" i="5"/>
  <c r="AC372" i="5" s="1"/>
  <c r="N372" i="5"/>
  <c r="Q365" i="5"/>
  <c r="AC365" i="5" s="1"/>
  <c r="N365" i="5"/>
  <c r="Q361" i="5"/>
  <c r="AC361" i="5" s="1"/>
  <c r="N361" i="5"/>
  <c r="Q373" i="5"/>
  <c r="AC373" i="5" s="1"/>
  <c r="N373" i="5"/>
  <c r="AB366" i="5"/>
  <c r="N366" i="5"/>
  <c r="Q668" i="5"/>
  <c r="AC668" i="5" s="1"/>
  <c r="N668" i="5"/>
  <c r="AB368" i="5"/>
  <c r="AB371" i="5"/>
  <c r="Q371" i="5"/>
  <c r="AC371" i="5" s="1"/>
  <c r="AB375" i="5"/>
  <c r="Q375" i="5"/>
  <c r="AC375" i="5" s="1"/>
  <c r="AB372" i="5"/>
  <c r="AB719" i="5"/>
  <c r="AB716" i="5"/>
  <c r="AB718" i="5"/>
  <c r="AB557" i="5"/>
  <c r="AB576" i="5"/>
  <c r="Q523" i="5"/>
  <c r="AC523" i="5" s="1"/>
  <c r="AB703" i="5"/>
  <c r="AB690" i="5"/>
  <c r="AB522" i="5"/>
  <c r="AB597" i="5"/>
  <c r="AB537" i="5"/>
  <c r="AB668" i="5"/>
  <c r="AB358" i="5"/>
  <c r="Q366" i="5"/>
  <c r="AC366" i="5" s="1"/>
  <c r="AB575" i="5"/>
  <c r="AB362" i="5"/>
  <c r="AB378" i="5"/>
  <c r="AB379" i="5"/>
  <c r="AB357" i="5"/>
  <c r="AB359" i="5"/>
  <c r="AB360" i="5"/>
  <c r="AB361" i="5"/>
  <c r="AB363" i="5"/>
  <c r="AB364" i="5"/>
  <c r="AB365" i="5"/>
  <c r="AB369" i="5"/>
  <c r="AB367" i="5"/>
  <c r="AB370" i="5"/>
  <c r="AB373" i="5"/>
  <c r="AB374" i="5"/>
  <c r="AB376" i="5"/>
  <c r="AB377" i="5"/>
  <c r="AB381" i="5"/>
  <c r="AB380" i="5"/>
  <c r="AB383" i="5"/>
  <c r="Q329" i="5"/>
  <c r="AC329" i="5" s="1"/>
  <c r="AB331" i="5"/>
  <c r="Q328" i="5"/>
  <c r="AC328" i="5" s="1"/>
  <c r="AB330" i="5"/>
  <c r="AB332" i="5"/>
  <c r="AB333" i="5"/>
  <c r="AB334" i="5"/>
  <c r="AB335" i="5"/>
  <c r="AB337" i="5"/>
  <c r="AB336" i="5"/>
  <c r="AB338" i="5"/>
  <c r="AB319" i="5"/>
  <c r="Q319" i="5"/>
  <c r="AC319" i="5" s="1"/>
  <c r="AB574" i="5"/>
  <c r="AB318" i="5"/>
  <c r="M632" i="5" l="1"/>
  <c r="Q632" i="5" s="1"/>
  <c r="AC632" i="5" s="1"/>
  <c r="Y632" i="5"/>
  <c r="M633" i="5"/>
  <c r="Q633" i="5" s="1"/>
  <c r="AC633" i="5" s="1"/>
  <c r="Y633" i="5"/>
  <c r="M555" i="5"/>
  <c r="Q555" i="5" s="1"/>
  <c r="AC555" i="5" s="1"/>
  <c r="Y555" i="5"/>
  <c r="M556" i="5"/>
  <c r="Q556" i="5" s="1"/>
  <c r="AC556" i="5" s="1"/>
  <c r="Y556" i="5"/>
  <c r="G650" i="5"/>
  <c r="M650" i="5"/>
  <c r="Y650" i="5"/>
  <c r="M651" i="5"/>
  <c r="Y651" i="5"/>
  <c r="M652" i="5"/>
  <c r="Y652" i="5"/>
  <c r="M535" i="5"/>
  <c r="Q535" i="5" s="1"/>
  <c r="AC535" i="5" s="1"/>
  <c r="Y535" i="5"/>
  <c r="M536" i="5"/>
  <c r="Q536" i="5" s="1"/>
  <c r="AC536" i="5" s="1"/>
  <c r="Y536" i="5"/>
  <c r="M689" i="5"/>
  <c r="Y689" i="5"/>
  <c r="U571" i="5"/>
  <c r="U572" i="5"/>
  <c r="Y572" i="5" s="1"/>
  <c r="U573" i="5"/>
  <c r="Y573" i="5" s="1"/>
  <c r="U577" i="5"/>
  <c r="U580" i="5"/>
  <c r="M572" i="5"/>
  <c r="AB572" i="5" s="1"/>
  <c r="M573" i="5"/>
  <c r="AB573" i="5" s="1"/>
  <c r="M660" i="5"/>
  <c r="Y660" i="5"/>
  <c r="G661" i="5"/>
  <c r="M661" i="5"/>
  <c r="Q661" i="5" s="1"/>
  <c r="AC661" i="5" s="1"/>
  <c r="Y661" i="5"/>
  <c r="M512" i="5"/>
  <c r="Q512" i="5" s="1"/>
  <c r="AC512" i="5" s="1"/>
  <c r="Y512" i="5"/>
  <c r="U630" i="5"/>
  <c r="M629" i="5"/>
  <c r="U699" i="5"/>
  <c r="U593" i="5"/>
  <c r="U594" i="5"/>
  <c r="U595" i="5"/>
  <c r="U600" i="5"/>
  <c r="U687" i="5"/>
  <c r="U688" i="5"/>
  <c r="U694" i="5"/>
  <c r="U686" i="5"/>
  <c r="U570" i="5"/>
  <c r="AB660" i="5" l="1"/>
  <c r="N660" i="5"/>
  <c r="Q652" i="5"/>
  <c r="AC652" i="5" s="1"/>
  <c r="N652" i="5"/>
  <c r="Q689" i="5"/>
  <c r="AC689" i="5" s="1"/>
  <c r="N689" i="5"/>
  <c r="AB651" i="5"/>
  <c r="N651" i="5"/>
  <c r="AB650" i="5"/>
  <c r="N650" i="5"/>
  <c r="Q573" i="5"/>
  <c r="AC573" i="5" s="1"/>
  <c r="AB633" i="5"/>
  <c r="AB632" i="5"/>
  <c r="Q651" i="5"/>
  <c r="AC651" i="5" s="1"/>
  <c r="AB556" i="5"/>
  <c r="Q650" i="5"/>
  <c r="AC650" i="5" s="1"/>
  <c r="AB555" i="5"/>
  <c r="Q572" i="5"/>
  <c r="AC572" i="5" s="1"/>
  <c r="AB652" i="5"/>
  <c r="AB689" i="5"/>
  <c r="AB536" i="5"/>
  <c r="AB535" i="5"/>
  <c r="AB661" i="5"/>
  <c r="Q660" i="5"/>
  <c r="AC660" i="5" s="1"/>
  <c r="AB512" i="5"/>
  <c r="U647" i="5"/>
  <c r="U648" i="5"/>
  <c r="Y648" i="5" s="1"/>
  <c r="U649" i="5"/>
  <c r="Y649" i="5" s="1"/>
  <c r="U533" i="5"/>
  <c r="U534" i="5"/>
  <c r="Y534" i="5" s="1"/>
  <c r="Y538" i="5"/>
  <c r="U614" i="5"/>
  <c r="U585" i="5"/>
  <c r="U586" i="5"/>
  <c r="Y586" i="5" s="1"/>
  <c r="M586" i="5"/>
  <c r="Q586" i="5" s="1"/>
  <c r="AC586" i="5" s="1"/>
  <c r="G587" i="5"/>
  <c r="AB587" i="5"/>
  <c r="Y587" i="5"/>
  <c r="U726" i="5"/>
  <c r="U727" i="5"/>
  <c r="G714" i="5"/>
  <c r="M714" i="5"/>
  <c r="Q714" i="5" s="1"/>
  <c r="AC714" i="5" s="1"/>
  <c r="Y714" i="5"/>
  <c r="M715" i="5"/>
  <c r="N715" i="5" s="1"/>
  <c r="Y715" i="5"/>
  <c r="U551" i="5"/>
  <c r="U552" i="5"/>
  <c r="U553" i="5"/>
  <c r="Y553" i="5" s="1"/>
  <c r="U554" i="5"/>
  <c r="Y554" i="5" s="1"/>
  <c r="M553" i="5"/>
  <c r="Q553" i="5" s="1"/>
  <c r="AC553" i="5" s="1"/>
  <c r="M554" i="5"/>
  <c r="AB554" i="5" s="1"/>
  <c r="M559" i="5"/>
  <c r="Q559" i="5" s="1"/>
  <c r="AC559" i="5" s="1"/>
  <c r="Y559" i="5"/>
  <c r="U684" i="5"/>
  <c r="U685" i="5"/>
  <c r="Y685" i="5" s="1"/>
  <c r="M687" i="5"/>
  <c r="Q687" i="5" s="1"/>
  <c r="AC687" i="5" s="1"/>
  <c r="M688" i="5"/>
  <c r="Y688" i="5"/>
  <c r="G691" i="5"/>
  <c r="M691" i="5"/>
  <c r="Q691" i="5" s="1"/>
  <c r="AC691" i="5" s="1"/>
  <c r="Y691" i="5"/>
  <c r="U569" i="5"/>
  <c r="U646" i="5"/>
  <c r="M648" i="5"/>
  <c r="N648" i="5" s="1"/>
  <c r="M649" i="5"/>
  <c r="M534" i="5"/>
  <c r="Q534" i="5" s="1"/>
  <c r="AC534" i="5" s="1"/>
  <c r="G538" i="5"/>
  <c r="M538" i="5"/>
  <c r="Q538" i="5" s="1"/>
  <c r="AC538" i="5" s="1"/>
  <c r="M702" i="5"/>
  <c r="Y702" i="5"/>
  <c r="M520" i="5"/>
  <c r="AB520" i="5" s="1"/>
  <c r="Y520" i="5"/>
  <c r="M521" i="5"/>
  <c r="AB521" i="5" s="1"/>
  <c r="Y521" i="5"/>
  <c r="U629" i="5"/>
  <c r="M630" i="5"/>
  <c r="Q630" i="5" s="1"/>
  <c r="AC630" i="5" s="1"/>
  <c r="Y630" i="5"/>
  <c r="M631" i="5"/>
  <c r="AB631" i="5" s="1"/>
  <c r="Y631" i="5"/>
  <c r="M634" i="5"/>
  <c r="AB634" i="5" s="1"/>
  <c r="Y634" i="5"/>
  <c r="M594" i="5"/>
  <c r="Q594" i="5" s="1"/>
  <c r="AC594" i="5" s="1"/>
  <c r="Y594" i="5"/>
  <c r="M595" i="5"/>
  <c r="Q595" i="5" s="1"/>
  <c r="AC595" i="5" s="1"/>
  <c r="Y595" i="5"/>
  <c r="M685" i="5"/>
  <c r="Q685" i="5" s="1"/>
  <c r="AC685" i="5" s="1"/>
  <c r="M570" i="5"/>
  <c r="Q570" i="5" s="1"/>
  <c r="AC570" i="5" s="1"/>
  <c r="Y570" i="5"/>
  <c r="M571" i="5"/>
  <c r="Q571" i="5" s="1"/>
  <c r="AC571" i="5" s="1"/>
  <c r="Y571" i="5"/>
  <c r="M577" i="5"/>
  <c r="Q577" i="5" s="1"/>
  <c r="AC577" i="5" s="1"/>
  <c r="Y577" i="5"/>
  <c r="U711" i="5"/>
  <c r="U712" i="5"/>
  <c r="U713" i="5"/>
  <c r="U720" i="5"/>
  <c r="U550" i="5"/>
  <c r="Q702" i="5" l="1"/>
  <c r="AC702" i="5" s="1"/>
  <c r="N702" i="5"/>
  <c r="AB553" i="5"/>
  <c r="Q554" i="5"/>
  <c r="AC554" i="5" s="1"/>
  <c r="Q649" i="5"/>
  <c r="AC649" i="5" s="1"/>
  <c r="N649" i="5"/>
  <c r="Q688" i="5"/>
  <c r="AC688" i="5" s="1"/>
  <c r="N688" i="5"/>
  <c r="AB715" i="5"/>
  <c r="AB586" i="5"/>
  <c r="Q587" i="5"/>
  <c r="AC587" i="5" s="1"/>
  <c r="Q715" i="5"/>
  <c r="AC715" i="5" s="1"/>
  <c r="AB714" i="5"/>
  <c r="N714" i="5"/>
  <c r="Q648" i="5"/>
  <c r="AC648" i="5" s="1"/>
  <c r="AB649" i="5"/>
  <c r="N685" i="5"/>
  <c r="N687" i="5"/>
  <c r="AB688" i="5"/>
  <c r="AB559" i="5"/>
  <c r="AB691" i="5"/>
  <c r="AB648" i="5"/>
  <c r="Q520" i="5"/>
  <c r="AC520" i="5" s="1"/>
  <c r="AB702" i="5"/>
  <c r="AB534" i="5"/>
  <c r="Q634" i="5"/>
  <c r="AC634" i="5" s="1"/>
  <c r="Q521" i="5"/>
  <c r="AC521" i="5" s="1"/>
  <c r="AB538" i="5"/>
  <c r="Q631" i="5"/>
  <c r="AC631" i="5" s="1"/>
  <c r="AB630" i="5"/>
  <c r="AB594" i="5"/>
  <c r="AB570" i="5"/>
  <c r="AB595" i="5"/>
  <c r="AB577" i="5"/>
  <c r="AB571" i="5"/>
  <c r="AB685" i="5"/>
  <c r="U645" i="5" l="1"/>
  <c r="M647" i="5"/>
  <c r="Y647" i="5"/>
  <c r="Q647" i="5" l="1"/>
  <c r="AC647" i="5" s="1"/>
  <c r="N647" i="5"/>
  <c r="AB647" i="5"/>
  <c r="J365" i="9"/>
  <c r="G179" i="9"/>
  <c r="G180" i="9"/>
  <c r="G181" i="9"/>
  <c r="G182" i="9"/>
  <c r="G183" i="9"/>
  <c r="G184" i="9"/>
  <c r="G178" i="9"/>
  <c r="J177" i="9"/>
  <c r="J176" i="9"/>
  <c r="U725" i="5"/>
  <c r="U621" i="5"/>
  <c r="U623" i="5"/>
  <c r="U624" i="5"/>
  <c r="Y624" i="5" s="1"/>
  <c r="U625" i="5"/>
  <c r="Y625" i="5" s="1"/>
  <c r="U626" i="5"/>
  <c r="Y626" i="5" s="1"/>
  <c r="U627" i="5"/>
  <c r="Y627" i="5" s="1"/>
  <c r="U683" i="5"/>
  <c r="M684" i="5"/>
  <c r="Y684" i="5"/>
  <c r="U566" i="5"/>
  <c r="U567" i="5"/>
  <c r="U568" i="5"/>
  <c r="M551" i="5"/>
  <c r="Q551" i="5" s="1"/>
  <c r="AC551" i="5" s="1"/>
  <c r="Y551" i="5"/>
  <c r="U710" i="5"/>
  <c r="M712" i="5"/>
  <c r="Y712" i="5"/>
  <c r="M713" i="5"/>
  <c r="Y713" i="5"/>
  <c r="U547" i="5"/>
  <c r="U548" i="5"/>
  <c r="U549" i="5"/>
  <c r="M550" i="5"/>
  <c r="Q550" i="5" s="1"/>
  <c r="AC550" i="5" s="1"/>
  <c r="Y550" i="5"/>
  <c r="U724" i="5"/>
  <c r="M628" i="5"/>
  <c r="Q628" i="5" s="1"/>
  <c r="AC628" i="5" s="1"/>
  <c r="M622" i="5"/>
  <c r="Q622" i="5" s="1"/>
  <c r="AC622" i="5" s="1"/>
  <c r="M626" i="5"/>
  <c r="Q626" i="5" s="1"/>
  <c r="AC626" i="5" s="1"/>
  <c r="M627" i="5"/>
  <c r="Q627" i="5" s="1"/>
  <c r="AC627" i="5" s="1"/>
  <c r="M624" i="5"/>
  <c r="Q624" i="5" s="1"/>
  <c r="AC624" i="5" s="1"/>
  <c r="M625" i="5"/>
  <c r="Q625" i="5" s="1"/>
  <c r="AC625" i="5" s="1"/>
  <c r="Q629" i="5"/>
  <c r="AC629" i="5" s="1"/>
  <c r="Y629" i="5"/>
  <c r="Q20" i="1"/>
  <c r="R20" i="1"/>
  <c r="S20" i="1"/>
  <c r="Q713" i="5" l="1"/>
  <c r="AC713" i="5" s="1"/>
  <c r="N713" i="5"/>
  <c r="AB712" i="5"/>
  <c r="N712" i="5"/>
  <c r="Q684" i="5"/>
  <c r="AC684" i="5" s="1"/>
  <c r="N684" i="5"/>
  <c r="Q712" i="5"/>
  <c r="AC712" i="5" s="1"/>
  <c r="AB551" i="5"/>
  <c r="AB684" i="5"/>
  <c r="M20" i="1"/>
  <c r="U20" i="1"/>
  <c r="AB713" i="5"/>
  <c r="AB550" i="5"/>
  <c r="AB625" i="5"/>
  <c r="AB626" i="5"/>
  <c r="G626" i="5"/>
  <c r="AB624" i="5"/>
  <c r="AB627" i="5"/>
  <c r="G625" i="5"/>
  <c r="AB629" i="5"/>
  <c r="T20" i="1"/>
  <c r="G803" i="5" l="1"/>
  <c r="G942" i="5"/>
  <c r="G801" i="5"/>
  <c r="G802" i="5"/>
  <c r="G799" i="5"/>
  <c r="G800" i="5"/>
  <c r="G636" i="5"/>
  <c r="G637" i="5"/>
  <c r="G634" i="5"/>
  <c r="G635" i="5"/>
  <c r="G632" i="5"/>
  <c r="G633" i="5"/>
  <c r="G630" i="5"/>
  <c r="G631" i="5"/>
  <c r="G624" i="5"/>
  <c r="G629" i="5"/>
  <c r="G627" i="5"/>
  <c r="V20" i="1"/>
  <c r="M699" i="5" l="1"/>
  <c r="Y699" i="5"/>
  <c r="M569" i="5"/>
  <c r="Q569" i="5" s="1"/>
  <c r="AC569" i="5" s="1"/>
  <c r="Y569" i="5"/>
  <c r="U530" i="5"/>
  <c r="U531" i="5"/>
  <c r="U643" i="5"/>
  <c r="U644" i="5"/>
  <c r="M646" i="5"/>
  <c r="Y646" i="5"/>
  <c r="M532" i="5"/>
  <c r="Q532" i="5" s="1"/>
  <c r="AC532" i="5" s="1"/>
  <c r="M533" i="5"/>
  <c r="Q533" i="5" s="1"/>
  <c r="AC533" i="5" s="1"/>
  <c r="Y533" i="5"/>
  <c r="U682" i="5"/>
  <c r="Q699" i="5" l="1"/>
  <c r="AC699" i="5" s="1"/>
  <c r="N699" i="5"/>
  <c r="Q646" i="5"/>
  <c r="AC646" i="5" s="1"/>
  <c r="N646" i="5"/>
  <c r="AB569" i="5"/>
  <c r="AB646" i="5"/>
  <c r="AB699" i="5"/>
  <c r="AB533" i="5"/>
  <c r="M593" i="5"/>
  <c r="Q593" i="5" s="1"/>
  <c r="AC593" i="5" s="1"/>
  <c r="Y593" i="5"/>
  <c r="M608" i="5"/>
  <c r="Q608" i="5" s="1"/>
  <c r="AC608" i="5" s="1"/>
  <c r="Y608" i="5"/>
  <c r="U708" i="5"/>
  <c r="U709" i="5"/>
  <c r="M711" i="5"/>
  <c r="Y711" i="5"/>
  <c r="M552" i="5"/>
  <c r="Q552" i="5" s="1"/>
  <c r="AC552" i="5" s="1"/>
  <c r="Y552" i="5"/>
  <c r="M614" i="5"/>
  <c r="Q614" i="5" s="1"/>
  <c r="AC614" i="5" s="1"/>
  <c r="Y614" i="5"/>
  <c r="M615" i="5"/>
  <c r="Q615" i="5" s="1"/>
  <c r="AC615" i="5" s="1"/>
  <c r="Y615" i="5"/>
  <c r="M616" i="5"/>
  <c r="Q616" i="5" s="1"/>
  <c r="AC616" i="5" s="1"/>
  <c r="Y616" i="5"/>
  <c r="M643" i="5"/>
  <c r="Y643" i="5"/>
  <c r="M644" i="5"/>
  <c r="Y644" i="5"/>
  <c r="M645" i="5"/>
  <c r="Q645" i="5" s="1"/>
  <c r="AC645" i="5" s="1"/>
  <c r="Y645" i="5"/>
  <c r="M530" i="5"/>
  <c r="Q530" i="5" s="1"/>
  <c r="AC530" i="5" s="1"/>
  <c r="Y530" i="5"/>
  <c r="M682" i="5"/>
  <c r="Y682" i="5"/>
  <c r="M683" i="5"/>
  <c r="Y683" i="5"/>
  <c r="M686" i="5"/>
  <c r="Y686" i="5"/>
  <c r="M567" i="5"/>
  <c r="Q567" i="5" s="1"/>
  <c r="AC567" i="5" s="1"/>
  <c r="Y567" i="5"/>
  <c r="M568" i="5"/>
  <c r="Q568" i="5" s="1"/>
  <c r="AC568" i="5" s="1"/>
  <c r="Y568" i="5"/>
  <c r="M710" i="5"/>
  <c r="Y710" i="5"/>
  <c r="M549" i="5"/>
  <c r="AB549" i="5" s="1"/>
  <c r="Y549" i="5"/>
  <c r="AB614" i="5" l="1"/>
  <c r="Q711" i="5"/>
  <c r="AC711" i="5" s="1"/>
  <c r="N711" i="5"/>
  <c r="AB686" i="5"/>
  <c r="N686" i="5"/>
  <c r="Q683" i="5"/>
  <c r="AC683" i="5" s="1"/>
  <c r="N683" i="5"/>
  <c r="AB552" i="5"/>
  <c r="Q710" i="5"/>
  <c r="AC710" i="5" s="1"/>
  <c r="N710" i="5"/>
  <c r="Q682" i="5"/>
  <c r="AC682" i="5" s="1"/>
  <c r="N682" i="5"/>
  <c r="Q644" i="5"/>
  <c r="AC644" i="5" s="1"/>
  <c r="N644" i="5"/>
  <c r="Q643" i="5"/>
  <c r="AC643" i="5" s="1"/>
  <c r="N643" i="5"/>
  <c r="AB593" i="5"/>
  <c r="AB608" i="5"/>
  <c r="AB711" i="5"/>
  <c r="AB643" i="5"/>
  <c r="AB644" i="5"/>
  <c r="AB615" i="5"/>
  <c r="Q686" i="5"/>
  <c r="AC686" i="5" s="1"/>
  <c r="AB616" i="5"/>
  <c r="AB530" i="5"/>
  <c r="AB645" i="5"/>
  <c r="AB682" i="5"/>
  <c r="Q549" i="5"/>
  <c r="AC549" i="5" s="1"/>
  <c r="AB683" i="5"/>
  <c r="AB568" i="5"/>
  <c r="AB567" i="5"/>
  <c r="AB710" i="5"/>
  <c r="M708" i="5" l="1"/>
  <c r="Q708" i="5" s="1"/>
  <c r="AC708" i="5" s="1"/>
  <c r="Y708" i="5"/>
  <c r="M547" i="5"/>
  <c r="Q547" i="5" s="1"/>
  <c r="AC547" i="5" s="1"/>
  <c r="Y547" i="5"/>
  <c r="M548" i="5"/>
  <c r="Q548" i="5" s="1"/>
  <c r="AC548" i="5" s="1"/>
  <c r="Y548" i="5"/>
  <c r="M566" i="5"/>
  <c r="Q566" i="5" s="1"/>
  <c r="AC566" i="5" s="1"/>
  <c r="Y566" i="5"/>
  <c r="AB547" i="5" l="1"/>
  <c r="N708" i="5"/>
  <c r="AB708" i="5"/>
  <c r="AB548" i="5"/>
  <c r="AB566" i="5"/>
  <c r="M709" i="5"/>
  <c r="Y709" i="5"/>
  <c r="Q709" i="5" l="1"/>
  <c r="AC709" i="5" s="1"/>
  <c r="N709" i="5"/>
  <c r="AB709" i="5"/>
  <c r="U455" i="5"/>
  <c r="U451" i="5"/>
  <c r="U619" i="5"/>
  <c r="Y619" i="5" s="1"/>
  <c r="G398" i="9"/>
  <c r="G399" i="9"/>
  <c r="G400" i="9"/>
  <c r="N2" i="13" s="1"/>
  <c r="G397" i="9"/>
  <c r="M585" i="5"/>
  <c r="Q585" i="5" s="1"/>
  <c r="AC585" i="5" s="1"/>
  <c r="Y585" i="5"/>
  <c r="U613" i="5"/>
  <c r="Y613" i="5" s="1"/>
  <c r="U618" i="5"/>
  <c r="Y618" i="5" s="1"/>
  <c r="U620" i="5"/>
  <c r="Y620" i="5" s="1"/>
  <c r="M613" i="5"/>
  <c r="Q613" i="5" s="1"/>
  <c r="AC613" i="5" s="1"/>
  <c r="G618" i="5"/>
  <c r="M618" i="5"/>
  <c r="AB618" i="5" s="1"/>
  <c r="M619" i="5"/>
  <c r="Q619" i="5" s="1"/>
  <c r="AC619" i="5" s="1"/>
  <c r="M620" i="5"/>
  <c r="Q620" i="5" s="1"/>
  <c r="AC620" i="5" s="1"/>
  <c r="J166" i="9"/>
  <c r="J165" i="9"/>
  <c r="J400" i="9"/>
  <c r="J401" i="9"/>
  <c r="J413" i="9"/>
  <c r="J414" i="9"/>
  <c r="J416" i="9"/>
  <c r="J417" i="9"/>
  <c r="M18" i="1"/>
  <c r="Q18" i="1"/>
  <c r="R18" i="1"/>
  <c r="S18" i="1"/>
  <c r="U654" i="5"/>
  <c r="U655" i="5"/>
  <c r="U656" i="5"/>
  <c r="U657" i="5"/>
  <c r="U658" i="5"/>
  <c r="U659" i="5"/>
  <c r="U662" i="5"/>
  <c r="U663" i="5"/>
  <c r="U664" i="5"/>
  <c r="U665" i="5"/>
  <c r="U666" i="5"/>
  <c r="U667" i="5"/>
  <c r="U669" i="5"/>
  <c r="U672" i="5"/>
  <c r="U673" i="5"/>
  <c r="U674" i="5"/>
  <c r="U675" i="5"/>
  <c r="U676" i="5"/>
  <c r="U677" i="5"/>
  <c r="U678" i="5"/>
  <c r="U679" i="5"/>
  <c r="U680" i="5"/>
  <c r="U681" i="5"/>
  <c r="U695" i="5"/>
  <c r="U696" i="5"/>
  <c r="U697" i="5"/>
  <c r="U698" i="5"/>
  <c r="U704" i="5"/>
  <c r="U705" i="5"/>
  <c r="U706" i="5"/>
  <c r="U707" i="5"/>
  <c r="U721" i="5"/>
  <c r="U722" i="5"/>
  <c r="U723" i="5"/>
  <c r="U583" i="5"/>
  <c r="U588" i="5"/>
  <c r="U589" i="5"/>
  <c r="U590" i="5"/>
  <c r="U591" i="5"/>
  <c r="U592" i="5"/>
  <c r="U601" i="5"/>
  <c r="U602" i="5"/>
  <c r="U603" i="5"/>
  <c r="U604" i="5"/>
  <c r="U605" i="5"/>
  <c r="U606" i="5"/>
  <c r="U607" i="5"/>
  <c r="U609" i="5"/>
  <c r="U610" i="5"/>
  <c r="U611" i="5"/>
  <c r="U612" i="5"/>
  <c r="U638" i="5"/>
  <c r="U639" i="5"/>
  <c r="U640" i="5"/>
  <c r="U641" i="5"/>
  <c r="U642" i="5"/>
  <c r="U526" i="5"/>
  <c r="U527" i="5"/>
  <c r="U528" i="5"/>
  <c r="U529" i="5"/>
  <c r="U543" i="5"/>
  <c r="U544" i="5"/>
  <c r="U545" i="5"/>
  <c r="U546" i="5"/>
  <c r="U560" i="5"/>
  <c r="U561" i="5"/>
  <c r="U562" i="5"/>
  <c r="U563" i="5"/>
  <c r="U564" i="5"/>
  <c r="U565" i="5"/>
  <c r="U581" i="5"/>
  <c r="U582" i="5"/>
  <c r="U508" i="5"/>
  <c r="U509" i="5"/>
  <c r="U510" i="5"/>
  <c r="U511" i="5"/>
  <c r="U513" i="5"/>
  <c r="U514" i="5"/>
  <c r="U516" i="5"/>
  <c r="U517" i="5"/>
  <c r="U518" i="5"/>
  <c r="U519" i="5"/>
  <c r="G1668" i="5" l="1"/>
  <c r="G1667" i="5"/>
  <c r="G1666" i="5"/>
  <c r="G1686" i="5"/>
  <c r="G1664" i="5"/>
  <c r="G1665" i="5"/>
  <c r="G1528" i="5"/>
  <c r="G1663" i="5"/>
  <c r="G1524" i="5"/>
  <c r="G1527" i="5"/>
  <c r="G1358" i="5"/>
  <c r="G1521" i="5"/>
  <c r="G1200" i="5"/>
  <c r="G1201" i="5"/>
  <c r="G1197" i="5"/>
  <c r="G1199" i="5"/>
  <c r="G1015" i="5"/>
  <c r="G1196" i="5"/>
  <c r="G1013" i="5"/>
  <c r="G1014" i="5"/>
  <c r="G622" i="5"/>
  <c r="G1012" i="5"/>
  <c r="G619" i="5"/>
  <c r="G628" i="5"/>
  <c r="AB585" i="5"/>
  <c r="Q618" i="5"/>
  <c r="AC618" i="5" s="1"/>
  <c r="AB613" i="5"/>
  <c r="G620" i="5"/>
  <c r="AB619" i="5"/>
  <c r="AB620" i="5"/>
  <c r="U18" i="1"/>
  <c r="V18" i="1" s="1"/>
  <c r="T18" i="1"/>
  <c r="U474" i="5"/>
  <c r="Y474" i="5" s="1"/>
  <c r="M474" i="5"/>
  <c r="U437" i="5"/>
  <c r="Y437" i="5" s="1"/>
  <c r="M437" i="5"/>
  <c r="Q437" i="5" s="1"/>
  <c r="AC437" i="5" s="1"/>
  <c r="U466" i="5"/>
  <c r="Y466" i="5" s="1"/>
  <c r="M466" i="5"/>
  <c r="U394" i="5"/>
  <c r="Y394" i="5" s="1"/>
  <c r="M394" i="5"/>
  <c r="Q394" i="5" s="1"/>
  <c r="AC394" i="5" s="1"/>
  <c r="U505" i="5"/>
  <c r="U418" i="5"/>
  <c r="Y418" i="5" s="1"/>
  <c r="M418" i="5"/>
  <c r="Q418" i="5" s="1"/>
  <c r="AC418" i="5" s="1"/>
  <c r="U501" i="5"/>
  <c r="Y501" i="5" s="1"/>
  <c r="M501" i="5"/>
  <c r="U406" i="5"/>
  <c r="Y406" i="5" s="1"/>
  <c r="G406" i="5"/>
  <c r="M406" i="5"/>
  <c r="AB406" i="5" s="1"/>
  <c r="G732" i="5"/>
  <c r="G737" i="5"/>
  <c r="G739" i="5"/>
  <c r="G747" i="5"/>
  <c r="G759" i="5"/>
  <c r="M725" i="5"/>
  <c r="N725" i="5" s="1"/>
  <c r="M726" i="5"/>
  <c r="M727" i="5"/>
  <c r="N727" i="5" s="1"/>
  <c r="M728" i="5"/>
  <c r="M729" i="5"/>
  <c r="M730" i="5"/>
  <c r="M731" i="5"/>
  <c r="Q732" i="5"/>
  <c r="AC732" i="5" s="1"/>
  <c r="M733" i="5"/>
  <c r="Q733" i="5" s="1"/>
  <c r="AC733" i="5" s="1"/>
  <c r="M734" i="5"/>
  <c r="Q734" i="5" s="1"/>
  <c r="AC734" i="5" s="1"/>
  <c r="M735" i="5"/>
  <c r="Q735" i="5" s="1"/>
  <c r="AC735" i="5" s="1"/>
  <c r="M736" i="5"/>
  <c r="Q736" i="5" s="1"/>
  <c r="AC736" i="5" s="1"/>
  <c r="Q737" i="5"/>
  <c r="AC737" i="5" s="1"/>
  <c r="M738" i="5"/>
  <c r="Q738" i="5" s="1"/>
  <c r="AC738" i="5" s="1"/>
  <c r="M739" i="5"/>
  <c r="Q739" i="5" s="1"/>
  <c r="AC739" i="5" s="1"/>
  <c r="M740" i="5"/>
  <c r="Q740" i="5" s="1"/>
  <c r="AC740" i="5" s="1"/>
  <c r="M741" i="5"/>
  <c r="Q741" i="5" s="1"/>
  <c r="AC741" i="5" s="1"/>
  <c r="M742" i="5"/>
  <c r="Q742" i="5" s="1"/>
  <c r="AC742" i="5" s="1"/>
  <c r="M743" i="5"/>
  <c r="Q743" i="5" s="1"/>
  <c r="AC743" i="5" s="1"/>
  <c r="M744" i="5"/>
  <c r="Q744" i="5" s="1"/>
  <c r="AC744" i="5" s="1"/>
  <c r="M745" i="5"/>
  <c r="Q745" i="5" s="1"/>
  <c r="AC745" i="5" s="1"/>
  <c r="M748" i="5"/>
  <c r="Q748" i="5" s="1"/>
  <c r="AC748" i="5" s="1"/>
  <c r="M749" i="5"/>
  <c r="Q749" i="5" s="1"/>
  <c r="AC749" i="5" s="1"/>
  <c r="M750" i="5"/>
  <c r="Q750" i="5" s="1"/>
  <c r="AC750" i="5" s="1"/>
  <c r="M751" i="5"/>
  <c r="Q751" i="5" s="1"/>
  <c r="AC751" i="5" s="1"/>
  <c r="M752" i="5"/>
  <c r="Q752" i="5" s="1"/>
  <c r="AC752" i="5" s="1"/>
  <c r="M757" i="5"/>
  <c r="Q757" i="5" s="1"/>
  <c r="AC757" i="5" s="1"/>
  <c r="Q759" i="5"/>
  <c r="AC759" i="5" s="1"/>
  <c r="M760" i="5"/>
  <c r="Q760" i="5" s="1"/>
  <c r="AC760" i="5" s="1"/>
  <c r="M761" i="5"/>
  <c r="Q761" i="5" s="1"/>
  <c r="AC761" i="5" s="1"/>
  <c r="M762" i="5"/>
  <c r="Q762" i="5" s="1"/>
  <c r="AC762" i="5" s="1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7" i="5"/>
  <c r="Y748" i="5"/>
  <c r="Y749" i="5"/>
  <c r="Y750" i="5"/>
  <c r="Y751" i="5"/>
  <c r="Y752" i="5"/>
  <c r="Y757" i="5"/>
  <c r="Y759" i="5"/>
  <c r="Y760" i="5"/>
  <c r="Y761" i="5"/>
  <c r="Y762" i="5"/>
  <c r="G671" i="5"/>
  <c r="G674" i="5"/>
  <c r="G675" i="5"/>
  <c r="G676" i="5"/>
  <c r="G679" i="5"/>
  <c r="G694" i="5"/>
  <c r="G697" i="5"/>
  <c r="G698" i="5"/>
  <c r="G706" i="5"/>
  <c r="G720" i="5"/>
  <c r="G723" i="5"/>
  <c r="M669" i="5"/>
  <c r="M671" i="5"/>
  <c r="M672" i="5"/>
  <c r="M673" i="5"/>
  <c r="M674" i="5"/>
  <c r="N674" i="5" s="1"/>
  <c r="M675" i="5"/>
  <c r="M676" i="5"/>
  <c r="M677" i="5"/>
  <c r="M678" i="5"/>
  <c r="M679" i="5"/>
  <c r="M680" i="5"/>
  <c r="M681" i="5"/>
  <c r="M694" i="5"/>
  <c r="M695" i="5"/>
  <c r="M696" i="5"/>
  <c r="M697" i="5"/>
  <c r="M698" i="5"/>
  <c r="M704" i="5"/>
  <c r="M705" i="5"/>
  <c r="M706" i="5"/>
  <c r="M707" i="5"/>
  <c r="M720" i="5"/>
  <c r="N720" i="5" s="1"/>
  <c r="M721" i="5"/>
  <c r="M722" i="5"/>
  <c r="M723" i="5"/>
  <c r="N723" i="5" s="1"/>
  <c r="M724" i="5"/>
  <c r="Y669" i="5"/>
  <c r="Y671" i="5"/>
  <c r="Y672" i="5"/>
  <c r="Y673" i="5"/>
  <c r="Y674" i="5"/>
  <c r="Y675" i="5"/>
  <c r="Y676" i="5"/>
  <c r="Y677" i="5"/>
  <c r="Y678" i="5"/>
  <c r="Y679" i="5"/>
  <c r="Y680" i="5"/>
  <c r="Y681" i="5"/>
  <c r="Y724" i="5"/>
  <c r="G447" i="5"/>
  <c r="M447" i="5"/>
  <c r="G588" i="5"/>
  <c r="G600" i="5"/>
  <c r="G604" i="5"/>
  <c r="G605" i="5"/>
  <c r="G609" i="5"/>
  <c r="G621" i="5"/>
  <c r="G623" i="5"/>
  <c r="G638" i="5"/>
  <c r="G654" i="5"/>
  <c r="G659" i="5"/>
  <c r="G662" i="5"/>
  <c r="M582" i="5"/>
  <c r="Q582" i="5" s="1"/>
  <c r="AC582" i="5" s="1"/>
  <c r="M583" i="5"/>
  <c r="Q583" i="5" s="1"/>
  <c r="AC583" i="5" s="1"/>
  <c r="Q588" i="5"/>
  <c r="AC588" i="5" s="1"/>
  <c r="M589" i="5"/>
  <c r="Q589" i="5" s="1"/>
  <c r="AC589" i="5" s="1"/>
  <c r="M590" i="5"/>
  <c r="Q590" i="5" s="1"/>
  <c r="AC590" i="5" s="1"/>
  <c r="M591" i="5"/>
  <c r="M592" i="5"/>
  <c r="Q592" i="5" s="1"/>
  <c r="AC592" i="5" s="1"/>
  <c r="Q600" i="5"/>
  <c r="AC600" i="5" s="1"/>
  <c r="M601" i="5"/>
  <c r="Q601" i="5" s="1"/>
  <c r="AC601" i="5" s="1"/>
  <c r="M602" i="5"/>
  <c r="Q602" i="5" s="1"/>
  <c r="AC602" i="5" s="1"/>
  <c r="M603" i="5"/>
  <c r="Q603" i="5" s="1"/>
  <c r="AC603" i="5" s="1"/>
  <c r="Q604" i="5"/>
  <c r="AC604" i="5" s="1"/>
  <c r="M606" i="5"/>
  <c r="M607" i="5"/>
  <c r="M609" i="5"/>
  <c r="M610" i="5"/>
  <c r="Q610" i="5" s="1"/>
  <c r="AC610" i="5" s="1"/>
  <c r="M611" i="5"/>
  <c r="Q611" i="5" s="1"/>
  <c r="AC611" i="5" s="1"/>
  <c r="M612" i="5"/>
  <c r="Q612" i="5" s="1"/>
  <c r="AC612" i="5" s="1"/>
  <c r="M621" i="5"/>
  <c r="Q621" i="5" s="1"/>
  <c r="AC621" i="5" s="1"/>
  <c r="Q623" i="5"/>
  <c r="AC623" i="5" s="1"/>
  <c r="Q638" i="5"/>
  <c r="AC638" i="5" s="1"/>
  <c r="M639" i="5"/>
  <c r="M640" i="5"/>
  <c r="M641" i="5"/>
  <c r="M642" i="5"/>
  <c r="M654" i="5"/>
  <c r="N654" i="5" s="1"/>
  <c r="M655" i="5"/>
  <c r="N655" i="5" s="1"/>
  <c r="M656" i="5"/>
  <c r="M657" i="5"/>
  <c r="N657" i="5" s="1"/>
  <c r="M658" i="5"/>
  <c r="M659" i="5"/>
  <c r="M662" i="5"/>
  <c r="M663" i="5"/>
  <c r="M664" i="5"/>
  <c r="M665" i="5"/>
  <c r="M666" i="5"/>
  <c r="M667" i="5"/>
  <c r="Y582" i="5"/>
  <c r="Y583" i="5"/>
  <c r="Y588" i="5"/>
  <c r="Y589" i="5"/>
  <c r="Y590" i="5"/>
  <c r="Y591" i="5"/>
  <c r="Y592" i="5"/>
  <c r="Y600" i="5"/>
  <c r="Y601" i="5"/>
  <c r="Y602" i="5"/>
  <c r="Y603" i="5"/>
  <c r="Y604" i="5"/>
  <c r="Y605" i="5"/>
  <c r="Y606" i="5"/>
  <c r="Y607" i="5"/>
  <c r="Y609" i="5"/>
  <c r="Y610" i="5"/>
  <c r="Y611" i="5"/>
  <c r="Y612" i="5"/>
  <c r="Y621" i="5"/>
  <c r="Y623" i="5"/>
  <c r="Y638" i="5"/>
  <c r="Y639" i="5"/>
  <c r="Y640" i="5"/>
  <c r="Y641" i="5"/>
  <c r="Y642" i="5"/>
  <c r="Y654" i="5"/>
  <c r="Y655" i="5"/>
  <c r="Y656" i="5"/>
  <c r="Y657" i="5"/>
  <c r="Y658" i="5"/>
  <c r="Y659" i="5"/>
  <c r="Y662" i="5"/>
  <c r="Y663" i="5"/>
  <c r="Y664" i="5"/>
  <c r="Y665" i="5"/>
  <c r="Y666" i="5"/>
  <c r="Y667" i="5"/>
  <c r="G509" i="5"/>
  <c r="G513" i="5"/>
  <c r="G526" i="5"/>
  <c r="G542" i="5"/>
  <c r="G545" i="5"/>
  <c r="G546" i="5"/>
  <c r="G560" i="5"/>
  <c r="G580" i="5"/>
  <c r="M508" i="5"/>
  <c r="Q508" i="5" s="1"/>
  <c r="AC508" i="5" s="1"/>
  <c r="M509" i="5"/>
  <c r="Q509" i="5" s="1"/>
  <c r="AC509" i="5" s="1"/>
  <c r="M510" i="5"/>
  <c r="Q510" i="5" s="1"/>
  <c r="AC510" i="5" s="1"/>
  <c r="M511" i="5"/>
  <c r="Q511" i="5" s="1"/>
  <c r="AC511" i="5" s="1"/>
  <c r="M513" i="5"/>
  <c r="M514" i="5"/>
  <c r="Q514" i="5" s="1"/>
  <c r="AC514" i="5" s="1"/>
  <c r="M516" i="5"/>
  <c r="M517" i="5"/>
  <c r="M518" i="5"/>
  <c r="M519" i="5"/>
  <c r="Q526" i="5"/>
  <c r="AC526" i="5" s="1"/>
  <c r="M527" i="5"/>
  <c r="Q527" i="5" s="1"/>
  <c r="AC527" i="5" s="1"/>
  <c r="M528" i="5"/>
  <c r="Q528" i="5" s="1"/>
  <c r="AC528" i="5" s="1"/>
  <c r="M529" i="5"/>
  <c r="M531" i="5"/>
  <c r="M542" i="5"/>
  <c r="Q542" i="5" s="1"/>
  <c r="AC542" i="5" s="1"/>
  <c r="M543" i="5"/>
  <c r="Q543" i="5" s="1"/>
  <c r="AC543" i="5" s="1"/>
  <c r="M544" i="5"/>
  <c r="Q544" i="5" s="1"/>
  <c r="AC544" i="5" s="1"/>
  <c r="M545" i="5"/>
  <c r="AB545" i="5" s="1"/>
  <c r="M546" i="5"/>
  <c r="AB546" i="5" s="1"/>
  <c r="M560" i="5"/>
  <c r="M561" i="5"/>
  <c r="Q561" i="5" s="1"/>
  <c r="AC561" i="5" s="1"/>
  <c r="M562" i="5"/>
  <c r="M563" i="5"/>
  <c r="M564" i="5"/>
  <c r="M565" i="5"/>
  <c r="M581" i="5"/>
  <c r="Y508" i="5"/>
  <c r="Y509" i="5"/>
  <c r="Y510" i="5"/>
  <c r="Y511" i="5"/>
  <c r="Y513" i="5"/>
  <c r="Y514" i="5"/>
  <c r="Y516" i="5"/>
  <c r="Y517" i="5"/>
  <c r="Y518" i="5"/>
  <c r="Y519" i="5"/>
  <c r="Y526" i="5"/>
  <c r="Y527" i="5"/>
  <c r="Y528" i="5"/>
  <c r="Y529" i="5"/>
  <c r="Y531" i="5"/>
  <c r="Y542" i="5"/>
  <c r="Y543" i="5"/>
  <c r="Y544" i="5"/>
  <c r="Y545" i="5"/>
  <c r="Y546" i="5"/>
  <c r="Y560" i="5"/>
  <c r="Y561" i="5"/>
  <c r="Y562" i="5"/>
  <c r="Y563" i="5"/>
  <c r="Y564" i="5"/>
  <c r="Y565" i="5"/>
  <c r="Y580" i="5"/>
  <c r="Y581" i="5"/>
  <c r="Q731" i="5" l="1"/>
  <c r="AC731" i="5" s="1"/>
  <c r="N731" i="5"/>
  <c r="Q730" i="5"/>
  <c r="AC730" i="5" s="1"/>
  <c r="N730" i="5"/>
  <c r="Q729" i="5"/>
  <c r="AC729" i="5" s="1"/>
  <c r="N729" i="5"/>
  <c r="Q705" i="5"/>
  <c r="AC705" i="5" s="1"/>
  <c r="N705" i="5"/>
  <c r="Q671" i="5"/>
  <c r="AC671" i="5" s="1"/>
  <c r="N671" i="5"/>
  <c r="Q704" i="5"/>
  <c r="AC704" i="5" s="1"/>
  <c r="N704" i="5"/>
  <c r="Q669" i="5"/>
  <c r="AC669" i="5" s="1"/>
  <c r="N669" i="5"/>
  <c r="Q640" i="5"/>
  <c r="AC640" i="5" s="1"/>
  <c r="N640" i="5"/>
  <c r="Q697" i="5"/>
  <c r="AC697" i="5" s="1"/>
  <c r="N697" i="5"/>
  <c r="Q466" i="5"/>
  <c r="AC466" i="5" s="1"/>
  <c r="N466" i="5"/>
  <c r="Q672" i="5"/>
  <c r="AC672" i="5" s="1"/>
  <c r="N672" i="5"/>
  <c r="Q639" i="5"/>
  <c r="AC639" i="5" s="1"/>
  <c r="N639" i="5"/>
  <c r="Q696" i="5"/>
  <c r="AC696" i="5" s="1"/>
  <c r="N696" i="5"/>
  <c r="Q706" i="5"/>
  <c r="AC706" i="5" s="1"/>
  <c r="N706" i="5"/>
  <c r="Q642" i="5"/>
  <c r="AC642" i="5" s="1"/>
  <c r="N642" i="5"/>
  <c r="Q679" i="5"/>
  <c r="AC679" i="5" s="1"/>
  <c r="N679" i="5"/>
  <c r="Q676" i="5"/>
  <c r="AC676" i="5" s="1"/>
  <c r="N676" i="5"/>
  <c r="Q474" i="5"/>
  <c r="AC474" i="5" s="1"/>
  <c r="N474" i="5"/>
  <c r="Q677" i="5"/>
  <c r="AC677" i="5" s="1"/>
  <c r="N677" i="5"/>
  <c r="Q728" i="5"/>
  <c r="AC728" i="5" s="1"/>
  <c r="N728" i="5"/>
  <c r="Q667" i="5"/>
  <c r="AC667" i="5" s="1"/>
  <c r="N667" i="5"/>
  <c r="Q678" i="5"/>
  <c r="AC678" i="5" s="1"/>
  <c r="N678" i="5"/>
  <c r="Q665" i="5"/>
  <c r="AC665" i="5" s="1"/>
  <c r="N665" i="5"/>
  <c r="Q501" i="5"/>
  <c r="AC501" i="5" s="1"/>
  <c r="N501" i="5"/>
  <c r="Q662" i="5"/>
  <c r="AC662" i="5" s="1"/>
  <c r="N662" i="5"/>
  <c r="Q722" i="5"/>
  <c r="AC722" i="5" s="1"/>
  <c r="N722" i="5"/>
  <c r="Q641" i="5"/>
  <c r="AC641" i="5" s="1"/>
  <c r="N641" i="5"/>
  <c r="Q698" i="5"/>
  <c r="AC698" i="5" s="1"/>
  <c r="N698" i="5"/>
  <c r="Q695" i="5"/>
  <c r="AC695" i="5" s="1"/>
  <c r="N695" i="5"/>
  <c r="Q724" i="5"/>
  <c r="AC724" i="5" s="1"/>
  <c r="N724" i="5"/>
  <c r="Q663" i="5"/>
  <c r="AC663" i="5" s="1"/>
  <c r="N663" i="5"/>
  <c r="Q659" i="5"/>
  <c r="AC659" i="5" s="1"/>
  <c r="N659" i="5"/>
  <c r="Q721" i="5"/>
  <c r="AC721" i="5" s="1"/>
  <c r="N721" i="5"/>
  <c r="Q726" i="5"/>
  <c r="AC726" i="5" s="1"/>
  <c r="N726" i="5"/>
  <c r="Q694" i="5"/>
  <c r="AC694" i="5" s="1"/>
  <c r="N694" i="5"/>
  <c r="Q680" i="5"/>
  <c r="AC680" i="5" s="1"/>
  <c r="N680" i="5"/>
  <c r="Q664" i="5"/>
  <c r="AC664" i="5" s="1"/>
  <c r="N664" i="5"/>
  <c r="Q658" i="5"/>
  <c r="AC658" i="5" s="1"/>
  <c r="N658" i="5"/>
  <c r="Q681" i="5"/>
  <c r="AC681" i="5" s="1"/>
  <c r="N681" i="5"/>
  <c r="Q666" i="5"/>
  <c r="AC666" i="5" s="1"/>
  <c r="N666" i="5"/>
  <c r="Q675" i="5"/>
  <c r="AC675" i="5" s="1"/>
  <c r="N675" i="5"/>
  <c r="Q707" i="5"/>
  <c r="AC707" i="5" s="1"/>
  <c r="N707" i="5"/>
  <c r="Q673" i="5"/>
  <c r="AC673" i="5" s="1"/>
  <c r="N673" i="5"/>
  <c r="Q656" i="5"/>
  <c r="AC656" i="5" s="1"/>
  <c r="N656" i="5"/>
  <c r="AB466" i="5"/>
  <c r="AB669" i="5"/>
  <c r="AB394" i="5"/>
  <c r="AB501" i="5"/>
  <c r="AB610" i="5"/>
  <c r="AB418" i="5"/>
  <c r="AB673" i="5"/>
  <c r="AB474" i="5"/>
  <c r="AB658" i="5"/>
  <c r="AB659" i="5"/>
  <c r="AB611" i="5"/>
  <c r="AB730" i="5"/>
  <c r="AB560" i="5"/>
  <c r="Q447" i="5"/>
  <c r="AC447" i="5" s="1"/>
  <c r="AB437" i="5"/>
  <c r="Q406" i="5"/>
  <c r="AC406" i="5" s="1"/>
  <c r="AB738" i="5"/>
  <c r="AB737" i="5"/>
  <c r="AB762" i="5"/>
  <c r="AB729" i="5"/>
  <c r="AB672" i="5"/>
  <c r="AB740" i="5"/>
  <c r="AB761" i="5"/>
  <c r="AB760" i="5"/>
  <c r="AB735" i="5"/>
  <c r="AB757" i="5"/>
  <c r="AB734" i="5"/>
  <c r="AB561" i="5"/>
  <c r="AB674" i="5"/>
  <c r="AB581" i="5"/>
  <c r="AB517" i="5"/>
  <c r="AB681" i="5"/>
  <c r="AB744" i="5"/>
  <c r="AB759" i="5"/>
  <c r="Q560" i="5"/>
  <c r="AC560" i="5" s="1"/>
  <c r="AB745" i="5"/>
  <c r="AB580" i="5"/>
  <c r="AB516" i="5"/>
  <c r="AB680" i="5"/>
  <c r="AB750" i="5"/>
  <c r="AB743" i="5"/>
  <c r="AB726" i="5"/>
  <c r="Q546" i="5"/>
  <c r="AC546" i="5" s="1"/>
  <c r="AB679" i="5"/>
  <c r="AB749" i="5"/>
  <c r="AB742" i="5"/>
  <c r="Q545" i="5"/>
  <c r="AC545" i="5" s="1"/>
  <c r="AB518" i="5"/>
  <c r="AB565" i="5"/>
  <c r="AB564" i="5"/>
  <c r="AB513" i="5"/>
  <c r="AB671" i="5"/>
  <c r="AB748" i="5"/>
  <c r="AB741" i="5"/>
  <c r="AB736" i="5"/>
  <c r="AB563" i="5"/>
  <c r="AB733" i="5"/>
  <c r="AB562" i="5"/>
  <c r="AB732" i="5"/>
  <c r="AB739" i="5"/>
  <c r="AB677" i="5"/>
  <c r="AB676" i="5"/>
  <c r="AB514" i="5"/>
  <c r="AB511" i="5"/>
  <c r="AB509" i="5"/>
  <c r="Q563" i="5"/>
  <c r="AC563" i="5" s="1"/>
  <c r="Q562" i="5"/>
  <c r="AC562" i="5" s="1"/>
  <c r="AB607" i="5"/>
  <c r="AB678" i="5"/>
  <c r="AB655" i="5"/>
  <c r="AB606" i="5"/>
  <c r="AB725" i="5"/>
  <c r="AB510" i="5"/>
  <c r="Q516" i="5"/>
  <c r="AC516" i="5" s="1"/>
  <c r="Q513" i="5"/>
  <c r="AC513" i="5" s="1"/>
  <c r="AB665" i="5"/>
  <c r="AB588" i="5"/>
  <c r="AB724" i="5"/>
  <c r="AB747" i="5"/>
  <c r="AB675" i="5"/>
  <c r="Q565" i="5"/>
  <c r="AC565" i="5" s="1"/>
  <c r="AB664" i="5"/>
  <c r="AB752" i="5"/>
  <c r="Q580" i="5"/>
  <c r="AC580" i="5" s="1"/>
  <c r="Q564" i="5"/>
  <c r="AC564" i="5" s="1"/>
  <c r="AB654" i="5"/>
  <c r="AB605" i="5"/>
  <c r="AB531" i="5"/>
  <c r="AB529" i="5"/>
  <c r="AB663" i="5"/>
  <c r="AB583" i="5"/>
  <c r="AB519" i="5"/>
  <c r="AB662" i="5"/>
  <c r="AB612" i="5"/>
  <c r="AB582" i="5"/>
  <c r="AB751" i="5"/>
  <c r="AB727" i="5"/>
  <c r="AB508" i="5"/>
  <c r="AB728" i="5"/>
  <c r="Q747" i="5"/>
  <c r="AC747" i="5" s="1"/>
  <c r="AB731" i="5"/>
  <c r="Q725" i="5"/>
  <c r="AC725" i="5" s="1"/>
  <c r="Q727" i="5"/>
  <c r="AC727" i="5" s="1"/>
  <c r="Q723" i="5"/>
  <c r="AC723" i="5" s="1"/>
  <c r="Q720" i="5"/>
  <c r="AC720" i="5" s="1"/>
  <c r="Q674" i="5"/>
  <c r="AC674" i="5" s="1"/>
  <c r="Q581" i="5"/>
  <c r="AC581" i="5" s="1"/>
  <c r="AB528" i="5"/>
  <c r="AB641" i="5"/>
  <c r="AB640" i="5"/>
  <c r="AB589" i="5"/>
  <c r="AB642" i="5"/>
  <c r="AB591" i="5"/>
  <c r="AB604" i="5"/>
  <c r="AB666" i="5"/>
  <c r="AB603" i="5"/>
  <c r="AB602" i="5"/>
  <c r="AB639" i="5"/>
  <c r="AB601" i="5"/>
  <c r="AB667" i="5"/>
  <c r="AB623" i="5"/>
  <c r="Q519" i="5"/>
  <c r="AC519" i="5" s="1"/>
  <c r="Q518" i="5"/>
  <c r="AC518" i="5" s="1"/>
  <c r="AB600" i="5"/>
  <c r="AB638" i="5"/>
  <c r="AB590" i="5"/>
  <c r="Q517" i="5"/>
  <c r="AC517" i="5" s="1"/>
  <c r="Q591" i="5"/>
  <c r="AC591" i="5" s="1"/>
  <c r="AB657" i="5"/>
  <c r="AB609" i="5"/>
  <c r="AB621" i="5"/>
  <c r="AB592" i="5"/>
  <c r="Q657" i="5"/>
  <c r="AC657" i="5" s="1"/>
  <c r="Q609" i="5"/>
  <c r="AC609" i="5" s="1"/>
  <c r="Q607" i="5"/>
  <c r="AC607" i="5" s="1"/>
  <c r="Q655" i="5"/>
  <c r="AC655" i="5" s="1"/>
  <c r="Q606" i="5"/>
  <c r="AC606" i="5" s="1"/>
  <c r="AB656" i="5"/>
  <c r="Q654" i="5"/>
  <c r="AC654" i="5" s="1"/>
  <c r="Q605" i="5"/>
  <c r="AC605" i="5" s="1"/>
  <c r="AB543" i="5"/>
  <c r="AB542" i="5"/>
  <c r="AB527" i="5"/>
  <c r="AB526" i="5"/>
  <c r="Q531" i="5"/>
  <c r="AC531" i="5" s="1"/>
  <c r="Q529" i="5"/>
  <c r="AC529" i="5" s="1"/>
  <c r="AB544" i="5"/>
  <c r="U432" i="5" l="1"/>
  <c r="Y432" i="5" s="1"/>
  <c r="G489" i="5"/>
  <c r="M489" i="5"/>
  <c r="Y489" i="5"/>
  <c r="G433" i="5"/>
  <c r="M433" i="5"/>
  <c r="Q433" i="5" s="1"/>
  <c r="AC433" i="5" s="1"/>
  <c r="Y433" i="5"/>
  <c r="M432" i="5"/>
  <c r="Q432" i="5" s="1"/>
  <c r="AC432" i="5" s="1"/>
  <c r="J150" i="9"/>
  <c r="J224" i="9"/>
  <c r="J5" i="9"/>
  <c r="J6" i="9"/>
  <c r="J15" i="9"/>
  <c r="J16" i="9"/>
  <c r="J17" i="9"/>
  <c r="J18" i="9"/>
  <c r="J19" i="9"/>
  <c r="J20" i="9"/>
  <c r="J27" i="9"/>
  <c r="J28" i="9"/>
  <c r="J29" i="9"/>
  <c r="J30" i="9"/>
  <c r="J31" i="9"/>
  <c r="J32" i="9"/>
  <c r="J33" i="9"/>
  <c r="J34" i="9"/>
  <c r="J35" i="9"/>
  <c r="J36" i="9"/>
  <c r="J37" i="9"/>
  <c r="J38" i="9"/>
  <c r="J50" i="9"/>
  <c r="J51" i="9"/>
  <c r="J52" i="9"/>
  <c r="J53" i="9"/>
  <c r="J54" i="9"/>
  <c r="J55" i="9"/>
  <c r="J56" i="9"/>
  <c r="J57" i="9"/>
  <c r="J58" i="9"/>
  <c r="J59" i="9"/>
  <c r="J60" i="9"/>
  <c r="J76" i="9"/>
  <c r="J77" i="9"/>
  <c r="J78" i="9"/>
  <c r="J79" i="9"/>
  <c r="J80" i="9"/>
  <c r="J81" i="9"/>
  <c r="J82" i="9"/>
  <c r="J83" i="9"/>
  <c r="J84" i="9"/>
  <c r="J85" i="9"/>
  <c r="J87" i="9"/>
  <c r="J98" i="9"/>
  <c r="J99" i="9"/>
  <c r="J100" i="9"/>
  <c r="J101" i="9"/>
  <c r="J10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37" i="9"/>
  <c r="J138" i="9"/>
  <c r="J139" i="9"/>
  <c r="J148" i="9"/>
  <c r="J158" i="9"/>
  <c r="J159" i="9"/>
  <c r="J160" i="9"/>
  <c r="J161" i="9"/>
  <c r="J164" i="9"/>
  <c r="J189" i="9"/>
  <c r="J211" i="9"/>
  <c r="J212" i="9"/>
  <c r="J213" i="9"/>
  <c r="J214" i="9"/>
  <c r="J215" i="9"/>
  <c r="J216" i="9"/>
  <c r="J217" i="9"/>
  <c r="J218" i="9"/>
  <c r="J219" i="9"/>
  <c r="J220" i="9"/>
  <c r="J221" i="9"/>
  <c r="J234" i="9"/>
  <c r="J235" i="9"/>
  <c r="J236" i="9"/>
  <c r="J237" i="9"/>
  <c r="J238" i="9"/>
  <c r="J239" i="9"/>
  <c r="J240" i="9"/>
  <c r="J241" i="9"/>
  <c r="J248" i="9"/>
  <c r="J250" i="9"/>
  <c r="J251" i="9"/>
  <c r="J252" i="9"/>
  <c r="J253" i="9"/>
  <c r="J254" i="9"/>
  <c r="J255" i="9"/>
  <c r="J256" i="9"/>
  <c r="J257" i="9"/>
  <c r="J258" i="9"/>
  <c r="J264" i="9"/>
  <c r="J265" i="9"/>
  <c r="J266" i="9"/>
  <c r="J285" i="9"/>
  <c r="J286" i="9"/>
  <c r="J287" i="9"/>
  <c r="J288" i="9"/>
  <c r="J289" i="9"/>
  <c r="J290" i="9"/>
  <c r="J291" i="9"/>
  <c r="J292" i="9"/>
  <c r="J293" i="9"/>
  <c r="J294" i="9"/>
  <c r="J295" i="9"/>
  <c r="J298" i="9"/>
  <c r="J299" i="9"/>
  <c r="J300" i="9"/>
  <c r="J301" i="9"/>
  <c r="J302" i="9"/>
  <c r="J303" i="9"/>
  <c r="J304" i="9"/>
  <c r="J305" i="9"/>
  <c r="J306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42" i="9"/>
  <c r="J343" i="9"/>
  <c r="J344" i="9"/>
  <c r="J345" i="9"/>
  <c r="J346" i="9"/>
  <c r="J347" i="9"/>
  <c r="J348" i="9"/>
  <c r="J349" i="9"/>
  <c r="J355" i="9"/>
  <c r="J356" i="9"/>
  <c r="J357" i="9"/>
  <c r="J358" i="9"/>
  <c r="J359" i="9"/>
  <c r="J360" i="9"/>
  <c r="J361" i="9"/>
  <c r="J362" i="9"/>
  <c r="J363" i="9"/>
  <c r="J364" i="9"/>
  <c r="J377" i="9"/>
  <c r="J378" i="9"/>
  <c r="J379" i="9"/>
  <c r="J395" i="9"/>
  <c r="J396" i="9"/>
  <c r="J397" i="9"/>
  <c r="J398" i="9"/>
  <c r="J399" i="9"/>
  <c r="U435" i="5"/>
  <c r="U436" i="5"/>
  <c r="U465" i="5"/>
  <c r="G467" i="5"/>
  <c r="M467" i="5"/>
  <c r="Q467" i="5" s="1"/>
  <c r="AC467" i="5" s="1"/>
  <c r="Y467" i="5"/>
  <c r="AA467" i="5"/>
  <c r="U393" i="5"/>
  <c r="G395" i="5"/>
  <c r="M395" i="5"/>
  <c r="Y395" i="5"/>
  <c r="AA395" i="5"/>
  <c r="U497" i="5"/>
  <c r="G498" i="5"/>
  <c r="Y498" i="5"/>
  <c r="U417" i="5"/>
  <c r="Y417" i="5" s="1"/>
  <c r="M417" i="5"/>
  <c r="AB417" i="5" s="1"/>
  <c r="U405" i="5"/>
  <c r="Y405" i="5" s="1"/>
  <c r="M405" i="5"/>
  <c r="Q405" i="5" s="1"/>
  <c r="AC405" i="5" s="1"/>
  <c r="U496" i="5"/>
  <c r="U416" i="5"/>
  <c r="U473" i="5"/>
  <c r="U404" i="5"/>
  <c r="G320" i="5"/>
  <c r="M320" i="5"/>
  <c r="Q320" i="5" s="1"/>
  <c r="AC320" i="5" s="1"/>
  <c r="Y320" i="5"/>
  <c r="M321" i="5"/>
  <c r="Q321" i="5" s="1"/>
  <c r="AC321" i="5" s="1"/>
  <c r="Y321" i="5"/>
  <c r="M322" i="5"/>
  <c r="Q322" i="5" s="1"/>
  <c r="AC322" i="5" s="1"/>
  <c r="Y322" i="5"/>
  <c r="M323" i="5"/>
  <c r="Q323" i="5" s="1"/>
  <c r="AC323" i="5" s="1"/>
  <c r="Y323" i="5"/>
  <c r="M324" i="5"/>
  <c r="Q324" i="5" s="1"/>
  <c r="AC324" i="5" s="1"/>
  <c r="Y324" i="5"/>
  <c r="M325" i="5"/>
  <c r="Q325" i="5" s="1"/>
  <c r="AC325" i="5" s="1"/>
  <c r="Y325" i="5"/>
  <c r="M326" i="5"/>
  <c r="Q326" i="5" s="1"/>
  <c r="AC326" i="5" s="1"/>
  <c r="Y326" i="5"/>
  <c r="G302" i="5"/>
  <c r="Q302" i="5"/>
  <c r="AC302" i="5" s="1"/>
  <c r="Y302" i="5"/>
  <c r="AA302" i="5"/>
  <c r="AB433" i="5" l="1"/>
  <c r="Q498" i="5"/>
  <c r="AC498" i="5" s="1"/>
  <c r="Q489" i="5"/>
  <c r="AC489" i="5" s="1"/>
  <c r="N489" i="5"/>
  <c r="AB489" i="5"/>
  <c r="Q417" i="5"/>
  <c r="AC417" i="5" s="1"/>
  <c r="AB432" i="5"/>
  <c r="AB395" i="5"/>
  <c r="AB498" i="5"/>
  <c r="AB467" i="5"/>
  <c r="Q395" i="5"/>
  <c r="AC395" i="5" s="1"/>
  <c r="AB405" i="5"/>
  <c r="AB323" i="5"/>
  <c r="AB321" i="5"/>
  <c r="AB324" i="5"/>
  <c r="AB320" i="5"/>
  <c r="AB322" i="5"/>
  <c r="AB326" i="5"/>
  <c r="AB325" i="5"/>
  <c r="AB302" i="5"/>
  <c r="U464" i="5"/>
  <c r="Y464" i="5" s="1"/>
  <c r="M464" i="5"/>
  <c r="U392" i="5"/>
  <c r="Y392" i="5" s="1"/>
  <c r="M392" i="5"/>
  <c r="Q392" i="5" s="1"/>
  <c r="AC392" i="5" s="1"/>
  <c r="M465" i="5"/>
  <c r="Y465" i="5"/>
  <c r="G452" i="5"/>
  <c r="M452" i="5"/>
  <c r="Q452" i="5" s="1"/>
  <c r="AC452" i="5" s="1"/>
  <c r="M497" i="5"/>
  <c r="N497" i="5" s="1"/>
  <c r="Y497" i="5"/>
  <c r="M496" i="5"/>
  <c r="Y496" i="5"/>
  <c r="M416" i="5"/>
  <c r="Q416" i="5" s="1"/>
  <c r="AC416" i="5" s="1"/>
  <c r="Y416" i="5"/>
  <c r="M393" i="5"/>
  <c r="Q393" i="5" s="1"/>
  <c r="AC393" i="5" s="1"/>
  <c r="Y393" i="5"/>
  <c r="M473" i="5"/>
  <c r="Y473" i="5"/>
  <c r="M404" i="5"/>
  <c r="Q404" i="5" s="1"/>
  <c r="AC404" i="5" s="1"/>
  <c r="Y404" i="5"/>
  <c r="K305" i="5"/>
  <c r="K306" i="5"/>
  <c r="K307" i="5"/>
  <c r="K308" i="5"/>
  <c r="K304" i="5"/>
  <c r="D305" i="5"/>
  <c r="D306" i="5"/>
  <c r="D307" i="5"/>
  <c r="D308" i="5"/>
  <c r="D304" i="5"/>
  <c r="K301" i="5"/>
  <c r="K295" i="5"/>
  <c r="K296" i="5"/>
  <c r="K297" i="5"/>
  <c r="K298" i="5"/>
  <c r="K299" i="5"/>
  <c r="K300" i="5"/>
  <c r="K294" i="5"/>
  <c r="D299" i="5"/>
  <c r="D300" i="5"/>
  <c r="D295" i="5"/>
  <c r="D296" i="5"/>
  <c r="D297" i="5"/>
  <c r="D298" i="5"/>
  <c r="D294" i="5"/>
  <c r="Q496" i="5" l="1"/>
  <c r="AC496" i="5" s="1"/>
  <c r="N496" i="5"/>
  <c r="AB496" i="5"/>
  <c r="Q473" i="5"/>
  <c r="AC473" i="5" s="1"/>
  <c r="N473" i="5"/>
  <c r="Q465" i="5"/>
  <c r="AC465" i="5" s="1"/>
  <c r="N465" i="5"/>
  <c r="Q464" i="5"/>
  <c r="AC464" i="5" s="1"/>
  <c r="N464" i="5"/>
  <c r="AB392" i="5"/>
  <c r="AB464" i="5"/>
  <c r="AB497" i="5"/>
  <c r="Q497" i="5"/>
  <c r="AC497" i="5" s="1"/>
  <c r="AB416" i="5"/>
  <c r="AB465" i="5"/>
  <c r="AB473" i="5"/>
  <c r="AB404" i="5"/>
  <c r="AB393" i="5"/>
  <c r="G448" i="5"/>
  <c r="M448" i="5"/>
  <c r="Q448" i="5" s="1"/>
  <c r="AC448" i="5" s="1"/>
  <c r="U463" i="5"/>
  <c r="Y463" i="5" s="1"/>
  <c r="M463" i="5"/>
  <c r="U391" i="5"/>
  <c r="U495" i="5"/>
  <c r="U415" i="5"/>
  <c r="G419" i="5"/>
  <c r="M419" i="5"/>
  <c r="Q419" i="5" s="1"/>
  <c r="AC419" i="5" s="1"/>
  <c r="Y419" i="5"/>
  <c r="U403" i="5"/>
  <c r="G407" i="5"/>
  <c r="M407" i="5"/>
  <c r="AB407" i="5" s="1"/>
  <c r="Y407" i="5"/>
  <c r="AB419" i="5" l="1"/>
  <c r="AB463" i="5"/>
  <c r="N463" i="5"/>
  <c r="Q407" i="5"/>
  <c r="AC407" i="5" s="1"/>
  <c r="Q463" i="5"/>
  <c r="AC463" i="5" s="1"/>
  <c r="U494" i="5"/>
  <c r="Y494" i="5" s="1"/>
  <c r="M495" i="5"/>
  <c r="Y495" i="5"/>
  <c r="U414" i="5"/>
  <c r="Y414" i="5" s="1"/>
  <c r="M494" i="5"/>
  <c r="M415" i="5"/>
  <c r="Q415" i="5" s="1"/>
  <c r="AC415" i="5" s="1"/>
  <c r="Y415" i="5"/>
  <c r="U462" i="5"/>
  <c r="Y462" i="5" s="1"/>
  <c r="M462" i="5"/>
  <c r="M391" i="5"/>
  <c r="Q391" i="5" s="1"/>
  <c r="AC391" i="5" s="1"/>
  <c r="Y391" i="5"/>
  <c r="M403" i="5"/>
  <c r="Q403" i="5" s="1"/>
  <c r="AC403" i="5" s="1"/>
  <c r="Y403" i="5"/>
  <c r="U401" i="5"/>
  <c r="Y401" i="5" s="1"/>
  <c r="U461" i="5"/>
  <c r="M414" i="5"/>
  <c r="U347" i="5"/>
  <c r="Y347" i="5" s="1"/>
  <c r="U348" i="5"/>
  <c r="Y348" i="5" s="1"/>
  <c r="U349" i="5"/>
  <c r="G347" i="5"/>
  <c r="M347" i="5"/>
  <c r="Q347" i="5" s="1"/>
  <c r="AC347" i="5" s="1"/>
  <c r="G348" i="5"/>
  <c r="M348" i="5"/>
  <c r="AB348" i="5" s="1"/>
  <c r="U345" i="5"/>
  <c r="Y345" i="5" s="1"/>
  <c r="U346" i="5"/>
  <c r="Y346" i="5" s="1"/>
  <c r="G345" i="5"/>
  <c r="M345" i="5"/>
  <c r="Q345" i="5" s="1"/>
  <c r="AC345" i="5" s="1"/>
  <c r="G346" i="5"/>
  <c r="M346" i="5"/>
  <c r="Q346" i="5" s="1"/>
  <c r="AC346" i="5" s="1"/>
  <c r="U343" i="5"/>
  <c r="Y343" i="5" s="1"/>
  <c r="G343" i="5"/>
  <c r="M343" i="5"/>
  <c r="AB343" i="5" s="1"/>
  <c r="U341" i="5"/>
  <c r="Y341" i="5" s="1"/>
  <c r="G341" i="5"/>
  <c r="M341" i="5"/>
  <c r="Q341" i="5" s="1"/>
  <c r="AC341" i="5" s="1"/>
  <c r="U340" i="5"/>
  <c r="U342" i="5"/>
  <c r="U344" i="5"/>
  <c r="U350" i="5"/>
  <c r="U339" i="5"/>
  <c r="U262" i="5"/>
  <c r="Y262" i="5" s="1"/>
  <c r="U263" i="5"/>
  <c r="Y263" i="5" s="1"/>
  <c r="U264" i="5"/>
  <c r="G263" i="5"/>
  <c r="M263" i="5"/>
  <c r="Q263" i="5" s="1"/>
  <c r="AC263" i="5" s="1"/>
  <c r="G262" i="5"/>
  <c r="M262" i="5"/>
  <c r="Q262" i="5" s="1"/>
  <c r="AC262" i="5" s="1"/>
  <c r="U261" i="5"/>
  <c r="Y261" i="5" s="1"/>
  <c r="G261" i="5"/>
  <c r="M261" i="5"/>
  <c r="Q261" i="5" s="1"/>
  <c r="AC261" i="5" s="1"/>
  <c r="U258" i="5"/>
  <c r="Y258" i="5" s="1"/>
  <c r="U259" i="5"/>
  <c r="Y259" i="5" s="1"/>
  <c r="U260" i="5"/>
  <c r="Y260" i="5" s="1"/>
  <c r="M258" i="5"/>
  <c r="AB258" i="5" s="1"/>
  <c r="M259" i="5"/>
  <c r="AB259" i="5" s="1"/>
  <c r="M260" i="5"/>
  <c r="Q260" i="5" s="1"/>
  <c r="AC260" i="5" s="1"/>
  <c r="U253" i="5"/>
  <c r="Y253" i="5" s="1"/>
  <c r="M253" i="5"/>
  <c r="Q253" i="5" s="1"/>
  <c r="AC253" i="5" s="1"/>
  <c r="U252" i="5"/>
  <c r="Y252" i="5" s="1"/>
  <c r="G252" i="5"/>
  <c r="M252" i="5"/>
  <c r="AB252" i="5" s="1"/>
  <c r="U251" i="5"/>
  <c r="Y251" i="5" s="1"/>
  <c r="U254" i="5"/>
  <c r="U255" i="5"/>
  <c r="Y255" i="5" s="1"/>
  <c r="U256" i="5"/>
  <c r="Y256" i="5" s="1"/>
  <c r="U257" i="5"/>
  <c r="G251" i="5"/>
  <c r="M251" i="5"/>
  <c r="Q251" i="5" s="1"/>
  <c r="AC251" i="5" s="1"/>
  <c r="G255" i="5"/>
  <c r="M255" i="5"/>
  <c r="Q255" i="5" s="1"/>
  <c r="AC255" i="5" s="1"/>
  <c r="G256" i="5"/>
  <c r="M256" i="5"/>
  <c r="Q256" i="5" s="1"/>
  <c r="AC256" i="5" s="1"/>
  <c r="U168" i="5"/>
  <c r="Y168" i="5" s="1"/>
  <c r="U169" i="5"/>
  <c r="Y169" i="5" s="1"/>
  <c r="U170" i="5"/>
  <c r="Y170" i="5" s="1"/>
  <c r="U171" i="5"/>
  <c r="Y171" i="5" s="1"/>
  <c r="G168" i="5"/>
  <c r="M168" i="5"/>
  <c r="G171" i="5"/>
  <c r="M171" i="5"/>
  <c r="AB171" i="5" s="1"/>
  <c r="G169" i="5"/>
  <c r="M169" i="5"/>
  <c r="Q169" i="5" s="1"/>
  <c r="AC169" i="5" s="1"/>
  <c r="G170" i="5"/>
  <c r="M170" i="5"/>
  <c r="Q170" i="5" s="1"/>
  <c r="AC170" i="5" s="1"/>
  <c r="G173" i="5"/>
  <c r="M173" i="5"/>
  <c r="Q173" i="5" s="1"/>
  <c r="AC173" i="5" s="1"/>
  <c r="Y173" i="5"/>
  <c r="U167" i="5"/>
  <c r="Y167" i="5" s="1"/>
  <c r="U172" i="5"/>
  <c r="U174" i="5"/>
  <c r="M167" i="5"/>
  <c r="Q167" i="5" s="1"/>
  <c r="AC167" i="5" s="1"/>
  <c r="U165" i="5"/>
  <c r="Y165" i="5" s="1"/>
  <c r="U166" i="5"/>
  <c r="G165" i="5"/>
  <c r="M165" i="5"/>
  <c r="Q165" i="5" s="1"/>
  <c r="AC165" i="5" s="1"/>
  <c r="U164" i="5"/>
  <c r="Y164" i="5" s="1"/>
  <c r="U163" i="5"/>
  <c r="G164" i="5"/>
  <c r="M164" i="5"/>
  <c r="AB164" i="5" s="1"/>
  <c r="U68" i="5"/>
  <c r="Y68" i="5" s="1"/>
  <c r="U69" i="5"/>
  <c r="Y69" i="5" s="1"/>
  <c r="U70" i="5"/>
  <c r="Y70" i="5" s="1"/>
  <c r="U71" i="5"/>
  <c r="Y71" i="5" s="1"/>
  <c r="U72" i="5"/>
  <c r="Y72" i="5" s="1"/>
  <c r="M68" i="5"/>
  <c r="Q68" i="5" s="1"/>
  <c r="AC68" i="5" s="1"/>
  <c r="M70" i="5"/>
  <c r="Q70" i="5" s="1"/>
  <c r="AC70" i="5" s="1"/>
  <c r="G71" i="5"/>
  <c r="M71" i="5"/>
  <c r="AB71" i="5" s="1"/>
  <c r="G72" i="5"/>
  <c r="M72" i="5"/>
  <c r="Q72" i="5" s="1"/>
  <c r="AC72" i="5" s="1"/>
  <c r="G73" i="5"/>
  <c r="M73" i="5"/>
  <c r="Q73" i="5" s="1"/>
  <c r="AC73" i="5" s="1"/>
  <c r="Y73" i="5"/>
  <c r="U66" i="5"/>
  <c r="Y66" i="5" s="1"/>
  <c r="U67" i="5"/>
  <c r="Y67" i="5" s="1"/>
  <c r="M66" i="5"/>
  <c r="AB66" i="5" s="1"/>
  <c r="U65" i="5"/>
  <c r="Y65" i="5" s="1"/>
  <c r="M65" i="5"/>
  <c r="Q65" i="5" s="1"/>
  <c r="AC65" i="5" s="1"/>
  <c r="M67" i="5"/>
  <c r="Q67" i="5" s="1"/>
  <c r="AC67" i="5" s="1"/>
  <c r="M69" i="5"/>
  <c r="Q69" i="5" s="1"/>
  <c r="AC69" i="5" s="1"/>
  <c r="U63" i="5"/>
  <c r="Y63" i="5" s="1"/>
  <c r="U64" i="5"/>
  <c r="Y64" i="5" s="1"/>
  <c r="Y74" i="5"/>
  <c r="G63" i="5"/>
  <c r="M63" i="5"/>
  <c r="Q63" i="5" s="1"/>
  <c r="AC63" i="5" s="1"/>
  <c r="G64" i="5"/>
  <c r="M64" i="5"/>
  <c r="Q64" i="5" s="1"/>
  <c r="AC64" i="5" s="1"/>
  <c r="G74" i="5"/>
  <c r="M74" i="5"/>
  <c r="Q74" i="5" s="1"/>
  <c r="AC74" i="5" s="1"/>
  <c r="M401" i="5"/>
  <c r="Q401" i="5" s="1"/>
  <c r="AC401" i="5" s="1"/>
  <c r="Q168" i="5" l="1"/>
  <c r="AC168" i="5" s="1"/>
  <c r="Q494" i="5"/>
  <c r="AC494" i="5" s="1"/>
  <c r="N494" i="5"/>
  <c r="Q495" i="5"/>
  <c r="AC495" i="5" s="1"/>
  <c r="N495" i="5"/>
  <c r="Q462" i="5"/>
  <c r="AC462" i="5" s="1"/>
  <c r="N462" i="5"/>
  <c r="AB494" i="5"/>
  <c r="AB415" i="5"/>
  <c r="AB495" i="5"/>
  <c r="AB391" i="5"/>
  <c r="AB262" i="5"/>
  <c r="AB462" i="5"/>
  <c r="AB347" i="5"/>
  <c r="AB414" i="5"/>
  <c r="AB403" i="5"/>
  <c r="Q414" i="5"/>
  <c r="AC414" i="5" s="1"/>
  <c r="Q348" i="5"/>
  <c r="AC348" i="5" s="1"/>
  <c r="AB345" i="5"/>
  <c r="Q258" i="5"/>
  <c r="AC258" i="5" s="1"/>
  <c r="AB346" i="5"/>
  <c r="Q343" i="5"/>
  <c r="AC343" i="5" s="1"/>
  <c r="Q252" i="5"/>
  <c r="AC252" i="5" s="1"/>
  <c r="AB341" i="5"/>
  <c r="AB256" i="5"/>
  <c r="AB263" i="5"/>
  <c r="Q259" i="5"/>
  <c r="AC259" i="5" s="1"/>
  <c r="AB261" i="5"/>
  <c r="AB253" i="5"/>
  <c r="AB260" i="5"/>
  <c r="AB251" i="5"/>
  <c r="AB255" i="5"/>
  <c r="Q171" i="5"/>
  <c r="AC171" i="5" s="1"/>
  <c r="AB169" i="5"/>
  <c r="AB170" i="5"/>
  <c r="AB168" i="5"/>
  <c r="AB173" i="5"/>
  <c r="AB68" i="5"/>
  <c r="AB165" i="5"/>
  <c r="AB167" i="5"/>
  <c r="Q71" i="5"/>
  <c r="AC71" i="5" s="1"/>
  <c r="Q164" i="5"/>
  <c r="AC164" i="5" s="1"/>
  <c r="AB74" i="5"/>
  <c r="AB70" i="5"/>
  <c r="AB72" i="5"/>
  <c r="Q66" i="5"/>
  <c r="AC66" i="5" s="1"/>
  <c r="AB69" i="5"/>
  <c r="AB73" i="5"/>
  <c r="AB65" i="5"/>
  <c r="AB67" i="5"/>
  <c r="AB63" i="5"/>
  <c r="AB64" i="5"/>
  <c r="AB401" i="5"/>
  <c r="R6" i="1" l="1"/>
  <c r="R7" i="1"/>
  <c r="R8" i="1"/>
  <c r="R9" i="1"/>
  <c r="R10" i="1"/>
  <c r="R11" i="1"/>
  <c r="R12" i="1"/>
  <c r="R13" i="1"/>
  <c r="R14" i="1"/>
  <c r="R15" i="1"/>
  <c r="R16" i="1"/>
  <c r="R22" i="1"/>
  <c r="R23" i="1"/>
  <c r="R24" i="1"/>
  <c r="R25" i="1"/>
  <c r="R26" i="1"/>
  <c r="R27" i="1"/>
  <c r="R28" i="1"/>
  <c r="R29" i="1"/>
  <c r="R30" i="1"/>
  <c r="R31" i="1"/>
  <c r="R32" i="1"/>
  <c r="G461" i="5"/>
  <c r="M461" i="5"/>
  <c r="Y461" i="5"/>
  <c r="Q461" i="5" l="1"/>
  <c r="AC461" i="5" s="1"/>
  <c r="N461" i="5"/>
  <c r="AB461" i="5"/>
  <c r="U503" i="5"/>
  <c r="U504" i="5"/>
  <c r="U506" i="5"/>
  <c r="U507" i="5"/>
  <c r="M439" i="5"/>
  <c r="Q439" i="5" s="1"/>
  <c r="AC439" i="5" s="1"/>
  <c r="Y439" i="5"/>
  <c r="M435" i="5"/>
  <c r="Y435" i="5"/>
  <c r="M436" i="5"/>
  <c r="Q436" i="5" s="1"/>
  <c r="AC436" i="5" s="1"/>
  <c r="Y436" i="5"/>
  <c r="G438" i="5"/>
  <c r="M438" i="5"/>
  <c r="Q438" i="5" s="1"/>
  <c r="AC438" i="5" s="1"/>
  <c r="G379" i="9"/>
  <c r="G378" i="9"/>
  <c r="AB439" i="5" l="1"/>
  <c r="AB435" i="5"/>
  <c r="Q435" i="5"/>
  <c r="AC435" i="5" s="1"/>
  <c r="AB436" i="5"/>
  <c r="M451" i="5"/>
  <c r="Q451" i="5" s="1"/>
  <c r="AC451" i="5" s="1"/>
  <c r="Y451" i="5"/>
  <c r="M455" i="5"/>
  <c r="AB455" i="5" s="1"/>
  <c r="Y455" i="5"/>
  <c r="G351" i="5"/>
  <c r="M351" i="5"/>
  <c r="Q351" i="5" s="1"/>
  <c r="AC351" i="5" s="1"/>
  <c r="Y351" i="5"/>
  <c r="M352" i="5"/>
  <c r="Q352" i="5" s="1"/>
  <c r="AC352" i="5" s="1"/>
  <c r="Y352" i="5"/>
  <c r="M353" i="5"/>
  <c r="Q353" i="5" s="1"/>
  <c r="AC353" i="5" s="1"/>
  <c r="Y353" i="5"/>
  <c r="M354" i="5"/>
  <c r="Q354" i="5" s="1"/>
  <c r="AC354" i="5" s="1"/>
  <c r="Y354" i="5"/>
  <c r="G340" i="5"/>
  <c r="M340" i="5"/>
  <c r="Q340" i="5" s="1"/>
  <c r="AC340" i="5" s="1"/>
  <c r="Y340" i="5"/>
  <c r="G342" i="5"/>
  <c r="M342" i="5"/>
  <c r="Q342" i="5" s="1"/>
  <c r="AC342" i="5" s="1"/>
  <c r="Y342" i="5"/>
  <c r="G339" i="5"/>
  <c r="M339" i="5"/>
  <c r="Q339" i="5" s="1"/>
  <c r="AC339" i="5" s="1"/>
  <c r="Y339" i="5"/>
  <c r="M344" i="5"/>
  <c r="Q344" i="5" s="1"/>
  <c r="AC344" i="5" s="1"/>
  <c r="Y344" i="5"/>
  <c r="M349" i="5"/>
  <c r="Q349" i="5" s="1"/>
  <c r="AC349" i="5" s="1"/>
  <c r="Y349" i="5"/>
  <c r="G350" i="5"/>
  <c r="M350" i="5"/>
  <c r="Q350" i="5" s="1"/>
  <c r="AC350" i="5" s="1"/>
  <c r="Y350" i="5"/>
  <c r="M355" i="5"/>
  <c r="Q355" i="5" s="1"/>
  <c r="AC355" i="5" s="1"/>
  <c r="Y355" i="5"/>
  <c r="U386" i="5"/>
  <c r="U387" i="5"/>
  <c r="U388" i="5"/>
  <c r="U389" i="5"/>
  <c r="U390" i="5"/>
  <c r="U396" i="5"/>
  <c r="U397" i="5"/>
  <c r="U398" i="5"/>
  <c r="U399" i="5"/>
  <c r="U400" i="5"/>
  <c r="U402" i="5"/>
  <c r="U408" i="5"/>
  <c r="U409" i="5"/>
  <c r="U410" i="5"/>
  <c r="U411" i="5"/>
  <c r="U412" i="5"/>
  <c r="U413" i="5"/>
  <c r="U420" i="5"/>
  <c r="U421" i="5"/>
  <c r="U422" i="5"/>
  <c r="U423" i="5"/>
  <c r="U424" i="5"/>
  <c r="U425" i="5"/>
  <c r="U426" i="5"/>
  <c r="U427" i="5"/>
  <c r="U430" i="5"/>
  <c r="U440" i="5"/>
  <c r="U443" i="5"/>
  <c r="U444" i="5"/>
  <c r="U445" i="5"/>
  <c r="U446" i="5"/>
  <c r="U450" i="5"/>
  <c r="U454" i="5"/>
  <c r="U456" i="5"/>
  <c r="U457" i="5"/>
  <c r="U458" i="5"/>
  <c r="U459" i="5"/>
  <c r="U460" i="5"/>
  <c r="U468" i="5"/>
  <c r="U469" i="5"/>
  <c r="U470" i="5"/>
  <c r="U471" i="5"/>
  <c r="U472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90" i="5"/>
  <c r="U491" i="5"/>
  <c r="U492" i="5"/>
  <c r="U493" i="5"/>
  <c r="U499" i="5"/>
  <c r="U500" i="5"/>
  <c r="U502" i="5"/>
  <c r="Y502" i="5" s="1"/>
  <c r="U385" i="5"/>
  <c r="G504" i="5"/>
  <c r="G506" i="5"/>
  <c r="M504" i="5"/>
  <c r="M505" i="5"/>
  <c r="M506" i="5"/>
  <c r="AB506" i="5" s="1"/>
  <c r="M507" i="5"/>
  <c r="AB507" i="5" s="1"/>
  <c r="Y504" i="5"/>
  <c r="Y505" i="5"/>
  <c r="Y506" i="5"/>
  <c r="Y507" i="5"/>
  <c r="G502" i="5"/>
  <c r="M503" i="5"/>
  <c r="Y503" i="5"/>
  <c r="AB505" i="5" l="1"/>
  <c r="N505" i="5"/>
  <c r="AB503" i="5"/>
  <c r="N503" i="5"/>
  <c r="AB504" i="5"/>
  <c r="N504" i="5"/>
  <c r="AB502" i="5"/>
  <c r="AB451" i="5"/>
  <c r="AB342" i="5"/>
  <c r="Q455" i="5"/>
  <c r="AC455" i="5" s="1"/>
  <c r="AB351" i="5"/>
  <c r="AB353" i="5"/>
  <c r="AB352" i="5"/>
  <c r="Q507" i="5"/>
  <c r="AC507" i="5" s="1"/>
  <c r="AB350" i="5"/>
  <c r="AB339" i="5"/>
  <c r="AB340" i="5"/>
  <c r="AB354" i="5"/>
  <c r="Q503" i="5"/>
  <c r="AC503" i="5" s="1"/>
  <c r="AB344" i="5"/>
  <c r="AB349" i="5"/>
  <c r="AB355" i="5"/>
  <c r="Q506" i="5"/>
  <c r="AC506" i="5" s="1"/>
  <c r="Q505" i="5"/>
  <c r="AC505" i="5" s="1"/>
  <c r="Q502" i="5"/>
  <c r="AC502" i="5" s="1"/>
  <c r="Q504" i="5"/>
  <c r="AC504" i="5" s="1"/>
  <c r="G359" i="9" l="1"/>
  <c r="G360" i="9"/>
  <c r="G361" i="9"/>
  <c r="G362" i="9"/>
  <c r="G363" i="9"/>
  <c r="G358" i="9"/>
  <c r="M484" i="5"/>
  <c r="Y484" i="5"/>
  <c r="M485" i="5"/>
  <c r="Y485" i="5"/>
  <c r="M486" i="5"/>
  <c r="Y486" i="5"/>
  <c r="M487" i="5"/>
  <c r="Y487" i="5"/>
  <c r="M488" i="5"/>
  <c r="Y488" i="5"/>
  <c r="M490" i="5"/>
  <c r="Y490" i="5"/>
  <c r="M491" i="5"/>
  <c r="Y491" i="5"/>
  <c r="M492" i="5"/>
  <c r="Y492" i="5"/>
  <c r="G493" i="5"/>
  <c r="M493" i="5"/>
  <c r="Y493" i="5"/>
  <c r="M425" i="5"/>
  <c r="Q425" i="5" s="1"/>
  <c r="AC425" i="5" s="1"/>
  <c r="Y425" i="5"/>
  <c r="M426" i="5"/>
  <c r="Q426" i="5" s="1"/>
  <c r="AC426" i="5" s="1"/>
  <c r="Y426" i="5"/>
  <c r="M420" i="5"/>
  <c r="Q420" i="5" s="1"/>
  <c r="AC420" i="5" s="1"/>
  <c r="Y420" i="5"/>
  <c r="M421" i="5"/>
  <c r="Q421" i="5" s="1"/>
  <c r="AC421" i="5" s="1"/>
  <c r="Y421" i="5"/>
  <c r="M422" i="5"/>
  <c r="Q422" i="5" s="1"/>
  <c r="AC422" i="5" s="1"/>
  <c r="Y422" i="5"/>
  <c r="M423" i="5"/>
  <c r="Q423" i="5" s="1"/>
  <c r="AC423" i="5" s="1"/>
  <c r="Y423" i="5"/>
  <c r="G424" i="5"/>
  <c r="M424" i="5"/>
  <c r="Q424" i="5" s="1"/>
  <c r="AC424" i="5" s="1"/>
  <c r="Y424" i="5"/>
  <c r="M427" i="5"/>
  <c r="Q427" i="5" s="1"/>
  <c r="AC427" i="5" s="1"/>
  <c r="Y427" i="5"/>
  <c r="M430" i="5"/>
  <c r="Q430" i="5" s="1"/>
  <c r="AC430" i="5" s="1"/>
  <c r="Y430" i="5"/>
  <c r="M31" i="1"/>
  <c r="G1744" i="5" s="1"/>
  <c r="M32" i="1"/>
  <c r="G1784" i="5" s="1"/>
  <c r="Q31" i="1"/>
  <c r="Q32" i="1"/>
  <c r="S31" i="1"/>
  <c r="S32" i="1"/>
  <c r="G441" i="5"/>
  <c r="M441" i="5"/>
  <c r="AB441" i="5" s="1"/>
  <c r="Y441" i="5"/>
  <c r="G442" i="5"/>
  <c r="M442" i="5"/>
  <c r="Q442" i="5" s="1"/>
  <c r="AC442" i="5" s="1"/>
  <c r="Y442" i="5"/>
  <c r="M443" i="5"/>
  <c r="Q443" i="5" s="1"/>
  <c r="AC443" i="5" s="1"/>
  <c r="Y443" i="5"/>
  <c r="M444" i="5"/>
  <c r="Q444" i="5" s="1"/>
  <c r="AC444" i="5" s="1"/>
  <c r="Y444" i="5"/>
  <c r="M445" i="5"/>
  <c r="Q445" i="5" s="1"/>
  <c r="AC445" i="5" s="1"/>
  <c r="Y445" i="5"/>
  <c r="M446" i="5"/>
  <c r="Q446" i="5" s="1"/>
  <c r="AC446" i="5" s="1"/>
  <c r="Y446" i="5"/>
  <c r="M411" i="5"/>
  <c r="AB411" i="5" s="1"/>
  <c r="Y411" i="5"/>
  <c r="M412" i="5"/>
  <c r="Q412" i="5" s="1"/>
  <c r="AC412" i="5" s="1"/>
  <c r="Y412" i="5"/>
  <c r="M413" i="5"/>
  <c r="Q413" i="5" s="1"/>
  <c r="AC413" i="5" s="1"/>
  <c r="Y413" i="5"/>
  <c r="G440" i="5"/>
  <c r="M440" i="5"/>
  <c r="Q440" i="5" s="1"/>
  <c r="AC440" i="5" s="1"/>
  <c r="Y440" i="5"/>
  <c r="M450" i="5"/>
  <c r="Q450" i="5" s="1"/>
  <c r="AC450" i="5" s="1"/>
  <c r="Y450" i="5"/>
  <c r="M458" i="5"/>
  <c r="Y458" i="5"/>
  <c r="M459" i="5"/>
  <c r="Y459" i="5"/>
  <c r="M460" i="5"/>
  <c r="Y460" i="5"/>
  <c r="M468" i="5"/>
  <c r="Y468" i="5"/>
  <c r="M469" i="5"/>
  <c r="Y469" i="5"/>
  <c r="M470" i="5"/>
  <c r="Y470" i="5"/>
  <c r="M471" i="5"/>
  <c r="Y471" i="5"/>
  <c r="M472" i="5"/>
  <c r="Y472" i="5"/>
  <c r="G475" i="5"/>
  <c r="M475" i="5"/>
  <c r="Y475" i="5"/>
  <c r="M476" i="5"/>
  <c r="Y476" i="5"/>
  <c r="M477" i="5"/>
  <c r="Y477" i="5"/>
  <c r="G478" i="5"/>
  <c r="M478" i="5"/>
  <c r="Y478" i="5"/>
  <c r="M479" i="5"/>
  <c r="Y479" i="5"/>
  <c r="M480" i="5"/>
  <c r="Y480" i="5"/>
  <c r="M481" i="5"/>
  <c r="Y481" i="5"/>
  <c r="M482" i="5"/>
  <c r="Y482" i="5"/>
  <c r="G483" i="5"/>
  <c r="Y483" i="5"/>
  <c r="M499" i="5"/>
  <c r="Y499" i="5"/>
  <c r="U292" i="5"/>
  <c r="U293" i="5"/>
  <c r="U294" i="5"/>
  <c r="U295" i="5"/>
  <c r="U296" i="5"/>
  <c r="U297" i="5"/>
  <c r="U298" i="5"/>
  <c r="U299" i="5"/>
  <c r="U300" i="5"/>
  <c r="U301" i="5"/>
  <c r="U303" i="5"/>
  <c r="U304" i="5"/>
  <c r="U305" i="5"/>
  <c r="U306" i="5"/>
  <c r="U307" i="5"/>
  <c r="U308" i="5"/>
  <c r="U311" i="5"/>
  <c r="U312" i="5"/>
  <c r="U313" i="5"/>
  <c r="U314" i="5"/>
  <c r="U315" i="5"/>
  <c r="U316" i="5"/>
  <c r="U317" i="5"/>
  <c r="U384" i="5"/>
  <c r="Y384" i="5" s="1"/>
  <c r="M295" i="5"/>
  <c r="Q295" i="5" s="1"/>
  <c r="AC295" i="5" s="1"/>
  <c r="M296" i="5"/>
  <c r="Q296" i="5" s="1"/>
  <c r="AC296" i="5" s="1"/>
  <c r="G297" i="5"/>
  <c r="M297" i="5"/>
  <c r="Q297" i="5" s="1"/>
  <c r="AC297" i="5" s="1"/>
  <c r="G298" i="5"/>
  <c r="M298" i="5"/>
  <c r="Q298" i="5" s="1"/>
  <c r="AC298" i="5" s="1"/>
  <c r="G299" i="5"/>
  <c r="M299" i="5"/>
  <c r="Q299" i="5" s="1"/>
  <c r="AC299" i="5" s="1"/>
  <c r="G300" i="5"/>
  <c r="M300" i="5"/>
  <c r="Q300" i="5" s="1"/>
  <c r="AC300" i="5" s="1"/>
  <c r="M301" i="5"/>
  <c r="Q301" i="5" s="1"/>
  <c r="AC301" i="5" s="1"/>
  <c r="M303" i="5"/>
  <c r="Q303" i="5" s="1"/>
  <c r="AC303" i="5" s="1"/>
  <c r="M304" i="5"/>
  <c r="Q304" i="5" s="1"/>
  <c r="AC304" i="5" s="1"/>
  <c r="M305" i="5"/>
  <c r="Q305" i="5" s="1"/>
  <c r="AC305" i="5" s="1"/>
  <c r="M306" i="5"/>
  <c r="Q306" i="5" s="1"/>
  <c r="AC306" i="5" s="1"/>
  <c r="M307" i="5"/>
  <c r="Q307" i="5" s="1"/>
  <c r="AC307" i="5" s="1"/>
  <c r="M308" i="5"/>
  <c r="Q308" i="5" s="1"/>
  <c r="AC308" i="5" s="1"/>
  <c r="G310" i="5"/>
  <c r="Q310" i="5"/>
  <c r="AC310" i="5" s="1"/>
  <c r="M311" i="5"/>
  <c r="Q311" i="5" s="1"/>
  <c r="AC311" i="5" s="1"/>
  <c r="M314" i="5"/>
  <c r="Q314" i="5" s="1"/>
  <c r="AC314" i="5" s="1"/>
  <c r="M315" i="5"/>
  <c r="Q315" i="5" s="1"/>
  <c r="AC315" i="5" s="1"/>
  <c r="M316" i="5"/>
  <c r="Q316" i="5" s="1"/>
  <c r="AC316" i="5" s="1"/>
  <c r="M317" i="5"/>
  <c r="Q317" i="5" s="1"/>
  <c r="AC317" i="5" s="1"/>
  <c r="M384" i="5"/>
  <c r="Q384" i="5" s="1"/>
  <c r="AC384" i="5" s="1"/>
  <c r="M385" i="5"/>
  <c r="Q385" i="5" s="1"/>
  <c r="AC385" i="5" s="1"/>
  <c r="M386" i="5"/>
  <c r="Q386" i="5" s="1"/>
  <c r="AC386" i="5" s="1"/>
  <c r="M387" i="5"/>
  <c r="Q387" i="5" s="1"/>
  <c r="AC387" i="5" s="1"/>
  <c r="M388" i="5"/>
  <c r="Q388" i="5" s="1"/>
  <c r="AC388" i="5" s="1"/>
  <c r="M389" i="5"/>
  <c r="Q389" i="5" s="1"/>
  <c r="AC389" i="5" s="1"/>
  <c r="M390" i="5"/>
  <c r="Q390" i="5" s="1"/>
  <c r="AC390" i="5" s="1"/>
  <c r="M396" i="5"/>
  <c r="Q396" i="5" s="1"/>
  <c r="AC396" i="5" s="1"/>
  <c r="M397" i="5"/>
  <c r="Q397" i="5" s="1"/>
  <c r="AC397" i="5" s="1"/>
  <c r="M398" i="5"/>
  <c r="Q398" i="5" s="1"/>
  <c r="AC398" i="5" s="1"/>
  <c r="M399" i="5"/>
  <c r="Q399" i="5" s="1"/>
  <c r="AC399" i="5" s="1"/>
  <c r="M312" i="5"/>
  <c r="Q312" i="5" s="1"/>
  <c r="AC312" i="5" s="1"/>
  <c r="M402" i="5"/>
  <c r="Q402" i="5" s="1"/>
  <c r="AC402" i="5" s="1"/>
  <c r="M400" i="5"/>
  <c r="Q400" i="5" s="1"/>
  <c r="AC400" i="5" s="1"/>
  <c r="M294" i="5"/>
  <c r="Q294" i="5" s="1"/>
  <c r="AC294" i="5" s="1"/>
  <c r="M313" i="5"/>
  <c r="Q313" i="5" s="1"/>
  <c r="AC313" i="5" s="1"/>
  <c r="M408" i="5"/>
  <c r="Q408" i="5" s="1"/>
  <c r="AC408" i="5" s="1"/>
  <c r="M409" i="5"/>
  <c r="Q409" i="5" s="1"/>
  <c r="AC409" i="5" s="1"/>
  <c r="M410" i="5"/>
  <c r="Q410" i="5" s="1"/>
  <c r="AC410" i="5" s="1"/>
  <c r="M454" i="5"/>
  <c r="Q454" i="5" s="1"/>
  <c r="AC454" i="5" s="1"/>
  <c r="G456" i="5"/>
  <c r="M456" i="5"/>
  <c r="Q456" i="5" s="1"/>
  <c r="AC456" i="5" s="1"/>
  <c r="G163" i="5"/>
  <c r="M163" i="5"/>
  <c r="Q163" i="5" s="1"/>
  <c r="AC163" i="5" s="1"/>
  <c r="Y163" i="5"/>
  <c r="G166" i="5"/>
  <c r="M166" i="5"/>
  <c r="Q166" i="5" s="1"/>
  <c r="AC166" i="5" s="1"/>
  <c r="Y166" i="5"/>
  <c r="M172" i="5"/>
  <c r="Y172" i="5"/>
  <c r="G174" i="5"/>
  <c r="M174" i="5"/>
  <c r="Q174" i="5" s="1"/>
  <c r="AC174" i="5" s="1"/>
  <c r="Y174" i="5"/>
  <c r="M264" i="5"/>
  <c r="AB264" i="5" s="1"/>
  <c r="Y264" i="5"/>
  <c r="M254" i="5"/>
  <c r="AB254" i="5" s="1"/>
  <c r="Y254" i="5"/>
  <c r="G257" i="5"/>
  <c r="M257" i="5"/>
  <c r="Q257" i="5" s="1"/>
  <c r="AC257" i="5" s="1"/>
  <c r="Y257" i="5"/>
  <c r="G265" i="5"/>
  <c r="M265" i="5"/>
  <c r="Q265" i="5" s="1"/>
  <c r="AC265" i="5" s="1"/>
  <c r="Y265" i="5"/>
  <c r="S28" i="1"/>
  <c r="G1782" i="5" l="1"/>
  <c r="G1783" i="5"/>
  <c r="G1577" i="5"/>
  <c r="G1735" i="5"/>
  <c r="G1615" i="5"/>
  <c r="G1616" i="5"/>
  <c r="G1573" i="5"/>
  <c r="G1575" i="5"/>
  <c r="G1429" i="5"/>
  <c r="G1571" i="5"/>
  <c r="G1310" i="5"/>
  <c r="G1467" i="5"/>
  <c r="G1291" i="5"/>
  <c r="G1292" i="5"/>
  <c r="G1308" i="5"/>
  <c r="G1309" i="5"/>
  <c r="G1287" i="5"/>
  <c r="G1147" i="5"/>
  <c r="G1286" i="5"/>
  <c r="G1136" i="5"/>
  <c r="G1137" i="5"/>
  <c r="G1144" i="5"/>
  <c r="G1145" i="5"/>
  <c r="Q172" i="5"/>
  <c r="AC172" i="5" s="1"/>
  <c r="G1142" i="5"/>
  <c r="G1143" i="5"/>
  <c r="G1140" i="5"/>
  <c r="G1141" i="5"/>
  <c r="G886" i="5"/>
  <c r="G1139" i="5"/>
  <c r="G1125" i="5"/>
  <c r="G1135" i="5"/>
  <c r="G993" i="5"/>
  <c r="G995" i="5"/>
  <c r="G888" i="5"/>
  <c r="G889" i="5"/>
  <c r="G884" i="5"/>
  <c r="G885" i="5"/>
  <c r="U32" i="1"/>
  <c r="V32" i="1" s="1"/>
  <c r="G881" i="5"/>
  <c r="G883" i="5"/>
  <c r="G731" i="5"/>
  <c r="G880" i="5"/>
  <c r="G729" i="5"/>
  <c r="G730" i="5"/>
  <c r="G727" i="5"/>
  <c r="G728" i="5"/>
  <c r="G725" i="5"/>
  <c r="G726" i="5"/>
  <c r="G721" i="5"/>
  <c r="G724" i="5"/>
  <c r="Q469" i="5"/>
  <c r="AC469" i="5" s="1"/>
  <c r="N469" i="5"/>
  <c r="Q483" i="5"/>
  <c r="AC483" i="5" s="1"/>
  <c r="Q486" i="5"/>
  <c r="AC486" i="5" s="1"/>
  <c r="N486" i="5"/>
  <c r="Q460" i="5"/>
  <c r="AC460" i="5" s="1"/>
  <c r="N460" i="5"/>
  <c r="Q475" i="5"/>
  <c r="AC475" i="5" s="1"/>
  <c r="N475" i="5"/>
  <c r="Q481" i="5"/>
  <c r="AC481" i="5" s="1"/>
  <c r="N481" i="5"/>
  <c r="AB485" i="5"/>
  <c r="N485" i="5"/>
  <c r="AB459" i="5"/>
  <c r="N459" i="5"/>
  <c r="Q492" i="5"/>
  <c r="AC492" i="5" s="1"/>
  <c r="N492" i="5"/>
  <c r="Q484" i="5"/>
  <c r="AC484" i="5" s="1"/>
  <c r="N484" i="5"/>
  <c r="Q491" i="5"/>
  <c r="AC491" i="5" s="1"/>
  <c r="N491" i="5"/>
  <c r="Q477" i="5"/>
  <c r="AC477" i="5" s="1"/>
  <c r="N477" i="5"/>
  <c r="Q488" i="5"/>
  <c r="AC488" i="5" s="1"/>
  <c r="N488" i="5"/>
  <c r="Q468" i="5"/>
  <c r="AC468" i="5" s="1"/>
  <c r="N468" i="5"/>
  <c r="Q458" i="5"/>
  <c r="AC458" i="5" s="1"/>
  <c r="N458" i="5"/>
  <c r="Q490" i="5"/>
  <c r="AC490" i="5" s="1"/>
  <c r="N490" i="5"/>
  <c r="Q487" i="5"/>
  <c r="AC487" i="5" s="1"/>
  <c r="N487" i="5"/>
  <c r="Q476" i="5"/>
  <c r="AC476" i="5" s="1"/>
  <c r="N476" i="5"/>
  <c r="Q482" i="5"/>
  <c r="AC482" i="5" s="1"/>
  <c r="N482" i="5"/>
  <c r="Q493" i="5"/>
  <c r="AC493" i="5" s="1"/>
  <c r="N493" i="5"/>
  <c r="Q472" i="5"/>
  <c r="AC472" i="5" s="1"/>
  <c r="N472" i="5"/>
  <c r="Q479" i="5"/>
  <c r="AC479" i="5" s="1"/>
  <c r="N479" i="5"/>
  <c r="Q478" i="5"/>
  <c r="AC478" i="5" s="1"/>
  <c r="N478" i="5"/>
  <c r="Q470" i="5"/>
  <c r="AC470" i="5" s="1"/>
  <c r="N470" i="5"/>
  <c r="Q480" i="5"/>
  <c r="AC480" i="5" s="1"/>
  <c r="N480" i="5"/>
  <c r="Q471" i="5"/>
  <c r="AC471" i="5" s="1"/>
  <c r="N471" i="5"/>
  <c r="Q499" i="5"/>
  <c r="AC499" i="5" s="1"/>
  <c r="N499" i="5"/>
  <c r="U31" i="1"/>
  <c r="V31" i="1" s="1"/>
  <c r="Q485" i="5"/>
  <c r="AC485" i="5" s="1"/>
  <c r="AB484" i="5"/>
  <c r="AB486" i="5"/>
  <c r="AB488" i="5"/>
  <c r="AB487" i="5"/>
  <c r="AB490" i="5"/>
  <c r="AB491" i="5"/>
  <c r="Q441" i="5"/>
  <c r="AC441" i="5" s="1"/>
  <c r="AB493" i="5"/>
  <c r="AB492" i="5"/>
  <c r="AB425" i="5"/>
  <c r="AB426" i="5"/>
  <c r="AB421" i="5"/>
  <c r="AB422" i="5"/>
  <c r="AB420" i="5"/>
  <c r="AB423" i="5"/>
  <c r="AB430" i="5"/>
  <c r="AB424" i="5"/>
  <c r="AB427" i="5"/>
  <c r="AB443" i="5"/>
  <c r="AB442" i="5"/>
  <c r="AB444" i="5"/>
  <c r="AB445" i="5"/>
  <c r="AB446" i="5"/>
  <c r="AB412" i="5"/>
  <c r="Q411" i="5"/>
  <c r="AC411" i="5" s="1"/>
  <c r="AB413" i="5"/>
  <c r="AB440" i="5"/>
  <c r="Q459" i="5"/>
  <c r="AC459" i="5" s="1"/>
  <c r="AB450" i="5"/>
  <c r="AB458" i="5"/>
  <c r="AB468" i="5"/>
  <c r="AB460" i="5"/>
  <c r="AB470" i="5"/>
  <c r="AB471" i="5"/>
  <c r="AB469" i="5"/>
  <c r="AB472" i="5"/>
  <c r="AB476" i="5"/>
  <c r="AB475" i="5"/>
  <c r="AB477" i="5"/>
  <c r="AB478" i="5"/>
  <c r="AB482" i="5"/>
  <c r="AB479" i="5"/>
  <c r="AB481" i="5"/>
  <c r="AB480" i="5"/>
  <c r="AB483" i="5"/>
  <c r="AB499" i="5"/>
  <c r="Q264" i="5"/>
  <c r="AC264" i="5" s="1"/>
  <c r="AB384" i="5"/>
  <c r="AB166" i="5"/>
  <c r="AB163" i="5"/>
  <c r="AB174" i="5"/>
  <c r="Q254" i="5"/>
  <c r="AC254" i="5" s="1"/>
  <c r="AB172" i="5"/>
  <c r="AB257" i="5"/>
  <c r="AB265" i="5"/>
  <c r="G344" i="9" l="1"/>
  <c r="G345" i="9"/>
  <c r="G346" i="9"/>
  <c r="G347" i="9"/>
  <c r="G348" i="9"/>
  <c r="G349" i="9"/>
  <c r="G343" i="9"/>
  <c r="G316" i="9"/>
  <c r="G317" i="9"/>
  <c r="G318" i="9"/>
  <c r="G319" i="9"/>
  <c r="G320" i="9"/>
  <c r="G321" i="9"/>
  <c r="G322" i="9"/>
  <c r="G323" i="9"/>
  <c r="G324" i="9"/>
  <c r="G325" i="9"/>
  <c r="G315" i="9"/>
  <c r="G301" i="9"/>
  <c r="G302" i="9"/>
  <c r="G303" i="9"/>
  <c r="G304" i="9"/>
  <c r="G305" i="9"/>
  <c r="G300" i="9"/>
  <c r="G287" i="9"/>
  <c r="G288" i="9"/>
  <c r="G289" i="9"/>
  <c r="G290" i="9"/>
  <c r="G291" i="9"/>
  <c r="G292" i="9"/>
  <c r="G293" i="9"/>
  <c r="G294" i="9"/>
  <c r="G295" i="9"/>
  <c r="G286" i="9"/>
  <c r="G250" i="9"/>
  <c r="G251" i="9"/>
  <c r="G252" i="9"/>
  <c r="G253" i="9"/>
  <c r="G254" i="9"/>
  <c r="G255" i="9"/>
  <c r="G256" i="9"/>
  <c r="G257" i="9"/>
  <c r="G258" i="9"/>
  <c r="G249" i="9"/>
  <c r="G236" i="9"/>
  <c r="G237" i="9"/>
  <c r="G238" i="9"/>
  <c r="G239" i="9"/>
  <c r="G240" i="9"/>
  <c r="G241" i="9"/>
  <c r="G235" i="9"/>
  <c r="M457" i="5"/>
  <c r="M293" i="5"/>
  <c r="Q293" i="5" s="1"/>
  <c r="AC293" i="5" s="1"/>
  <c r="U287" i="5"/>
  <c r="Y287" i="5" s="1"/>
  <c r="U288" i="5"/>
  <c r="Y288" i="5" s="1"/>
  <c r="U289" i="5"/>
  <c r="Y289" i="5" s="1"/>
  <c r="U290" i="5"/>
  <c r="Y290" i="5" s="1"/>
  <c r="U291" i="5"/>
  <c r="Y291" i="5" s="1"/>
  <c r="K289" i="5"/>
  <c r="M289" i="5" s="1"/>
  <c r="K290" i="5"/>
  <c r="M290" i="5" s="1"/>
  <c r="K288" i="5"/>
  <c r="M288" i="5" s="1"/>
  <c r="D289" i="5"/>
  <c r="D290" i="5"/>
  <c r="D291" i="5"/>
  <c r="D288" i="5"/>
  <c r="M291" i="5"/>
  <c r="G292" i="5"/>
  <c r="Q292" i="5"/>
  <c r="AC292" i="5" s="1"/>
  <c r="U281" i="5"/>
  <c r="Y281" i="5" s="1"/>
  <c r="U282" i="5"/>
  <c r="Y282" i="5" s="1"/>
  <c r="U283" i="5"/>
  <c r="Y283" i="5" s="1"/>
  <c r="U284" i="5"/>
  <c r="Y284" i="5" s="1"/>
  <c r="U285" i="5"/>
  <c r="Y285" i="5" s="1"/>
  <c r="U286" i="5"/>
  <c r="Y286" i="5" s="1"/>
  <c r="K283" i="5"/>
  <c r="M283" i="5" s="1"/>
  <c r="K284" i="5"/>
  <c r="M284" i="5" s="1"/>
  <c r="K285" i="5"/>
  <c r="M285" i="5" s="1"/>
  <c r="K286" i="5"/>
  <c r="M286" i="5" s="1"/>
  <c r="K282" i="5"/>
  <c r="M282" i="5" s="1"/>
  <c r="D283" i="5"/>
  <c r="D284" i="5"/>
  <c r="D285" i="5"/>
  <c r="D286" i="5"/>
  <c r="D282" i="5"/>
  <c r="D279" i="5"/>
  <c r="D280" i="5"/>
  <c r="D278" i="5"/>
  <c r="U277" i="5"/>
  <c r="Y277" i="5" s="1"/>
  <c r="U278" i="5"/>
  <c r="Y278" i="5" s="1"/>
  <c r="U279" i="5"/>
  <c r="Y279" i="5" s="1"/>
  <c r="U280" i="5"/>
  <c r="Y280" i="5" s="1"/>
  <c r="U274" i="5"/>
  <c r="Y274" i="5" s="1"/>
  <c r="U275" i="5"/>
  <c r="Y275" i="5" s="1"/>
  <c r="U276" i="5"/>
  <c r="Y276" i="5" s="1"/>
  <c r="K276" i="5"/>
  <c r="M276" i="5" s="1"/>
  <c r="K275" i="5"/>
  <c r="M275" i="5" s="1"/>
  <c r="D276" i="5"/>
  <c r="D275" i="5"/>
  <c r="U269" i="5"/>
  <c r="Y269" i="5" s="1"/>
  <c r="U270" i="5"/>
  <c r="Y270" i="5" s="1"/>
  <c r="U271" i="5"/>
  <c r="Y271" i="5" s="1"/>
  <c r="U272" i="5"/>
  <c r="Y272" i="5" s="1"/>
  <c r="U273" i="5"/>
  <c r="Y273" i="5" s="1"/>
  <c r="K271" i="5"/>
  <c r="M271" i="5" s="1"/>
  <c r="K272" i="5"/>
  <c r="M272" i="5" s="1"/>
  <c r="K273" i="5"/>
  <c r="M273" i="5" s="1"/>
  <c r="K270" i="5"/>
  <c r="M270" i="5" s="1"/>
  <c r="D271" i="5"/>
  <c r="D272" i="5"/>
  <c r="D273" i="5"/>
  <c r="D270" i="5"/>
  <c r="M274" i="5"/>
  <c r="M277" i="5"/>
  <c r="M278" i="5"/>
  <c r="M279" i="5"/>
  <c r="M280" i="5"/>
  <c r="M281" i="5"/>
  <c r="M287" i="5"/>
  <c r="U250" i="5"/>
  <c r="Y250" i="5" s="1"/>
  <c r="U266" i="5"/>
  <c r="Y266" i="5" s="1"/>
  <c r="U267" i="5"/>
  <c r="Y267" i="5" s="1"/>
  <c r="U268" i="5"/>
  <c r="Y268" i="5" s="1"/>
  <c r="D268" i="5"/>
  <c r="D267" i="5"/>
  <c r="D209" i="5"/>
  <c r="D208" i="5"/>
  <c r="U202" i="5"/>
  <c r="Y202" i="5" s="1"/>
  <c r="U203" i="5"/>
  <c r="Y203" i="5" s="1"/>
  <c r="U204" i="5"/>
  <c r="Y204" i="5" s="1"/>
  <c r="U205" i="5"/>
  <c r="Y205" i="5" s="1"/>
  <c r="U206" i="5"/>
  <c r="Y206" i="5" s="1"/>
  <c r="D204" i="5"/>
  <c r="D205" i="5"/>
  <c r="D206" i="5"/>
  <c r="D203" i="5"/>
  <c r="U200" i="5"/>
  <c r="Y200" i="5" s="1"/>
  <c r="U201" i="5"/>
  <c r="Y201" i="5" s="1"/>
  <c r="K201" i="5"/>
  <c r="M201" i="5" s="1"/>
  <c r="U198" i="5"/>
  <c r="Y198" i="5" s="1"/>
  <c r="U199" i="5"/>
  <c r="Y199" i="5" s="1"/>
  <c r="K196" i="5"/>
  <c r="M196" i="5" s="1"/>
  <c r="K197" i="5"/>
  <c r="M197" i="5" s="1"/>
  <c r="K198" i="5"/>
  <c r="M198" i="5" s="1"/>
  <c r="K199" i="5"/>
  <c r="M199" i="5" s="1"/>
  <c r="K195" i="5"/>
  <c r="M195" i="5" s="1"/>
  <c r="D196" i="5"/>
  <c r="D197" i="5"/>
  <c r="D198" i="5"/>
  <c r="D199" i="5"/>
  <c r="D195" i="5"/>
  <c r="K186" i="5"/>
  <c r="M186" i="5" s="1"/>
  <c r="K187" i="5"/>
  <c r="M187" i="5" s="1"/>
  <c r="K188" i="5"/>
  <c r="M188" i="5" s="1"/>
  <c r="K189" i="5"/>
  <c r="M189" i="5" s="1"/>
  <c r="K190" i="5"/>
  <c r="M190" i="5" s="1"/>
  <c r="K191" i="5"/>
  <c r="M191" i="5" s="1"/>
  <c r="K192" i="5"/>
  <c r="M192" i="5" s="1"/>
  <c r="K193" i="5"/>
  <c r="M193" i="5" s="1"/>
  <c r="K185" i="5"/>
  <c r="M185" i="5" s="1"/>
  <c r="D186" i="5"/>
  <c r="D187" i="5"/>
  <c r="D188" i="5"/>
  <c r="D189" i="5"/>
  <c r="D190" i="5"/>
  <c r="D191" i="5"/>
  <c r="D192" i="5"/>
  <c r="D193" i="5"/>
  <c r="D185" i="5"/>
  <c r="U183" i="5"/>
  <c r="Y183" i="5" s="1"/>
  <c r="U184" i="5"/>
  <c r="Y184" i="5" s="1"/>
  <c r="U185" i="5"/>
  <c r="Y185" i="5" s="1"/>
  <c r="U186" i="5"/>
  <c r="Y186" i="5" s="1"/>
  <c r="U187" i="5"/>
  <c r="Y187" i="5" s="1"/>
  <c r="U188" i="5"/>
  <c r="Y188" i="5" s="1"/>
  <c r="U189" i="5"/>
  <c r="Y189" i="5" s="1"/>
  <c r="U190" i="5"/>
  <c r="Y190" i="5" s="1"/>
  <c r="U191" i="5"/>
  <c r="Y191" i="5" s="1"/>
  <c r="U192" i="5"/>
  <c r="Y192" i="5" s="1"/>
  <c r="U193" i="5"/>
  <c r="Y193" i="5" s="1"/>
  <c r="U194" i="5"/>
  <c r="Y194" i="5" s="1"/>
  <c r="U195" i="5"/>
  <c r="Y195" i="5" s="1"/>
  <c r="U196" i="5"/>
  <c r="Y196" i="5" s="1"/>
  <c r="U197" i="5"/>
  <c r="Y197" i="5" s="1"/>
  <c r="D183" i="5"/>
  <c r="D182" i="5"/>
  <c r="U175" i="5"/>
  <c r="Y175" i="5" s="1"/>
  <c r="U176" i="5"/>
  <c r="Y176" i="5" s="1"/>
  <c r="U177" i="5"/>
  <c r="Y177" i="5" s="1"/>
  <c r="U178" i="5"/>
  <c r="Y178" i="5" s="1"/>
  <c r="U179" i="5"/>
  <c r="Y179" i="5" s="1"/>
  <c r="U180" i="5"/>
  <c r="Y180" i="5" s="1"/>
  <c r="U181" i="5"/>
  <c r="Y181" i="5" s="1"/>
  <c r="U182" i="5"/>
  <c r="Y182" i="5" s="1"/>
  <c r="K177" i="5"/>
  <c r="M177" i="5" s="1"/>
  <c r="K178" i="5"/>
  <c r="M178" i="5" s="1"/>
  <c r="K179" i="5"/>
  <c r="M179" i="5" s="1"/>
  <c r="K180" i="5"/>
  <c r="M180" i="5" s="1"/>
  <c r="K176" i="5"/>
  <c r="M176" i="5" s="1"/>
  <c r="D177" i="5"/>
  <c r="D178" i="5"/>
  <c r="D179" i="5"/>
  <c r="D180" i="5"/>
  <c r="D176" i="5"/>
  <c r="M181" i="5"/>
  <c r="M182" i="5"/>
  <c r="M183" i="5"/>
  <c r="M184" i="5"/>
  <c r="M194" i="5"/>
  <c r="M200" i="5"/>
  <c r="M202" i="5"/>
  <c r="M203" i="5"/>
  <c r="M204" i="5"/>
  <c r="G211" i="5"/>
  <c r="Q211" i="5"/>
  <c r="AC211" i="5" s="1"/>
  <c r="Y211" i="5"/>
  <c r="AA211" i="5"/>
  <c r="U108" i="5"/>
  <c r="Y108" i="5" s="1"/>
  <c r="U109" i="5"/>
  <c r="Y109" i="5" s="1"/>
  <c r="U110" i="5"/>
  <c r="Y110" i="5" s="1"/>
  <c r="U111" i="5"/>
  <c r="Y111" i="5" s="1"/>
  <c r="K109" i="5"/>
  <c r="M109" i="5" s="1"/>
  <c r="Q109" i="5" s="1"/>
  <c r="AC109" i="5" s="1"/>
  <c r="D110" i="5"/>
  <c r="D111" i="5"/>
  <c r="D109" i="5"/>
  <c r="U105" i="5"/>
  <c r="Y105" i="5" s="1"/>
  <c r="U106" i="5"/>
  <c r="Y106" i="5" s="1"/>
  <c r="U107" i="5"/>
  <c r="Y107" i="5" s="1"/>
  <c r="D107" i="5"/>
  <c r="D106" i="5"/>
  <c r="U101" i="5"/>
  <c r="Y101" i="5" s="1"/>
  <c r="U102" i="5"/>
  <c r="Y102" i="5" s="1"/>
  <c r="U103" i="5"/>
  <c r="Y103" i="5" s="1"/>
  <c r="U104" i="5"/>
  <c r="Y104" i="5" s="1"/>
  <c r="K103" i="5"/>
  <c r="M103" i="5" s="1"/>
  <c r="Q103" i="5" s="1"/>
  <c r="AC103" i="5" s="1"/>
  <c r="K104" i="5"/>
  <c r="M104" i="5" s="1"/>
  <c r="Q104" i="5" s="1"/>
  <c r="AC104" i="5" s="1"/>
  <c r="K102" i="5"/>
  <c r="M102" i="5" s="1"/>
  <c r="D103" i="5"/>
  <c r="D104" i="5"/>
  <c r="D102" i="5"/>
  <c r="K96" i="5"/>
  <c r="M96" i="5" s="1"/>
  <c r="Q96" i="5" s="1"/>
  <c r="AC96" i="5" s="1"/>
  <c r="K97" i="5"/>
  <c r="M97" i="5" s="1"/>
  <c r="Q97" i="5" s="1"/>
  <c r="AC97" i="5" s="1"/>
  <c r="K98" i="5"/>
  <c r="M98" i="5" s="1"/>
  <c r="Q98" i="5" s="1"/>
  <c r="AC98" i="5" s="1"/>
  <c r="K99" i="5"/>
  <c r="M99" i="5" s="1"/>
  <c r="Q99" i="5" s="1"/>
  <c r="AC99" i="5" s="1"/>
  <c r="K100" i="5"/>
  <c r="M100" i="5" s="1"/>
  <c r="K95" i="5"/>
  <c r="M95" i="5" s="1"/>
  <c r="Q95" i="5" s="1"/>
  <c r="AC95" i="5" s="1"/>
  <c r="U94" i="5"/>
  <c r="Y94" i="5" s="1"/>
  <c r="U95" i="5"/>
  <c r="Y95" i="5" s="1"/>
  <c r="U96" i="5"/>
  <c r="Y96" i="5" s="1"/>
  <c r="U97" i="5"/>
  <c r="Y97" i="5" s="1"/>
  <c r="U98" i="5"/>
  <c r="Y98" i="5" s="1"/>
  <c r="U99" i="5"/>
  <c r="Y99" i="5" s="1"/>
  <c r="U100" i="5"/>
  <c r="Y100" i="5" s="1"/>
  <c r="D96" i="5"/>
  <c r="D97" i="5"/>
  <c r="D98" i="5"/>
  <c r="D99" i="5"/>
  <c r="D100" i="5"/>
  <c r="D95" i="5"/>
  <c r="U84" i="5"/>
  <c r="Y84" i="5" s="1"/>
  <c r="U85" i="5"/>
  <c r="Y85" i="5" s="1"/>
  <c r="U86" i="5"/>
  <c r="Y86" i="5" s="1"/>
  <c r="U87" i="5"/>
  <c r="Y87" i="5" s="1"/>
  <c r="U88" i="5"/>
  <c r="Y88" i="5" s="1"/>
  <c r="U89" i="5"/>
  <c r="Y89" i="5" s="1"/>
  <c r="U90" i="5"/>
  <c r="Y90" i="5" s="1"/>
  <c r="U91" i="5"/>
  <c r="Y91" i="5" s="1"/>
  <c r="U92" i="5"/>
  <c r="Y92" i="5" s="1"/>
  <c r="K86" i="5"/>
  <c r="M86" i="5" s="1"/>
  <c r="Q86" i="5" s="1"/>
  <c r="AC86" i="5" s="1"/>
  <c r="K87" i="5"/>
  <c r="M87" i="5" s="1"/>
  <c r="Q87" i="5" s="1"/>
  <c r="AC87" i="5" s="1"/>
  <c r="K88" i="5"/>
  <c r="M88" i="5" s="1"/>
  <c r="Q88" i="5" s="1"/>
  <c r="AC88" i="5" s="1"/>
  <c r="K89" i="5"/>
  <c r="M89" i="5" s="1"/>
  <c r="Q89" i="5" s="1"/>
  <c r="AC89" i="5" s="1"/>
  <c r="K90" i="5"/>
  <c r="M90" i="5" s="1"/>
  <c r="Q90" i="5" s="1"/>
  <c r="AC90" i="5" s="1"/>
  <c r="K91" i="5"/>
  <c r="M91" i="5" s="1"/>
  <c r="Q91" i="5" s="1"/>
  <c r="AC91" i="5" s="1"/>
  <c r="K92" i="5"/>
  <c r="M92" i="5" s="1"/>
  <c r="Q92" i="5" s="1"/>
  <c r="AC92" i="5" s="1"/>
  <c r="K93" i="5"/>
  <c r="M93" i="5" s="1"/>
  <c r="Q93" i="5" s="1"/>
  <c r="AC93" i="5" s="1"/>
  <c r="K85" i="5"/>
  <c r="M85" i="5" s="1"/>
  <c r="Q85" i="5" s="1"/>
  <c r="AC85" i="5" s="1"/>
  <c r="M101" i="5"/>
  <c r="Q101" i="5" s="1"/>
  <c r="AC101" i="5" s="1"/>
  <c r="M105" i="5"/>
  <c r="Q105" i="5" s="1"/>
  <c r="AC105" i="5" s="1"/>
  <c r="M106" i="5"/>
  <c r="Q106" i="5" s="1"/>
  <c r="AC106" i="5" s="1"/>
  <c r="M107" i="5"/>
  <c r="Q107" i="5" s="1"/>
  <c r="AC107" i="5" s="1"/>
  <c r="M108" i="5"/>
  <c r="Q108" i="5" s="1"/>
  <c r="AC108" i="5" s="1"/>
  <c r="M110" i="5"/>
  <c r="Q110" i="5" s="1"/>
  <c r="AC110" i="5" s="1"/>
  <c r="M111" i="5"/>
  <c r="Q111" i="5" s="1"/>
  <c r="AC111" i="5" s="1"/>
  <c r="G112" i="5"/>
  <c r="M112" i="5"/>
  <c r="Q112" i="5" s="1"/>
  <c r="AC112" i="5" s="1"/>
  <c r="Y112" i="5"/>
  <c r="D86" i="5"/>
  <c r="D87" i="5"/>
  <c r="D88" i="5"/>
  <c r="D89" i="5"/>
  <c r="D90" i="5"/>
  <c r="D91" i="5"/>
  <c r="D92" i="5"/>
  <c r="D93" i="5"/>
  <c r="D85" i="5"/>
  <c r="M94" i="5"/>
  <c r="Q94" i="5" s="1"/>
  <c r="AC94" i="5" s="1"/>
  <c r="U81" i="5"/>
  <c r="Y81" i="5" s="1"/>
  <c r="U82" i="5"/>
  <c r="Y82" i="5" s="1"/>
  <c r="U83" i="5"/>
  <c r="Y83" i="5" s="1"/>
  <c r="U75" i="5"/>
  <c r="Y75" i="5" s="1"/>
  <c r="U76" i="5"/>
  <c r="Y76" i="5" s="1"/>
  <c r="U77" i="5"/>
  <c r="Y77" i="5" s="1"/>
  <c r="U78" i="5"/>
  <c r="Y78" i="5" s="1"/>
  <c r="U79" i="5"/>
  <c r="Y79" i="5" s="1"/>
  <c r="U80" i="5"/>
  <c r="Y80" i="5" s="1"/>
  <c r="K78" i="5"/>
  <c r="M78" i="5" s="1"/>
  <c r="Q78" i="5" s="1"/>
  <c r="AC78" i="5" s="1"/>
  <c r="K79" i="5"/>
  <c r="M79" i="5" s="1"/>
  <c r="Q79" i="5" s="1"/>
  <c r="AC79" i="5" s="1"/>
  <c r="K80" i="5"/>
  <c r="M80" i="5" s="1"/>
  <c r="K77" i="5"/>
  <c r="M77" i="5" s="1"/>
  <c r="Q77" i="5" s="1"/>
  <c r="AC77" i="5" s="1"/>
  <c r="D77" i="5"/>
  <c r="D78" i="5"/>
  <c r="D79" i="5"/>
  <c r="D80" i="5"/>
  <c r="D76" i="5"/>
  <c r="M266" i="5"/>
  <c r="G250" i="5"/>
  <c r="M250" i="5"/>
  <c r="Q250" i="5" s="1"/>
  <c r="AC250" i="5" s="1"/>
  <c r="M205" i="5"/>
  <c r="M206" i="5"/>
  <c r="M207" i="5"/>
  <c r="Y207" i="5"/>
  <c r="M208" i="5"/>
  <c r="Y208" i="5"/>
  <c r="M209" i="5"/>
  <c r="Y209" i="5"/>
  <c r="G210" i="5"/>
  <c r="Q210" i="5"/>
  <c r="AC210" i="5" s="1"/>
  <c r="Y210" i="5"/>
  <c r="G81" i="5"/>
  <c r="M81" i="5"/>
  <c r="Q81" i="5" s="1"/>
  <c r="AC81" i="5" s="1"/>
  <c r="G82" i="5"/>
  <c r="M82" i="5"/>
  <c r="Q82" i="5" s="1"/>
  <c r="AC82" i="5" s="1"/>
  <c r="M84" i="5"/>
  <c r="Q84" i="5" s="1"/>
  <c r="AC84" i="5" s="1"/>
  <c r="M75" i="5"/>
  <c r="Q75" i="5" s="1"/>
  <c r="AC75" i="5" s="1"/>
  <c r="M83" i="5"/>
  <c r="Q83" i="5" s="1"/>
  <c r="AC83" i="5" s="1"/>
  <c r="M76" i="5"/>
  <c r="Q76" i="5" s="1"/>
  <c r="AC76" i="5" s="1"/>
  <c r="U62" i="5"/>
  <c r="Y62" i="5" s="1"/>
  <c r="M175" i="5"/>
  <c r="U162" i="5"/>
  <c r="M162" i="5"/>
  <c r="Q162" i="5" s="1"/>
  <c r="AC162" i="5" s="1"/>
  <c r="M62" i="5"/>
  <c r="Q62" i="5" s="1"/>
  <c r="AC62" i="5" s="1"/>
  <c r="S24" i="1"/>
  <c r="G213" i="9"/>
  <c r="G214" i="9"/>
  <c r="G215" i="9"/>
  <c r="G216" i="9"/>
  <c r="G217" i="9"/>
  <c r="G218" i="9"/>
  <c r="G219" i="9"/>
  <c r="G220" i="9"/>
  <c r="G221" i="9"/>
  <c r="G212" i="9"/>
  <c r="U248" i="5"/>
  <c r="Y248" i="5" s="1"/>
  <c r="U249" i="5"/>
  <c r="Y249" i="5" s="1"/>
  <c r="M244" i="5"/>
  <c r="Q244" i="5" s="1"/>
  <c r="AC244" i="5" s="1"/>
  <c r="K245" i="5"/>
  <c r="M245" i="5" s="1"/>
  <c r="Q245" i="5" s="1"/>
  <c r="AC245" i="5" s="1"/>
  <c r="K246" i="5"/>
  <c r="M246" i="5" s="1"/>
  <c r="Q246" i="5" s="1"/>
  <c r="AC246" i="5" s="1"/>
  <c r="K247" i="5"/>
  <c r="M247" i="5" s="1"/>
  <c r="Q247" i="5" s="1"/>
  <c r="AC247" i="5" s="1"/>
  <c r="K243" i="5"/>
  <c r="M243" i="5" s="1"/>
  <c r="Q243" i="5" s="1"/>
  <c r="AC243" i="5" s="1"/>
  <c r="U242" i="5"/>
  <c r="Y242" i="5" s="1"/>
  <c r="U243" i="5"/>
  <c r="Y243" i="5" s="1"/>
  <c r="U244" i="5"/>
  <c r="Y244" i="5" s="1"/>
  <c r="U245" i="5"/>
  <c r="Y245" i="5" s="1"/>
  <c r="U246" i="5"/>
  <c r="Y246" i="5" s="1"/>
  <c r="U247" i="5"/>
  <c r="Y247" i="5" s="1"/>
  <c r="D244" i="5"/>
  <c r="D245" i="5"/>
  <c r="D246" i="5"/>
  <c r="D243" i="5"/>
  <c r="M248" i="5"/>
  <c r="AB248" i="5" s="1"/>
  <c r="M249" i="5"/>
  <c r="AB249" i="5" s="1"/>
  <c r="M267" i="5"/>
  <c r="M268" i="5"/>
  <c r="M269" i="5"/>
  <c r="U237" i="5"/>
  <c r="U238" i="5"/>
  <c r="Y238" i="5" s="1"/>
  <c r="U239" i="5"/>
  <c r="Y239" i="5" s="1"/>
  <c r="U240" i="5"/>
  <c r="Y240" i="5" s="1"/>
  <c r="U241" i="5"/>
  <c r="Y241" i="5" s="1"/>
  <c r="K239" i="5"/>
  <c r="M239" i="5" s="1"/>
  <c r="Q239" i="5" s="1"/>
  <c r="AC239" i="5" s="1"/>
  <c r="K240" i="5"/>
  <c r="M240" i="5" s="1"/>
  <c r="Q240" i="5" s="1"/>
  <c r="AC240" i="5" s="1"/>
  <c r="K241" i="5"/>
  <c r="M241" i="5" s="1"/>
  <c r="Q241" i="5" s="1"/>
  <c r="AC241" i="5" s="1"/>
  <c r="K238" i="5"/>
  <c r="M238" i="5" s="1"/>
  <c r="Q238" i="5" s="1"/>
  <c r="AC238" i="5" s="1"/>
  <c r="D239" i="5"/>
  <c r="D240" i="5"/>
  <c r="D241" i="5"/>
  <c r="D238" i="5"/>
  <c r="U233" i="5"/>
  <c r="U234" i="5"/>
  <c r="U235" i="5"/>
  <c r="U236" i="5"/>
  <c r="K234" i="5"/>
  <c r="M234" i="5" s="1"/>
  <c r="Q234" i="5" s="1"/>
  <c r="AC234" i="5" s="1"/>
  <c r="K235" i="5"/>
  <c r="M235" i="5" s="1"/>
  <c r="Q235" i="5" s="1"/>
  <c r="AC235" i="5" s="1"/>
  <c r="K236" i="5"/>
  <c r="M236" i="5" s="1"/>
  <c r="Q236" i="5" s="1"/>
  <c r="AC236" i="5" s="1"/>
  <c r="K233" i="5"/>
  <c r="M233" i="5" s="1"/>
  <c r="Q233" i="5" s="1"/>
  <c r="AC233" i="5" s="1"/>
  <c r="D234" i="5"/>
  <c r="D235" i="5"/>
  <c r="D236" i="5"/>
  <c r="D233" i="5"/>
  <c r="U225" i="5"/>
  <c r="Y225" i="5" s="1"/>
  <c r="U226" i="5"/>
  <c r="Y226" i="5" s="1"/>
  <c r="U227" i="5"/>
  <c r="Y227" i="5" s="1"/>
  <c r="U228" i="5"/>
  <c r="Y228" i="5" s="1"/>
  <c r="U229" i="5"/>
  <c r="Y229" i="5" s="1"/>
  <c r="U230" i="5"/>
  <c r="Y230" i="5" s="1"/>
  <c r="U231" i="5"/>
  <c r="Y231" i="5" s="1"/>
  <c r="U232" i="5"/>
  <c r="K227" i="5"/>
  <c r="M227" i="5" s="1"/>
  <c r="K228" i="5"/>
  <c r="M228" i="5" s="1"/>
  <c r="AB228" i="5" s="1"/>
  <c r="K229" i="5"/>
  <c r="M229" i="5" s="1"/>
  <c r="Q229" i="5" s="1"/>
  <c r="AC229" i="5" s="1"/>
  <c r="K230" i="5"/>
  <c r="M230" i="5" s="1"/>
  <c r="Q230" i="5" s="1"/>
  <c r="AC230" i="5" s="1"/>
  <c r="K231" i="5"/>
  <c r="M231" i="5" s="1"/>
  <c r="Q231" i="5" s="1"/>
  <c r="AC231" i="5" s="1"/>
  <c r="K226" i="5"/>
  <c r="M226" i="5" s="1"/>
  <c r="Q226" i="5" s="1"/>
  <c r="AC226" i="5" s="1"/>
  <c r="D227" i="5"/>
  <c r="D228" i="5"/>
  <c r="D229" i="5"/>
  <c r="D230" i="5"/>
  <c r="D231" i="5"/>
  <c r="D226" i="5"/>
  <c r="U219" i="5"/>
  <c r="Y219" i="5" s="1"/>
  <c r="U220" i="5"/>
  <c r="Y220" i="5" s="1"/>
  <c r="U221" i="5"/>
  <c r="Y221" i="5" s="1"/>
  <c r="U222" i="5"/>
  <c r="Y222" i="5" s="1"/>
  <c r="U223" i="5"/>
  <c r="Y223" i="5" s="1"/>
  <c r="U224" i="5"/>
  <c r="Y224" i="5" s="1"/>
  <c r="K221" i="5"/>
  <c r="M221" i="5" s="1"/>
  <c r="Q221" i="5" s="1"/>
  <c r="AC221" i="5" s="1"/>
  <c r="K222" i="5"/>
  <c r="M222" i="5" s="1"/>
  <c r="Q222" i="5" s="1"/>
  <c r="AC222" i="5" s="1"/>
  <c r="K223" i="5"/>
  <c r="M223" i="5" s="1"/>
  <c r="Q223" i="5" s="1"/>
  <c r="AC223" i="5" s="1"/>
  <c r="K224" i="5"/>
  <c r="M224" i="5" s="1"/>
  <c r="Q224" i="5" s="1"/>
  <c r="AC224" i="5" s="1"/>
  <c r="K220" i="5"/>
  <c r="M220" i="5" s="1"/>
  <c r="Q220" i="5" s="1"/>
  <c r="AC220" i="5" s="1"/>
  <c r="D221" i="5"/>
  <c r="D222" i="5"/>
  <c r="D223" i="5"/>
  <c r="D224" i="5"/>
  <c r="D220" i="5"/>
  <c r="U213" i="5"/>
  <c r="Y213" i="5" s="1"/>
  <c r="U214" i="5"/>
  <c r="Y214" i="5" s="1"/>
  <c r="U215" i="5"/>
  <c r="Y215" i="5" s="1"/>
  <c r="U216" i="5"/>
  <c r="Y216" i="5" s="1"/>
  <c r="U217" i="5"/>
  <c r="Y217" i="5" s="1"/>
  <c r="U218" i="5"/>
  <c r="Y218" i="5" s="1"/>
  <c r="U212" i="5"/>
  <c r="Y212" i="5" s="1"/>
  <c r="D214" i="5"/>
  <c r="D215" i="5"/>
  <c r="D216" i="5"/>
  <c r="D217" i="5"/>
  <c r="D218" i="5"/>
  <c r="D213" i="5"/>
  <c r="M232" i="5"/>
  <c r="Q232" i="5" s="1"/>
  <c r="AC232" i="5" s="1"/>
  <c r="M237" i="5"/>
  <c r="Q237" i="5" s="1"/>
  <c r="AC237" i="5" s="1"/>
  <c r="M242" i="5"/>
  <c r="Q242" i="5" s="1"/>
  <c r="AC242" i="5" s="1"/>
  <c r="M219" i="5"/>
  <c r="M225" i="5"/>
  <c r="Q225" i="5" s="1"/>
  <c r="AC225" i="5" s="1"/>
  <c r="U158" i="5"/>
  <c r="Y158" i="5" s="1"/>
  <c r="U159" i="5"/>
  <c r="Y159" i="5" s="1"/>
  <c r="U160" i="5"/>
  <c r="Y160" i="5" s="1"/>
  <c r="U161" i="5"/>
  <c r="Y161" i="5" s="1"/>
  <c r="U147" i="5"/>
  <c r="Y147" i="5" s="1"/>
  <c r="U148" i="5"/>
  <c r="Y148" i="5" s="1"/>
  <c r="U149" i="5"/>
  <c r="Y149" i="5" s="1"/>
  <c r="U150" i="5"/>
  <c r="Y150" i="5" s="1"/>
  <c r="U151" i="5"/>
  <c r="Y151" i="5" s="1"/>
  <c r="U152" i="5"/>
  <c r="Y152" i="5" s="1"/>
  <c r="U153" i="5"/>
  <c r="Y153" i="5" s="1"/>
  <c r="U154" i="5"/>
  <c r="Y154" i="5" s="1"/>
  <c r="U155" i="5"/>
  <c r="Y155" i="5" s="1"/>
  <c r="U156" i="5"/>
  <c r="Y156" i="5" s="1"/>
  <c r="U157" i="5"/>
  <c r="Y157" i="5" s="1"/>
  <c r="D160" i="5"/>
  <c r="D161" i="5"/>
  <c r="D159" i="5"/>
  <c r="D149" i="5"/>
  <c r="D150" i="5"/>
  <c r="D151" i="5"/>
  <c r="D152" i="5"/>
  <c r="D153" i="5"/>
  <c r="D154" i="5"/>
  <c r="D155" i="5"/>
  <c r="D156" i="5"/>
  <c r="D157" i="5"/>
  <c r="D148" i="5"/>
  <c r="M154" i="5"/>
  <c r="AB154" i="5" s="1"/>
  <c r="M155" i="5"/>
  <c r="Q155" i="5" s="1"/>
  <c r="AC155" i="5" s="1"/>
  <c r="M156" i="5"/>
  <c r="Q156" i="5" s="1"/>
  <c r="AC156" i="5" s="1"/>
  <c r="M157" i="5"/>
  <c r="AB157" i="5" s="1"/>
  <c r="M158" i="5"/>
  <c r="Q158" i="5" s="1"/>
  <c r="AC158" i="5" s="1"/>
  <c r="M159" i="5"/>
  <c r="Q159" i="5" s="1"/>
  <c r="AC159" i="5" s="1"/>
  <c r="M160" i="5"/>
  <c r="Q160" i="5" s="1"/>
  <c r="AC160" i="5" s="1"/>
  <c r="M161" i="5"/>
  <c r="Q161" i="5" s="1"/>
  <c r="AC161" i="5" s="1"/>
  <c r="M212" i="5"/>
  <c r="Q212" i="5" s="1"/>
  <c r="AC212" i="5" s="1"/>
  <c r="M213" i="5"/>
  <c r="Q213" i="5" s="1"/>
  <c r="AC213" i="5" s="1"/>
  <c r="M214" i="5"/>
  <c r="Q214" i="5" s="1"/>
  <c r="AC214" i="5" s="1"/>
  <c r="M215" i="5"/>
  <c r="Q215" i="5" s="1"/>
  <c r="AC215" i="5" s="1"/>
  <c r="M216" i="5"/>
  <c r="Q216" i="5" s="1"/>
  <c r="AC216" i="5" s="1"/>
  <c r="M217" i="5"/>
  <c r="Q217" i="5" s="1"/>
  <c r="AC217" i="5" s="1"/>
  <c r="M218" i="5"/>
  <c r="Q218" i="5" s="1"/>
  <c r="AC218" i="5" s="1"/>
  <c r="U143" i="5"/>
  <c r="Y143" i="5" s="1"/>
  <c r="U144" i="5"/>
  <c r="Y144" i="5" s="1"/>
  <c r="U145" i="5"/>
  <c r="Y145" i="5" s="1"/>
  <c r="U146" i="5"/>
  <c r="Y146" i="5" s="1"/>
  <c r="D145" i="5"/>
  <c r="D146" i="5"/>
  <c r="D144" i="5"/>
  <c r="U140" i="5"/>
  <c r="Y140" i="5" s="1"/>
  <c r="U141" i="5"/>
  <c r="Y141" i="5" s="1"/>
  <c r="U142" i="5"/>
  <c r="Y142" i="5" s="1"/>
  <c r="D142" i="5"/>
  <c r="D141" i="5"/>
  <c r="U131" i="5"/>
  <c r="Y131" i="5" s="1"/>
  <c r="U132" i="5"/>
  <c r="Y132" i="5" s="1"/>
  <c r="U133" i="5"/>
  <c r="Y133" i="5" s="1"/>
  <c r="U134" i="5"/>
  <c r="Y134" i="5" s="1"/>
  <c r="U135" i="5"/>
  <c r="Y135" i="5" s="1"/>
  <c r="U136" i="5"/>
  <c r="Y136" i="5" s="1"/>
  <c r="U137" i="5"/>
  <c r="Y137" i="5" s="1"/>
  <c r="U138" i="5"/>
  <c r="Y138" i="5" s="1"/>
  <c r="U139" i="5"/>
  <c r="Y139" i="5" s="1"/>
  <c r="D133" i="5"/>
  <c r="D134" i="5"/>
  <c r="D135" i="5"/>
  <c r="D136" i="5"/>
  <c r="D137" i="5"/>
  <c r="D138" i="5"/>
  <c r="D139" i="5"/>
  <c r="D132" i="5"/>
  <c r="U124" i="5"/>
  <c r="Y124" i="5" s="1"/>
  <c r="U125" i="5"/>
  <c r="Y125" i="5" s="1"/>
  <c r="U126" i="5"/>
  <c r="Y126" i="5" s="1"/>
  <c r="U127" i="5"/>
  <c r="Y127" i="5" s="1"/>
  <c r="U128" i="5"/>
  <c r="Y128" i="5" s="1"/>
  <c r="U129" i="5"/>
  <c r="Y129" i="5" s="1"/>
  <c r="U130" i="5"/>
  <c r="Y130" i="5" s="1"/>
  <c r="M125" i="5"/>
  <c r="Q125" i="5" s="1"/>
  <c r="AC125" i="5" s="1"/>
  <c r="D125" i="5"/>
  <c r="D126" i="5"/>
  <c r="D127" i="5"/>
  <c r="D128" i="5"/>
  <c r="D129" i="5"/>
  <c r="D130" i="5"/>
  <c r="D124" i="5"/>
  <c r="M140" i="5"/>
  <c r="Q140" i="5" s="1"/>
  <c r="AC140" i="5" s="1"/>
  <c r="M141" i="5"/>
  <c r="AB141" i="5" s="1"/>
  <c r="M142" i="5"/>
  <c r="AB142" i="5" s="1"/>
  <c r="M143" i="5"/>
  <c r="Q143" i="5" s="1"/>
  <c r="AC143" i="5" s="1"/>
  <c r="M144" i="5"/>
  <c r="Q144" i="5" s="1"/>
  <c r="AC144" i="5" s="1"/>
  <c r="M145" i="5"/>
  <c r="Q145" i="5" s="1"/>
  <c r="AC145" i="5" s="1"/>
  <c r="M146" i="5"/>
  <c r="Q146" i="5" s="1"/>
  <c r="AC146" i="5" s="1"/>
  <c r="M147" i="5"/>
  <c r="Q147" i="5" s="1"/>
  <c r="AC147" i="5" s="1"/>
  <c r="M148" i="5"/>
  <c r="Q148" i="5" s="1"/>
  <c r="AC148" i="5" s="1"/>
  <c r="M149" i="5"/>
  <c r="Q149" i="5" s="1"/>
  <c r="AC149" i="5" s="1"/>
  <c r="M150" i="5"/>
  <c r="Q150" i="5" s="1"/>
  <c r="AC150" i="5" s="1"/>
  <c r="M151" i="5"/>
  <c r="Q151" i="5" s="1"/>
  <c r="AC151" i="5" s="1"/>
  <c r="M152" i="5"/>
  <c r="Q152" i="5" s="1"/>
  <c r="AC152" i="5" s="1"/>
  <c r="M153" i="5"/>
  <c r="M129" i="5"/>
  <c r="Q129" i="5" s="1"/>
  <c r="AC129" i="5" s="1"/>
  <c r="M130" i="5"/>
  <c r="Q130" i="5" s="1"/>
  <c r="AC130" i="5" s="1"/>
  <c r="M131" i="5"/>
  <c r="Q131" i="5" s="1"/>
  <c r="AC131" i="5" s="1"/>
  <c r="M132" i="5"/>
  <c r="Q132" i="5" s="1"/>
  <c r="AC132" i="5" s="1"/>
  <c r="M133" i="5"/>
  <c r="Q133" i="5" s="1"/>
  <c r="AC133" i="5" s="1"/>
  <c r="M134" i="5"/>
  <c r="Q134" i="5" s="1"/>
  <c r="AC134" i="5" s="1"/>
  <c r="M135" i="5"/>
  <c r="Q135" i="5" s="1"/>
  <c r="AC135" i="5" s="1"/>
  <c r="M136" i="5"/>
  <c r="Q136" i="5" s="1"/>
  <c r="AC136" i="5" s="1"/>
  <c r="M137" i="5"/>
  <c r="Q137" i="5" s="1"/>
  <c r="AC137" i="5" s="1"/>
  <c r="M138" i="5"/>
  <c r="Q138" i="5" s="1"/>
  <c r="AC138" i="5" s="1"/>
  <c r="M139" i="5"/>
  <c r="Q139" i="5" s="1"/>
  <c r="AC139" i="5" s="1"/>
  <c r="M122" i="5"/>
  <c r="Q122" i="5" s="1"/>
  <c r="AC122" i="5" s="1"/>
  <c r="M121" i="5"/>
  <c r="D122" i="5"/>
  <c r="D121" i="5"/>
  <c r="U114" i="5"/>
  <c r="Y114" i="5" s="1"/>
  <c r="U115" i="5"/>
  <c r="Y115" i="5" s="1"/>
  <c r="U116" i="5"/>
  <c r="Y116" i="5" s="1"/>
  <c r="U117" i="5"/>
  <c r="Y117" i="5" s="1"/>
  <c r="U118" i="5"/>
  <c r="Y118" i="5" s="1"/>
  <c r="U119" i="5"/>
  <c r="Y119" i="5" s="1"/>
  <c r="U120" i="5"/>
  <c r="Y120" i="5" s="1"/>
  <c r="U121" i="5"/>
  <c r="Y121" i="5" s="1"/>
  <c r="U122" i="5"/>
  <c r="Y122" i="5" s="1"/>
  <c r="U123" i="5"/>
  <c r="Y123" i="5" s="1"/>
  <c r="K116" i="5"/>
  <c r="M116" i="5" s="1"/>
  <c r="Q116" i="5" s="1"/>
  <c r="AC116" i="5" s="1"/>
  <c r="K117" i="5"/>
  <c r="M117" i="5" s="1"/>
  <c r="K118" i="5"/>
  <c r="M118" i="5" s="1"/>
  <c r="Q118" i="5" s="1"/>
  <c r="AC118" i="5" s="1"/>
  <c r="K119" i="5"/>
  <c r="M119" i="5" s="1"/>
  <c r="Q119" i="5" s="1"/>
  <c r="AC119" i="5" s="1"/>
  <c r="K115" i="5"/>
  <c r="M115" i="5" s="1"/>
  <c r="Q115" i="5" s="1"/>
  <c r="AC115" i="5" s="1"/>
  <c r="D116" i="5"/>
  <c r="D117" i="5"/>
  <c r="D118" i="5"/>
  <c r="D119" i="5"/>
  <c r="D115" i="5"/>
  <c r="M120" i="5"/>
  <c r="Q120" i="5" s="1"/>
  <c r="AC120" i="5" s="1"/>
  <c r="M123" i="5"/>
  <c r="Q123" i="5" s="1"/>
  <c r="AC123" i="5" s="1"/>
  <c r="M124" i="5"/>
  <c r="Q124" i="5" s="1"/>
  <c r="AC124" i="5" s="1"/>
  <c r="M126" i="5"/>
  <c r="Q126" i="5" s="1"/>
  <c r="AC126" i="5" s="1"/>
  <c r="M127" i="5"/>
  <c r="Q127" i="5" s="1"/>
  <c r="AC127" i="5" s="1"/>
  <c r="M128" i="5"/>
  <c r="Q128" i="5" s="1"/>
  <c r="AC128" i="5" s="1"/>
  <c r="U45" i="5"/>
  <c r="U46" i="5"/>
  <c r="Y46" i="5" s="1"/>
  <c r="U47" i="5"/>
  <c r="Y47" i="5" s="1"/>
  <c r="U48" i="5"/>
  <c r="Y48" i="5" s="1"/>
  <c r="U49" i="5"/>
  <c r="U50" i="5"/>
  <c r="U51" i="5"/>
  <c r="U52" i="5"/>
  <c r="U53" i="5"/>
  <c r="U54" i="5"/>
  <c r="U55" i="5"/>
  <c r="Y55" i="5" s="1"/>
  <c r="U56" i="5"/>
  <c r="Y56" i="5" s="1"/>
  <c r="U57" i="5"/>
  <c r="Y57" i="5" s="1"/>
  <c r="U58" i="5"/>
  <c r="Y58" i="5" s="1"/>
  <c r="U59" i="5"/>
  <c r="Y59" i="5" s="1"/>
  <c r="U60" i="5"/>
  <c r="Y60" i="5" s="1"/>
  <c r="U61" i="5"/>
  <c r="Y61" i="5" s="1"/>
  <c r="U113" i="5"/>
  <c r="Y113" i="5" s="1"/>
  <c r="K58" i="5"/>
  <c r="M58" i="5" s="1"/>
  <c r="Q58" i="5" s="1"/>
  <c r="AC58" i="5" s="1"/>
  <c r="K59" i="5"/>
  <c r="M59" i="5" s="1"/>
  <c r="Q59" i="5" s="1"/>
  <c r="AC59" i="5" s="1"/>
  <c r="K60" i="5"/>
  <c r="M60" i="5" s="1"/>
  <c r="Q60" i="5" s="1"/>
  <c r="AC60" i="5" s="1"/>
  <c r="K61" i="5"/>
  <c r="M61" i="5" s="1"/>
  <c r="M113" i="5"/>
  <c r="K57" i="5"/>
  <c r="M57" i="5" s="1"/>
  <c r="Q57" i="5" s="1"/>
  <c r="AC57" i="5" s="1"/>
  <c r="C41" i="3"/>
  <c r="C42" i="3"/>
  <c r="D58" i="5"/>
  <c r="D59" i="5"/>
  <c r="D60" i="5"/>
  <c r="D61" i="5"/>
  <c r="D57" i="5"/>
  <c r="M114" i="5"/>
  <c r="AB114" i="5" s="1"/>
  <c r="K49" i="5"/>
  <c r="K50" i="5"/>
  <c r="K51" i="5"/>
  <c r="K52" i="5"/>
  <c r="K53" i="5"/>
  <c r="K54" i="5"/>
  <c r="K55" i="5"/>
  <c r="M55" i="5" s="1"/>
  <c r="Q55" i="5" s="1"/>
  <c r="AC55" i="5" s="1"/>
  <c r="K48" i="5"/>
  <c r="M48" i="5" s="1"/>
  <c r="M56" i="5"/>
  <c r="Q56" i="5" s="1"/>
  <c r="AC56" i="5" s="1"/>
  <c r="M46" i="5"/>
  <c r="Q46" i="5" s="1"/>
  <c r="AC46" i="5" s="1"/>
  <c r="M47" i="5"/>
  <c r="Q47" i="5" s="1"/>
  <c r="AC47" i="5" s="1"/>
  <c r="U39" i="5"/>
  <c r="U40" i="5"/>
  <c r="U41" i="5"/>
  <c r="U42" i="5"/>
  <c r="U43" i="5"/>
  <c r="U44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15" i="5"/>
  <c r="U16" i="5"/>
  <c r="U17" i="5"/>
  <c r="U18" i="5"/>
  <c r="U19" i="5"/>
  <c r="U20" i="5"/>
  <c r="U21" i="5"/>
  <c r="U22" i="5"/>
  <c r="U23" i="5"/>
  <c r="U13" i="5"/>
  <c r="U14" i="5"/>
  <c r="U10" i="5"/>
  <c r="U11" i="5"/>
  <c r="U12" i="5"/>
  <c r="U4" i="5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C38" i="12"/>
  <c r="C39" i="12"/>
  <c r="C40" i="12"/>
  <c r="C41" i="12"/>
  <c r="C42" i="12"/>
  <c r="C43" i="12"/>
  <c r="C44" i="12"/>
  <c r="C45" i="12"/>
  <c r="C30" i="12"/>
  <c r="C31" i="12"/>
  <c r="C32" i="12"/>
  <c r="C33" i="12"/>
  <c r="C34" i="12"/>
  <c r="C35" i="12"/>
  <c r="C36" i="12"/>
  <c r="C37" i="12"/>
  <c r="C27" i="12"/>
  <c r="C28" i="12"/>
  <c r="C29" i="12"/>
  <c r="Q190" i="5" l="1"/>
  <c r="AC190" i="5" s="1"/>
  <c r="N190" i="5"/>
  <c r="Q283" i="5"/>
  <c r="AC283" i="5" s="1"/>
  <c r="N283" i="5"/>
  <c r="Q209" i="5"/>
  <c r="AC209" i="5" s="1"/>
  <c r="N209" i="5"/>
  <c r="Q181" i="5"/>
  <c r="AC181" i="5" s="1"/>
  <c r="N181" i="5"/>
  <c r="Q199" i="5"/>
  <c r="AC199" i="5" s="1"/>
  <c r="N199" i="5"/>
  <c r="Q270" i="5"/>
  <c r="AC270" i="5" s="1"/>
  <c r="N270" i="5"/>
  <c r="Q266" i="5"/>
  <c r="AC266" i="5" s="1"/>
  <c r="N266" i="5"/>
  <c r="Q286" i="5"/>
  <c r="AC286" i="5" s="1"/>
  <c r="N286" i="5"/>
  <c r="Q267" i="5"/>
  <c r="AC267" i="5" s="1"/>
  <c r="N267" i="5"/>
  <c r="Q189" i="5"/>
  <c r="AC189" i="5" s="1"/>
  <c r="N189" i="5"/>
  <c r="Q457" i="5"/>
  <c r="AC457" i="5" s="1"/>
  <c r="N457" i="5"/>
  <c r="Q276" i="5"/>
  <c r="AC276" i="5" s="1"/>
  <c r="N276" i="5"/>
  <c r="Q277" i="5"/>
  <c r="AC277" i="5" s="1"/>
  <c r="N277" i="5"/>
  <c r="Q274" i="5"/>
  <c r="AC274" i="5" s="1"/>
  <c r="N274" i="5"/>
  <c r="Q188" i="5"/>
  <c r="AC188" i="5" s="1"/>
  <c r="N188" i="5"/>
  <c r="Q186" i="5"/>
  <c r="AC186" i="5" s="1"/>
  <c r="N186" i="5"/>
  <c r="Q198" i="5"/>
  <c r="AC198" i="5" s="1"/>
  <c r="N198" i="5"/>
  <c r="Q196" i="5"/>
  <c r="AC196" i="5" s="1"/>
  <c r="N196" i="5"/>
  <c r="Q271" i="5"/>
  <c r="AC271" i="5" s="1"/>
  <c r="N271" i="5"/>
  <c r="Q268" i="5"/>
  <c r="AC268" i="5" s="1"/>
  <c r="N268" i="5"/>
  <c r="Q284" i="5"/>
  <c r="AC284" i="5" s="1"/>
  <c r="N284" i="5"/>
  <c r="Q204" i="5"/>
  <c r="AC204" i="5" s="1"/>
  <c r="N204" i="5"/>
  <c r="Q278" i="5"/>
  <c r="AC278" i="5" s="1"/>
  <c r="N278" i="5"/>
  <c r="Q291" i="5"/>
  <c r="AC291" i="5" s="1"/>
  <c r="N291" i="5"/>
  <c r="Q272" i="5"/>
  <c r="AC272" i="5" s="1"/>
  <c r="N272" i="5"/>
  <c r="Q207" i="5"/>
  <c r="AC207" i="5" s="1"/>
  <c r="N207" i="5"/>
  <c r="Q178" i="5"/>
  <c r="AC178" i="5" s="1"/>
  <c r="N178" i="5"/>
  <c r="Q280" i="5"/>
  <c r="AC280" i="5" s="1"/>
  <c r="N280" i="5"/>
  <c r="Q200" i="5"/>
  <c r="AC200" i="5" s="1"/>
  <c r="N200" i="5"/>
  <c r="Q183" i="5"/>
  <c r="AC183" i="5" s="1"/>
  <c r="N183" i="5"/>
  <c r="Q195" i="5"/>
  <c r="AC195" i="5" s="1"/>
  <c r="N195" i="5"/>
  <c r="Q273" i="5"/>
  <c r="AC273" i="5" s="1"/>
  <c r="N273" i="5"/>
  <c r="Q175" i="5"/>
  <c r="AC175" i="5" s="1"/>
  <c r="N175" i="5"/>
  <c r="Q206" i="5"/>
  <c r="AC206" i="5" s="1"/>
  <c r="N206" i="5"/>
  <c r="Q185" i="5"/>
  <c r="AC185" i="5" s="1"/>
  <c r="N185" i="5"/>
  <c r="Q287" i="5"/>
  <c r="AC287" i="5" s="1"/>
  <c r="N287" i="5"/>
  <c r="Q275" i="5"/>
  <c r="AC275" i="5" s="1"/>
  <c r="N275" i="5"/>
  <c r="Q203" i="5"/>
  <c r="AC203" i="5" s="1"/>
  <c r="N203" i="5"/>
  <c r="Q184" i="5"/>
  <c r="AC184" i="5" s="1"/>
  <c r="N184" i="5"/>
  <c r="Q197" i="5"/>
  <c r="AC197" i="5" s="1"/>
  <c r="N197" i="5"/>
  <c r="Q205" i="5"/>
  <c r="AC205" i="5" s="1"/>
  <c r="N205" i="5"/>
  <c r="Q176" i="5"/>
  <c r="AC176" i="5" s="1"/>
  <c r="N176" i="5"/>
  <c r="Q193" i="5"/>
  <c r="AC193" i="5" s="1"/>
  <c r="N193" i="5"/>
  <c r="Q201" i="5"/>
  <c r="AC201" i="5" s="1"/>
  <c r="N201" i="5"/>
  <c r="Q288" i="5"/>
  <c r="AC288" i="5" s="1"/>
  <c r="N288" i="5"/>
  <c r="Q177" i="5"/>
  <c r="AC177" i="5" s="1"/>
  <c r="N177" i="5"/>
  <c r="Q281" i="5"/>
  <c r="AC281" i="5" s="1"/>
  <c r="N281" i="5"/>
  <c r="Q279" i="5"/>
  <c r="AC279" i="5" s="1"/>
  <c r="N279" i="5"/>
  <c r="Q202" i="5"/>
  <c r="AC202" i="5" s="1"/>
  <c r="N202" i="5"/>
  <c r="Q194" i="5"/>
  <c r="AC194" i="5" s="1"/>
  <c r="N194" i="5"/>
  <c r="Q180" i="5"/>
  <c r="AC180" i="5" s="1"/>
  <c r="N180" i="5"/>
  <c r="Q192" i="5"/>
  <c r="AC192" i="5" s="1"/>
  <c r="N192" i="5"/>
  <c r="Q290" i="5"/>
  <c r="AC290" i="5" s="1"/>
  <c r="N290" i="5"/>
  <c r="Q285" i="5"/>
  <c r="AC285" i="5" s="1"/>
  <c r="N285" i="5"/>
  <c r="Q187" i="5"/>
  <c r="AC187" i="5" s="1"/>
  <c r="N187" i="5"/>
  <c r="Q182" i="5"/>
  <c r="AC182" i="5" s="1"/>
  <c r="N182" i="5"/>
  <c r="Q208" i="5"/>
  <c r="AC208" i="5" s="1"/>
  <c r="N208" i="5"/>
  <c r="Q269" i="5"/>
  <c r="AC269" i="5" s="1"/>
  <c r="N269" i="5"/>
  <c r="Q179" i="5"/>
  <c r="AC179" i="5" s="1"/>
  <c r="N179" i="5"/>
  <c r="Q191" i="5"/>
  <c r="AC191" i="5" s="1"/>
  <c r="N191" i="5"/>
  <c r="Q282" i="5"/>
  <c r="AC282" i="5" s="1"/>
  <c r="N282" i="5"/>
  <c r="Q289" i="5"/>
  <c r="AC289" i="5" s="1"/>
  <c r="N289" i="5"/>
  <c r="M23" i="1"/>
  <c r="AB291" i="5"/>
  <c r="AB274" i="5"/>
  <c r="AB275" i="5"/>
  <c r="AB277" i="5"/>
  <c r="AB276" i="5"/>
  <c r="AB279" i="5"/>
  <c r="AB278" i="5"/>
  <c r="AB282" i="5"/>
  <c r="AB289" i="5"/>
  <c r="AB280" i="5"/>
  <c r="AB284" i="5"/>
  <c r="AB283" i="5"/>
  <c r="AB281" i="5"/>
  <c r="AB286" i="5"/>
  <c r="AB288" i="5"/>
  <c r="AB285" i="5"/>
  <c r="AB287" i="5"/>
  <c r="AB290" i="5"/>
  <c r="AB180" i="5"/>
  <c r="AB179" i="5"/>
  <c r="AB182" i="5"/>
  <c r="AB181" i="5"/>
  <c r="AB184" i="5"/>
  <c r="AB183" i="5"/>
  <c r="AB185" i="5"/>
  <c r="AB187" i="5"/>
  <c r="AB186" i="5"/>
  <c r="AB189" i="5"/>
  <c r="AB188" i="5"/>
  <c r="AB191" i="5"/>
  <c r="AB190" i="5"/>
  <c r="AB192" i="5"/>
  <c r="AB193" i="5"/>
  <c r="AB195" i="5"/>
  <c r="AB196" i="5"/>
  <c r="AB198" i="5"/>
  <c r="AB197" i="5"/>
  <c r="AB194" i="5"/>
  <c r="AB200" i="5"/>
  <c r="AB199" i="5"/>
  <c r="AB201" i="5"/>
  <c r="AB203" i="5"/>
  <c r="AB202" i="5"/>
  <c r="AB204" i="5"/>
  <c r="AB211" i="5"/>
  <c r="AB100" i="5"/>
  <c r="Q100" i="5"/>
  <c r="AC100" i="5" s="1"/>
  <c r="Q102" i="5"/>
  <c r="AC102" i="5" s="1"/>
  <c r="AB102" i="5"/>
  <c r="AB101" i="5"/>
  <c r="AB109" i="5"/>
  <c r="AB103" i="5"/>
  <c r="AB104" i="5"/>
  <c r="AB106" i="5"/>
  <c r="AB105" i="5"/>
  <c r="AB108" i="5"/>
  <c r="AB107" i="5"/>
  <c r="AB112" i="5"/>
  <c r="AB110" i="5"/>
  <c r="AB111" i="5"/>
  <c r="AB176" i="5"/>
  <c r="AB94" i="5"/>
  <c r="AB95" i="5"/>
  <c r="AB96" i="5"/>
  <c r="AB97" i="5"/>
  <c r="AB98" i="5"/>
  <c r="AB266" i="5"/>
  <c r="AB177" i="5"/>
  <c r="AB250" i="5"/>
  <c r="AB178" i="5"/>
  <c r="AB206" i="5"/>
  <c r="AB205" i="5"/>
  <c r="AB207" i="5"/>
  <c r="AB208" i="5"/>
  <c r="AB210" i="5"/>
  <c r="AB209" i="5"/>
  <c r="AB79" i="5"/>
  <c r="AB80" i="5"/>
  <c r="Q80" i="5"/>
  <c r="AC80" i="5" s="1"/>
  <c r="AB81" i="5"/>
  <c r="AB85" i="5"/>
  <c r="AB82" i="5"/>
  <c r="AB86" i="5"/>
  <c r="AB84" i="5"/>
  <c r="AB88" i="5"/>
  <c r="AB87" i="5"/>
  <c r="AB77" i="5"/>
  <c r="AB75" i="5"/>
  <c r="AB78" i="5"/>
  <c r="AB89" i="5"/>
  <c r="AB62" i="5"/>
  <c r="AB83" i="5"/>
  <c r="AB90" i="5"/>
  <c r="AB91" i="5"/>
  <c r="AB92" i="5"/>
  <c r="AB99" i="5"/>
  <c r="AB76" i="5"/>
  <c r="AB175" i="5"/>
  <c r="Q248" i="5"/>
  <c r="AC248" i="5" s="1"/>
  <c r="AB247" i="5"/>
  <c r="Q249" i="5"/>
  <c r="AC249" i="5" s="1"/>
  <c r="AB268" i="5"/>
  <c r="AB267" i="5"/>
  <c r="AB269" i="5"/>
  <c r="AB270" i="5"/>
  <c r="AB272" i="5"/>
  <c r="AB271" i="5"/>
  <c r="AB273" i="5"/>
  <c r="Q228" i="5"/>
  <c r="AC228" i="5" s="1"/>
  <c r="Q227" i="5"/>
  <c r="AC227" i="5" s="1"/>
  <c r="AB227" i="5"/>
  <c r="AB226" i="5"/>
  <c r="AB229" i="5"/>
  <c r="AB230" i="5"/>
  <c r="AB231" i="5"/>
  <c r="AB238" i="5"/>
  <c r="AB239" i="5"/>
  <c r="AB241" i="5"/>
  <c r="AB242" i="5"/>
  <c r="AB240" i="5"/>
  <c r="AB221" i="5"/>
  <c r="AB244" i="5"/>
  <c r="Q157" i="5"/>
  <c r="AC157" i="5" s="1"/>
  <c r="AB243" i="5"/>
  <c r="AB245" i="5"/>
  <c r="AB222" i="5"/>
  <c r="AB246" i="5"/>
  <c r="AB219" i="5"/>
  <c r="Q219" i="5"/>
  <c r="AC219" i="5" s="1"/>
  <c r="AB220" i="5"/>
  <c r="AB223" i="5"/>
  <c r="AB225" i="5"/>
  <c r="AB224" i="5"/>
  <c r="AB155" i="5"/>
  <c r="Q154" i="5"/>
  <c r="AC154" i="5" s="1"/>
  <c r="AB158" i="5"/>
  <c r="AB159" i="5"/>
  <c r="AB156" i="5"/>
  <c r="AB160" i="5"/>
  <c r="AB161" i="5"/>
  <c r="AB212" i="5"/>
  <c r="AB213" i="5"/>
  <c r="AB215" i="5"/>
  <c r="AB214" i="5"/>
  <c r="AB216" i="5"/>
  <c r="AB218" i="5"/>
  <c r="AB217" i="5"/>
  <c r="AB144" i="5"/>
  <c r="Q141" i="5"/>
  <c r="AC141" i="5" s="1"/>
  <c r="AB140" i="5"/>
  <c r="Q142" i="5"/>
  <c r="AC142" i="5" s="1"/>
  <c r="AB143" i="5"/>
  <c r="AB145" i="5"/>
  <c r="AB146" i="5"/>
  <c r="AB147" i="5"/>
  <c r="AB148" i="5"/>
  <c r="AB149" i="5"/>
  <c r="AB150" i="5"/>
  <c r="AB153" i="5"/>
  <c r="AB130" i="5"/>
  <c r="Q153" i="5"/>
  <c r="AC153" i="5" s="1"/>
  <c r="AB151" i="5"/>
  <c r="AB152" i="5"/>
  <c r="AB129" i="5"/>
  <c r="AB131" i="5"/>
  <c r="AB133" i="5"/>
  <c r="AB132" i="5"/>
  <c r="AB134" i="5"/>
  <c r="AB136" i="5"/>
  <c r="AB137" i="5"/>
  <c r="AB138" i="5"/>
  <c r="AB135" i="5"/>
  <c r="AB122" i="5"/>
  <c r="AB139" i="5"/>
  <c r="Q121" i="5"/>
  <c r="AC121" i="5" s="1"/>
  <c r="AB121" i="5"/>
  <c r="AB120" i="5"/>
  <c r="AB124" i="5"/>
  <c r="AB123" i="5"/>
  <c r="AB125" i="5"/>
  <c r="AB126" i="5"/>
  <c r="AB127" i="5"/>
  <c r="AB128" i="5"/>
  <c r="Q114" i="5"/>
  <c r="AC114" i="5" s="1"/>
  <c r="Q61" i="5"/>
  <c r="AC61" i="5" s="1"/>
  <c r="AB61" i="5"/>
  <c r="AB113" i="5"/>
  <c r="Q113" i="5"/>
  <c r="AC113" i="5" s="1"/>
  <c r="AB57" i="5"/>
  <c r="AB115" i="5"/>
  <c r="AB116" i="5"/>
  <c r="AB117" i="5"/>
  <c r="Q117" i="5"/>
  <c r="AC117" i="5" s="1"/>
  <c r="AB46" i="5"/>
  <c r="AB119" i="5"/>
  <c r="AB118" i="5"/>
  <c r="AB60" i="5"/>
  <c r="Q48" i="5"/>
  <c r="AC48" i="5" s="1"/>
  <c r="AB48" i="5"/>
  <c r="AB58" i="5"/>
  <c r="AB56" i="5"/>
  <c r="AB59" i="5"/>
  <c r="AB47" i="5"/>
  <c r="AB55" i="5"/>
  <c r="C39" i="3"/>
  <c r="C38" i="3"/>
  <c r="C37" i="3"/>
  <c r="C36" i="3"/>
  <c r="C35" i="3"/>
  <c r="C34" i="3"/>
  <c r="C33" i="3"/>
  <c r="C60" i="3"/>
  <c r="C32" i="3"/>
  <c r="C31" i="3"/>
  <c r="C30" i="3"/>
  <c r="C29" i="3"/>
  <c r="C28" i="3"/>
  <c r="C27" i="3"/>
  <c r="C26" i="3"/>
  <c r="C25" i="3"/>
  <c r="C24" i="3"/>
  <c r="G1605" i="5" l="1"/>
  <c r="G1776" i="5"/>
  <c r="G1414" i="5"/>
  <c r="G1416" i="5"/>
  <c r="G1270" i="5"/>
  <c r="G1271" i="5"/>
  <c r="G1110" i="5"/>
  <c r="G1111" i="5"/>
  <c r="G1108" i="5"/>
  <c r="G1109" i="5"/>
  <c r="G981" i="5"/>
  <c r="G1107" i="5"/>
  <c r="G980" i="5"/>
  <c r="G838" i="5"/>
  <c r="G839" i="5"/>
  <c r="G660" i="5"/>
  <c r="G837" i="5"/>
  <c r="G658" i="5"/>
  <c r="G365" i="5"/>
  <c r="G656" i="5"/>
  <c r="G657" i="5"/>
  <c r="G482" i="5"/>
  <c r="G655" i="5"/>
  <c r="G481" i="5"/>
  <c r="G479" i="5"/>
  <c r="G480" i="5"/>
  <c r="G52" i="9"/>
  <c r="G53" i="9"/>
  <c r="G54" i="9"/>
  <c r="G55" i="9"/>
  <c r="G56" i="9"/>
  <c r="G57" i="9"/>
  <c r="G58" i="9"/>
  <c r="G59" i="9"/>
  <c r="G77" i="9"/>
  <c r="G78" i="9"/>
  <c r="G79" i="9"/>
  <c r="G80" i="9"/>
  <c r="G81" i="9"/>
  <c r="G82" i="9"/>
  <c r="G83" i="9"/>
  <c r="G84" i="9"/>
  <c r="G99" i="9"/>
  <c r="G100" i="9"/>
  <c r="G101" i="9"/>
  <c r="G102" i="9"/>
  <c r="G114" i="9"/>
  <c r="G115" i="9"/>
  <c r="G116" i="9"/>
  <c r="G117" i="9"/>
  <c r="G118" i="9"/>
  <c r="G119" i="9"/>
  <c r="G120" i="9"/>
  <c r="G121" i="9"/>
  <c r="G122" i="9"/>
  <c r="G123" i="9"/>
  <c r="G136" i="9"/>
  <c r="G137" i="9"/>
  <c r="G149" i="9"/>
  <c r="G150" i="9"/>
  <c r="G51" i="9"/>
  <c r="G33" i="9"/>
  <c r="G34" i="9"/>
  <c r="G35" i="9"/>
  <c r="G36" i="9"/>
  <c r="G37" i="9"/>
  <c r="G32" i="9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22" i="1"/>
  <c r="S23" i="1"/>
  <c r="S25" i="1"/>
  <c r="S26" i="1"/>
  <c r="S27" i="1"/>
  <c r="S29" i="1"/>
  <c r="S30" i="1"/>
  <c r="Q6" i="1"/>
  <c r="Q7" i="1"/>
  <c r="Q8" i="1"/>
  <c r="Q9" i="1"/>
  <c r="Q10" i="1"/>
  <c r="Q11" i="1"/>
  <c r="Q12" i="1"/>
  <c r="Q13" i="1"/>
  <c r="Q14" i="1"/>
  <c r="Q15" i="1"/>
  <c r="Q16" i="1"/>
  <c r="Q22" i="1"/>
  <c r="Q23" i="1"/>
  <c r="Q24" i="1"/>
  <c r="U24" i="1" s="1"/>
  <c r="Q25" i="1"/>
  <c r="Q26" i="1"/>
  <c r="Q27" i="1"/>
  <c r="Q28" i="1"/>
  <c r="Q29" i="1"/>
  <c r="Q30" i="1"/>
  <c r="M30" i="1"/>
  <c r="M29" i="1"/>
  <c r="G1732" i="5" s="1"/>
  <c r="M28" i="1"/>
  <c r="M27" i="1"/>
  <c r="G1763" i="5" s="1"/>
  <c r="M26" i="1"/>
  <c r="M25" i="1"/>
  <c r="M24" i="1"/>
  <c r="G1752" i="5" s="1"/>
  <c r="M22" i="1"/>
  <c r="G1771" i="5" s="1"/>
  <c r="M16" i="1"/>
  <c r="G1711" i="5" s="1"/>
  <c r="M15" i="1"/>
  <c r="K4" i="6"/>
  <c r="M6" i="1" s="1"/>
  <c r="K5" i="6"/>
  <c r="M7" i="1" s="1"/>
  <c r="G515" i="5" s="1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G1721" i="5" l="1"/>
  <c r="G1723" i="5"/>
  <c r="G1625" i="5"/>
  <c r="G1626" i="5"/>
  <c r="G1707" i="5"/>
  <c r="G1710" i="5"/>
  <c r="G1715" i="5"/>
  <c r="G1720" i="5"/>
  <c r="G1762" i="5"/>
  <c r="G1761" i="5"/>
  <c r="G1748" i="5"/>
  <c r="G1749" i="5"/>
  <c r="G1601" i="5"/>
  <c r="G1759" i="5"/>
  <c r="G1567" i="5"/>
  <c r="G1727" i="5"/>
  <c r="G1473" i="5"/>
  <c r="G1624" i="5"/>
  <c r="G1543" i="5"/>
  <c r="G1550" i="5"/>
  <c r="G1576" i="5"/>
  <c r="G1559" i="5"/>
  <c r="G1608" i="5"/>
  <c r="G1610" i="5"/>
  <c r="G1595" i="5"/>
  <c r="G1600" i="5"/>
  <c r="G1556" i="5"/>
  <c r="G1557" i="5"/>
  <c r="G1566" i="5"/>
  <c r="G1583" i="5"/>
  <c r="G1586" i="5"/>
  <c r="G1553" i="5"/>
  <c r="G1554" i="5"/>
  <c r="G1457" i="5"/>
  <c r="G1592" i="5"/>
  <c r="G1420" i="5"/>
  <c r="G1563" i="5"/>
  <c r="G1316" i="5"/>
  <c r="G1472" i="5"/>
  <c r="G1395" i="5"/>
  <c r="G1398" i="5"/>
  <c r="G964" i="5"/>
  <c r="G1454" i="5"/>
  <c r="G1405" i="5"/>
  <c r="G1406" i="5"/>
  <c r="G1389" i="5"/>
  <c r="G1391" i="5"/>
  <c r="G1401" i="5"/>
  <c r="G1403" i="5"/>
  <c r="G1411" i="5"/>
  <c r="G1453" i="5"/>
  <c r="G1441" i="5"/>
  <c r="G1442" i="5"/>
  <c r="G1313" i="5"/>
  <c r="G1153" i="5"/>
  <c r="G1266" i="5"/>
  <c r="G1410" i="5"/>
  <c r="G1255" i="5"/>
  <c r="G1400" i="5"/>
  <c r="G1245" i="5"/>
  <c r="G1388" i="5"/>
  <c r="G1239" i="5"/>
  <c r="G1244" i="5"/>
  <c r="G1151" i="5"/>
  <c r="G1152" i="5"/>
  <c r="G1251" i="5"/>
  <c r="G1253" i="5"/>
  <c r="G1279" i="5"/>
  <c r="G1280" i="5"/>
  <c r="G1149" i="5"/>
  <c r="G1150" i="5"/>
  <c r="G1263" i="5"/>
  <c r="G1264" i="5"/>
  <c r="G1301" i="5"/>
  <c r="G1302" i="5"/>
  <c r="G1096" i="5"/>
  <c r="G1278" i="5"/>
  <c r="G1247" i="5"/>
  <c r="G1250" i="5"/>
  <c r="G1123" i="5"/>
  <c r="G1261" i="5"/>
  <c r="G1298" i="5"/>
  <c r="G1300" i="5"/>
  <c r="G1081" i="5"/>
  <c r="G1238" i="5"/>
  <c r="G1275" i="5"/>
  <c r="G1087" i="5"/>
  <c r="G1296" i="5"/>
  <c r="G1121" i="5"/>
  <c r="G1259" i="5"/>
  <c r="G1002" i="5"/>
  <c r="G1003" i="5"/>
  <c r="G1093" i="5"/>
  <c r="G1095" i="5"/>
  <c r="G1103" i="5"/>
  <c r="G1104" i="5"/>
  <c r="G1119" i="5"/>
  <c r="G1120" i="5"/>
  <c r="G1077" i="5"/>
  <c r="G1080" i="5"/>
  <c r="G1101" i="5"/>
  <c r="G1102" i="5"/>
  <c r="G1116" i="5"/>
  <c r="G1118" i="5"/>
  <c r="G1007" i="5"/>
  <c r="G1008" i="5"/>
  <c r="G1085" i="5"/>
  <c r="G1086" i="5"/>
  <c r="G1099" i="5"/>
  <c r="G1100" i="5"/>
  <c r="G1090" i="5"/>
  <c r="G1091" i="5"/>
  <c r="G998" i="5"/>
  <c r="G999" i="5"/>
  <c r="G1005" i="5"/>
  <c r="G1006" i="5"/>
  <c r="G1114" i="5"/>
  <c r="G1115" i="5"/>
  <c r="G970" i="5"/>
  <c r="G1084" i="5"/>
  <c r="G957" i="5"/>
  <c r="G1076" i="5"/>
  <c r="G914" i="5"/>
  <c r="G902" i="5"/>
  <c r="G903" i="5"/>
  <c r="G968" i="5"/>
  <c r="G969" i="5"/>
  <c r="G976" i="5"/>
  <c r="G978" i="5"/>
  <c r="G973" i="5"/>
  <c r="G974" i="5"/>
  <c r="G912" i="5"/>
  <c r="G913" i="5"/>
  <c r="G954" i="5"/>
  <c r="G956" i="5"/>
  <c r="G985" i="5"/>
  <c r="G986" i="5"/>
  <c r="G977" i="5"/>
  <c r="G855" i="5"/>
  <c r="G984" i="5"/>
  <c r="G866" i="5"/>
  <c r="G972" i="5"/>
  <c r="G851" i="5"/>
  <c r="G967" i="5"/>
  <c r="G746" i="5"/>
  <c r="G911" i="5"/>
  <c r="G736" i="5"/>
  <c r="G901" i="5"/>
  <c r="G821" i="5"/>
  <c r="G822" i="5"/>
  <c r="G832" i="5"/>
  <c r="G834" i="5"/>
  <c r="G875" i="5"/>
  <c r="G877" i="5"/>
  <c r="G849" i="5"/>
  <c r="G850" i="5"/>
  <c r="G865" i="5"/>
  <c r="G876" i="5"/>
  <c r="G862" i="5"/>
  <c r="G864" i="5"/>
  <c r="G847" i="5"/>
  <c r="G848" i="5"/>
  <c r="G863" i="5"/>
  <c r="G744" i="5"/>
  <c r="G745" i="5"/>
  <c r="G830" i="5"/>
  <c r="G831" i="5"/>
  <c r="G873" i="5"/>
  <c r="G874" i="5"/>
  <c r="G819" i="5"/>
  <c r="G820" i="5"/>
  <c r="G861" i="5"/>
  <c r="G742" i="5"/>
  <c r="G743" i="5"/>
  <c r="G871" i="5"/>
  <c r="G872" i="5"/>
  <c r="G827" i="5"/>
  <c r="G829" i="5"/>
  <c r="G845" i="5"/>
  <c r="G846" i="5"/>
  <c r="G859" i="5"/>
  <c r="G860" i="5"/>
  <c r="G817" i="5"/>
  <c r="G818" i="5"/>
  <c r="G825" i="5"/>
  <c r="G826" i="5"/>
  <c r="G740" i="5"/>
  <c r="G741" i="5"/>
  <c r="G870" i="5"/>
  <c r="G882" i="5"/>
  <c r="G843" i="5"/>
  <c r="G844" i="5"/>
  <c r="G738" i="5"/>
  <c r="G734" i="5"/>
  <c r="G735" i="5"/>
  <c r="G717" i="5"/>
  <c r="G869" i="5"/>
  <c r="G853" i="5"/>
  <c r="G854" i="5"/>
  <c r="G868" i="5"/>
  <c r="G702" i="5"/>
  <c r="G858" i="5"/>
  <c r="G669" i="5"/>
  <c r="G842" i="5"/>
  <c r="G653" i="5"/>
  <c r="G824" i="5"/>
  <c r="G326" i="5"/>
  <c r="G733" i="5"/>
  <c r="G716" i="5"/>
  <c r="G718" i="5"/>
  <c r="G690" i="5"/>
  <c r="G693" i="5"/>
  <c r="G522" i="5"/>
  <c r="G512" i="5"/>
  <c r="G359" i="5"/>
  <c r="G652" i="5"/>
  <c r="G651" i="5"/>
  <c r="G358" i="5"/>
  <c r="G668" i="5"/>
  <c r="G363" i="5"/>
  <c r="G355" i="5"/>
  <c r="G616" i="5"/>
  <c r="G713" i="5"/>
  <c r="G715" i="5"/>
  <c r="G337" i="5"/>
  <c r="G521" i="5"/>
  <c r="G673" i="5"/>
  <c r="G377" i="5"/>
  <c r="G689" i="5"/>
  <c r="G370" i="5"/>
  <c r="G667" i="5"/>
  <c r="G361" i="5"/>
  <c r="G648" i="5"/>
  <c r="G357" i="5"/>
  <c r="G353" i="5"/>
  <c r="G354" i="5"/>
  <c r="G615" i="5"/>
  <c r="G352" i="5"/>
  <c r="G520" i="5"/>
  <c r="G336" i="5"/>
  <c r="G324" i="5"/>
  <c r="G325" i="5"/>
  <c r="G322" i="5"/>
  <c r="G323" i="5"/>
  <c r="G511" i="5"/>
  <c r="G321" i="5"/>
  <c r="G649" i="5"/>
  <c r="G687" i="5"/>
  <c r="G688" i="5"/>
  <c r="G686" i="5"/>
  <c r="G508" i="5"/>
  <c r="G510" i="5"/>
  <c r="G646" i="5"/>
  <c r="G647" i="5"/>
  <c r="G696" i="5"/>
  <c r="G699" i="5"/>
  <c r="G518" i="5"/>
  <c r="G519" i="5"/>
  <c r="G665" i="5"/>
  <c r="G666" i="5"/>
  <c r="G684" i="5"/>
  <c r="G685" i="5"/>
  <c r="G613" i="5"/>
  <c r="G614" i="5"/>
  <c r="G682" i="5"/>
  <c r="G683" i="5"/>
  <c r="G710" i="5"/>
  <c r="G711" i="5"/>
  <c r="G644" i="5"/>
  <c r="G645" i="5"/>
  <c r="G642" i="5"/>
  <c r="G643" i="5"/>
  <c r="G709" i="5"/>
  <c r="G516" i="5"/>
  <c r="G517" i="5"/>
  <c r="G707" i="5"/>
  <c r="G708" i="5"/>
  <c r="G680" i="5"/>
  <c r="G681" i="5"/>
  <c r="G611" i="5"/>
  <c r="G612" i="5"/>
  <c r="G640" i="5"/>
  <c r="G641" i="5"/>
  <c r="G663" i="5"/>
  <c r="G664" i="5"/>
  <c r="G501" i="5"/>
  <c r="G678" i="5"/>
  <c r="G466" i="5"/>
  <c r="G705" i="5"/>
  <c r="G672" i="5"/>
  <c r="G474" i="5"/>
  <c r="G514" i="5"/>
  <c r="G437" i="5"/>
  <c r="G505" i="5"/>
  <c r="G464" i="5"/>
  <c r="G704" i="5"/>
  <c r="G503" i="5"/>
  <c r="G695" i="5"/>
  <c r="G500" i="5"/>
  <c r="G677" i="5"/>
  <c r="G199" i="5"/>
  <c r="G497" i="5"/>
  <c r="G639" i="5"/>
  <c r="G423" i="5"/>
  <c r="G507" i="5"/>
  <c r="G465" i="5"/>
  <c r="G487" i="5"/>
  <c r="G488" i="5"/>
  <c r="G435" i="5"/>
  <c r="G436" i="5"/>
  <c r="G495" i="5"/>
  <c r="G496" i="5"/>
  <c r="G472" i="5"/>
  <c r="G473" i="5"/>
  <c r="G445" i="5"/>
  <c r="G446" i="5"/>
  <c r="G462" i="5"/>
  <c r="G463" i="5"/>
  <c r="G421" i="5"/>
  <c r="G422" i="5"/>
  <c r="G492" i="5"/>
  <c r="G494" i="5"/>
  <c r="G470" i="5"/>
  <c r="G471" i="5"/>
  <c r="G485" i="5"/>
  <c r="G486" i="5"/>
  <c r="G443" i="5"/>
  <c r="G444" i="5"/>
  <c r="G459" i="5"/>
  <c r="G460" i="5"/>
  <c r="G490" i="5"/>
  <c r="G491" i="5"/>
  <c r="G468" i="5"/>
  <c r="G469" i="5"/>
  <c r="G291" i="5"/>
  <c r="G499" i="5"/>
  <c r="U30" i="1"/>
  <c r="V30" i="1" s="1"/>
  <c r="U29" i="1"/>
  <c r="V29" i="1" s="1"/>
  <c r="G276" i="5"/>
  <c r="G484" i="5"/>
  <c r="G247" i="5"/>
  <c r="G420" i="5"/>
  <c r="G280" i="5"/>
  <c r="G477" i="5"/>
  <c r="G476" i="5"/>
  <c r="G457" i="5"/>
  <c r="G458" i="5"/>
  <c r="G273" i="5"/>
  <c r="M11" i="1"/>
  <c r="U23" i="1"/>
  <c r="V23" i="1" s="1"/>
  <c r="U22" i="1"/>
  <c r="V22" i="1" s="1"/>
  <c r="G289" i="5"/>
  <c r="G290" i="5"/>
  <c r="G287" i="5"/>
  <c r="G288" i="5"/>
  <c r="G285" i="5"/>
  <c r="G286" i="5"/>
  <c r="G283" i="5"/>
  <c r="G284" i="5"/>
  <c r="G281" i="5"/>
  <c r="G282" i="5"/>
  <c r="G278" i="5"/>
  <c r="G279" i="5"/>
  <c r="G209" i="5"/>
  <c r="G277" i="5"/>
  <c r="G274" i="5"/>
  <c r="G275" i="5"/>
  <c r="G271" i="5"/>
  <c r="G272" i="5"/>
  <c r="G269" i="5"/>
  <c r="G270" i="5"/>
  <c r="G266" i="5"/>
  <c r="G268" i="5"/>
  <c r="G207" i="5"/>
  <c r="G208" i="5"/>
  <c r="G205" i="5"/>
  <c r="G206" i="5"/>
  <c r="G203" i="5"/>
  <c r="G204" i="5"/>
  <c r="G107" i="5"/>
  <c r="G202" i="5"/>
  <c r="G200" i="5"/>
  <c r="G201" i="5"/>
  <c r="G197" i="5"/>
  <c r="G198" i="5"/>
  <c r="G195" i="5"/>
  <c r="G196" i="5"/>
  <c r="G100" i="5"/>
  <c r="G194" i="5"/>
  <c r="G192" i="5"/>
  <c r="G193" i="5"/>
  <c r="G190" i="5"/>
  <c r="G191" i="5"/>
  <c r="G188" i="5"/>
  <c r="G189" i="5"/>
  <c r="G186" i="5"/>
  <c r="G187" i="5"/>
  <c r="G184" i="5"/>
  <c r="G185" i="5"/>
  <c r="G182" i="5"/>
  <c r="G183" i="5"/>
  <c r="G83" i="5"/>
  <c r="G181" i="5"/>
  <c r="G179" i="5"/>
  <c r="G180" i="5"/>
  <c r="G177" i="5"/>
  <c r="G178" i="5"/>
  <c r="G175" i="5"/>
  <c r="G176" i="5"/>
  <c r="G110" i="5"/>
  <c r="G111" i="5"/>
  <c r="G108" i="5"/>
  <c r="G109" i="5"/>
  <c r="G105" i="5"/>
  <c r="G106" i="5"/>
  <c r="G103" i="5"/>
  <c r="G104" i="5"/>
  <c r="G101" i="5"/>
  <c r="G102" i="5"/>
  <c r="G98" i="5"/>
  <c r="G99" i="5"/>
  <c r="G96" i="5"/>
  <c r="G97" i="5"/>
  <c r="G94" i="5"/>
  <c r="G95" i="5"/>
  <c r="G92" i="5"/>
  <c r="G93" i="5"/>
  <c r="G90" i="5"/>
  <c r="G91" i="5"/>
  <c r="G88" i="5"/>
  <c r="G89" i="5"/>
  <c r="G86" i="5"/>
  <c r="G87" i="5"/>
  <c r="G84" i="5"/>
  <c r="G85" i="5"/>
  <c r="G79" i="5"/>
  <c r="G80" i="5"/>
  <c r="G77" i="5"/>
  <c r="G78" i="5"/>
  <c r="G75" i="5"/>
  <c r="G76" i="5"/>
  <c r="U28" i="1"/>
  <c r="V28" i="1" s="1"/>
  <c r="U27" i="1"/>
  <c r="V27" i="1" s="1"/>
  <c r="G162" i="5"/>
  <c r="G62" i="5"/>
  <c r="U25" i="1"/>
  <c r="V25" i="1" s="1"/>
  <c r="U26" i="1"/>
  <c r="V26" i="1" s="1"/>
  <c r="G249" i="5"/>
  <c r="G267" i="5"/>
  <c r="G35" i="5"/>
  <c r="G248" i="5"/>
  <c r="G242" i="5"/>
  <c r="G245" i="5"/>
  <c r="G246" i="5"/>
  <c r="G243" i="5"/>
  <c r="G244" i="5"/>
  <c r="G240" i="5"/>
  <c r="G241" i="5"/>
  <c r="G238" i="5"/>
  <c r="G239" i="5"/>
  <c r="G157" i="5"/>
  <c r="G237" i="5"/>
  <c r="G161" i="5"/>
  <c r="G159" i="5"/>
  <c r="G160" i="5"/>
  <c r="G113" i="5"/>
  <c r="G158" i="5"/>
  <c r="G155" i="5"/>
  <c r="G156" i="5"/>
  <c r="G153" i="5"/>
  <c r="G154" i="5"/>
  <c r="G151" i="5"/>
  <c r="G152" i="5"/>
  <c r="G149" i="5"/>
  <c r="G150" i="5"/>
  <c r="G147" i="5"/>
  <c r="G148" i="5"/>
  <c r="G145" i="5"/>
  <c r="G146" i="5"/>
  <c r="G143" i="5"/>
  <c r="G144" i="5"/>
  <c r="U15" i="1"/>
  <c r="V15" i="1" s="1"/>
  <c r="M14" i="1"/>
  <c r="U16" i="1"/>
  <c r="V16" i="1" s="1"/>
  <c r="G60" i="5"/>
  <c r="G61" i="5"/>
  <c r="G58" i="5"/>
  <c r="G59" i="5"/>
  <c r="G56" i="5"/>
  <c r="G57" i="5"/>
  <c r="G49" i="5"/>
  <c r="G55" i="5"/>
  <c r="G54" i="5"/>
  <c r="G53" i="5"/>
  <c r="G52" i="5"/>
  <c r="G51" i="5"/>
  <c r="G50" i="5"/>
  <c r="G47" i="5"/>
  <c r="G48" i="5"/>
  <c r="G45" i="5"/>
  <c r="G46" i="5"/>
  <c r="G44" i="5"/>
  <c r="G43" i="5"/>
  <c r="G42" i="5"/>
  <c r="G41" i="5"/>
  <c r="G40" i="5"/>
  <c r="G39" i="5"/>
  <c r="G38" i="5"/>
  <c r="G37" i="5"/>
  <c r="G36" i="5"/>
  <c r="M12" i="1"/>
  <c r="M13" i="1"/>
  <c r="G1061" i="5" s="1"/>
  <c r="M10" i="1"/>
  <c r="G1658" i="5" s="1"/>
  <c r="M9" i="1"/>
  <c r="M8" i="1"/>
  <c r="U14" i="1"/>
  <c r="U13" i="1"/>
  <c r="U11" i="1"/>
  <c r="U12" i="1"/>
  <c r="V24" i="1"/>
  <c r="U9" i="1"/>
  <c r="U8" i="1"/>
  <c r="U7" i="1"/>
  <c r="V7" i="1" s="1"/>
  <c r="U6" i="1"/>
  <c r="V6" i="1" s="1"/>
  <c r="U10" i="1"/>
  <c r="C20" i="12"/>
  <c r="C21" i="12"/>
  <c r="C22" i="12"/>
  <c r="C23" i="12"/>
  <c r="C24" i="12"/>
  <c r="C25" i="12"/>
  <c r="C26" i="12"/>
  <c r="C16" i="12"/>
  <c r="C17" i="12"/>
  <c r="C18" i="12"/>
  <c r="C19" i="12"/>
  <c r="C7" i="12"/>
  <c r="C8" i="12"/>
  <c r="C9" i="12"/>
  <c r="C10" i="12"/>
  <c r="C11" i="12"/>
  <c r="C12" i="12"/>
  <c r="C13" i="12"/>
  <c r="C14" i="12"/>
  <c r="C15" i="12"/>
  <c r="C6" i="12"/>
  <c r="D3" i="12"/>
  <c r="I3" i="12" s="1"/>
  <c r="G7" i="11"/>
  <c r="N2" i="15" s="1"/>
  <c r="G1646" i="5" l="1"/>
  <c r="G1651" i="5"/>
  <c r="G1629" i="5"/>
  <c r="G1633" i="5"/>
  <c r="G1641" i="5"/>
  <c r="G1642" i="5"/>
  <c r="G1704" i="5"/>
  <c r="G1705" i="5"/>
  <c r="G1700" i="5"/>
  <c r="G1701" i="5"/>
  <c r="G1654" i="5"/>
  <c r="G1657" i="5"/>
  <c r="G1532" i="5"/>
  <c r="G1703" i="5"/>
  <c r="G1536" i="5"/>
  <c r="G1699" i="5"/>
  <c r="G1509" i="5"/>
  <c r="G1653" i="5"/>
  <c r="G1492" i="5"/>
  <c r="G1636" i="5"/>
  <c r="G1478" i="5"/>
  <c r="G1481" i="5"/>
  <c r="G1501" i="5"/>
  <c r="G1488" i="5"/>
  <c r="G1491" i="5"/>
  <c r="G1496" i="5"/>
  <c r="G1499" i="5"/>
  <c r="G1483" i="5"/>
  <c r="G1486" i="5"/>
  <c r="G1494" i="5"/>
  <c r="G1495" i="5"/>
  <c r="G1224" i="5"/>
  <c r="G1535" i="5"/>
  <c r="G1233" i="5"/>
  <c r="G1531" i="5"/>
  <c r="G1356" i="5"/>
  <c r="G1504" i="5"/>
  <c r="G1321" i="5"/>
  <c r="G1476" i="5"/>
  <c r="G1349" i="5"/>
  <c r="G1353" i="5"/>
  <c r="G1328" i="5"/>
  <c r="G1332" i="5"/>
  <c r="G1182" i="5"/>
  <c r="G1339" i="5"/>
  <c r="G1231" i="5"/>
  <c r="G1232" i="5"/>
  <c r="G1236" i="5"/>
  <c r="G1230" i="5"/>
  <c r="G1222" i="5"/>
  <c r="G1223" i="5"/>
  <c r="G1347" i="5"/>
  <c r="G1194" i="5"/>
  <c r="G1326" i="5"/>
  <c r="G1173" i="5"/>
  <c r="G1163" i="5"/>
  <c r="G1320" i="5"/>
  <c r="G1226" i="5"/>
  <c r="G1384" i="5"/>
  <c r="G1380" i="5"/>
  <c r="G1181" i="5"/>
  <c r="G1337" i="5"/>
  <c r="G1162" i="5"/>
  <c r="G1319" i="5"/>
  <c r="G1179" i="5"/>
  <c r="G1180" i="5"/>
  <c r="G1159" i="5"/>
  <c r="G1160" i="5"/>
  <c r="G1169" i="5"/>
  <c r="G1189" i="5"/>
  <c r="G1190" i="5"/>
  <c r="G1176" i="5"/>
  <c r="G1178" i="5"/>
  <c r="G1220" i="5"/>
  <c r="G1225" i="5"/>
  <c r="G1186" i="5"/>
  <c r="G1187" i="5"/>
  <c r="G1166" i="5"/>
  <c r="G1167" i="5"/>
  <c r="G1155" i="5"/>
  <c r="G1156" i="5"/>
  <c r="G1074" i="5"/>
  <c r="G1229" i="5"/>
  <c r="G1049" i="5"/>
  <c r="G1185" i="5"/>
  <c r="G1038" i="5"/>
  <c r="G1175" i="5"/>
  <c r="G1026" i="5"/>
  <c r="G1027" i="5"/>
  <c r="G1047" i="5"/>
  <c r="G1048" i="5"/>
  <c r="G1059" i="5"/>
  <c r="G1060" i="5"/>
  <c r="G1069" i="5"/>
  <c r="G1070" i="5"/>
  <c r="G1034" i="5"/>
  <c r="G1036" i="5"/>
  <c r="G1057" i="5"/>
  <c r="G1058" i="5"/>
  <c r="G1022" i="5"/>
  <c r="G1023" i="5"/>
  <c r="G1045" i="5"/>
  <c r="G1046" i="5"/>
  <c r="G1072" i="5"/>
  <c r="G1073" i="5"/>
  <c r="G1032" i="5"/>
  <c r="G1044" i="5"/>
  <c r="G1055" i="5"/>
  <c r="G1056" i="5"/>
  <c r="G1019" i="5"/>
  <c r="G1020" i="5"/>
  <c r="G1042" i="5"/>
  <c r="G1043" i="5"/>
  <c r="G1053" i="5"/>
  <c r="G1054" i="5"/>
  <c r="G1030" i="5"/>
  <c r="G1031" i="5"/>
  <c r="G948" i="5"/>
  <c r="G1068" i="5"/>
  <c r="G939" i="5"/>
  <c r="G1052" i="5"/>
  <c r="G932" i="5"/>
  <c r="G1041" i="5"/>
  <c r="G921" i="5"/>
  <c r="G1018" i="5"/>
  <c r="G909" i="5"/>
  <c r="G1011" i="5"/>
  <c r="G951" i="5"/>
  <c r="G952" i="5"/>
  <c r="G925" i="5"/>
  <c r="G926" i="5"/>
  <c r="G908" i="5"/>
  <c r="G919" i="5"/>
  <c r="G920" i="5"/>
  <c r="G937" i="5"/>
  <c r="G938" i="5"/>
  <c r="G946" i="5"/>
  <c r="G947" i="5"/>
  <c r="G930" i="5"/>
  <c r="G931" i="5"/>
  <c r="G917" i="5"/>
  <c r="G918" i="5"/>
  <c r="G923" i="5"/>
  <c r="G924" i="5"/>
  <c r="G928" i="5"/>
  <c r="G929" i="5"/>
  <c r="G812" i="5"/>
  <c r="G950" i="5"/>
  <c r="G797" i="5"/>
  <c r="G936" i="5"/>
  <c r="G757" i="5"/>
  <c r="G916" i="5"/>
  <c r="G786" i="5"/>
  <c r="G907" i="5"/>
  <c r="G807" i="5"/>
  <c r="G808" i="5"/>
  <c r="G780" i="5"/>
  <c r="G781" i="5"/>
  <c r="G768" i="5"/>
  <c r="G769" i="5"/>
  <c r="G795" i="5"/>
  <c r="G796" i="5"/>
  <c r="G334" i="5"/>
  <c r="G785" i="5"/>
  <c r="G755" i="5"/>
  <c r="G756" i="5"/>
  <c r="G793" i="5"/>
  <c r="G794" i="5"/>
  <c r="G778" i="5"/>
  <c r="G779" i="5"/>
  <c r="G766" i="5"/>
  <c r="G767" i="5"/>
  <c r="G791" i="5"/>
  <c r="G792" i="5"/>
  <c r="G753" i="5"/>
  <c r="G754" i="5"/>
  <c r="G764" i="5"/>
  <c r="G765" i="5"/>
  <c r="G776" i="5"/>
  <c r="G777" i="5"/>
  <c r="G810" i="5"/>
  <c r="G811" i="5"/>
  <c r="G751" i="5"/>
  <c r="G752" i="5"/>
  <c r="G789" i="5"/>
  <c r="G790" i="5"/>
  <c r="G774" i="5"/>
  <c r="G775" i="5"/>
  <c r="G762" i="5"/>
  <c r="G763" i="5"/>
  <c r="G806" i="5"/>
  <c r="G449" i="5"/>
  <c r="G748" i="5"/>
  <c r="G750" i="5"/>
  <c r="G772" i="5"/>
  <c r="G773" i="5"/>
  <c r="G749" i="5"/>
  <c r="G760" i="5"/>
  <c r="G761" i="5"/>
  <c r="G599" i="5"/>
  <c r="G788" i="5"/>
  <c r="G603" i="5"/>
  <c r="G783" i="5"/>
  <c r="G579" i="5"/>
  <c r="G771" i="5"/>
  <c r="G557" i="5"/>
  <c r="G559" i="5"/>
  <c r="G537" i="5"/>
  <c r="G541" i="5"/>
  <c r="G577" i="5"/>
  <c r="G578" i="5"/>
  <c r="G595" i="5"/>
  <c r="G597" i="5"/>
  <c r="G607" i="5"/>
  <c r="G608" i="5"/>
  <c r="G575" i="5"/>
  <c r="G576" i="5"/>
  <c r="G554" i="5"/>
  <c r="G556" i="5"/>
  <c r="G574" i="5"/>
  <c r="G555" i="5"/>
  <c r="G331" i="5"/>
  <c r="G333" i="5"/>
  <c r="G329" i="5"/>
  <c r="G330" i="5"/>
  <c r="G594" i="5"/>
  <c r="G328" i="5"/>
  <c r="G317" i="5"/>
  <c r="G319" i="5"/>
  <c r="G315" i="5"/>
  <c r="G316" i="5"/>
  <c r="G313" i="5"/>
  <c r="G314" i="5"/>
  <c r="G311" i="5"/>
  <c r="G312" i="5"/>
  <c r="G535" i="5"/>
  <c r="G536" i="5"/>
  <c r="G572" i="5"/>
  <c r="G573" i="5"/>
  <c r="G570" i="5"/>
  <c r="G571" i="5"/>
  <c r="G552" i="5"/>
  <c r="G553" i="5"/>
  <c r="G533" i="5"/>
  <c r="G534" i="5"/>
  <c r="G585" i="5"/>
  <c r="G586" i="5"/>
  <c r="G592" i="5"/>
  <c r="G593" i="5"/>
  <c r="G550" i="5"/>
  <c r="G551" i="5"/>
  <c r="G582" i="5"/>
  <c r="G583" i="5"/>
  <c r="G567" i="5"/>
  <c r="G568" i="5"/>
  <c r="G531" i="5"/>
  <c r="G532" i="5"/>
  <c r="G548" i="5"/>
  <c r="G549" i="5"/>
  <c r="G529" i="5"/>
  <c r="G530" i="5"/>
  <c r="G565" i="5"/>
  <c r="G566" i="5"/>
  <c r="G601" i="5"/>
  <c r="G602" i="5"/>
  <c r="G544" i="5"/>
  <c r="G547" i="5"/>
  <c r="G590" i="5"/>
  <c r="G591" i="5"/>
  <c r="G563" i="5"/>
  <c r="G564" i="5"/>
  <c r="G418" i="5"/>
  <c r="G528" i="5"/>
  <c r="G543" i="5"/>
  <c r="G394" i="5"/>
  <c r="G610" i="5"/>
  <c r="G253" i="5"/>
  <c r="G606" i="5"/>
  <c r="G432" i="5"/>
  <c r="G589" i="5"/>
  <c r="G439" i="5"/>
  <c r="G581" i="5"/>
  <c r="G405" i="5"/>
  <c r="G561" i="5"/>
  <c r="G417" i="5"/>
  <c r="G527" i="5"/>
  <c r="G392" i="5"/>
  <c r="G393" i="5"/>
  <c r="G301" i="5"/>
  <c r="G416" i="5"/>
  <c r="G403" i="5"/>
  <c r="G404" i="5"/>
  <c r="G307" i="5"/>
  <c r="G308" i="5"/>
  <c r="G305" i="5"/>
  <c r="G306" i="5"/>
  <c r="G303" i="5"/>
  <c r="G304" i="5"/>
  <c r="G295" i="5"/>
  <c r="G296" i="5"/>
  <c r="G293" i="5"/>
  <c r="G294" i="5"/>
  <c r="G427" i="5"/>
  <c r="G430" i="5"/>
  <c r="G390" i="5"/>
  <c r="G391" i="5"/>
  <c r="G414" i="5"/>
  <c r="G415" i="5"/>
  <c r="G401" i="5"/>
  <c r="G402" i="5"/>
  <c r="G388" i="5"/>
  <c r="G389" i="5"/>
  <c r="G412" i="5"/>
  <c r="G413" i="5"/>
  <c r="G259" i="5"/>
  <c r="G260" i="5"/>
  <c r="G167" i="5"/>
  <c r="G258" i="5"/>
  <c r="G69" i="5"/>
  <c r="G70" i="5"/>
  <c r="G455" i="5"/>
  <c r="G68" i="5"/>
  <c r="G66" i="5"/>
  <c r="G67" i="5"/>
  <c r="G450" i="5"/>
  <c r="G65" i="5"/>
  <c r="G399" i="5"/>
  <c r="G400" i="5"/>
  <c r="G386" i="5"/>
  <c r="G387" i="5"/>
  <c r="G425" i="5"/>
  <c r="G426" i="5"/>
  <c r="G410" i="5"/>
  <c r="G411" i="5"/>
  <c r="G349" i="5"/>
  <c r="G454" i="5"/>
  <c r="G344" i="5"/>
  <c r="G451" i="5"/>
  <c r="G264" i="5"/>
  <c r="G397" i="5"/>
  <c r="G398" i="5"/>
  <c r="G408" i="5"/>
  <c r="G409" i="5"/>
  <c r="G231" i="5"/>
  <c r="G385" i="5"/>
  <c r="G384" i="5"/>
  <c r="G396" i="5"/>
  <c r="G254" i="5"/>
  <c r="G172" i="5"/>
  <c r="V11" i="1"/>
  <c r="G235" i="5"/>
  <c r="G236" i="5"/>
  <c r="G233" i="5"/>
  <c r="G234" i="5"/>
  <c r="G139" i="5"/>
  <c r="G232" i="5"/>
  <c r="G229" i="5"/>
  <c r="G230" i="5"/>
  <c r="G227" i="5"/>
  <c r="G228" i="5"/>
  <c r="G225" i="5"/>
  <c r="G226" i="5"/>
  <c r="G223" i="5"/>
  <c r="G224" i="5"/>
  <c r="G221" i="5"/>
  <c r="G222" i="5"/>
  <c r="G122" i="5"/>
  <c r="G220" i="5"/>
  <c r="G218" i="5"/>
  <c r="G219" i="5"/>
  <c r="G216" i="5"/>
  <c r="G217" i="5"/>
  <c r="G214" i="5"/>
  <c r="G215" i="5"/>
  <c r="G212" i="5"/>
  <c r="G213" i="5"/>
  <c r="G141" i="5"/>
  <c r="G142" i="5"/>
  <c r="G34" i="5"/>
  <c r="G140" i="5"/>
  <c r="G137" i="5"/>
  <c r="G138" i="5"/>
  <c r="G135" i="5"/>
  <c r="G136" i="5"/>
  <c r="G133" i="5"/>
  <c r="G134" i="5"/>
  <c r="G131" i="5"/>
  <c r="G132" i="5"/>
  <c r="V14" i="1"/>
  <c r="G129" i="5"/>
  <c r="G130" i="5"/>
  <c r="G127" i="5"/>
  <c r="G128" i="5"/>
  <c r="G119" i="5"/>
  <c r="G126" i="5"/>
  <c r="G124" i="5"/>
  <c r="G125" i="5"/>
  <c r="G23" i="5"/>
  <c r="G123" i="5"/>
  <c r="G120" i="5"/>
  <c r="G121" i="5"/>
  <c r="G117" i="5"/>
  <c r="G118" i="5"/>
  <c r="G115" i="5"/>
  <c r="G116" i="5"/>
  <c r="G4" i="5"/>
  <c r="G114" i="5"/>
  <c r="G32" i="5"/>
  <c r="G33" i="5"/>
  <c r="G30" i="5"/>
  <c r="G31" i="5"/>
  <c r="G28" i="5"/>
  <c r="G29" i="5"/>
  <c r="G26" i="5"/>
  <c r="G27" i="5"/>
  <c r="G24" i="5"/>
  <c r="G25" i="5"/>
  <c r="G21" i="5"/>
  <c r="G22" i="5"/>
  <c r="G19" i="5"/>
  <c r="G20" i="5"/>
  <c r="G17" i="5"/>
  <c r="G18" i="5"/>
  <c r="G15" i="5"/>
  <c r="G16" i="5"/>
  <c r="G12" i="5"/>
  <c r="G14" i="5"/>
  <c r="G11" i="5"/>
  <c r="G5" i="5"/>
  <c r="G9" i="5"/>
  <c r="G13" i="5"/>
  <c r="G10" i="5"/>
  <c r="G8" i="5"/>
  <c r="G7" i="5"/>
  <c r="G6" i="5"/>
  <c r="V12" i="1"/>
  <c r="V13" i="1"/>
  <c r="V10" i="1"/>
  <c r="V9" i="1"/>
  <c r="V8" i="1"/>
  <c r="J3" i="12"/>
  <c r="D39" i="12" s="1"/>
  <c r="O19" i="10"/>
  <c r="N19" i="10"/>
  <c r="M19" i="10"/>
  <c r="L19" i="10"/>
  <c r="K19" i="10"/>
  <c r="J19" i="10"/>
  <c r="I19" i="10"/>
  <c r="H19" i="10"/>
  <c r="G19" i="10"/>
  <c r="F19" i="10"/>
  <c r="E19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D19" i="10"/>
  <c r="Q3" i="11"/>
  <c r="P3" i="11"/>
  <c r="O3" i="11"/>
  <c r="N3" i="11"/>
  <c r="M3" i="11"/>
  <c r="L3" i="11"/>
  <c r="K3" i="11"/>
  <c r="J3" i="11"/>
  <c r="I3" i="11"/>
  <c r="H3" i="11"/>
  <c r="G3" i="11"/>
  <c r="F3" i="11"/>
  <c r="N4" i="11" l="1"/>
  <c r="N25" i="11" s="1"/>
  <c r="O4" i="11"/>
  <c r="O25" i="11" s="1"/>
  <c r="I4" i="11"/>
  <c r="I101" i="11" s="1"/>
  <c r="K4" i="11"/>
  <c r="K88" i="11" s="1"/>
  <c r="P4" i="11"/>
  <c r="P25" i="11" s="1"/>
  <c r="Q4" i="11"/>
  <c r="Q25" i="11" s="1"/>
  <c r="G4" i="11"/>
  <c r="G25" i="11" s="1"/>
  <c r="H4" i="11"/>
  <c r="H25" i="11" s="1"/>
  <c r="E30" i="12"/>
  <c r="G28" i="12"/>
  <c r="E27" i="12"/>
  <c r="D34" i="12"/>
  <c r="E34" i="12"/>
  <c r="G37" i="12"/>
  <c r="E36" i="12"/>
  <c r="E39" i="12"/>
  <c r="E33" i="12"/>
  <c r="J34" i="12"/>
  <c r="J42" i="12"/>
  <c r="G34" i="12"/>
  <c r="E44" i="12"/>
  <c r="D30" i="12"/>
  <c r="J32" i="12"/>
  <c r="J36" i="12"/>
  <c r="D32" i="12"/>
  <c r="G32" i="12"/>
  <c r="E32" i="12"/>
  <c r="J40" i="12"/>
  <c r="G44" i="12"/>
  <c r="J33" i="12"/>
  <c r="G45" i="12"/>
  <c r="G27" i="12"/>
  <c r="G36" i="12"/>
  <c r="D38" i="12"/>
  <c r="D36" i="12"/>
  <c r="G40" i="12"/>
  <c r="J44" i="12"/>
  <c r="D45" i="12"/>
  <c r="D41" i="12"/>
  <c r="J30" i="12"/>
  <c r="J38" i="12"/>
  <c r="D37" i="12"/>
  <c r="D27" i="12"/>
  <c r="D29" i="12"/>
  <c r="G39" i="12"/>
  <c r="J31" i="12"/>
  <c r="G35" i="12"/>
  <c r="J28" i="12"/>
  <c r="D43" i="12"/>
  <c r="D33" i="12"/>
  <c r="J41" i="12"/>
  <c r="E38" i="12"/>
  <c r="G42" i="12"/>
  <c r="G33" i="12"/>
  <c r="E41" i="12"/>
  <c r="D28" i="12"/>
  <c r="D31" i="12"/>
  <c r="G38" i="12"/>
  <c r="J43" i="12"/>
  <c r="J39" i="12"/>
  <c r="L39" i="12" s="1"/>
  <c r="G43" i="12"/>
  <c r="J27" i="12"/>
  <c r="G41" i="12"/>
  <c r="E43" i="12"/>
  <c r="J37" i="12"/>
  <c r="D42" i="12"/>
  <c r="E42" i="12"/>
  <c r="G31" i="12"/>
  <c r="E29" i="12"/>
  <c r="G30" i="12"/>
  <c r="E31" i="12"/>
  <c r="J29" i="12"/>
  <c r="E40" i="12"/>
  <c r="D44" i="12"/>
  <c r="D40" i="12"/>
  <c r="D35" i="12"/>
  <c r="E37" i="12"/>
  <c r="G29" i="12"/>
  <c r="E28" i="12"/>
  <c r="J23" i="12"/>
  <c r="J16" i="12"/>
  <c r="G21" i="12"/>
  <c r="D11" i="12"/>
  <c r="G8" i="12"/>
  <c r="D24" i="12"/>
  <c r="D8" i="12"/>
  <c r="G19" i="12"/>
  <c r="G9" i="12"/>
  <c r="G7" i="12"/>
  <c r="J26" i="12"/>
  <c r="D22" i="12"/>
  <c r="D20" i="12"/>
  <c r="G15" i="12"/>
  <c r="G20" i="12"/>
  <c r="G12" i="12"/>
  <c r="D15" i="12"/>
  <c r="J21" i="12"/>
  <c r="D26" i="12"/>
  <c r="J10" i="12"/>
  <c r="E10" i="12"/>
  <c r="E25" i="12"/>
  <c r="D18" i="12"/>
  <c r="G14" i="12"/>
  <c r="G22" i="12"/>
  <c r="G13" i="12"/>
  <c r="E21" i="12"/>
  <c r="D23" i="12"/>
  <c r="G16" i="12"/>
  <c r="D14" i="12"/>
  <c r="G25" i="12"/>
  <c r="E16" i="12"/>
  <c r="D12" i="12"/>
  <c r="G23" i="12"/>
  <c r="D13" i="12"/>
  <c r="G26" i="12"/>
  <c r="D10" i="12"/>
  <c r="E26" i="12"/>
  <c r="D6" i="12"/>
  <c r="G17" i="12"/>
  <c r="J20" i="12"/>
  <c r="G18" i="12"/>
  <c r="D16" i="12"/>
  <c r="J25" i="12"/>
  <c r="G6" i="12"/>
  <c r="G11" i="12"/>
  <c r="D17" i="12"/>
  <c r="G10" i="12"/>
  <c r="D9" i="12"/>
  <c r="D19" i="12"/>
  <c r="D25" i="12"/>
  <c r="D7" i="12"/>
  <c r="D21" i="12"/>
  <c r="G24" i="12"/>
  <c r="L4" i="11"/>
  <c r="L29" i="11" s="1"/>
  <c r="H10" i="15" s="1"/>
  <c r="H11" i="16" s="1"/>
  <c r="F4" i="11"/>
  <c r="F25" i="11" s="1"/>
  <c r="J4" i="11"/>
  <c r="J88" i="11" s="1"/>
  <c r="M4" i="11"/>
  <c r="M25" i="11" s="1"/>
  <c r="P19" i="10"/>
  <c r="P11" i="10"/>
  <c r="E3" i="10"/>
  <c r="F3" i="10"/>
  <c r="G3" i="10"/>
  <c r="H3" i="10"/>
  <c r="I3" i="10"/>
  <c r="J3" i="10"/>
  <c r="K3" i="10"/>
  <c r="L3" i="10"/>
  <c r="M3" i="10"/>
  <c r="N3" i="10"/>
  <c r="O3" i="10"/>
  <c r="D3" i="10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M53" i="5"/>
  <c r="Q53" i="5" s="1"/>
  <c r="M54" i="5"/>
  <c r="Q54" i="5" s="1"/>
  <c r="M500" i="5"/>
  <c r="Y53" i="5"/>
  <c r="Y54" i="5"/>
  <c r="Y500" i="5"/>
  <c r="C4" i="5"/>
  <c r="Y13" i="5"/>
  <c r="Y14" i="5"/>
  <c r="Y15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9" i="5"/>
  <c r="Y50" i="5"/>
  <c r="Y51" i="5"/>
  <c r="Y52" i="5"/>
  <c r="J8" i="12"/>
  <c r="M4" i="5"/>
  <c r="Q4" i="5" s="1"/>
  <c r="M5" i="5"/>
  <c r="Q5" i="5" s="1"/>
  <c r="M6" i="5"/>
  <c r="M7" i="5"/>
  <c r="Q7" i="5" s="1"/>
  <c r="M8" i="5"/>
  <c r="Q8" i="5" s="1"/>
  <c r="M9" i="5"/>
  <c r="Q9" i="5" s="1"/>
  <c r="M10" i="5"/>
  <c r="Q10" i="5" s="1"/>
  <c r="M11" i="5"/>
  <c r="Q11" i="5" s="1"/>
  <c r="M12" i="5"/>
  <c r="Q12" i="5" s="1"/>
  <c r="M13" i="5"/>
  <c r="Q13" i="5" s="1"/>
  <c r="M14" i="5"/>
  <c r="Q14" i="5" s="1"/>
  <c r="M15" i="5"/>
  <c r="Q15" i="5" s="1"/>
  <c r="M16" i="5"/>
  <c r="Q16" i="5" s="1"/>
  <c r="M17" i="5"/>
  <c r="Q17" i="5" s="1"/>
  <c r="M18" i="5"/>
  <c r="Q18" i="5" s="1"/>
  <c r="M19" i="5"/>
  <c r="Q19" i="5" s="1"/>
  <c r="M20" i="5"/>
  <c r="Q20" i="5" s="1"/>
  <c r="M21" i="5"/>
  <c r="M22" i="5"/>
  <c r="Q22" i="5" s="1"/>
  <c r="M23" i="5"/>
  <c r="Q23" i="5" s="1"/>
  <c r="M24" i="5"/>
  <c r="Q24" i="5" s="1"/>
  <c r="M25" i="5"/>
  <c r="Q25" i="5" s="1"/>
  <c r="M26" i="5"/>
  <c r="Q26" i="5" s="1"/>
  <c r="M27" i="5"/>
  <c r="Q27" i="5" s="1"/>
  <c r="M28" i="5"/>
  <c r="Q28" i="5" s="1"/>
  <c r="M29" i="5"/>
  <c r="Q29" i="5" s="1"/>
  <c r="M30" i="5"/>
  <c r="Q30" i="5" s="1"/>
  <c r="M31" i="5"/>
  <c r="Q31" i="5" s="1"/>
  <c r="M32" i="5"/>
  <c r="Q32" i="5" s="1"/>
  <c r="M33" i="5"/>
  <c r="Q33" i="5" s="1"/>
  <c r="J7" i="12" s="1"/>
  <c r="M34" i="5"/>
  <c r="Q34" i="5" s="1"/>
  <c r="M35" i="5"/>
  <c r="Q35" i="5" s="1"/>
  <c r="M36" i="5"/>
  <c r="Q36" i="5" s="1"/>
  <c r="M37" i="5"/>
  <c r="Q37" i="5" s="1"/>
  <c r="M38" i="5"/>
  <c r="Q38" i="5" s="1"/>
  <c r="M39" i="5"/>
  <c r="Q39" i="5" s="1"/>
  <c r="M40" i="5"/>
  <c r="Q40" i="5" s="1"/>
  <c r="M41" i="5"/>
  <c r="Q41" i="5" s="1"/>
  <c r="M42" i="5"/>
  <c r="Q42" i="5" s="1"/>
  <c r="M43" i="5"/>
  <c r="Q43" i="5" s="1"/>
  <c r="M44" i="5"/>
  <c r="Q44" i="5" s="1"/>
  <c r="M45" i="5"/>
  <c r="Q45" i="5" s="1"/>
  <c r="M49" i="5"/>
  <c r="Q49" i="5" s="1"/>
  <c r="M50" i="5"/>
  <c r="Q50" i="5" s="1"/>
  <c r="M51" i="5"/>
  <c r="Q51" i="5" s="1"/>
  <c r="M52" i="5"/>
  <c r="Q52" i="5" s="1"/>
  <c r="H92" i="15" l="1"/>
  <c r="P122" i="11"/>
  <c r="P121" i="11"/>
  <c r="N122" i="11"/>
  <c r="N121" i="11"/>
  <c r="N153" i="11"/>
  <c r="J154" i="11"/>
  <c r="J153" i="11"/>
  <c r="P154" i="11"/>
  <c r="J122" i="11"/>
  <c r="P153" i="11"/>
  <c r="J121" i="11"/>
  <c r="H122" i="11"/>
  <c r="H121" i="11"/>
  <c r="N154" i="11"/>
  <c r="H154" i="11"/>
  <c r="H153" i="11"/>
  <c r="K154" i="11"/>
  <c r="G122" i="11"/>
  <c r="K153" i="11"/>
  <c r="G121" i="11"/>
  <c r="K122" i="11"/>
  <c r="G154" i="11"/>
  <c r="K121" i="11"/>
  <c r="G153" i="11"/>
  <c r="O122" i="11"/>
  <c r="M122" i="11"/>
  <c r="I122" i="11"/>
  <c r="O121" i="11"/>
  <c r="M121" i="11"/>
  <c r="I121" i="11"/>
  <c r="O154" i="11"/>
  <c r="M154" i="11"/>
  <c r="I154" i="11"/>
  <c r="O153" i="11"/>
  <c r="M153" i="11"/>
  <c r="I153" i="11"/>
  <c r="Q122" i="11"/>
  <c r="L154" i="11"/>
  <c r="F122" i="11"/>
  <c r="Q121" i="11"/>
  <c r="L153" i="11"/>
  <c r="F121" i="11"/>
  <c r="Q154" i="11"/>
  <c r="L122" i="11"/>
  <c r="F154" i="11"/>
  <c r="Q153" i="11"/>
  <c r="L121" i="11"/>
  <c r="F153" i="11"/>
  <c r="P184" i="11"/>
  <c r="O184" i="11"/>
  <c r="G184" i="11"/>
  <c r="N184" i="11"/>
  <c r="M184" i="11"/>
  <c r="L184" i="11"/>
  <c r="Q184" i="11"/>
  <c r="K184" i="11"/>
  <c r="J184" i="11"/>
  <c r="H184" i="11"/>
  <c r="I184" i="11"/>
  <c r="F184" i="11"/>
  <c r="J92" i="11"/>
  <c r="P92" i="11"/>
  <c r="O92" i="11"/>
  <c r="N92" i="11"/>
  <c r="K92" i="11"/>
  <c r="G92" i="11"/>
  <c r="M92" i="11"/>
  <c r="Q92" i="11"/>
  <c r="I92" i="11"/>
  <c r="F92" i="11"/>
  <c r="L92" i="11"/>
  <c r="H92" i="11"/>
  <c r="O182" i="11"/>
  <c r="Q182" i="11"/>
  <c r="P182" i="11"/>
  <c r="K91" i="11"/>
  <c r="P91" i="11"/>
  <c r="H91" i="11"/>
  <c r="Q91" i="11"/>
  <c r="M91" i="11"/>
  <c r="N91" i="11"/>
  <c r="I91" i="11"/>
  <c r="G91" i="11"/>
  <c r="O91" i="11"/>
  <c r="J91" i="11"/>
  <c r="L91" i="11"/>
  <c r="F91" i="11"/>
  <c r="Q103" i="11"/>
  <c r="Q165" i="11"/>
  <c r="Q195" i="11"/>
  <c r="Q74" i="11" s="1"/>
  <c r="P165" i="11"/>
  <c r="K195" i="11"/>
  <c r="K74" i="11" s="1"/>
  <c r="Q136" i="11"/>
  <c r="O136" i="11"/>
  <c r="F195" i="11"/>
  <c r="F74" i="11" s="1"/>
  <c r="F103" i="11"/>
  <c r="F136" i="11"/>
  <c r="P136" i="11"/>
  <c r="H136" i="11"/>
  <c r="F165" i="11"/>
  <c r="M136" i="11"/>
  <c r="N136" i="11"/>
  <c r="J136" i="11"/>
  <c r="L136" i="11"/>
  <c r="G195" i="11"/>
  <c r="G74" i="11" s="1"/>
  <c r="K136" i="11"/>
  <c r="G103" i="11"/>
  <c r="I136" i="11"/>
  <c r="G165" i="11"/>
  <c r="G136" i="11"/>
  <c r="N165" i="11"/>
  <c r="N195" i="11"/>
  <c r="N74" i="11" s="1"/>
  <c r="L195" i="11"/>
  <c r="L74" i="11" s="1"/>
  <c r="J103" i="11"/>
  <c r="O103" i="11"/>
  <c r="M103" i="11"/>
  <c r="L103" i="11"/>
  <c r="M165" i="11"/>
  <c r="L165" i="11"/>
  <c r="M195" i="11"/>
  <c r="J195" i="11"/>
  <c r="I195" i="11"/>
  <c r="I74" i="11" s="1"/>
  <c r="P103" i="11"/>
  <c r="I103" i="11"/>
  <c r="O165" i="11"/>
  <c r="I165" i="11"/>
  <c r="P195" i="11"/>
  <c r="H195" i="11"/>
  <c r="H74" i="11" s="1"/>
  <c r="K103" i="11"/>
  <c r="H165" i="11"/>
  <c r="O195" i="11"/>
  <c r="N103" i="11"/>
  <c r="J165" i="11"/>
  <c r="K165" i="11"/>
  <c r="H103" i="11"/>
  <c r="Q180" i="11"/>
  <c r="Q150" i="11"/>
  <c r="Q135" i="11"/>
  <c r="P180" i="11"/>
  <c r="L135" i="11"/>
  <c r="L180" i="11"/>
  <c r="L150" i="11"/>
  <c r="N150" i="11"/>
  <c r="M135" i="11"/>
  <c r="N180" i="11"/>
  <c r="M150" i="11"/>
  <c r="M180" i="11"/>
  <c r="G135" i="11"/>
  <c r="G150" i="11"/>
  <c r="G180" i="11"/>
  <c r="F150" i="11"/>
  <c r="J180" i="11"/>
  <c r="J59" i="11" s="1"/>
  <c r="F180" i="11"/>
  <c r="I135" i="11"/>
  <c r="F135" i="11"/>
  <c r="P150" i="11"/>
  <c r="P135" i="11"/>
  <c r="J150" i="11"/>
  <c r="H180" i="11"/>
  <c r="J135" i="11"/>
  <c r="H135" i="11"/>
  <c r="H150" i="11"/>
  <c r="I180" i="11"/>
  <c r="O180" i="11"/>
  <c r="I150" i="11"/>
  <c r="O150" i="11"/>
  <c r="K150" i="11"/>
  <c r="O135" i="11"/>
  <c r="K135" i="11"/>
  <c r="N135" i="11"/>
  <c r="K180" i="11"/>
  <c r="K59" i="11" s="1"/>
  <c r="F88" i="11"/>
  <c r="Q88" i="11"/>
  <c r="P88" i="11"/>
  <c r="I88" i="11"/>
  <c r="L88" i="11"/>
  <c r="O88" i="11"/>
  <c r="N88" i="11"/>
  <c r="G88" i="11"/>
  <c r="M88" i="11"/>
  <c r="H88" i="11"/>
  <c r="H29" i="11"/>
  <c r="D10" i="15" s="1"/>
  <c r="D11" i="16" s="1"/>
  <c r="K29" i="11"/>
  <c r="G10" i="15" s="1"/>
  <c r="G11" i="16" s="1"/>
  <c r="O29" i="11"/>
  <c r="K10" i="15" s="1"/>
  <c r="K11" i="16" s="1"/>
  <c r="J29" i="11"/>
  <c r="F10" i="15" s="1"/>
  <c r="F11" i="16" s="1"/>
  <c r="I29" i="11"/>
  <c r="E10" i="15" s="1"/>
  <c r="E11" i="16" s="1"/>
  <c r="P29" i="11"/>
  <c r="L10" i="15" s="1"/>
  <c r="L11" i="16" s="1"/>
  <c r="F11" i="11"/>
  <c r="B6" i="15" s="1"/>
  <c r="B2" i="16" s="1"/>
  <c r="F29" i="11"/>
  <c r="B10" i="15" s="1"/>
  <c r="B11" i="16" s="1"/>
  <c r="N29" i="11"/>
  <c r="J10" i="15" s="1"/>
  <c r="J11" i="16" s="1"/>
  <c r="G29" i="11"/>
  <c r="C10" i="15" s="1"/>
  <c r="C11" i="16" s="1"/>
  <c r="Q29" i="11"/>
  <c r="M10" i="15" s="1"/>
  <c r="M11" i="16" s="1"/>
  <c r="M29" i="11"/>
  <c r="I10" i="15" s="1"/>
  <c r="I11" i="16" s="1"/>
  <c r="G26" i="11"/>
  <c r="L25" i="11"/>
  <c r="K25" i="11"/>
  <c r="J194" i="11"/>
  <c r="O174" i="11"/>
  <c r="K181" i="11"/>
  <c r="K176" i="11"/>
  <c r="K79" i="11"/>
  <c r="K192" i="11"/>
  <c r="K172" i="11"/>
  <c r="K189" i="11"/>
  <c r="K190" i="11"/>
  <c r="K188" i="11"/>
  <c r="H177" i="11"/>
  <c r="H174" i="11"/>
  <c r="H181" i="11"/>
  <c r="G192" i="11"/>
  <c r="H175" i="11"/>
  <c r="G188" i="11"/>
  <c r="O189" i="11"/>
  <c r="H188" i="11"/>
  <c r="P174" i="11"/>
  <c r="O178" i="11"/>
  <c r="P192" i="11"/>
  <c r="O171" i="11"/>
  <c r="P188" i="11"/>
  <c r="O176" i="11"/>
  <c r="P187" i="11"/>
  <c r="G177" i="11"/>
  <c r="Q189" i="11"/>
  <c r="G193" i="11"/>
  <c r="P190" i="11"/>
  <c r="G194" i="11"/>
  <c r="H194" i="11"/>
  <c r="P189" i="11"/>
  <c r="Q188" i="11"/>
  <c r="Q174" i="11"/>
  <c r="G191" i="11"/>
  <c r="P175" i="11"/>
  <c r="Q187" i="11"/>
  <c r="G190" i="11"/>
  <c r="K179" i="11"/>
  <c r="H176" i="11"/>
  <c r="P172" i="11"/>
  <c r="Q186" i="11"/>
  <c r="Q185" i="11"/>
  <c r="Q183" i="11"/>
  <c r="G185" i="11"/>
  <c r="P186" i="11"/>
  <c r="Q181" i="11"/>
  <c r="G183" i="11"/>
  <c r="K194" i="11"/>
  <c r="H178" i="11"/>
  <c r="P185" i="11"/>
  <c r="G171" i="11"/>
  <c r="K193" i="11"/>
  <c r="F193" i="11"/>
  <c r="P183" i="11"/>
  <c r="Q179" i="11"/>
  <c r="G187" i="11"/>
  <c r="F194" i="11"/>
  <c r="P181" i="11"/>
  <c r="Q178" i="11"/>
  <c r="G186" i="11"/>
  <c r="K191" i="11"/>
  <c r="F190" i="11"/>
  <c r="Q177" i="11"/>
  <c r="J178" i="11"/>
  <c r="G181" i="11"/>
  <c r="K175" i="11"/>
  <c r="P176" i="11"/>
  <c r="Q176" i="11"/>
  <c r="J177" i="11"/>
  <c r="K174" i="11"/>
  <c r="F176" i="11"/>
  <c r="P179" i="11"/>
  <c r="Q171" i="11"/>
  <c r="J192" i="11"/>
  <c r="G176" i="11"/>
  <c r="K173" i="11"/>
  <c r="N176" i="11"/>
  <c r="P178" i="11"/>
  <c r="Q175" i="11"/>
  <c r="G175" i="11"/>
  <c r="M175" i="11"/>
  <c r="P177" i="11"/>
  <c r="Q173" i="11"/>
  <c r="J181" i="11"/>
  <c r="O194" i="11"/>
  <c r="K171" i="11"/>
  <c r="M178" i="11"/>
  <c r="P194" i="11"/>
  <c r="L189" i="11"/>
  <c r="G174" i="11"/>
  <c r="M176" i="11"/>
  <c r="P173" i="11"/>
  <c r="L179" i="11"/>
  <c r="G172" i="11"/>
  <c r="M194" i="11"/>
  <c r="Q192" i="11"/>
  <c r="L178" i="11"/>
  <c r="J191" i="11"/>
  <c r="O186" i="11"/>
  <c r="F178" i="11"/>
  <c r="F179" i="11"/>
  <c r="N181" i="11"/>
  <c r="M174" i="11"/>
  <c r="L186" i="11"/>
  <c r="I172" i="11"/>
  <c r="N178" i="11"/>
  <c r="L185" i="11"/>
  <c r="J188" i="11"/>
  <c r="I191" i="11"/>
  <c r="O179" i="11"/>
  <c r="H173" i="11"/>
  <c r="F175" i="11"/>
  <c r="F174" i="11"/>
  <c r="N175" i="11"/>
  <c r="M177" i="11"/>
  <c r="L183" i="11"/>
  <c r="J187" i="11"/>
  <c r="I178" i="11"/>
  <c r="I187" i="11"/>
  <c r="O185" i="11"/>
  <c r="F173" i="11"/>
  <c r="N188" i="11"/>
  <c r="N190" i="11"/>
  <c r="M173" i="11"/>
  <c r="L177" i="11"/>
  <c r="J186" i="11"/>
  <c r="I175" i="11"/>
  <c r="O183" i="11"/>
  <c r="H193" i="11"/>
  <c r="F192" i="11"/>
  <c r="N172" i="11"/>
  <c r="M193" i="11"/>
  <c r="L176" i="11"/>
  <c r="J183" i="11"/>
  <c r="I186" i="11"/>
  <c r="O181" i="11"/>
  <c r="H172" i="11"/>
  <c r="F189" i="11"/>
  <c r="N186" i="11"/>
  <c r="M188" i="11"/>
  <c r="M172" i="11"/>
  <c r="L175" i="11"/>
  <c r="J176" i="11"/>
  <c r="I183" i="11"/>
  <c r="H192" i="11"/>
  <c r="F172" i="11"/>
  <c r="N189" i="11"/>
  <c r="M186" i="11"/>
  <c r="M171" i="11"/>
  <c r="L174" i="11"/>
  <c r="J175" i="11"/>
  <c r="I179" i="11"/>
  <c r="O177" i="11"/>
  <c r="H189" i="11"/>
  <c r="F191" i="11"/>
  <c r="N187" i="11"/>
  <c r="M192" i="11"/>
  <c r="L194" i="11"/>
  <c r="N194" i="11"/>
  <c r="N174" i="11"/>
  <c r="L173" i="11"/>
  <c r="N185" i="11"/>
  <c r="J179" i="11"/>
  <c r="I181" i="11"/>
  <c r="O191" i="11"/>
  <c r="O193" i="11"/>
  <c r="F171" i="11"/>
  <c r="N173" i="11"/>
  <c r="M189" i="11"/>
  <c r="L193" i="11"/>
  <c r="I189" i="11"/>
  <c r="N193" i="11"/>
  <c r="N192" i="11"/>
  <c r="J185" i="11"/>
  <c r="I174" i="11"/>
  <c r="M190" i="11"/>
  <c r="J174" i="11"/>
  <c r="I177" i="11"/>
  <c r="O192" i="11"/>
  <c r="H187" i="11"/>
  <c r="F186" i="11"/>
  <c r="N191" i="11"/>
  <c r="M187" i="11"/>
  <c r="L172" i="11"/>
  <c r="I190" i="11"/>
  <c r="I185" i="11"/>
  <c r="J173" i="11"/>
  <c r="I176" i="11"/>
  <c r="O190" i="11"/>
  <c r="H183" i="11"/>
  <c r="F185" i="11"/>
  <c r="M185" i="11"/>
  <c r="L190" i="11"/>
  <c r="J172" i="11"/>
  <c r="I194" i="11"/>
  <c r="O188" i="11"/>
  <c r="H191" i="11"/>
  <c r="F183" i="11"/>
  <c r="N183" i="11"/>
  <c r="M183" i="11"/>
  <c r="L192" i="11"/>
  <c r="J190" i="11"/>
  <c r="I173" i="11"/>
  <c r="G179" i="11"/>
  <c r="O175" i="11"/>
  <c r="K178" i="11"/>
  <c r="K187" i="11"/>
  <c r="H190" i="11"/>
  <c r="F181" i="11"/>
  <c r="N171" i="11"/>
  <c r="M181" i="11"/>
  <c r="P171" i="11"/>
  <c r="Q193" i="11"/>
  <c r="Q172" i="11"/>
  <c r="L171" i="11"/>
  <c r="I188" i="11"/>
  <c r="J171" i="11"/>
  <c r="I193" i="11"/>
  <c r="I72" i="11" s="1"/>
  <c r="G178" i="11"/>
  <c r="O172" i="11"/>
  <c r="K186" i="11"/>
  <c r="K185" i="11"/>
  <c r="H171" i="11"/>
  <c r="F177" i="11"/>
  <c r="M191" i="11"/>
  <c r="P193" i="11"/>
  <c r="Q191" i="11"/>
  <c r="L181" i="11"/>
  <c r="L191" i="11"/>
  <c r="J189" i="11"/>
  <c r="I192" i="11"/>
  <c r="G173" i="11"/>
  <c r="O187" i="11"/>
  <c r="K177" i="11"/>
  <c r="H186" i="11"/>
  <c r="F188" i="11"/>
  <c r="P191" i="11"/>
  <c r="Q194" i="11"/>
  <c r="L188" i="11"/>
  <c r="J193" i="11"/>
  <c r="I171" i="11"/>
  <c r="G189" i="11"/>
  <c r="O173" i="11"/>
  <c r="K183" i="11"/>
  <c r="H179" i="11"/>
  <c r="H185" i="11"/>
  <c r="F187" i="11"/>
  <c r="N177" i="11"/>
  <c r="M179" i="11"/>
  <c r="Q190" i="11"/>
  <c r="L187" i="11"/>
  <c r="O26" i="11"/>
  <c r="Q26" i="11"/>
  <c r="M26" i="11"/>
  <c r="P26" i="11"/>
  <c r="K26" i="11"/>
  <c r="H26" i="11"/>
  <c r="F26" i="11"/>
  <c r="N26" i="11"/>
  <c r="J26" i="11"/>
  <c r="I26" i="11"/>
  <c r="L26" i="11"/>
  <c r="H14" i="11"/>
  <c r="D8" i="15" s="1"/>
  <c r="D5" i="16" s="1"/>
  <c r="J25" i="11"/>
  <c r="J83" i="11"/>
  <c r="F94" i="11"/>
  <c r="F95" i="11"/>
  <c r="F90" i="11"/>
  <c r="F100" i="11"/>
  <c r="P85" i="11"/>
  <c r="P97" i="11"/>
  <c r="N96" i="11"/>
  <c r="N79" i="11"/>
  <c r="P101" i="11"/>
  <c r="P98" i="11"/>
  <c r="P99" i="11"/>
  <c r="Q80" i="11"/>
  <c r="P86" i="11"/>
  <c r="P96" i="11"/>
  <c r="P95" i="11"/>
  <c r="Q100" i="11"/>
  <c r="Q99" i="11"/>
  <c r="Q97" i="11"/>
  <c r="M84" i="11"/>
  <c r="M87" i="11"/>
  <c r="J93" i="11"/>
  <c r="F80" i="11"/>
  <c r="M93" i="11"/>
  <c r="J81" i="11"/>
  <c r="M89" i="11"/>
  <c r="H80" i="11"/>
  <c r="G100" i="11"/>
  <c r="H100" i="11"/>
  <c r="M90" i="11"/>
  <c r="G94" i="11"/>
  <c r="L79" i="11"/>
  <c r="M83" i="11"/>
  <c r="J102" i="11"/>
  <c r="M96" i="11"/>
  <c r="F96" i="11"/>
  <c r="G86" i="11"/>
  <c r="L102" i="11"/>
  <c r="G93" i="11"/>
  <c r="M100" i="11"/>
  <c r="G90" i="11"/>
  <c r="Q90" i="11"/>
  <c r="H79" i="11"/>
  <c r="Q96" i="11"/>
  <c r="H85" i="11"/>
  <c r="H99" i="11"/>
  <c r="G102" i="11"/>
  <c r="G99" i="11"/>
  <c r="O102" i="11"/>
  <c r="Q95" i="11"/>
  <c r="H90" i="11"/>
  <c r="G85" i="11"/>
  <c r="H89" i="11"/>
  <c r="Q82" i="11"/>
  <c r="G84" i="11"/>
  <c r="O82" i="11"/>
  <c r="H94" i="11"/>
  <c r="F97" i="11"/>
  <c r="M101" i="11"/>
  <c r="P102" i="11"/>
  <c r="Q84" i="11"/>
  <c r="J97" i="11"/>
  <c r="L101" i="11"/>
  <c r="G87" i="11"/>
  <c r="G101" i="11"/>
  <c r="Q79" i="11"/>
  <c r="G98" i="11"/>
  <c r="O79" i="11"/>
  <c r="H86" i="11"/>
  <c r="M79" i="11"/>
  <c r="Q86" i="11"/>
  <c r="M102" i="11"/>
  <c r="P82" i="11"/>
  <c r="Q85" i="11"/>
  <c r="J101" i="11"/>
  <c r="L81" i="11"/>
  <c r="F84" i="11"/>
  <c r="Q102" i="11"/>
  <c r="L85" i="11"/>
  <c r="Q98" i="11"/>
  <c r="H87" i="11"/>
  <c r="M80" i="11"/>
  <c r="Q83" i="11"/>
  <c r="J95" i="11"/>
  <c r="G79" i="11"/>
  <c r="P80" i="11"/>
  <c r="F83" i="11"/>
  <c r="G97" i="11"/>
  <c r="P90" i="11"/>
  <c r="Q101" i="11"/>
  <c r="H82" i="11"/>
  <c r="L82" i="11"/>
  <c r="G89" i="11"/>
  <c r="O89" i="11"/>
  <c r="P81" i="11"/>
  <c r="L80" i="11"/>
  <c r="J90" i="11"/>
  <c r="F101" i="11"/>
  <c r="G82" i="11"/>
  <c r="P89" i="11"/>
  <c r="Q81" i="11"/>
  <c r="H101" i="11"/>
  <c r="I80" i="11"/>
  <c r="L97" i="11"/>
  <c r="I93" i="11"/>
  <c r="K80" i="11"/>
  <c r="J86" i="11"/>
  <c r="J99" i="11"/>
  <c r="H81" i="11"/>
  <c r="L87" i="11"/>
  <c r="K99" i="11"/>
  <c r="I98" i="11"/>
  <c r="O101" i="11"/>
  <c r="F93" i="11"/>
  <c r="N85" i="11"/>
  <c r="N82" i="11"/>
  <c r="M86" i="11"/>
  <c r="O87" i="11"/>
  <c r="J85" i="11"/>
  <c r="J94" i="11"/>
  <c r="H96" i="11"/>
  <c r="L86" i="11"/>
  <c r="I87" i="11"/>
  <c r="K98" i="11"/>
  <c r="K86" i="11"/>
  <c r="I94" i="11"/>
  <c r="O86" i="11"/>
  <c r="N80" i="11"/>
  <c r="I90" i="11"/>
  <c r="J82" i="11"/>
  <c r="J89" i="11"/>
  <c r="O96" i="11"/>
  <c r="L94" i="11"/>
  <c r="I83" i="11"/>
  <c r="F99" i="11"/>
  <c r="N81" i="11"/>
  <c r="M97" i="11"/>
  <c r="G81" i="11"/>
  <c r="P79" i="11"/>
  <c r="O94" i="11"/>
  <c r="Q94" i="11"/>
  <c r="J80" i="11"/>
  <c r="H97" i="11"/>
  <c r="L93" i="11"/>
  <c r="I84" i="11"/>
  <c r="K83" i="11"/>
  <c r="N102" i="11"/>
  <c r="I99" i="11"/>
  <c r="L100" i="11"/>
  <c r="F85" i="11"/>
  <c r="N100" i="11"/>
  <c r="L95" i="11"/>
  <c r="I86" i="11"/>
  <c r="K97" i="11"/>
  <c r="F79" i="11"/>
  <c r="N99" i="11"/>
  <c r="M99" i="11"/>
  <c r="M85" i="11"/>
  <c r="L96" i="11"/>
  <c r="L84" i="11"/>
  <c r="I85" i="11"/>
  <c r="K96" i="11"/>
  <c r="F82" i="11"/>
  <c r="N98" i="11"/>
  <c r="M98" i="11"/>
  <c r="H98" i="11"/>
  <c r="L99" i="11"/>
  <c r="K90" i="11"/>
  <c r="F98" i="11"/>
  <c r="N95" i="11"/>
  <c r="G80" i="11"/>
  <c r="G83" i="11"/>
  <c r="P100" i="11"/>
  <c r="O93" i="11"/>
  <c r="Q93" i="11"/>
  <c r="J100" i="11"/>
  <c r="H84" i="11"/>
  <c r="L90" i="11"/>
  <c r="I79" i="11"/>
  <c r="I96" i="11"/>
  <c r="K102" i="11"/>
  <c r="K87" i="11"/>
  <c r="I100" i="11"/>
  <c r="N86" i="11"/>
  <c r="K82" i="11"/>
  <c r="O100" i="11"/>
  <c r="N83" i="11"/>
  <c r="K94" i="11"/>
  <c r="J79" i="11"/>
  <c r="O99" i="11"/>
  <c r="J98" i="11"/>
  <c r="H83" i="11"/>
  <c r="L89" i="11"/>
  <c r="I82" i="11"/>
  <c r="I89" i="11"/>
  <c r="K81" i="11"/>
  <c r="O81" i="11"/>
  <c r="I95" i="11"/>
  <c r="K84" i="11"/>
  <c r="J84" i="11"/>
  <c r="O85" i="11"/>
  <c r="I97" i="11"/>
  <c r="K93" i="11"/>
  <c r="F87" i="11"/>
  <c r="O84" i="11"/>
  <c r="O97" i="11"/>
  <c r="F89" i="11"/>
  <c r="N97" i="11"/>
  <c r="M82" i="11"/>
  <c r="F86" i="11"/>
  <c r="N93" i="11"/>
  <c r="M81" i="11"/>
  <c r="P87" i="11"/>
  <c r="P94" i="11"/>
  <c r="O98" i="11"/>
  <c r="Q89" i="11"/>
  <c r="H102" i="11"/>
  <c r="I102" i="11"/>
  <c r="K95" i="11"/>
  <c r="K101" i="11"/>
  <c r="K85" i="11"/>
  <c r="O80" i="11"/>
  <c r="N84" i="11"/>
  <c r="N94" i="11"/>
  <c r="N101" i="11"/>
  <c r="N87" i="11"/>
  <c r="F102" i="11"/>
  <c r="N90" i="11"/>
  <c r="M95" i="11"/>
  <c r="G96" i="11"/>
  <c r="P84" i="11"/>
  <c r="P93" i="11"/>
  <c r="O90" i="11"/>
  <c r="J96" i="11"/>
  <c r="H95" i="11"/>
  <c r="L98" i="11"/>
  <c r="I81" i="11"/>
  <c r="K89" i="11"/>
  <c r="K100" i="11"/>
  <c r="F81" i="11"/>
  <c r="N89" i="11"/>
  <c r="M94" i="11"/>
  <c r="G95" i="11"/>
  <c r="P83" i="11"/>
  <c r="O83" i="11"/>
  <c r="O95" i="11"/>
  <c r="Q87" i="11"/>
  <c r="J87" i="11"/>
  <c r="H93" i="11"/>
  <c r="L83" i="11"/>
  <c r="I25" i="11"/>
  <c r="N17" i="11"/>
  <c r="J7" i="15" s="1"/>
  <c r="J83" i="15" s="1"/>
  <c r="Q17" i="11"/>
  <c r="M7" i="15" s="1"/>
  <c r="M83" i="15" s="1"/>
  <c r="M17" i="11"/>
  <c r="I7" i="15" s="1"/>
  <c r="I83" i="15" s="1"/>
  <c r="P17" i="11"/>
  <c r="L7" i="15" s="1"/>
  <c r="L83" i="15" s="1"/>
  <c r="O17" i="11"/>
  <c r="K7" i="15" s="1"/>
  <c r="K83" i="15" s="1"/>
  <c r="J17" i="11"/>
  <c r="F7" i="15" s="1"/>
  <c r="F83" i="15" s="1"/>
  <c r="Q500" i="5"/>
  <c r="J45" i="12" s="1"/>
  <c r="L45" i="12" s="1"/>
  <c r="N500" i="5"/>
  <c r="L17" i="11"/>
  <c r="H7" i="15" s="1"/>
  <c r="H83" i="15" s="1"/>
  <c r="I17" i="11"/>
  <c r="E7" i="15" s="1"/>
  <c r="E83" i="15" s="1"/>
  <c r="H17" i="11"/>
  <c r="D7" i="15" s="1"/>
  <c r="D83" i="15" s="1"/>
  <c r="K17" i="11"/>
  <c r="G7" i="15" s="1"/>
  <c r="G83" i="15" s="1"/>
  <c r="G17" i="11"/>
  <c r="C7" i="15" s="1"/>
  <c r="C83" i="15" s="1"/>
  <c r="F17" i="11"/>
  <c r="B7" i="15" s="1"/>
  <c r="I18" i="11"/>
  <c r="K18" i="11"/>
  <c r="J18" i="11"/>
  <c r="M18" i="11"/>
  <c r="H18" i="11"/>
  <c r="Q18" i="11"/>
  <c r="N18" i="11"/>
  <c r="F18" i="11"/>
  <c r="P18" i="11"/>
  <c r="O18" i="11"/>
  <c r="L18" i="11"/>
  <c r="G18" i="11"/>
  <c r="F19" i="11"/>
  <c r="H11" i="11"/>
  <c r="D6" i="15" s="1"/>
  <c r="D2" i="16" s="1"/>
  <c r="G14" i="11"/>
  <c r="C8" i="15" s="1"/>
  <c r="C5" i="16" s="1"/>
  <c r="P14" i="11"/>
  <c r="L8" i="15" s="1"/>
  <c r="L5" i="16" s="1"/>
  <c r="K14" i="11"/>
  <c r="G8" i="15" s="1"/>
  <c r="G5" i="16" s="1"/>
  <c r="I14" i="11"/>
  <c r="E8" i="15" s="1"/>
  <c r="E5" i="16" s="1"/>
  <c r="O14" i="11"/>
  <c r="K8" i="15" s="1"/>
  <c r="K5" i="16" s="1"/>
  <c r="N14" i="11"/>
  <c r="J8" i="15" s="1"/>
  <c r="J5" i="16" s="1"/>
  <c r="I15" i="11"/>
  <c r="N11" i="11"/>
  <c r="J6" i="15" s="1"/>
  <c r="J2" i="16" s="1"/>
  <c r="N12" i="11"/>
  <c r="N15" i="11"/>
  <c r="N10" i="11"/>
  <c r="M19" i="11"/>
  <c r="L19" i="11"/>
  <c r="H19" i="11"/>
  <c r="K12" i="11"/>
  <c r="I19" i="11"/>
  <c r="F14" i="11"/>
  <c r="B8" i="15" s="1"/>
  <c r="B5" i="16" s="1"/>
  <c r="I12" i="11"/>
  <c r="J19" i="11"/>
  <c r="Q19" i="11"/>
  <c r="K19" i="11"/>
  <c r="O15" i="11"/>
  <c r="K10" i="11"/>
  <c r="K11" i="11"/>
  <c r="G6" i="15" s="1"/>
  <c r="G2" i="16" s="1"/>
  <c r="G10" i="11"/>
  <c r="O19" i="11"/>
  <c r="I10" i="11"/>
  <c r="P19" i="11"/>
  <c r="P15" i="11"/>
  <c r="K15" i="11"/>
  <c r="O10" i="11"/>
  <c r="N19" i="11"/>
  <c r="G12" i="11"/>
  <c r="P10" i="11"/>
  <c r="Q15" i="11"/>
  <c r="G19" i="11"/>
  <c r="I11" i="11"/>
  <c r="E6" i="15" s="1"/>
  <c r="E2" i="16" s="1"/>
  <c r="J35" i="12"/>
  <c r="L35" i="12" s="1"/>
  <c r="E45" i="12"/>
  <c r="F45" i="12" s="1"/>
  <c r="E35" i="12"/>
  <c r="H35" i="12" s="1"/>
  <c r="G15" i="11"/>
  <c r="G11" i="11"/>
  <c r="C6" i="15" s="1"/>
  <c r="C2" i="16" s="1"/>
  <c r="Q14" i="11"/>
  <c r="M8" i="15" s="1"/>
  <c r="M5" i="16" s="1"/>
  <c r="H12" i="11"/>
  <c r="H15" i="11"/>
  <c r="M14" i="11"/>
  <c r="I8" i="15" s="1"/>
  <c r="I5" i="16" s="1"/>
  <c r="Q10" i="11"/>
  <c r="J14" i="11"/>
  <c r="F8" i="15" s="1"/>
  <c r="F5" i="16" s="1"/>
  <c r="H10" i="11"/>
  <c r="L14" i="11"/>
  <c r="H8" i="15" s="1"/>
  <c r="H5" i="16" s="1"/>
  <c r="F43" i="12"/>
  <c r="J17" i="12"/>
  <c r="L17" i="12" s="1"/>
  <c r="E14" i="12"/>
  <c r="F14" i="12" s="1"/>
  <c r="J13" i="12"/>
  <c r="L13" i="12" s="1"/>
  <c r="J15" i="12"/>
  <c r="L15" i="12" s="1"/>
  <c r="E13" i="12"/>
  <c r="F13" i="12" s="1"/>
  <c r="E15" i="12"/>
  <c r="H15" i="12" s="1"/>
  <c r="E20" i="12"/>
  <c r="K20" i="12" s="1"/>
  <c r="Q12" i="11"/>
  <c r="E23" i="12"/>
  <c r="K23" i="12" s="1"/>
  <c r="E19" i="12"/>
  <c r="H19" i="12" s="1"/>
  <c r="Q21" i="5"/>
  <c r="J19" i="12" s="1"/>
  <c r="L19" i="12" s="1"/>
  <c r="J12" i="12"/>
  <c r="L12" i="12" s="1"/>
  <c r="E8" i="12"/>
  <c r="F8" i="12" s="1"/>
  <c r="Q6" i="5"/>
  <c r="J18" i="12" s="1"/>
  <c r="L18" i="12" s="1"/>
  <c r="E24" i="12"/>
  <c r="F24" i="12" s="1"/>
  <c r="J14" i="12"/>
  <c r="L14" i="12" s="1"/>
  <c r="E7" i="12"/>
  <c r="F7" i="12" s="1"/>
  <c r="E12" i="12"/>
  <c r="Q11" i="11"/>
  <c r="M6" i="15" s="1"/>
  <c r="M2" i="16" s="1"/>
  <c r="I41" i="12"/>
  <c r="AC27" i="5"/>
  <c r="E22" i="12"/>
  <c r="F22" i="12" s="1"/>
  <c r="J22" i="12"/>
  <c r="L22" i="12" s="1"/>
  <c r="J9" i="12"/>
  <c r="L9" i="12" s="1"/>
  <c r="E18" i="12"/>
  <c r="F18" i="12" s="1"/>
  <c r="AC43" i="5"/>
  <c r="AC34" i="5"/>
  <c r="AC52" i="5"/>
  <c r="J11" i="12"/>
  <c r="L11" i="12" s="1"/>
  <c r="E11" i="12"/>
  <c r="AC18" i="5"/>
  <c r="E17" i="12"/>
  <c r="H17" i="12" s="1"/>
  <c r="L38" i="12"/>
  <c r="E9" i="12"/>
  <c r="I33" i="12"/>
  <c r="AB26" i="5"/>
  <c r="F37" i="12"/>
  <c r="F44" i="12"/>
  <c r="K32" i="12"/>
  <c r="F32" i="12"/>
  <c r="I32" i="12"/>
  <c r="H32" i="12"/>
  <c r="L36" i="12"/>
  <c r="K36" i="12"/>
  <c r="I39" i="12"/>
  <c r="H39" i="12"/>
  <c r="H43" i="12"/>
  <c r="I43" i="12"/>
  <c r="L32" i="12"/>
  <c r="K27" i="12"/>
  <c r="L27" i="12"/>
  <c r="F28" i="12"/>
  <c r="L43" i="12"/>
  <c r="K43" i="12"/>
  <c r="I34" i="12"/>
  <c r="H34" i="12"/>
  <c r="K42" i="12"/>
  <c r="L42" i="12"/>
  <c r="H41" i="12"/>
  <c r="F41" i="12"/>
  <c r="K44" i="12"/>
  <c r="L44" i="12"/>
  <c r="L34" i="12"/>
  <c r="K34" i="12"/>
  <c r="H40" i="12"/>
  <c r="F40" i="12"/>
  <c r="I40" i="12"/>
  <c r="H33" i="12"/>
  <c r="F33" i="12"/>
  <c r="K29" i="12"/>
  <c r="L29" i="12"/>
  <c r="I42" i="12"/>
  <c r="H42" i="12"/>
  <c r="K39" i="12"/>
  <c r="F39" i="12"/>
  <c r="K30" i="12"/>
  <c r="L30" i="12"/>
  <c r="F31" i="12"/>
  <c r="K38" i="12"/>
  <c r="F38" i="12"/>
  <c r="F36" i="12"/>
  <c r="H37" i="12"/>
  <c r="I37" i="12"/>
  <c r="F29" i="12"/>
  <c r="H27" i="12"/>
  <c r="I27" i="12"/>
  <c r="F34" i="12"/>
  <c r="L41" i="12"/>
  <c r="K41" i="12"/>
  <c r="I31" i="12"/>
  <c r="H31" i="12"/>
  <c r="I45" i="12"/>
  <c r="H38" i="12"/>
  <c r="I38" i="12"/>
  <c r="I30" i="12"/>
  <c r="H30" i="12"/>
  <c r="F42" i="12"/>
  <c r="K28" i="12"/>
  <c r="L28" i="12"/>
  <c r="K33" i="12"/>
  <c r="L33" i="12"/>
  <c r="F27" i="12"/>
  <c r="I29" i="12"/>
  <c r="H29" i="12"/>
  <c r="I36" i="12"/>
  <c r="H36" i="12"/>
  <c r="I35" i="12"/>
  <c r="I44" i="12"/>
  <c r="H44" i="12"/>
  <c r="I28" i="12"/>
  <c r="H28" i="12"/>
  <c r="L37" i="12"/>
  <c r="K37" i="12"/>
  <c r="L31" i="12"/>
  <c r="K31" i="12"/>
  <c r="L40" i="12"/>
  <c r="K40" i="12"/>
  <c r="F30" i="12"/>
  <c r="L11" i="11"/>
  <c r="H6" i="15" s="1"/>
  <c r="H2" i="16" s="1"/>
  <c r="J4" i="10"/>
  <c r="J12" i="10" s="1"/>
  <c r="O4" i="10"/>
  <c r="O13" i="10" s="1"/>
  <c r="F4" i="10"/>
  <c r="F17" i="10" s="1"/>
  <c r="K4" i="10"/>
  <c r="K9" i="10" s="1"/>
  <c r="D4" i="10"/>
  <c r="G4" i="10"/>
  <c r="G17" i="10" s="1"/>
  <c r="M4" i="10"/>
  <c r="M12" i="10" s="1"/>
  <c r="E4" i="10"/>
  <c r="E12" i="10" s="1"/>
  <c r="H4" i="10"/>
  <c r="H15" i="10" s="1"/>
  <c r="L4" i="10"/>
  <c r="L15" i="10" s="1"/>
  <c r="E6" i="12"/>
  <c r="F6" i="12" s="1"/>
  <c r="P12" i="11"/>
  <c r="I13" i="12"/>
  <c r="AC11" i="5"/>
  <c r="I21" i="12"/>
  <c r="H21" i="12"/>
  <c r="H16" i="12"/>
  <c r="I10" i="12"/>
  <c r="I14" i="12"/>
  <c r="L10" i="12"/>
  <c r="I17" i="12"/>
  <c r="AB49" i="5"/>
  <c r="K21" i="12"/>
  <c r="L8" i="12"/>
  <c r="I22" i="12"/>
  <c r="I18" i="12"/>
  <c r="I23" i="12"/>
  <c r="AB39" i="5"/>
  <c r="AB31" i="5"/>
  <c r="AB23" i="5"/>
  <c r="AB15" i="5"/>
  <c r="G4" i="8"/>
  <c r="G12" i="8"/>
  <c r="G20" i="8"/>
  <c r="F8" i="8"/>
  <c r="F16" i="8"/>
  <c r="F6" i="8"/>
  <c r="F15" i="8"/>
  <c r="G5" i="8"/>
  <c r="G13" i="8"/>
  <c r="G21" i="8"/>
  <c r="F9" i="8"/>
  <c r="F17" i="8"/>
  <c r="G15" i="8"/>
  <c r="F11" i="8"/>
  <c r="G16" i="8"/>
  <c r="F12" i="8"/>
  <c r="G9" i="8"/>
  <c r="G17" i="8"/>
  <c r="F5" i="8"/>
  <c r="F21" i="8"/>
  <c r="G11" i="8"/>
  <c r="G19" i="8"/>
  <c r="F7" i="8"/>
  <c r="F23" i="8"/>
  <c r="G6" i="8"/>
  <c r="G14" i="8"/>
  <c r="G22" i="8"/>
  <c r="F10" i="8"/>
  <c r="F18" i="8"/>
  <c r="G7" i="8"/>
  <c r="G23" i="8"/>
  <c r="F19" i="8"/>
  <c r="G8" i="8"/>
  <c r="F4" i="8"/>
  <c r="F20" i="8"/>
  <c r="F13" i="8"/>
  <c r="G10" i="8"/>
  <c r="G18" i="8"/>
  <c r="F14" i="8"/>
  <c r="F22" i="8"/>
  <c r="O13" i="11"/>
  <c r="AB45" i="5"/>
  <c r="AB37" i="5"/>
  <c r="AB29" i="5"/>
  <c r="AB21" i="5"/>
  <c r="AB13" i="5"/>
  <c r="AC44" i="5"/>
  <c r="AC28" i="5"/>
  <c r="AC12" i="5"/>
  <c r="O12" i="11"/>
  <c r="AB20" i="5"/>
  <c r="AB43" i="5"/>
  <c r="AB42" i="5"/>
  <c r="AB18" i="5"/>
  <c r="AB500" i="5"/>
  <c r="AB27" i="5"/>
  <c r="AB52" i="5"/>
  <c r="AB34" i="5"/>
  <c r="AB54" i="5"/>
  <c r="J6" i="12"/>
  <c r="L6" i="12" s="1"/>
  <c r="AB28" i="5"/>
  <c r="K16" i="12"/>
  <c r="I26" i="12"/>
  <c r="K25" i="12"/>
  <c r="K26" i="12"/>
  <c r="I7" i="12"/>
  <c r="K10" i="12"/>
  <c r="F10" i="12"/>
  <c r="I8" i="12"/>
  <c r="I12" i="12"/>
  <c r="L26" i="12"/>
  <c r="I16" i="12"/>
  <c r="F16" i="12"/>
  <c r="F26" i="12"/>
  <c r="I20" i="12"/>
  <c r="L16" i="12"/>
  <c r="I15" i="12"/>
  <c r="I19" i="12"/>
  <c r="H25" i="12"/>
  <c r="I11" i="12"/>
  <c r="F25" i="12"/>
  <c r="L20" i="12"/>
  <c r="I6" i="12"/>
  <c r="H26" i="12"/>
  <c r="L23" i="12"/>
  <c r="L7" i="12"/>
  <c r="L21" i="12"/>
  <c r="H10" i="12"/>
  <c r="I25" i="12"/>
  <c r="I24" i="12"/>
  <c r="F21" i="12"/>
  <c r="L25" i="12"/>
  <c r="I9" i="12"/>
  <c r="L15" i="11"/>
  <c r="L12" i="11"/>
  <c r="J12" i="11"/>
  <c r="L10" i="11"/>
  <c r="M11" i="11"/>
  <c r="I6" i="15" s="1"/>
  <c r="I2" i="16" s="1"/>
  <c r="M15" i="11"/>
  <c r="M10" i="11"/>
  <c r="J15" i="11"/>
  <c r="F12" i="11"/>
  <c r="J10" i="11"/>
  <c r="J11" i="11"/>
  <c r="F6" i="15" s="1"/>
  <c r="F2" i="16" s="1"/>
  <c r="M12" i="11"/>
  <c r="F15" i="11"/>
  <c r="F10" i="11"/>
  <c r="P11" i="11"/>
  <c r="L6" i="15" s="1"/>
  <c r="L2" i="16" s="1"/>
  <c r="O11" i="11"/>
  <c r="K6" i="15" s="1"/>
  <c r="K2" i="16" s="1"/>
  <c r="I4" i="10"/>
  <c r="I14" i="10" s="1"/>
  <c r="N4" i="10"/>
  <c r="N13" i="10" s="1"/>
  <c r="AC26" i="5"/>
  <c r="AB38" i="5"/>
  <c r="AB30" i="5"/>
  <c r="AB22" i="5"/>
  <c r="AB14" i="5"/>
  <c r="AC45" i="5"/>
  <c r="AC37" i="5"/>
  <c r="AC29" i="5"/>
  <c r="AC13" i="5"/>
  <c r="AC5" i="5"/>
  <c r="AB44" i="5"/>
  <c r="AB36" i="5"/>
  <c r="AC10" i="5"/>
  <c r="AC36" i="5"/>
  <c r="AC20" i="5"/>
  <c r="AB35" i="5"/>
  <c r="AB19" i="5"/>
  <c r="AC35" i="5"/>
  <c r="AC19" i="5"/>
  <c r="AC42" i="5"/>
  <c r="AB51" i="5"/>
  <c r="AB41" i="5"/>
  <c r="AB33" i="5"/>
  <c r="AB25" i="5"/>
  <c r="AB17" i="5"/>
  <c r="AC50" i="5"/>
  <c r="AC40" i="5"/>
  <c r="AC32" i="5"/>
  <c r="AC24" i="5"/>
  <c r="AC16" i="5"/>
  <c r="AC8" i="5"/>
  <c r="AC53" i="5"/>
  <c r="AB50" i="5"/>
  <c r="AB40" i="5"/>
  <c r="AB32" i="5"/>
  <c r="AB24" i="5"/>
  <c r="AC49" i="5"/>
  <c r="AC39" i="5"/>
  <c r="AC31" i="5"/>
  <c r="AC23" i="5"/>
  <c r="AC15" i="5"/>
  <c r="AC7" i="5"/>
  <c r="AC4" i="5"/>
  <c r="AC38" i="5"/>
  <c r="AC30" i="5"/>
  <c r="AC22" i="5"/>
  <c r="AC14" i="5"/>
  <c r="AC51" i="5"/>
  <c r="AC41" i="5"/>
  <c r="AC33" i="5"/>
  <c r="AC25" i="5"/>
  <c r="AC17" i="5"/>
  <c r="AC9" i="5"/>
  <c r="AC54" i="5"/>
  <c r="AB53" i="5"/>
  <c r="C14" i="4"/>
  <c r="C15" i="4"/>
  <c r="C16" i="4"/>
  <c r="C17" i="4"/>
  <c r="C18" i="4"/>
  <c r="C19" i="4"/>
  <c r="C20" i="4"/>
  <c r="C21" i="4"/>
  <c r="C22" i="4"/>
  <c r="C23" i="4"/>
  <c r="C16" i="3"/>
  <c r="C17" i="3"/>
  <c r="C18" i="3"/>
  <c r="C19" i="3"/>
  <c r="C20" i="3"/>
  <c r="C21" i="3"/>
  <c r="C22" i="3"/>
  <c r="C23" i="3"/>
  <c r="C5" i="4"/>
  <c r="C6" i="4"/>
  <c r="C7" i="4"/>
  <c r="C8" i="4"/>
  <c r="C9" i="4"/>
  <c r="C10" i="4"/>
  <c r="C11" i="4"/>
  <c r="C12" i="4"/>
  <c r="C13" i="4"/>
  <c r="C4" i="4"/>
  <c r="C5" i="3"/>
  <c r="C6" i="3"/>
  <c r="C7" i="3"/>
  <c r="C8" i="3"/>
  <c r="C9" i="3"/>
  <c r="C10" i="3"/>
  <c r="C11" i="3"/>
  <c r="C12" i="3"/>
  <c r="C13" i="3"/>
  <c r="C14" i="3"/>
  <c r="C15" i="3"/>
  <c r="C4" i="3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E82" i="15" l="1"/>
  <c r="J82" i="15"/>
  <c r="L92" i="15"/>
  <c r="J86" i="15"/>
  <c r="E92" i="15"/>
  <c r="F86" i="15"/>
  <c r="F82" i="15"/>
  <c r="G82" i="15"/>
  <c r="K86" i="15"/>
  <c r="F92" i="15"/>
  <c r="M86" i="15"/>
  <c r="E86" i="15"/>
  <c r="K92" i="15"/>
  <c r="G86" i="15"/>
  <c r="I92" i="15"/>
  <c r="G92" i="15"/>
  <c r="L86" i="15"/>
  <c r="M92" i="15"/>
  <c r="D92" i="15"/>
  <c r="C82" i="15"/>
  <c r="M82" i="15"/>
  <c r="H86" i="15"/>
  <c r="C86" i="15"/>
  <c r="C92" i="15"/>
  <c r="I86" i="15"/>
  <c r="K82" i="15"/>
  <c r="H82" i="15"/>
  <c r="L82" i="15"/>
  <c r="I82" i="15"/>
  <c r="D82" i="15"/>
  <c r="D86" i="15"/>
  <c r="J92" i="15"/>
  <c r="B92" i="15"/>
  <c r="A16" i="15"/>
  <c r="B82" i="15"/>
  <c r="M16" i="15"/>
  <c r="B86" i="15"/>
  <c r="I16" i="15"/>
  <c r="E16" i="15"/>
  <c r="B83" i="15"/>
  <c r="R153" i="11"/>
  <c r="R154" i="11"/>
  <c r="R121" i="11"/>
  <c r="R122" i="11"/>
  <c r="Q63" i="11"/>
  <c r="I63" i="11"/>
  <c r="H63" i="11"/>
  <c r="R184" i="11"/>
  <c r="L63" i="11"/>
  <c r="G63" i="11"/>
  <c r="N63" i="11"/>
  <c r="R92" i="11"/>
  <c r="K63" i="11"/>
  <c r="F63" i="11"/>
  <c r="R29" i="11"/>
  <c r="O61" i="11"/>
  <c r="P61" i="11"/>
  <c r="Q61" i="11"/>
  <c r="R182" i="11"/>
  <c r="R91" i="11"/>
  <c r="R136" i="11"/>
  <c r="R165" i="11"/>
  <c r="R195" i="11"/>
  <c r="R103" i="11"/>
  <c r="R74" i="11"/>
  <c r="P59" i="11"/>
  <c r="Q59" i="11"/>
  <c r="M59" i="11"/>
  <c r="L59" i="11"/>
  <c r="F59" i="11"/>
  <c r="N59" i="11"/>
  <c r="G59" i="11"/>
  <c r="R150" i="11"/>
  <c r="H59" i="11"/>
  <c r="O59" i="11"/>
  <c r="I59" i="11"/>
  <c r="R135" i="11"/>
  <c r="R180" i="11"/>
  <c r="R88" i="11"/>
  <c r="P64" i="11"/>
  <c r="Q68" i="11"/>
  <c r="M64" i="11"/>
  <c r="L64" i="11"/>
  <c r="H60" i="11"/>
  <c r="J60" i="11"/>
  <c r="K60" i="11"/>
  <c r="J62" i="11"/>
  <c r="G52" i="11"/>
  <c r="K64" i="11"/>
  <c r="I52" i="11"/>
  <c r="H70" i="11"/>
  <c r="M60" i="11"/>
  <c r="H66" i="11"/>
  <c r="N73" i="11"/>
  <c r="H57" i="11"/>
  <c r="G55" i="11"/>
  <c r="L60" i="11"/>
  <c r="J68" i="11"/>
  <c r="H73" i="11"/>
  <c r="I67" i="11"/>
  <c r="I56" i="11"/>
  <c r="M70" i="11"/>
  <c r="I50" i="11"/>
  <c r="K57" i="11"/>
  <c r="J52" i="11"/>
  <c r="M68" i="11"/>
  <c r="P60" i="11"/>
  <c r="M72" i="11"/>
  <c r="J54" i="11"/>
  <c r="K53" i="11"/>
  <c r="F67" i="11"/>
  <c r="N57" i="11"/>
  <c r="I62" i="11"/>
  <c r="N69" i="11"/>
  <c r="L70" i="11"/>
  <c r="K72" i="11"/>
  <c r="Q57" i="11"/>
  <c r="G56" i="11"/>
  <c r="Q71" i="11"/>
  <c r="N55" i="11"/>
  <c r="H68" i="11"/>
  <c r="G65" i="11"/>
  <c r="K71" i="11"/>
  <c r="K70" i="11"/>
  <c r="P67" i="11"/>
  <c r="O56" i="11"/>
  <c r="L55" i="11"/>
  <c r="L62" i="11"/>
  <c r="Q65" i="11"/>
  <c r="I58" i="11"/>
  <c r="N54" i="11"/>
  <c r="I55" i="11"/>
  <c r="O69" i="11"/>
  <c r="O52" i="11"/>
  <c r="O55" i="11"/>
  <c r="Q70" i="11"/>
  <c r="H62" i="11"/>
  <c r="G68" i="11"/>
  <c r="P65" i="11"/>
  <c r="K52" i="11"/>
  <c r="P50" i="11"/>
  <c r="Q54" i="11"/>
  <c r="H51" i="11"/>
  <c r="P72" i="11"/>
  <c r="H69" i="11"/>
  <c r="I68" i="11"/>
  <c r="J70" i="11"/>
  <c r="I65" i="11"/>
  <c r="P57" i="11"/>
  <c r="Q64" i="11"/>
  <c r="L72" i="11"/>
  <c r="N50" i="11"/>
  <c r="K66" i="11"/>
  <c r="P66" i="11"/>
  <c r="F53" i="11"/>
  <c r="I53" i="11"/>
  <c r="G51" i="11"/>
  <c r="G60" i="11"/>
  <c r="K56" i="11"/>
  <c r="J53" i="11"/>
  <c r="L53" i="11"/>
  <c r="Q52" i="11"/>
  <c r="K54" i="11"/>
  <c r="N51" i="11"/>
  <c r="M54" i="11"/>
  <c r="H53" i="11"/>
  <c r="L69" i="11"/>
  <c r="I71" i="11"/>
  <c r="Q72" i="11"/>
  <c r="O50" i="11"/>
  <c r="F54" i="11"/>
  <c r="P51" i="11"/>
  <c r="O71" i="11"/>
  <c r="Q53" i="11"/>
  <c r="G57" i="11"/>
  <c r="O68" i="11"/>
  <c r="J66" i="11"/>
  <c r="H64" i="11"/>
  <c r="F70" i="11"/>
  <c r="G64" i="11"/>
  <c r="O60" i="11"/>
  <c r="I70" i="11"/>
  <c r="P53" i="11"/>
  <c r="J55" i="11"/>
  <c r="H58" i="11"/>
  <c r="Q62" i="11"/>
  <c r="K68" i="11"/>
  <c r="N71" i="11"/>
  <c r="F64" i="11"/>
  <c r="F69" i="11"/>
  <c r="F58" i="11"/>
  <c r="M69" i="11"/>
  <c r="M67" i="11"/>
  <c r="K73" i="11"/>
  <c r="J51" i="11"/>
  <c r="K51" i="11"/>
  <c r="Q60" i="11"/>
  <c r="I66" i="11"/>
  <c r="I73" i="11"/>
  <c r="K67" i="11"/>
  <c r="J57" i="11"/>
  <c r="L50" i="11"/>
  <c r="K69" i="11"/>
  <c r="G73" i="11"/>
  <c r="Q51" i="11"/>
  <c r="M56" i="11"/>
  <c r="L57" i="11"/>
  <c r="H56" i="11"/>
  <c r="P69" i="11"/>
  <c r="O64" i="11"/>
  <c r="N72" i="11"/>
  <c r="N66" i="11"/>
  <c r="N60" i="11"/>
  <c r="F60" i="11"/>
  <c r="F52" i="11"/>
  <c r="K62" i="11"/>
  <c r="Q56" i="11"/>
  <c r="M62" i="11"/>
  <c r="G50" i="11"/>
  <c r="G70" i="11"/>
  <c r="G67" i="11"/>
  <c r="N62" i="11"/>
  <c r="J56" i="11"/>
  <c r="M57" i="11"/>
  <c r="N64" i="11"/>
  <c r="L56" i="11"/>
  <c r="L54" i="11"/>
  <c r="I51" i="11"/>
  <c r="Q67" i="11"/>
  <c r="J58" i="11"/>
  <c r="J65" i="11"/>
  <c r="M51" i="11"/>
  <c r="P55" i="11"/>
  <c r="J64" i="11"/>
  <c r="Q69" i="11"/>
  <c r="M53" i="11"/>
  <c r="G71" i="11"/>
  <c r="O67" i="11"/>
  <c r="G72" i="11"/>
  <c r="O65" i="11"/>
  <c r="I57" i="11"/>
  <c r="G54" i="11"/>
  <c r="F66" i="11"/>
  <c r="L73" i="11"/>
  <c r="G62" i="11"/>
  <c r="P56" i="11"/>
  <c r="N56" i="11"/>
  <c r="F68" i="11"/>
  <c r="M58" i="11"/>
  <c r="P68" i="11"/>
  <c r="N65" i="11"/>
  <c r="O66" i="11"/>
  <c r="M71" i="11"/>
  <c r="F57" i="11"/>
  <c r="O51" i="11"/>
  <c r="F65" i="11"/>
  <c r="H71" i="11"/>
  <c r="P70" i="11"/>
  <c r="O62" i="11"/>
  <c r="H67" i="11"/>
  <c r="P62" i="11"/>
  <c r="L68" i="11"/>
  <c r="M66" i="11"/>
  <c r="P58" i="11"/>
  <c r="I60" i="11"/>
  <c r="N70" i="11"/>
  <c r="G69" i="11"/>
  <c r="P54" i="11"/>
  <c r="O70" i="11"/>
  <c r="F55" i="11"/>
  <c r="G53" i="11"/>
  <c r="F51" i="11"/>
  <c r="Q66" i="11"/>
  <c r="J67" i="11"/>
  <c r="F72" i="11"/>
  <c r="I54" i="11"/>
  <c r="K65" i="11"/>
  <c r="L71" i="11"/>
  <c r="Q58" i="11"/>
  <c r="N67" i="11"/>
  <c r="N53" i="11"/>
  <c r="M50" i="11"/>
  <c r="H55" i="11"/>
  <c r="H50" i="11"/>
  <c r="K55" i="11"/>
  <c r="H54" i="11"/>
  <c r="N52" i="11"/>
  <c r="J71" i="11"/>
  <c r="M52" i="11"/>
  <c r="I64" i="11"/>
  <c r="Q55" i="11"/>
  <c r="F71" i="11"/>
  <c r="F73" i="11"/>
  <c r="O54" i="11"/>
  <c r="N68" i="11"/>
  <c r="J50" i="11"/>
  <c r="L65" i="11"/>
  <c r="L51" i="11"/>
  <c r="L52" i="11"/>
  <c r="H65" i="11"/>
  <c r="F62" i="11"/>
  <c r="P71" i="11"/>
  <c r="L66" i="11"/>
  <c r="O72" i="11"/>
  <c r="J72" i="11"/>
  <c r="O53" i="11"/>
  <c r="L58" i="11"/>
  <c r="H52" i="11"/>
  <c r="Q50" i="11"/>
  <c r="O57" i="11"/>
  <c r="L67" i="11"/>
  <c r="G58" i="11"/>
  <c r="O58" i="11"/>
  <c r="H72" i="11"/>
  <c r="J69" i="11"/>
  <c r="Q73" i="11"/>
  <c r="M65" i="11"/>
  <c r="F50" i="11"/>
  <c r="G66" i="11"/>
  <c r="F56" i="11"/>
  <c r="P52" i="11"/>
  <c r="M55" i="11"/>
  <c r="K50" i="11"/>
  <c r="I69" i="11"/>
  <c r="K58" i="11"/>
  <c r="F27" i="11"/>
  <c r="B9" i="15" s="1"/>
  <c r="B8" i="16" s="1"/>
  <c r="R190" i="11"/>
  <c r="R176" i="11"/>
  <c r="R177" i="11"/>
  <c r="R171" i="11"/>
  <c r="R193" i="11"/>
  <c r="R194" i="11"/>
  <c r="R174" i="11"/>
  <c r="R188" i="11"/>
  <c r="R183" i="11"/>
  <c r="R172" i="11"/>
  <c r="R192" i="11"/>
  <c r="R186" i="11"/>
  <c r="R187" i="11"/>
  <c r="R173" i="11"/>
  <c r="R175" i="11"/>
  <c r="R181" i="11"/>
  <c r="R185" i="11"/>
  <c r="R189" i="11"/>
  <c r="R178" i="11"/>
  <c r="R191" i="11"/>
  <c r="R26" i="11"/>
  <c r="R25" i="11"/>
  <c r="R101" i="11"/>
  <c r="R80" i="11"/>
  <c r="R90" i="11"/>
  <c r="R97" i="11"/>
  <c r="R94" i="11"/>
  <c r="R95" i="11"/>
  <c r="R96" i="11"/>
  <c r="R100" i="11"/>
  <c r="R84" i="11"/>
  <c r="R83" i="11"/>
  <c r="R98" i="11"/>
  <c r="R85" i="11"/>
  <c r="R99" i="11"/>
  <c r="R87" i="11"/>
  <c r="R93" i="11"/>
  <c r="R82" i="11"/>
  <c r="R102" i="11"/>
  <c r="R79" i="11"/>
  <c r="R81" i="11"/>
  <c r="R86" i="11"/>
  <c r="R89" i="11"/>
  <c r="J24" i="12"/>
  <c r="L24" i="12" s="1"/>
  <c r="AC500" i="5"/>
  <c r="R17" i="11"/>
  <c r="O39" i="11"/>
  <c r="L16" i="11"/>
  <c r="O16" i="11"/>
  <c r="P16" i="11"/>
  <c r="F16" i="11"/>
  <c r="N16" i="11"/>
  <c r="G16" i="11"/>
  <c r="Q16" i="11"/>
  <c r="H16" i="11"/>
  <c r="M16" i="11"/>
  <c r="J16" i="11"/>
  <c r="K16" i="11"/>
  <c r="I16" i="11"/>
  <c r="R19" i="11"/>
  <c r="R18" i="11"/>
  <c r="K35" i="11"/>
  <c r="N27" i="11"/>
  <c r="J9" i="15" s="1"/>
  <c r="J8" i="16" s="1"/>
  <c r="I35" i="11"/>
  <c r="H40" i="11"/>
  <c r="H27" i="11"/>
  <c r="D9" i="15" s="1"/>
  <c r="D8" i="16" s="1"/>
  <c r="N40" i="11"/>
  <c r="O38" i="11"/>
  <c r="N28" i="11"/>
  <c r="N35" i="11"/>
  <c r="I40" i="11"/>
  <c r="N38" i="11"/>
  <c r="P38" i="11"/>
  <c r="P35" i="11"/>
  <c r="G35" i="11"/>
  <c r="K28" i="11"/>
  <c r="O35" i="11"/>
  <c r="K38" i="11"/>
  <c r="K40" i="11"/>
  <c r="K27" i="11"/>
  <c r="G9" i="15" s="1"/>
  <c r="G8" i="16" s="1"/>
  <c r="G38" i="11"/>
  <c r="I38" i="11"/>
  <c r="I27" i="11"/>
  <c r="E9" i="15" s="1"/>
  <c r="E8" i="16" s="1"/>
  <c r="K45" i="12"/>
  <c r="H45" i="12"/>
  <c r="Q35" i="11"/>
  <c r="G40" i="11"/>
  <c r="I28" i="11"/>
  <c r="K35" i="12"/>
  <c r="F35" i="12"/>
  <c r="G28" i="11"/>
  <c r="G27" i="11"/>
  <c r="C9" i="15" s="1"/>
  <c r="C8" i="16" s="1"/>
  <c r="Q27" i="11"/>
  <c r="M9" i="15" s="1"/>
  <c r="M8" i="16" s="1"/>
  <c r="H35" i="11"/>
  <c r="Q38" i="11"/>
  <c r="H28" i="11"/>
  <c r="H38" i="11"/>
  <c r="J14" i="10"/>
  <c r="O15" i="10"/>
  <c r="J15" i="10"/>
  <c r="J9" i="10"/>
  <c r="J17" i="10"/>
  <c r="J18" i="10"/>
  <c r="J13" i="10"/>
  <c r="K18" i="10"/>
  <c r="D13" i="10"/>
  <c r="O18" i="10"/>
  <c r="D14" i="10"/>
  <c r="D15" i="10"/>
  <c r="K15" i="10"/>
  <c r="D9" i="10"/>
  <c r="H14" i="12"/>
  <c r="AC6" i="5"/>
  <c r="K15" i="12"/>
  <c r="H13" i="12"/>
  <c r="F15" i="12"/>
  <c r="K13" i="12"/>
  <c r="F20" i="12"/>
  <c r="H20" i="12"/>
  <c r="F23" i="12"/>
  <c r="H23" i="12"/>
  <c r="H24" i="12"/>
  <c r="F19" i="12"/>
  <c r="K12" i="12"/>
  <c r="K14" i="12"/>
  <c r="K8" i="12"/>
  <c r="H8" i="12"/>
  <c r="R14" i="11"/>
  <c r="AC21" i="5"/>
  <c r="Q40" i="11"/>
  <c r="H12" i="12"/>
  <c r="F12" i="12"/>
  <c r="H7" i="12"/>
  <c r="K7" i="12"/>
  <c r="Q28" i="11"/>
  <c r="K22" i="12"/>
  <c r="H18" i="12"/>
  <c r="K11" i="12"/>
  <c r="K18" i="12"/>
  <c r="H22" i="12"/>
  <c r="K9" i="12"/>
  <c r="K17" i="12"/>
  <c r="K19" i="12"/>
  <c r="F17" i="12"/>
  <c r="H11" i="12"/>
  <c r="F11" i="12"/>
  <c r="H9" i="12"/>
  <c r="F9" i="12"/>
  <c r="N42" i="12"/>
  <c r="M30" i="12"/>
  <c r="N43" i="12"/>
  <c r="M31" i="12"/>
  <c r="N44" i="12"/>
  <c r="M32" i="12"/>
  <c r="N45" i="12"/>
  <c r="M33" i="12"/>
  <c r="M34" i="12"/>
  <c r="M36" i="12"/>
  <c r="M27" i="12"/>
  <c r="M37" i="12"/>
  <c r="M28" i="12"/>
  <c r="M38" i="12"/>
  <c r="N30" i="12"/>
  <c r="M29" i="12"/>
  <c r="M39" i="12"/>
  <c r="N31" i="12"/>
  <c r="N27" i="12"/>
  <c r="M40" i="12"/>
  <c r="N32" i="12"/>
  <c r="N28" i="12"/>
  <c r="M41" i="12"/>
  <c r="N29" i="12"/>
  <c r="M35" i="12"/>
  <c r="N33" i="12"/>
  <c r="M42" i="12"/>
  <c r="N34" i="12"/>
  <c r="N35" i="12"/>
  <c r="M44" i="12"/>
  <c r="M45" i="12"/>
  <c r="N37" i="12"/>
  <c r="N39" i="12"/>
  <c r="M43" i="12"/>
  <c r="N36" i="12"/>
  <c r="N38" i="12"/>
  <c r="N40" i="12"/>
  <c r="N41" i="12"/>
  <c r="L12" i="10"/>
  <c r="G12" i="10"/>
  <c r="H9" i="10"/>
  <c r="H17" i="10"/>
  <c r="K13" i="10"/>
  <c r="L9" i="10"/>
  <c r="O17" i="10"/>
  <c r="K14" i="10"/>
  <c r="K17" i="10"/>
  <c r="H13" i="10"/>
  <c r="K12" i="10"/>
  <c r="F12" i="10"/>
  <c r="N12" i="10"/>
  <c r="O12" i="10"/>
  <c r="O14" i="10"/>
  <c r="O9" i="10"/>
  <c r="H18" i="10"/>
  <c r="L40" i="11"/>
  <c r="L27" i="11"/>
  <c r="H9" i="15" s="1"/>
  <c r="H8" i="16" s="1"/>
  <c r="E14" i="10"/>
  <c r="E17" i="10"/>
  <c r="E18" i="10"/>
  <c r="E16" i="10"/>
  <c r="H12" i="10"/>
  <c r="E9" i="10"/>
  <c r="E13" i="10"/>
  <c r="E15" i="10"/>
  <c r="D12" i="10"/>
  <c r="D18" i="10"/>
  <c r="M17" i="10"/>
  <c r="D17" i="10"/>
  <c r="L17" i="10"/>
  <c r="M13" i="10"/>
  <c r="F13" i="10"/>
  <c r="L14" i="10"/>
  <c r="L13" i="10"/>
  <c r="L18" i="10"/>
  <c r="F9" i="10"/>
  <c r="G16" i="10"/>
  <c r="F16" i="10"/>
  <c r="G13" i="10"/>
  <c r="I12" i="10"/>
  <c r="M15" i="10"/>
  <c r="M9" i="10"/>
  <c r="H14" i="10"/>
  <c r="G15" i="10"/>
  <c r="G9" i="10"/>
  <c r="M18" i="10"/>
  <c r="M14" i="10"/>
  <c r="F18" i="10"/>
  <c r="F15" i="10"/>
  <c r="M16" i="10"/>
  <c r="F14" i="10"/>
  <c r="G18" i="10"/>
  <c r="G14" i="10"/>
  <c r="H6" i="12"/>
  <c r="K6" i="12"/>
  <c r="N10" i="12"/>
  <c r="M11" i="12"/>
  <c r="M18" i="12"/>
  <c r="M8" i="12"/>
  <c r="N25" i="12"/>
  <c r="N7" i="12"/>
  <c r="M23" i="12"/>
  <c r="M19" i="12"/>
  <c r="N21" i="12"/>
  <c r="N8" i="12"/>
  <c r="N19" i="12"/>
  <c r="N15" i="12"/>
  <c r="N26" i="12"/>
  <c r="M20" i="12"/>
  <c r="N17" i="12"/>
  <c r="M6" i="12"/>
  <c r="M16" i="12"/>
  <c r="N20" i="12"/>
  <c r="M12" i="12"/>
  <c r="M9" i="12"/>
  <c r="M25" i="12"/>
  <c r="N23" i="12"/>
  <c r="N11" i="12"/>
  <c r="N16" i="12"/>
  <c r="M13" i="12"/>
  <c r="N13" i="12"/>
  <c r="M22" i="12"/>
  <c r="M17" i="12"/>
  <c r="M21" i="12"/>
  <c r="M24" i="12"/>
  <c r="M15" i="12"/>
  <c r="N22" i="12"/>
  <c r="M14" i="12"/>
  <c r="N6" i="12"/>
  <c r="M26" i="12"/>
  <c r="N9" i="12"/>
  <c r="M10" i="12"/>
  <c r="N18" i="12"/>
  <c r="N12" i="12"/>
  <c r="N24" i="12"/>
  <c r="M7" i="12"/>
  <c r="N14" i="12"/>
  <c r="L38" i="11"/>
  <c r="O41" i="11"/>
  <c r="P40" i="11"/>
  <c r="L28" i="11"/>
  <c r="L35" i="11"/>
  <c r="F40" i="11"/>
  <c r="M28" i="11"/>
  <c r="O40" i="11"/>
  <c r="J40" i="11"/>
  <c r="M35" i="11"/>
  <c r="J38" i="11"/>
  <c r="M38" i="11"/>
  <c r="M40" i="11"/>
  <c r="F38" i="11"/>
  <c r="J27" i="11"/>
  <c r="F9" i="15" s="1"/>
  <c r="F8" i="16" s="1"/>
  <c r="J28" i="11"/>
  <c r="R10" i="11"/>
  <c r="M27" i="11"/>
  <c r="I9" i="15" s="1"/>
  <c r="I8" i="16" s="1"/>
  <c r="R12" i="11"/>
  <c r="J35" i="11"/>
  <c r="R11" i="11"/>
  <c r="O28" i="11"/>
  <c r="O27" i="11"/>
  <c r="K9" i="15" s="1"/>
  <c r="K8" i="16" s="1"/>
  <c r="P28" i="11"/>
  <c r="F35" i="11"/>
  <c r="R15" i="11"/>
  <c r="F28" i="11"/>
  <c r="I9" i="10"/>
  <c r="N18" i="10"/>
  <c r="I17" i="10"/>
  <c r="N15" i="10"/>
  <c r="N17" i="10"/>
  <c r="N9" i="10"/>
  <c r="N14" i="10"/>
  <c r="I18" i="10"/>
  <c r="I15" i="10"/>
  <c r="I13" i="10"/>
  <c r="C15" i="6"/>
  <c r="C16" i="6"/>
  <c r="C17" i="6"/>
  <c r="C18" i="6"/>
  <c r="C19" i="6"/>
  <c r="C20" i="6"/>
  <c r="C21" i="6"/>
  <c r="C22" i="6"/>
  <c r="C23" i="6"/>
  <c r="C4" i="6"/>
  <c r="C5" i="6"/>
  <c r="C6" i="6"/>
  <c r="C7" i="6"/>
  <c r="C8" i="6"/>
  <c r="C9" i="6"/>
  <c r="C10" i="6"/>
  <c r="C11" i="6"/>
  <c r="C12" i="6"/>
  <c r="C13" i="6"/>
  <c r="C14" i="6"/>
  <c r="C6" i="1"/>
  <c r="C7" i="1"/>
  <c r="K89" i="15" l="1"/>
  <c r="D89" i="15"/>
  <c r="B89" i="15"/>
  <c r="H89" i="15"/>
  <c r="I89" i="15"/>
  <c r="M89" i="15"/>
  <c r="E89" i="15"/>
  <c r="C89" i="15"/>
  <c r="J89" i="15"/>
  <c r="F89" i="15"/>
  <c r="G89" i="15"/>
  <c r="R63" i="11"/>
  <c r="R61" i="11"/>
  <c r="R59" i="11"/>
  <c r="R60" i="11"/>
  <c r="R64" i="11"/>
  <c r="R57" i="11"/>
  <c r="R53" i="11"/>
  <c r="R62" i="11"/>
  <c r="R67" i="11"/>
  <c r="R51" i="11"/>
  <c r="R71" i="11"/>
  <c r="R73" i="11"/>
  <c r="R54" i="11"/>
  <c r="R50" i="11"/>
  <c r="R55" i="11"/>
  <c r="R68" i="11"/>
  <c r="R66" i="11"/>
  <c r="R65" i="11"/>
  <c r="R56" i="11"/>
  <c r="K24" i="12"/>
  <c r="R16" i="11"/>
  <c r="P27" i="11"/>
  <c r="L9" i="15" s="1"/>
  <c r="L8" i="16" s="1"/>
  <c r="E10" i="10"/>
  <c r="E20" i="10" s="1"/>
  <c r="G42" i="11" s="1"/>
  <c r="F10" i="10"/>
  <c r="F20" i="10" s="1"/>
  <c r="F21" i="10" s="1"/>
  <c r="H44" i="11" s="1"/>
  <c r="M10" i="10"/>
  <c r="M20" i="10" s="1"/>
  <c r="O43" i="11" s="1"/>
  <c r="P13" i="10"/>
  <c r="G10" i="10"/>
  <c r="G20" i="10" s="1"/>
  <c r="I42" i="11" s="1"/>
  <c r="P14" i="10"/>
  <c r="P9" i="10"/>
  <c r="R40" i="11"/>
  <c r="R38" i="11"/>
  <c r="R35" i="11"/>
  <c r="R28" i="11"/>
  <c r="R27" i="11"/>
  <c r="P12" i="10"/>
  <c r="P15" i="10"/>
  <c r="P17" i="10"/>
  <c r="P18" i="10"/>
  <c r="L89" i="15" l="1"/>
  <c r="R72" i="11"/>
  <c r="R69" i="11"/>
  <c r="G43" i="11"/>
  <c r="E21" i="10"/>
  <c r="G44" i="11" s="1"/>
  <c r="M21" i="10"/>
  <c r="O44" i="11" s="1"/>
  <c r="H43" i="11"/>
  <c r="H42" i="11"/>
  <c r="O42" i="11"/>
  <c r="G21" i="10"/>
  <c r="I44" i="11" s="1"/>
  <c r="I43" i="11"/>
  <c r="Y16" i="5" l="1"/>
  <c r="AB16" i="5"/>
  <c r="Y4" i="5"/>
  <c r="AB4" i="5"/>
  <c r="U5" i="5"/>
  <c r="Y5" i="5" s="1"/>
  <c r="AB5" i="5"/>
  <c r="AB6" i="5"/>
  <c r="U6" i="5"/>
  <c r="Y6" i="5" s="1"/>
  <c r="AB7" i="5"/>
  <c r="U7" i="5"/>
  <c r="Y7" i="5" s="1"/>
  <c r="U8" i="5"/>
  <c r="Y8" i="5" s="1"/>
  <c r="AB8" i="5"/>
  <c r="AB9" i="5" l="1"/>
  <c r="U9" i="5"/>
  <c r="Y10" i="5"/>
  <c r="Y11" i="5"/>
  <c r="AB10" i="5"/>
  <c r="AB11" i="5"/>
  <c r="AB12" i="5"/>
  <c r="Y12" i="5"/>
  <c r="Y9" i="5" l="1"/>
  <c r="Y236" i="5" l="1"/>
  <c r="Y232" i="5"/>
  <c r="AB234" i="5"/>
  <c r="AB236" i="5"/>
  <c r="AB233" i="5"/>
  <c r="Y233" i="5"/>
  <c r="AB235" i="5"/>
  <c r="Y235" i="5"/>
  <c r="AB237" i="5"/>
  <c r="Y237" i="5"/>
  <c r="G13" i="11" s="1"/>
  <c r="Y234" i="5"/>
  <c r="AB232" i="5"/>
  <c r="AB162" i="5"/>
  <c r="Y162" i="5"/>
  <c r="F13" i="11" s="1"/>
  <c r="R52" i="11" s="1"/>
  <c r="D16" i="10"/>
  <c r="D10" i="10" s="1"/>
  <c r="D20" i="10" s="1"/>
  <c r="F41" i="11" l="1"/>
  <c r="F39" i="11"/>
  <c r="G41" i="11"/>
  <c r="G39" i="11"/>
  <c r="D21" i="10"/>
  <c r="F44" i="11" s="1"/>
  <c r="F42" i="11"/>
  <c r="F43" i="11"/>
  <c r="U93" i="5" l="1"/>
  <c r="Y93" i="5" s="1"/>
  <c r="AB93" i="5"/>
  <c r="AB385" i="5" l="1"/>
  <c r="Y385" i="5"/>
  <c r="AB389" i="5"/>
  <c r="Y300" i="5"/>
  <c r="Y409" i="5"/>
  <c r="Y310" i="5"/>
  <c r="AB298" i="5"/>
  <c r="AB396" i="5"/>
  <c r="AB312" i="5"/>
  <c r="Y301" i="5"/>
  <c r="Y305" i="5"/>
  <c r="AB310" i="5"/>
  <c r="AB314" i="5"/>
  <c r="Y457" i="5"/>
  <c r="Y454" i="5"/>
  <c r="Y408" i="5"/>
  <c r="AB402" i="5"/>
  <c r="Y312" i="5"/>
  <c r="Y387" i="5"/>
  <c r="AB296" i="5"/>
  <c r="AB311" i="5"/>
  <c r="Y311" i="5"/>
  <c r="AB300" i="5"/>
  <c r="Y397" i="5"/>
  <c r="Y314" i="5"/>
  <c r="Y399" i="5"/>
  <c r="Y316" i="5"/>
  <c r="AB299" i="5"/>
  <c r="AB408" i="5"/>
  <c r="Y306" i="5"/>
  <c r="AB301" i="5"/>
  <c r="Y396" i="5"/>
  <c r="AB304" i="5"/>
  <c r="AB297" i="5"/>
  <c r="AB398" i="5"/>
  <c r="Y398" i="5"/>
  <c r="Y299" i="5"/>
  <c r="AB387" i="5"/>
  <c r="Y390" i="5"/>
  <c r="AB390" i="5"/>
  <c r="Y303" i="5"/>
  <c r="AB303" i="5"/>
  <c r="AB409" i="5"/>
  <c r="AB315" i="5"/>
  <c r="Y315" i="5"/>
  <c r="AB457" i="5"/>
  <c r="AB399" i="5"/>
  <c r="AB316" i="5"/>
  <c r="AB410" i="5"/>
  <c r="Y317" i="5"/>
  <c r="Y386" i="5"/>
  <c r="AB456" i="5"/>
  <c r="AB306" i="5"/>
  <c r="Y400" i="5"/>
  <c r="Y456" i="5"/>
  <c r="Y297" i="5"/>
  <c r="Y296" i="5"/>
  <c r="Y402" i="5"/>
  <c r="Y292" i="5"/>
  <c r="AB292" i="5"/>
  <c r="Y313" i="5"/>
  <c r="AB313" i="5"/>
  <c r="AB305" i="5"/>
  <c r="AB397" i="5"/>
  <c r="AB294" i="5"/>
  <c r="Y294" i="5"/>
  <c r="AB293" i="5"/>
  <c r="Y293" i="5"/>
  <c r="Y304" i="5"/>
  <c r="AB295" i="5"/>
  <c r="AB308" i="5"/>
  <c r="Y308" i="5"/>
  <c r="Y389" i="5"/>
  <c r="AB307" i="5"/>
  <c r="Y307" i="5"/>
  <c r="AB400" i="5"/>
  <c r="Y410" i="5"/>
  <c r="AB317" i="5"/>
  <c r="AB386" i="5"/>
  <c r="Y298" i="5"/>
  <c r="Y295" i="5"/>
  <c r="AB388" i="5"/>
  <c r="Y388" i="5"/>
  <c r="AB454" i="5"/>
  <c r="I13" i="11" l="1"/>
  <c r="I41" i="11" s="1"/>
  <c r="H13" i="11"/>
  <c r="H41" i="11" s="1"/>
  <c r="I39" i="11" l="1"/>
  <c r="H39" i="11"/>
  <c r="Y705" i="5"/>
  <c r="Y706" i="5"/>
  <c r="Y707" i="5"/>
  <c r="Y721" i="5"/>
  <c r="Y722" i="5"/>
  <c r="Y696" i="5"/>
  <c r="AB722" i="5"/>
  <c r="AB720" i="5"/>
  <c r="Y720" i="5"/>
  <c r="Y704" i="5"/>
  <c r="AB707" i="5"/>
  <c r="AB694" i="5"/>
  <c r="Y698" i="5"/>
  <c r="AB695" i="5"/>
  <c r="Y695" i="5"/>
  <c r="AB698" i="5"/>
  <c r="Y697" i="5"/>
  <c r="AB697" i="5"/>
  <c r="AB721" i="5"/>
  <c r="AB704" i="5"/>
  <c r="Y694" i="5"/>
  <c r="AB696" i="5"/>
  <c r="AB706" i="5"/>
  <c r="AB723" i="5"/>
  <c r="Y723" i="5"/>
  <c r="AB705" i="5"/>
  <c r="U532" i="5"/>
  <c r="Y532" i="5" s="1"/>
  <c r="AB532" i="5"/>
  <c r="AB622" i="5"/>
  <c r="U622" i="5"/>
  <c r="Y622" i="5" s="1"/>
  <c r="AB628" i="5"/>
  <c r="U628" i="5"/>
  <c r="J13" i="11" l="1"/>
  <c r="J41" i="11" s="1"/>
  <c r="Y628" i="5"/>
  <c r="J39" i="11" l="1"/>
  <c r="AB687" i="5"/>
  <c r="Y687" i="5"/>
  <c r="U327" i="5"/>
  <c r="Y327" i="5" s="1"/>
  <c r="AB327" i="5"/>
  <c r="AB356" i="5"/>
  <c r="U356" i="5"/>
  <c r="Y356" i="5" s="1"/>
  <c r="U867" i="5" l="1"/>
  <c r="Y867" i="5" s="1"/>
  <c r="AB867" i="5"/>
  <c r="U868" i="5"/>
  <c r="Y868" i="5" s="1"/>
  <c r="AB868" i="5"/>
  <c r="AB869" i="5"/>
  <c r="U869" i="5"/>
  <c r="Y869" i="5" s="1"/>
  <c r="U870" i="5"/>
  <c r="Y870" i="5" s="1"/>
  <c r="AB870" i="5"/>
  <c r="AB874" i="5"/>
  <c r="Y874" i="5"/>
  <c r="AB879" i="5"/>
  <c r="U879" i="5"/>
  <c r="Y879" i="5" s="1"/>
  <c r="AB880" i="5"/>
  <c r="U880" i="5"/>
  <c r="Y880" i="5" s="1"/>
  <c r="K13" i="11" s="1"/>
  <c r="U881" i="5"/>
  <c r="Y881" i="5" s="1"/>
  <c r="AB881" i="5"/>
  <c r="U882" i="5"/>
  <c r="Y882" i="5" s="1"/>
  <c r="AB882" i="5"/>
  <c r="AB883" i="5"/>
  <c r="U883" i="5"/>
  <c r="Y883" i="5" s="1"/>
  <c r="AB884" i="5"/>
  <c r="U884" i="5"/>
  <c r="Y884" i="5" s="1"/>
  <c r="AB885" i="5"/>
  <c r="U885" i="5"/>
  <c r="Y885" i="5" s="1"/>
  <c r="AB886" i="5"/>
  <c r="U886" i="5"/>
  <c r="Y886" i="5" s="1"/>
  <c r="U887" i="5"/>
  <c r="Y887" i="5" s="1"/>
  <c r="AB887" i="5"/>
  <c r="U888" i="5"/>
  <c r="Y888" i="5" s="1"/>
  <c r="AB888" i="5"/>
  <c r="U889" i="5"/>
  <c r="Y889" i="5" s="1"/>
  <c r="AB889" i="5"/>
  <c r="AB890" i="5"/>
  <c r="U890" i="5"/>
  <c r="Y890" i="5" s="1"/>
  <c r="AB891" i="5"/>
  <c r="U891" i="5"/>
  <c r="Y891" i="5" s="1"/>
  <c r="AB893" i="5"/>
  <c r="U893" i="5"/>
  <c r="U894" i="5"/>
  <c r="Y894" i="5" s="1"/>
  <c r="AB894" i="5"/>
  <c r="U895" i="5"/>
  <c r="Y895" i="5" s="1"/>
  <c r="AB895" i="5"/>
  <c r="U896" i="5"/>
  <c r="Y896" i="5" s="1"/>
  <c r="AB896" i="5"/>
  <c r="AB897" i="5"/>
  <c r="U897" i="5"/>
  <c r="Y897" i="5" s="1"/>
  <c r="U898" i="5"/>
  <c r="Y898" i="5" s="1"/>
  <c r="AB898" i="5"/>
  <c r="U899" i="5"/>
  <c r="Y899" i="5" s="1"/>
  <c r="AB899" i="5"/>
  <c r="AB900" i="5"/>
  <c r="U900" i="5"/>
  <c r="Y900" i="5" s="1"/>
  <c r="U901" i="5"/>
  <c r="Y901" i="5" s="1"/>
  <c r="AB901" i="5"/>
  <c r="AB902" i="5"/>
  <c r="U902" i="5"/>
  <c r="Y902" i="5" s="1"/>
  <c r="U903" i="5"/>
  <c r="Y903" i="5" s="1"/>
  <c r="AB903" i="5"/>
  <c r="AB906" i="5"/>
  <c r="U906" i="5"/>
  <c r="Y906" i="5" s="1"/>
  <c r="AB907" i="5"/>
  <c r="U907" i="5"/>
  <c r="Y907" i="5" s="1"/>
  <c r="AB909" i="5"/>
  <c r="U909" i="5"/>
  <c r="Y909" i="5" s="1"/>
  <c r="U910" i="5"/>
  <c r="Y910" i="5" s="1"/>
  <c r="AB910" i="5"/>
  <c r="U911" i="5"/>
  <c r="Y911" i="5" s="1"/>
  <c r="AB911" i="5"/>
  <c r="AB912" i="5"/>
  <c r="U912" i="5"/>
  <c r="Y912" i="5" s="1"/>
  <c r="AB913" i="5"/>
  <c r="U913" i="5"/>
  <c r="Y913" i="5" s="1"/>
  <c r="AB915" i="5"/>
  <c r="Y915" i="5"/>
  <c r="U916" i="5"/>
  <c r="Y916" i="5" s="1"/>
  <c r="AB916" i="5"/>
  <c r="AB917" i="5"/>
  <c r="U917" i="5"/>
  <c r="Y917" i="5" s="1"/>
  <c r="Y920" i="5"/>
  <c r="AB920" i="5"/>
  <c r="Y922" i="5"/>
  <c r="AB922" i="5"/>
  <c r="AB923" i="5"/>
  <c r="U923" i="5"/>
  <c r="Y923" i="5" s="1"/>
  <c r="U924" i="5"/>
  <c r="Y924" i="5" s="1"/>
  <c r="AB924" i="5"/>
  <c r="U926" i="5"/>
  <c r="Y926" i="5" s="1"/>
  <c r="AB926" i="5"/>
  <c r="AB927" i="5"/>
  <c r="U927" i="5"/>
  <c r="Y927" i="5" s="1"/>
  <c r="U928" i="5"/>
  <c r="Y928" i="5" s="1"/>
  <c r="AB928" i="5"/>
  <c r="U929" i="5"/>
  <c r="Y929" i="5" s="1"/>
  <c r="AB929" i="5"/>
  <c r="U930" i="5"/>
  <c r="Y930" i="5" s="1"/>
  <c r="AB930" i="5"/>
  <c r="AB931" i="5"/>
  <c r="U931" i="5"/>
  <c r="Y931" i="5" s="1"/>
  <c r="AB935" i="5"/>
  <c r="U935" i="5"/>
  <c r="Y935" i="5" s="1"/>
  <c r="AB936" i="5"/>
  <c r="U936" i="5"/>
  <c r="Y936" i="5" s="1"/>
  <c r="U937" i="5"/>
  <c r="Y937" i="5" s="1"/>
  <c r="AB937" i="5"/>
  <c r="U938" i="5"/>
  <c r="Y938" i="5" s="1"/>
  <c r="AB938" i="5"/>
  <c r="AB945" i="5"/>
  <c r="U945" i="5"/>
  <c r="Y945" i="5" s="1"/>
  <c r="AB946" i="5"/>
  <c r="U946" i="5"/>
  <c r="Y946" i="5" s="1"/>
  <c r="U947" i="5"/>
  <c r="Y947" i="5" s="1"/>
  <c r="AB947" i="5"/>
  <c r="U948" i="5"/>
  <c r="Y948" i="5" s="1"/>
  <c r="AB948" i="5"/>
  <c r="U949" i="5"/>
  <c r="Y949" i="5" s="1"/>
  <c r="AB949" i="5"/>
  <c r="AB950" i="5"/>
  <c r="U950" i="5"/>
  <c r="Y950" i="5" s="1"/>
  <c r="AB951" i="5"/>
  <c r="U951" i="5"/>
  <c r="Y951" i="5" s="1"/>
  <c r="AB952" i="5"/>
  <c r="U952" i="5"/>
  <c r="Y952" i="5" s="1"/>
  <c r="AB953" i="5"/>
  <c r="U953" i="5"/>
  <c r="Y953" i="5" s="1"/>
  <c r="U954" i="5"/>
  <c r="Y954" i="5" s="1"/>
  <c r="AB954" i="5"/>
  <c r="AB956" i="5"/>
  <c r="U956" i="5"/>
  <c r="Y956" i="5" s="1"/>
  <c r="U957" i="5"/>
  <c r="Y957" i="5" s="1"/>
  <c r="AB957" i="5"/>
  <c r="AB959" i="5"/>
  <c r="U959" i="5"/>
  <c r="Y959" i="5" s="1"/>
  <c r="U960" i="5"/>
  <c r="Y960" i="5" s="1"/>
  <c r="AB960" i="5"/>
  <c r="U961" i="5"/>
  <c r="Y961" i="5" s="1"/>
  <c r="AB961" i="5"/>
  <c r="AB962" i="5"/>
  <c r="U962" i="5"/>
  <c r="Y962" i="5" s="1"/>
  <c r="U963" i="5"/>
  <c r="Y963" i="5" s="1"/>
  <c r="AB963" i="5"/>
  <c r="U964" i="5"/>
  <c r="Y964" i="5" s="1"/>
  <c r="AB964" i="5"/>
  <c r="U965" i="5"/>
  <c r="Y965" i="5" s="1"/>
  <c r="AB965" i="5"/>
  <c r="U966" i="5"/>
  <c r="Y966" i="5" s="1"/>
  <c r="AB966" i="5"/>
  <c r="U967" i="5"/>
  <c r="Y967" i="5" s="1"/>
  <c r="AB967" i="5"/>
  <c r="U968" i="5"/>
  <c r="Y968" i="5" s="1"/>
  <c r="AB968" i="5"/>
  <c r="U969" i="5"/>
  <c r="Y969" i="5" s="1"/>
  <c r="AB969" i="5"/>
  <c r="AB970" i="5"/>
  <c r="U970" i="5"/>
  <c r="Y970" i="5" s="1"/>
  <c r="AB971" i="5"/>
  <c r="U971" i="5"/>
  <c r="Y971" i="5" s="1"/>
  <c r="AB972" i="5"/>
  <c r="U972" i="5"/>
  <c r="Y972" i="5" s="1"/>
  <c r="U973" i="5"/>
  <c r="Y973" i="5" s="1"/>
  <c r="AB973" i="5"/>
  <c r="AB974" i="5"/>
  <c r="U974" i="5"/>
  <c r="Y974" i="5" s="1"/>
  <c r="AB975" i="5"/>
  <c r="U975" i="5"/>
  <c r="Y975" i="5" s="1"/>
  <c r="AB976" i="5"/>
  <c r="U976" i="5"/>
  <c r="Y976" i="5" s="1"/>
  <c r="AB977" i="5"/>
  <c r="U977" i="5"/>
  <c r="Y977" i="5" s="1"/>
  <c r="U978" i="5"/>
  <c r="Y978" i="5" s="1"/>
  <c r="AB978" i="5"/>
  <c r="AB979" i="5"/>
  <c r="U979" i="5"/>
  <c r="Y979" i="5" s="1"/>
  <c r="AB980" i="5"/>
  <c r="U980" i="5"/>
  <c r="Y980" i="5" s="1"/>
  <c r="AB981" i="5"/>
  <c r="U981" i="5"/>
  <c r="Y981" i="5" s="1"/>
  <c r="AB982" i="5"/>
  <c r="U982" i="5"/>
  <c r="Y982" i="5" s="1"/>
  <c r="U983" i="5"/>
  <c r="Y983" i="5" s="1"/>
  <c r="AB983" i="5"/>
  <c r="AB984" i="5"/>
  <c r="U984" i="5"/>
  <c r="U985" i="5"/>
  <c r="Y985" i="5" s="1"/>
  <c r="AB985" i="5"/>
  <c r="AB987" i="5"/>
  <c r="U987" i="5"/>
  <c r="Y987" i="5" s="1"/>
  <c r="U986" i="5"/>
  <c r="Y986" i="5" s="1"/>
  <c r="AB986" i="5"/>
  <c r="AB988" i="5"/>
  <c r="U988" i="5"/>
  <c r="Y988" i="5" s="1"/>
  <c r="AB989" i="5"/>
  <c r="U989" i="5"/>
  <c r="Y989" i="5" s="1"/>
  <c r="AB990" i="5"/>
  <c r="U990" i="5"/>
  <c r="Y990" i="5" s="1"/>
  <c r="AB991" i="5"/>
  <c r="U991" i="5"/>
  <c r="Y991" i="5" s="1"/>
  <c r="U992" i="5"/>
  <c r="Y992" i="5" s="1"/>
  <c r="AB992" i="5"/>
  <c r="U993" i="5"/>
  <c r="Y993" i="5" s="1"/>
  <c r="AB993" i="5"/>
  <c r="U995" i="5"/>
  <c r="Y995" i="5" s="1"/>
  <c r="AB995" i="5"/>
  <c r="U994" i="5"/>
  <c r="Y994" i="5" s="1"/>
  <c r="AB994" i="5"/>
  <c r="U996" i="5"/>
  <c r="Y996" i="5" s="1"/>
  <c r="AB996" i="5"/>
  <c r="U997" i="5"/>
  <c r="Y997" i="5" s="1"/>
  <c r="AB997" i="5"/>
  <c r="AB998" i="5"/>
  <c r="U998" i="5"/>
  <c r="Y998" i="5" s="1"/>
  <c r="AB999" i="5"/>
  <c r="U999" i="5"/>
  <c r="Y999" i="5" s="1"/>
  <c r="U1002" i="5"/>
  <c r="Y1002" i="5" s="1"/>
  <c r="AB1002" i="5"/>
  <c r="U1004" i="5"/>
  <c r="Y1004" i="5" s="1"/>
  <c r="AB1004" i="5"/>
  <c r="AB1005" i="5"/>
  <c r="U1005" i="5"/>
  <c r="Y1005" i="5" s="1"/>
  <c r="U1006" i="5"/>
  <c r="Y1006" i="5" s="1"/>
  <c r="AB1006" i="5"/>
  <c r="AB1008" i="5"/>
  <c r="U1008" i="5"/>
  <c r="Y1008" i="5" s="1"/>
  <c r="U1011" i="5"/>
  <c r="Y1011" i="5" s="1"/>
  <c r="AB1011" i="5"/>
  <c r="AB1010" i="5"/>
  <c r="U1010" i="5"/>
  <c r="Y1010" i="5" s="1"/>
  <c r="AB1012" i="5"/>
  <c r="U1012" i="5"/>
  <c r="Y1012" i="5" s="1"/>
  <c r="AB1014" i="5"/>
  <c r="U1014" i="5"/>
  <c r="Y1014" i="5" s="1"/>
  <c r="AB1017" i="5"/>
  <c r="U1017" i="5"/>
  <c r="Y1017" i="5" s="1"/>
  <c r="AB1018" i="5"/>
  <c r="U1018" i="5"/>
  <c r="Y1018" i="5" s="1"/>
  <c r="U1019" i="5"/>
  <c r="Y1019" i="5" s="1"/>
  <c r="AB1019" i="5"/>
  <c r="AB1020" i="5"/>
  <c r="U1020" i="5"/>
  <c r="Y1020" i="5" s="1"/>
  <c r="AB1029" i="5"/>
  <c r="U1029" i="5"/>
  <c r="Y1029" i="5" s="1"/>
  <c r="AB1030" i="5"/>
  <c r="U1030" i="5"/>
  <c r="Y1030" i="5" s="1"/>
  <c r="U1031" i="5"/>
  <c r="Y1031" i="5" s="1"/>
  <c r="AB1031" i="5"/>
  <c r="U1040" i="5"/>
  <c r="Y1040" i="5" s="1"/>
  <c r="AB1040" i="5"/>
  <c r="U1041" i="5"/>
  <c r="AB1041" i="5"/>
  <c r="AB1042" i="5"/>
  <c r="U1042" i="5"/>
  <c r="Y1042" i="5" s="1"/>
  <c r="U1051" i="5"/>
  <c r="Y1051" i="5" s="1"/>
  <c r="AB1051" i="5"/>
  <c r="U1052" i="5"/>
  <c r="Y1052" i="5" s="1"/>
  <c r="AB1052" i="5"/>
  <c r="AB1053" i="5"/>
  <c r="U1053" i="5"/>
  <c r="Y1053" i="5" s="1"/>
  <c r="AB1054" i="5"/>
  <c r="U1054" i="5"/>
  <c r="Y1054" i="5" s="1"/>
  <c r="U1063" i="5"/>
  <c r="Y1063" i="5" s="1"/>
  <c r="AB1063" i="5"/>
  <c r="AB1064" i="5"/>
  <c r="U1064" i="5"/>
  <c r="Y1064" i="5" s="1"/>
  <c r="U1065" i="5"/>
  <c r="Y1065" i="5" s="1"/>
  <c r="AB1065" i="5"/>
  <c r="AB1066" i="5"/>
  <c r="U1066" i="5"/>
  <c r="Y1066" i="5" s="1"/>
  <c r="AB1067" i="5"/>
  <c r="U1067" i="5"/>
  <c r="Y1067" i="5" s="1"/>
  <c r="U1068" i="5"/>
  <c r="Y1068" i="5" s="1"/>
  <c r="AB1068" i="5"/>
  <c r="AB1069" i="5"/>
  <c r="U1069" i="5"/>
  <c r="Y1069" i="5" s="1"/>
  <c r="U1071" i="5"/>
  <c r="Y1071" i="5" s="1"/>
  <c r="AB1071" i="5"/>
  <c r="AB1072" i="5"/>
  <c r="U1072" i="5"/>
  <c r="Y1072" i="5" s="1"/>
  <c r="U1073" i="5"/>
  <c r="Y1073" i="5" s="1"/>
  <c r="AB1073" i="5"/>
  <c r="AB1074" i="5"/>
  <c r="U1074" i="5"/>
  <c r="Y1074" i="5" s="1"/>
  <c r="U1075" i="5"/>
  <c r="Y1075" i="5" s="1"/>
  <c r="AB1075" i="5"/>
  <c r="U1076" i="5"/>
  <c r="Y1076" i="5" s="1"/>
  <c r="AB1076" i="5"/>
  <c r="AB1077" i="5"/>
  <c r="U1077" i="5"/>
  <c r="Y1077" i="5" s="1"/>
  <c r="U1078" i="5"/>
  <c r="Y1078" i="5" s="1"/>
  <c r="AB1078" i="5"/>
  <c r="U1083" i="5"/>
  <c r="Y1083" i="5" s="1"/>
  <c r="AB1083" i="5"/>
  <c r="U1084" i="5"/>
  <c r="Y1084" i="5" s="1"/>
  <c r="AB1084" i="5"/>
  <c r="AB1085" i="5"/>
  <c r="U1085" i="5"/>
  <c r="Y1085" i="5" s="1"/>
  <c r="AB1086" i="5"/>
  <c r="U1086" i="5"/>
  <c r="Y1086" i="5" s="1"/>
  <c r="AB1089" i="5"/>
  <c r="U1089" i="5"/>
  <c r="Y1089" i="5" s="1"/>
  <c r="AB1090" i="5"/>
  <c r="U1090" i="5"/>
  <c r="Y1090" i="5" s="1"/>
  <c r="AB1091" i="5"/>
  <c r="U1091" i="5"/>
  <c r="Y1091" i="5" s="1"/>
  <c r="AB1092" i="5"/>
  <c r="U1092" i="5"/>
  <c r="Y1092" i="5" s="1"/>
  <c r="U1093" i="5"/>
  <c r="Y1093" i="5" s="1"/>
  <c r="AB1093" i="5"/>
  <c r="AB1098" i="5"/>
  <c r="U1098" i="5"/>
  <c r="Y1098" i="5" s="1"/>
  <c r="U1099" i="5"/>
  <c r="Y1099" i="5" s="1"/>
  <c r="AB1099" i="5"/>
  <c r="AB1100" i="5"/>
  <c r="U1100" i="5"/>
  <c r="Y1100" i="5" s="1"/>
  <c r="AB1101" i="5"/>
  <c r="U1101" i="5"/>
  <c r="Y1101" i="5" s="1"/>
  <c r="U1106" i="5"/>
  <c r="Y1106" i="5" s="1"/>
  <c r="AB1106" i="5"/>
  <c r="AB1107" i="5"/>
  <c r="U1107" i="5"/>
  <c r="Y1107" i="5" s="1"/>
  <c r="AB1112" i="5"/>
  <c r="U1112" i="5"/>
  <c r="Y1112" i="5" s="1"/>
  <c r="AB1113" i="5"/>
  <c r="U1113" i="5"/>
  <c r="Y1113" i="5" s="1"/>
  <c r="U1114" i="5"/>
  <c r="Y1114" i="5" s="1"/>
  <c r="AB1114" i="5"/>
  <c r="AB1115" i="5"/>
  <c r="U1115" i="5"/>
  <c r="Y1115" i="5" s="1"/>
  <c r="L13" i="11" l="1"/>
  <c r="L39" i="11" s="1"/>
  <c r="K41" i="11"/>
  <c r="K39" i="11"/>
  <c r="M13" i="11"/>
  <c r="M39" i="11" s="1"/>
  <c r="Y1041" i="5"/>
  <c r="Y984" i="5"/>
  <c r="J16" i="10"/>
  <c r="J10" i="10" s="1"/>
  <c r="J20" i="10" s="1"/>
  <c r="Y893" i="5"/>
  <c r="H16" i="10"/>
  <c r="H10" i="10" s="1"/>
  <c r="H20" i="10" s="1"/>
  <c r="AB452" i="5"/>
  <c r="U452" i="5"/>
  <c r="Y452" i="5" s="1"/>
  <c r="AB448" i="5"/>
  <c r="U448" i="5"/>
  <c r="Y448" i="5" s="1"/>
  <c r="U447" i="5"/>
  <c r="Y447" i="5" s="1"/>
  <c r="AB447" i="5"/>
  <c r="L41" i="11" l="1"/>
  <c r="M41" i="11"/>
  <c r="L42" i="11"/>
  <c r="J21" i="10"/>
  <c r="L44" i="11" s="1"/>
  <c r="L43" i="11"/>
  <c r="H21" i="10"/>
  <c r="J44" i="11" s="1"/>
  <c r="J43" i="11"/>
  <c r="J42" i="11"/>
  <c r="AB863" i="5"/>
  <c r="U863" i="5"/>
  <c r="Y863" i="5" s="1"/>
  <c r="AB862" i="5"/>
  <c r="U862" i="5"/>
  <c r="Y862" i="5" l="1"/>
  <c r="AB438" i="5" l="1"/>
  <c r="U438" i="5"/>
  <c r="Y438" i="5" s="1"/>
  <c r="AB833" i="5" l="1"/>
  <c r="U833" i="5"/>
  <c r="Y833" i="5" l="1"/>
  <c r="I16" i="10"/>
  <c r="I10" i="10" l="1"/>
  <c r="I20" i="10" s="1"/>
  <c r="I21" i="10" l="1"/>
  <c r="K44" i="11" s="1"/>
  <c r="K42" i="11"/>
  <c r="K43" i="11"/>
  <c r="U1119" i="5" l="1"/>
  <c r="AB1119" i="5"/>
  <c r="AB1120" i="5"/>
  <c r="U1120" i="5"/>
  <c r="Y1120" i="5" s="1"/>
  <c r="U1121" i="5"/>
  <c r="Y1121" i="5" s="1"/>
  <c r="AB1121" i="5"/>
  <c r="Y1119" i="5" l="1"/>
  <c r="K16" i="10"/>
  <c r="K10" i="10" l="1"/>
  <c r="K20" i="10" s="1"/>
  <c r="M42" i="11" l="1"/>
  <c r="K21" i="10"/>
  <c r="M44" i="11" s="1"/>
  <c r="M43" i="11"/>
  <c r="U1253" i="5" l="1"/>
  <c r="AB1253" i="5"/>
  <c r="AB1254" i="5"/>
  <c r="U1254" i="5"/>
  <c r="Y1254" i="5" s="1"/>
  <c r="AB1255" i="5"/>
  <c r="U1255" i="5"/>
  <c r="Y1255" i="5" s="1"/>
  <c r="Y1253" i="5" l="1"/>
  <c r="R70" i="11" l="1"/>
  <c r="K110" i="11"/>
  <c r="G110" i="11"/>
  <c r="H34" i="11"/>
  <c r="I110" i="11"/>
  <c r="L110" i="11"/>
  <c r="Q34" i="11"/>
  <c r="P34" i="11"/>
  <c r="O34" i="11"/>
  <c r="N110" i="11"/>
  <c r="I34" i="11"/>
  <c r="F21" i="11"/>
  <c r="H110" i="11"/>
  <c r="O110" i="11"/>
  <c r="J34" i="11"/>
  <c r="G34" i="11"/>
  <c r="C13" i="15" s="1"/>
  <c r="P110" i="11"/>
  <c r="M34" i="11"/>
  <c r="L34" i="11"/>
  <c r="K34" i="11"/>
  <c r="N34" i="11"/>
  <c r="Q110" i="11"/>
  <c r="J110" i="11"/>
  <c r="M110" i="11"/>
  <c r="F157" i="11"/>
  <c r="Q22" i="11"/>
  <c r="Q31" i="11" s="1"/>
  <c r="L21" i="11"/>
  <c r="F125" i="11"/>
  <c r="P22" i="11"/>
  <c r="P31" i="11" s="1"/>
  <c r="F159" i="11"/>
  <c r="H141" i="11"/>
  <c r="F147" i="11"/>
  <c r="F160" i="11"/>
  <c r="M141" i="11"/>
  <c r="F141" i="11"/>
  <c r="Q21" i="11"/>
  <c r="F134" i="11"/>
  <c r="M22" i="11"/>
  <c r="F118" i="11"/>
  <c r="F33" i="11"/>
  <c r="B12" i="15" s="1"/>
  <c r="B17" i="16" s="1"/>
  <c r="O22" i="11"/>
  <c r="O31" i="11" s="1"/>
  <c r="I22" i="11"/>
  <c r="I31" i="11" s="1"/>
  <c r="F111" i="11"/>
  <c r="F155" i="11"/>
  <c r="P141" i="11"/>
  <c r="Q141" i="11"/>
  <c r="P21" i="11"/>
  <c r="G21" i="11"/>
  <c r="K21" i="11"/>
  <c r="F126" i="11"/>
  <c r="K141" i="11"/>
  <c r="F117" i="11"/>
  <c r="F112" i="11"/>
  <c r="K22" i="11"/>
  <c r="K31" i="11" s="1"/>
  <c r="H21" i="11"/>
  <c r="F116" i="11"/>
  <c r="F120" i="11"/>
  <c r="F156" i="11"/>
  <c r="F130" i="11"/>
  <c r="F149" i="11"/>
  <c r="H22" i="11"/>
  <c r="H31" i="11" s="1"/>
  <c r="I141" i="11"/>
  <c r="I21" i="11"/>
  <c r="F119" i="11"/>
  <c r="F142" i="11"/>
  <c r="L141" i="11"/>
  <c r="G141" i="11"/>
  <c r="F164" i="11"/>
  <c r="F158" i="11"/>
  <c r="J22" i="11"/>
  <c r="F144" i="11"/>
  <c r="O21" i="11"/>
  <c r="F132" i="11"/>
  <c r="J21" i="11"/>
  <c r="L22" i="11"/>
  <c r="L31" i="11" s="1"/>
  <c r="F129" i="11"/>
  <c r="F22" i="11"/>
  <c r="F31" i="11" s="1"/>
  <c r="N22" i="11"/>
  <c r="N31" i="11" s="1"/>
  <c r="F114" i="11"/>
  <c r="M21" i="11"/>
  <c r="N21" i="11"/>
  <c r="F128" i="11"/>
  <c r="F143" i="11"/>
  <c r="F148" i="11"/>
  <c r="F146" i="11"/>
  <c r="F110" i="11"/>
  <c r="F133" i="11"/>
  <c r="F127" i="11"/>
  <c r="G22" i="11"/>
  <c r="G31" i="11" s="1"/>
  <c r="F115" i="11"/>
  <c r="F34" i="11"/>
  <c r="N141" i="11"/>
  <c r="F151" i="11"/>
  <c r="F163" i="11"/>
  <c r="F124" i="11"/>
  <c r="J141" i="11"/>
  <c r="F161" i="11"/>
  <c r="F113" i="11"/>
  <c r="F123" i="11"/>
  <c r="F152" i="11"/>
  <c r="F131" i="11"/>
  <c r="O141" i="11"/>
  <c r="F145" i="11"/>
  <c r="F162" i="11"/>
  <c r="G155" i="11"/>
  <c r="Q157" i="11"/>
  <c r="H156" i="11"/>
  <c r="I148" i="11"/>
  <c r="L144" i="11"/>
  <c r="M161" i="11"/>
  <c r="P155" i="11"/>
  <c r="J146" i="11"/>
  <c r="H163" i="11"/>
  <c r="Q151" i="11"/>
  <c r="G161" i="11"/>
  <c r="P33" i="11"/>
  <c r="L12" i="15" s="1"/>
  <c r="L17" i="16" s="1"/>
  <c r="J115" i="11"/>
  <c r="I129" i="11"/>
  <c r="K126" i="11"/>
  <c r="O128" i="11"/>
  <c r="P116" i="11"/>
  <c r="G120" i="11"/>
  <c r="O114" i="11"/>
  <c r="L126" i="11"/>
  <c r="Q113" i="11"/>
  <c r="G116" i="11"/>
  <c r="O155" i="11"/>
  <c r="J164" i="11"/>
  <c r="H160" i="11"/>
  <c r="K149" i="11"/>
  <c r="K157" i="11"/>
  <c r="K155" i="11"/>
  <c r="M142" i="11"/>
  <c r="P160" i="11"/>
  <c r="I147" i="11"/>
  <c r="Q149" i="11"/>
  <c r="N132" i="11"/>
  <c r="J120" i="11"/>
  <c r="N118" i="11"/>
  <c r="K133" i="11"/>
  <c r="J112" i="11"/>
  <c r="J131" i="11"/>
  <c r="K127" i="11"/>
  <c r="O124" i="11"/>
  <c r="K125" i="11"/>
  <c r="G129" i="11"/>
  <c r="H125" i="11"/>
  <c r="L128" i="11"/>
  <c r="P131" i="11"/>
  <c r="G117" i="11"/>
  <c r="P143" i="11"/>
  <c r="G164" i="11"/>
  <c r="Q159" i="11"/>
  <c r="M156" i="11"/>
  <c r="K152" i="11"/>
  <c r="N158" i="11"/>
  <c r="I156" i="11"/>
  <c r="O148" i="11"/>
  <c r="G160" i="11"/>
  <c r="H152" i="11"/>
  <c r="Q144" i="11"/>
  <c r="I116" i="11"/>
  <c r="Q33" i="11"/>
  <c r="M12" i="15" s="1"/>
  <c r="M17" i="16" s="1"/>
  <c r="I126" i="11"/>
  <c r="O118" i="11"/>
  <c r="N113" i="11"/>
  <c r="N117" i="11"/>
  <c r="O132" i="11"/>
  <c r="L116" i="11"/>
  <c r="O130" i="11"/>
  <c r="H129" i="11"/>
  <c r="Q123" i="11"/>
  <c r="M127" i="11"/>
  <c r="L123" i="11"/>
  <c r="Q114" i="11"/>
  <c r="G118" i="11"/>
  <c r="Q161" i="11"/>
  <c r="M146" i="11"/>
  <c r="L151" i="11"/>
  <c r="N146" i="11"/>
  <c r="O142" i="11"/>
  <c r="Q156" i="11"/>
  <c r="G149" i="11"/>
  <c r="L145" i="11"/>
  <c r="Q146" i="11"/>
  <c r="Q162" i="11"/>
  <c r="K123" i="11"/>
  <c r="L113" i="11"/>
  <c r="K114" i="11"/>
  <c r="M111" i="11"/>
  <c r="J113" i="11"/>
  <c r="M113" i="11"/>
  <c r="L119" i="11"/>
  <c r="Q127" i="11"/>
  <c r="P124" i="11"/>
  <c r="G131" i="11"/>
  <c r="P113" i="11"/>
  <c r="N156" i="11"/>
  <c r="Q164" i="11"/>
  <c r="I161" i="11"/>
  <c r="N148" i="11"/>
  <c r="K145" i="11"/>
  <c r="L161" i="11"/>
  <c r="J149" i="11"/>
  <c r="H144" i="11"/>
  <c r="H147" i="11"/>
  <c r="I157" i="11"/>
  <c r="Q158" i="11"/>
  <c r="I33" i="11"/>
  <c r="E12" i="15" s="1"/>
  <c r="E17" i="16" s="1"/>
  <c r="P129" i="11"/>
  <c r="O126" i="11"/>
  <c r="M119" i="11"/>
  <c r="O111" i="11"/>
  <c r="M115" i="11"/>
  <c r="K130" i="11"/>
  <c r="K113" i="11"/>
  <c r="L118" i="11"/>
  <c r="J125" i="11"/>
  <c r="M125" i="11"/>
  <c r="G125" i="11"/>
  <c r="H126" i="11"/>
  <c r="G119" i="11"/>
  <c r="L156" i="11"/>
  <c r="Q152" i="11"/>
  <c r="K163" i="11"/>
  <c r="L155" i="11"/>
  <c r="L152" i="11"/>
  <c r="K160" i="11"/>
  <c r="O144" i="11"/>
  <c r="K164" i="11"/>
  <c r="P148" i="11"/>
  <c r="M158" i="11"/>
  <c r="P149" i="11"/>
  <c r="L164" i="11"/>
  <c r="Q160" i="11"/>
  <c r="M33" i="11"/>
  <c r="I12" i="15" s="1"/>
  <c r="I17" i="16" s="1"/>
  <c r="G33" i="11"/>
  <c r="C12" i="15" s="1"/>
  <c r="C17" i="16" s="1"/>
  <c r="K132" i="11"/>
  <c r="P132" i="11"/>
  <c r="N119" i="11"/>
  <c r="O133" i="11"/>
  <c r="O113" i="11"/>
  <c r="O112" i="11"/>
  <c r="M114" i="11"/>
  <c r="P118" i="11"/>
  <c r="Q111" i="11"/>
  <c r="L120" i="11"/>
  <c r="G126" i="11"/>
  <c r="H146" i="11"/>
  <c r="M162" i="11"/>
  <c r="M152" i="11"/>
  <c r="O161" i="11"/>
  <c r="K161" i="11"/>
  <c r="M164" i="11"/>
  <c r="M159" i="11"/>
  <c r="G151" i="11"/>
  <c r="N114" i="11"/>
  <c r="K131" i="11"/>
  <c r="L134" i="11"/>
  <c r="M131" i="11"/>
  <c r="O117" i="11"/>
  <c r="G112" i="11"/>
  <c r="I119" i="11"/>
  <c r="I125" i="11"/>
  <c r="N127" i="11"/>
  <c r="I115" i="11"/>
  <c r="L130" i="11"/>
  <c r="G123" i="11"/>
  <c r="G127" i="11"/>
  <c r="G133" i="11"/>
  <c r="Q130" i="11"/>
  <c r="H114" i="11"/>
  <c r="O164" i="11"/>
  <c r="K146" i="11"/>
  <c r="I142" i="11"/>
  <c r="J159" i="11"/>
  <c r="J162" i="11"/>
  <c r="M160" i="11"/>
  <c r="J144" i="11"/>
  <c r="K148" i="11"/>
  <c r="I163" i="11"/>
  <c r="G144" i="11"/>
  <c r="H159" i="11"/>
  <c r="I164" i="11"/>
  <c r="N33" i="11"/>
  <c r="J12" i="15" s="1"/>
  <c r="J17" i="16" s="1"/>
  <c r="L111" i="11"/>
  <c r="H133" i="11"/>
  <c r="K117" i="11"/>
  <c r="N125" i="11"/>
  <c r="N123" i="11"/>
  <c r="J111" i="11"/>
  <c r="P120" i="11"/>
  <c r="H128" i="11"/>
  <c r="Q116" i="11"/>
  <c r="H127" i="11"/>
  <c r="P115" i="11"/>
  <c r="H112" i="11"/>
  <c r="G145" i="11"/>
  <c r="M143" i="11"/>
  <c r="N160" i="11"/>
  <c r="O143" i="11"/>
  <c r="M157" i="11"/>
  <c r="K156" i="11"/>
  <c r="K143" i="11"/>
  <c r="I158" i="11"/>
  <c r="Q163" i="11"/>
  <c r="J161" i="11"/>
  <c r="P142" i="11"/>
  <c r="L148" i="11"/>
  <c r="H164" i="11"/>
  <c r="I124" i="11"/>
  <c r="I113" i="11"/>
  <c r="H33" i="11"/>
  <c r="D12" i="15" s="1"/>
  <c r="D17" i="16" s="1"/>
  <c r="N120" i="11"/>
  <c r="K119" i="11"/>
  <c r="I123" i="11"/>
  <c r="N116" i="11"/>
  <c r="G130" i="11"/>
  <c r="J119" i="11"/>
  <c r="L124" i="11"/>
  <c r="Q126" i="11"/>
  <c r="H115" i="11"/>
  <c r="J157" i="11"/>
  <c r="I155" i="11"/>
  <c r="N163" i="11"/>
  <c r="O162" i="11"/>
  <c r="O157" i="11"/>
  <c r="P159" i="11"/>
  <c r="K144" i="11"/>
  <c r="L157" i="11"/>
  <c r="N152" i="11"/>
  <c r="H158" i="11"/>
  <c r="M151" i="11"/>
  <c r="G156" i="11"/>
  <c r="N112" i="11"/>
  <c r="P130" i="11"/>
  <c r="G128" i="11"/>
  <c r="P114" i="11"/>
  <c r="Q119" i="11"/>
  <c r="O120" i="11"/>
  <c r="I120" i="11"/>
  <c r="K112" i="11"/>
  <c r="K116" i="11"/>
  <c r="H131" i="11"/>
  <c r="J124" i="11"/>
  <c r="Q128" i="11"/>
  <c r="P133" i="11"/>
  <c r="H134" i="11"/>
  <c r="J151" i="11"/>
  <c r="N143" i="11"/>
  <c r="O151" i="11"/>
  <c r="P156" i="11"/>
  <c r="O146" i="11"/>
  <c r="N155" i="11"/>
  <c r="M149" i="11"/>
  <c r="L158" i="11"/>
  <c r="P158" i="11"/>
  <c r="P144" i="11"/>
  <c r="G162" i="11"/>
  <c r="Q143" i="11"/>
  <c r="H151" i="11"/>
  <c r="L133" i="11"/>
  <c r="M132" i="11"/>
  <c r="L114" i="11"/>
  <c r="O115" i="11"/>
  <c r="O131" i="11"/>
  <c r="Q124" i="11"/>
  <c r="M129" i="11"/>
  <c r="L125" i="11"/>
  <c r="P112" i="11"/>
  <c r="H116" i="11"/>
  <c r="Q142" i="11"/>
  <c r="O152" i="11"/>
  <c r="P146" i="11"/>
  <c r="N164" i="11"/>
  <c r="P164" i="11"/>
  <c r="L159" i="11"/>
  <c r="I144" i="11"/>
  <c r="O159" i="11"/>
  <c r="G147" i="11"/>
  <c r="I146" i="11"/>
  <c r="I160" i="11"/>
  <c r="P117" i="11"/>
  <c r="G132" i="11"/>
  <c r="I127" i="11"/>
  <c r="O33" i="11"/>
  <c r="K12" i="15" s="1"/>
  <c r="K17" i="16" s="1"/>
  <c r="M120" i="11"/>
  <c r="M133" i="11"/>
  <c r="K124" i="11"/>
  <c r="I117" i="11"/>
  <c r="Q125" i="11"/>
  <c r="M126" i="11"/>
  <c r="M130" i="11"/>
  <c r="G114" i="11"/>
  <c r="J114" i="11"/>
  <c r="H117" i="11"/>
  <c r="H162" i="11"/>
  <c r="J163" i="11"/>
  <c r="N145" i="11"/>
  <c r="N142" i="11"/>
  <c r="N159" i="11"/>
  <c r="L142" i="11"/>
  <c r="K162" i="11"/>
  <c r="O160" i="11"/>
  <c r="G143" i="11"/>
  <c r="J147" i="11"/>
  <c r="P161" i="11"/>
  <c r="G163" i="11"/>
  <c r="H142" i="11"/>
  <c r="M134" i="11"/>
  <c r="G115" i="11"/>
  <c r="H123" i="11"/>
  <c r="H130" i="11"/>
  <c r="K129" i="11"/>
  <c r="J33" i="11"/>
  <c r="F12" i="15" s="1"/>
  <c r="F17" i="16" s="1"/>
  <c r="H111" i="11"/>
  <c r="I111" i="11"/>
  <c r="H120" i="11"/>
  <c r="N133" i="11"/>
  <c r="P111" i="11"/>
  <c r="K118" i="11"/>
  <c r="I132" i="11"/>
  <c r="O129" i="11"/>
  <c r="J117" i="11"/>
  <c r="N130" i="11"/>
  <c r="P119" i="11"/>
  <c r="N129" i="11"/>
  <c r="Q115" i="11"/>
  <c r="P134" i="11"/>
  <c r="K147" i="11"/>
  <c r="N157" i="11"/>
  <c r="N149" i="11"/>
  <c r="N144" i="11"/>
  <c r="N151" i="11"/>
  <c r="J158" i="11"/>
  <c r="J142" i="11"/>
  <c r="Q145" i="11"/>
  <c r="H157" i="11"/>
  <c r="P145" i="11"/>
  <c r="H145" i="11"/>
  <c r="K134" i="11"/>
  <c r="G111" i="11"/>
  <c r="Q129" i="11"/>
  <c r="J133" i="11"/>
  <c r="L33" i="11"/>
  <c r="H12" i="15" s="1"/>
  <c r="H17" i="16" s="1"/>
  <c r="J129" i="11"/>
  <c r="Q118" i="11"/>
  <c r="N134" i="11"/>
  <c r="G134" i="11"/>
  <c r="K111" i="11"/>
  <c r="I118" i="11"/>
  <c r="O116" i="11"/>
  <c r="N115" i="11"/>
  <c r="G124" i="11"/>
  <c r="M128" i="11"/>
  <c r="L127" i="11"/>
  <c r="P123" i="11"/>
  <c r="H118" i="11"/>
  <c r="M155" i="11"/>
  <c r="P151" i="11"/>
  <c r="L160" i="11"/>
  <c r="L149" i="11"/>
  <c r="O163" i="11"/>
  <c r="L146" i="11"/>
  <c r="J152" i="11"/>
  <c r="H149" i="11"/>
  <c r="G146" i="11"/>
  <c r="G152" i="11"/>
  <c r="H155" i="11"/>
  <c r="K120" i="11"/>
  <c r="K115" i="11"/>
  <c r="Q133" i="11"/>
  <c r="Q117" i="11"/>
  <c r="P125" i="11"/>
  <c r="H119" i="11"/>
  <c r="I159" i="11"/>
  <c r="P147" i="11"/>
  <c r="O156" i="11"/>
  <c r="J145" i="11"/>
  <c r="K151" i="11"/>
  <c r="G157" i="11"/>
  <c r="I151" i="11"/>
  <c r="L117" i="11"/>
  <c r="I128" i="11"/>
  <c r="J130" i="11"/>
  <c r="O123" i="11"/>
  <c r="H124" i="11"/>
  <c r="L112" i="11"/>
  <c r="N124" i="11"/>
  <c r="M117" i="11"/>
  <c r="N126" i="11"/>
  <c r="M112" i="11"/>
  <c r="J116" i="11"/>
  <c r="J123" i="11"/>
  <c r="L129" i="11"/>
  <c r="P126" i="11"/>
  <c r="H132" i="11"/>
  <c r="P162" i="11"/>
  <c r="G142" i="11"/>
  <c r="O147" i="11"/>
  <c r="M144" i="11"/>
  <c r="M145" i="11"/>
  <c r="P157" i="11"/>
  <c r="I149" i="11"/>
  <c r="O119" i="11"/>
  <c r="L131" i="11"/>
  <c r="K33" i="11"/>
  <c r="G12" i="15" s="1"/>
  <c r="G17" i="16" s="1"/>
  <c r="J127" i="11"/>
  <c r="N111" i="11"/>
  <c r="L115" i="11"/>
  <c r="Q120" i="11"/>
  <c r="K128" i="11"/>
  <c r="I114" i="11"/>
  <c r="I112" i="11"/>
  <c r="N131" i="11"/>
  <c r="J118" i="11"/>
  <c r="O125" i="11"/>
  <c r="Q112" i="11"/>
  <c r="P127" i="11"/>
  <c r="P152" i="11"/>
  <c r="L163" i="11"/>
  <c r="J148" i="11"/>
  <c r="J143" i="11"/>
  <c r="M163" i="11"/>
  <c r="O145" i="11"/>
  <c r="I162" i="11"/>
  <c r="I145" i="11"/>
  <c r="G158" i="11"/>
  <c r="H148" i="11"/>
  <c r="G159" i="11"/>
  <c r="O134" i="11"/>
  <c r="Q131" i="11"/>
  <c r="M118" i="11"/>
  <c r="I130" i="11"/>
  <c r="I133" i="11"/>
  <c r="I134" i="11"/>
  <c r="I131" i="11"/>
  <c r="N128" i="11"/>
  <c r="M116" i="11"/>
  <c r="L132" i="11"/>
  <c r="P128" i="11"/>
  <c r="N147" i="11"/>
  <c r="J155" i="11"/>
  <c r="Q148" i="11"/>
  <c r="K142" i="11"/>
  <c r="I143" i="11"/>
  <c r="J156" i="11"/>
  <c r="K159" i="11"/>
  <c r="N161" i="11"/>
  <c r="Q147" i="11"/>
  <c r="J160" i="11"/>
  <c r="I152" i="11"/>
  <c r="G148" i="11"/>
  <c r="H113" i="11"/>
  <c r="O127" i="11"/>
  <c r="M123" i="11"/>
  <c r="J126" i="11"/>
  <c r="J134" i="11"/>
  <c r="J128" i="11"/>
  <c r="M124" i="11"/>
  <c r="Q132" i="11"/>
  <c r="Q134" i="11"/>
  <c r="G113" i="11"/>
  <c r="L147" i="11"/>
  <c r="O158" i="11"/>
  <c r="Q155" i="11"/>
  <c r="H161" i="11"/>
  <c r="M147" i="11"/>
  <c r="L143" i="11"/>
  <c r="K158" i="11"/>
  <c r="N162" i="11"/>
  <c r="O149" i="11"/>
  <c r="M148" i="11"/>
  <c r="H143" i="11"/>
  <c r="P163" i="11"/>
  <c r="L162" i="11"/>
  <c r="J132" i="11"/>
  <c r="C20" i="16" l="1"/>
  <c r="C14" i="15"/>
  <c r="C23" i="16" s="1"/>
  <c r="B98" i="15"/>
  <c r="E98" i="15"/>
  <c r="K98" i="15"/>
  <c r="C99" i="15"/>
  <c r="H98" i="15"/>
  <c r="L98" i="15"/>
  <c r="C98" i="15"/>
  <c r="F98" i="15"/>
  <c r="D98" i="15"/>
  <c r="M98" i="15"/>
  <c r="I98" i="15"/>
  <c r="J98" i="15"/>
  <c r="G98" i="15"/>
  <c r="K30" i="11"/>
  <c r="K32" i="11" s="1"/>
  <c r="G11" i="15" s="1"/>
  <c r="G14" i="16" s="1"/>
  <c r="G13" i="15"/>
  <c r="L30" i="11"/>
  <c r="L32" i="11" s="1"/>
  <c r="H11" i="15" s="1"/>
  <c r="H14" i="16" s="1"/>
  <c r="H13" i="15"/>
  <c r="O30" i="11"/>
  <c r="O32" i="11" s="1"/>
  <c r="K11" i="15" s="1"/>
  <c r="K14" i="16" s="1"/>
  <c r="K13" i="15"/>
  <c r="M30" i="11"/>
  <c r="I13" i="15"/>
  <c r="P30" i="11"/>
  <c r="P32" i="11" s="1"/>
  <c r="L11" i="15" s="1"/>
  <c r="L14" i="16" s="1"/>
  <c r="L13" i="15"/>
  <c r="Q30" i="11"/>
  <c r="Q32" i="11" s="1"/>
  <c r="M11" i="15" s="1"/>
  <c r="M14" i="16" s="1"/>
  <c r="M13" i="15"/>
  <c r="J30" i="11"/>
  <c r="F13" i="15"/>
  <c r="H30" i="11"/>
  <c r="H32" i="11" s="1"/>
  <c r="D11" i="15" s="1"/>
  <c r="D14" i="16" s="1"/>
  <c r="D13" i="15"/>
  <c r="F30" i="11"/>
  <c r="F32" i="11" s="1"/>
  <c r="B11" i="15" s="1"/>
  <c r="B14" i="16" s="1"/>
  <c r="B13" i="15"/>
  <c r="N30" i="11"/>
  <c r="N32" i="11" s="1"/>
  <c r="J11" i="15" s="1"/>
  <c r="J14" i="16" s="1"/>
  <c r="J13" i="15"/>
  <c r="I30" i="11"/>
  <c r="I32" i="11" s="1"/>
  <c r="E11" i="15" s="1"/>
  <c r="E14" i="16" s="1"/>
  <c r="E13" i="15"/>
  <c r="P137" i="11"/>
  <c r="W119" i="11" s="1"/>
  <c r="P167" i="11"/>
  <c r="N167" i="11"/>
  <c r="F20" i="11"/>
  <c r="K20" i="11"/>
  <c r="I20" i="11"/>
  <c r="N20" i="11"/>
  <c r="G20" i="11"/>
  <c r="N137" i="11"/>
  <c r="W117" i="11" s="1"/>
  <c r="L20" i="11"/>
  <c r="R160" i="11"/>
  <c r="R159" i="11"/>
  <c r="R131" i="11"/>
  <c r="R155" i="11"/>
  <c r="J20" i="11"/>
  <c r="R128" i="11"/>
  <c r="P20" i="11"/>
  <c r="R125" i="11"/>
  <c r="Q167" i="11"/>
  <c r="F137" i="11"/>
  <c r="W109" i="11" s="1"/>
  <c r="I167" i="11"/>
  <c r="R157" i="11"/>
  <c r="R143" i="11"/>
  <c r="R149" i="11"/>
  <c r="R163" i="11"/>
  <c r="R130" i="11"/>
  <c r="Q137" i="11"/>
  <c r="W120" i="11" s="1"/>
  <c r="I137" i="11"/>
  <c r="W112" i="11" s="1"/>
  <c r="R144" i="11"/>
  <c r="R129" i="11"/>
  <c r="R156" i="11"/>
  <c r="R33" i="11"/>
  <c r="O167" i="11"/>
  <c r="R123" i="11"/>
  <c r="R114" i="11"/>
  <c r="L167" i="11"/>
  <c r="R142" i="11"/>
  <c r="R119" i="11"/>
  <c r="R120" i="11"/>
  <c r="M20" i="11"/>
  <c r="K137" i="11"/>
  <c r="W114" i="11" s="1"/>
  <c r="G137" i="11"/>
  <c r="W110" i="11" s="1"/>
  <c r="R148" i="11"/>
  <c r="R145" i="11"/>
  <c r="R115" i="11"/>
  <c r="R116" i="11"/>
  <c r="R134" i="11"/>
  <c r="G167" i="11"/>
  <c r="R161" i="11"/>
  <c r="Q20" i="11"/>
  <c r="R151" i="11"/>
  <c r="R152" i="11"/>
  <c r="R111" i="11"/>
  <c r="O20" i="11"/>
  <c r="R141" i="11"/>
  <c r="M137" i="11"/>
  <c r="W116" i="11" s="1"/>
  <c r="L137" i="11"/>
  <c r="W115" i="11" s="1"/>
  <c r="J137" i="11"/>
  <c r="W113" i="11" s="1"/>
  <c r="R117" i="11"/>
  <c r="H20" i="11"/>
  <c r="R127" i="11"/>
  <c r="R112" i="11"/>
  <c r="M167" i="11"/>
  <c r="R34" i="11"/>
  <c r="R124" i="11"/>
  <c r="R118" i="11"/>
  <c r="R133" i="11"/>
  <c r="R22" i="11"/>
  <c r="J167" i="11"/>
  <c r="R110" i="11"/>
  <c r="R158" i="11"/>
  <c r="K167" i="11"/>
  <c r="R147" i="11"/>
  <c r="O137" i="11"/>
  <c r="W118" i="11" s="1"/>
  <c r="R132" i="11"/>
  <c r="R162" i="11"/>
  <c r="R146" i="11"/>
  <c r="R164" i="11"/>
  <c r="R126" i="11"/>
  <c r="H167" i="11"/>
  <c r="H137" i="11"/>
  <c r="W111" i="11" s="1"/>
  <c r="R113" i="11"/>
  <c r="J31" i="11"/>
  <c r="M31" i="11"/>
  <c r="R21" i="11"/>
  <c r="R31" i="11" s="1"/>
  <c r="G30" i="11"/>
  <c r="G32" i="11" s="1"/>
  <c r="C11" i="15" s="1"/>
  <c r="C14" i="16" s="1"/>
  <c r="F167" i="11"/>
  <c r="F14" i="15" l="1"/>
  <c r="F23" i="16" s="1"/>
  <c r="F20" i="16"/>
  <c r="H14" i="15"/>
  <c r="H23" i="16" s="1"/>
  <c r="H20" i="16"/>
  <c r="E20" i="16"/>
  <c r="E14" i="15"/>
  <c r="E23" i="16" s="1"/>
  <c r="M20" i="16"/>
  <c r="M14" i="15"/>
  <c r="M23" i="16" s="1"/>
  <c r="G14" i="15"/>
  <c r="G23" i="16" s="1"/>
  <c r="G20" i="16"/>
  <c r="J20" i="16"/>
  <c r="J14" i="15"/>
  <c r="J23" i="16" s="1"/>
  <c r="B20" i="16"/>
  <c r="B14" i="15"/>
  <c r="B23" i="16" s="1"/>
  <c r="I14" i="15"/>
  <c r="I23" i="16" s="1"/>
  <c r="I20" i="16"/>
  <c r="L20" i="16"/>
  <c r="L14" i="15"/>
  <c r="L23" i="16" s="1"/>
  <c r="D20" i="16"/>
  <c r="D14" i="15"/>
  <c r="D23" i="16" s="1"/>
  <c r="K20" i="16"/>
  <c r="K14" i="15"/>
  <c r="K23" i="16" s="1"/>
  <c r="M95" i="15"/>
  <c r="H95" i="15"/>
  <c r="G95" i="15"/>
  <c r="C95" i="15"/>
  <c r="F99" i="15"/>
  <c r="H99" i="15"/>
  <c r="E95" i="15"/>
  <c r="G99" i="15"/>
  <c r="M99" i="15"/>
  <c r="J99" i="15"/>
  <c r="L99" i="15"/>
  <c r="L95" i="15"/>
  <c r="I99" i="15"/>
  <c r="E99" i="15"/>
  <c r="J95" i="15"/>
  <c r="D99" i="15"/>
  <c r="D95" i="15"/>
  <c r="K99" i="15"/>
  <c r="K95" i="15"/>
  <c r="J32" i="11"/>
  <c r="F11" i="15" s="1"/>
  <c r="F14" i="16" s="1"/>
  <c r="B95" i="15"/>
  <c r="B99" i="15"/>
  <c r="W16" i="15"/>
  <c r="M32" i="11"/>
  <c r="I11" i="15" s="1"/>
  <c r="I14" i="16" s="1"/>
  <c r="R30" i="11"/>
  <c r="X118" i="11"/>
  <c r="R20" i="11"/>
  <c r="F95" i="15" l="1"/>
  <c r="I95" i="15"/>
  <c r="R16" i="15"/>
  <c r="AB1521" i="5"/>
  <c r="AB1496" i="5"/>
  <c r="AB1486" i="5"/>
  <c r="AB1495" i="5"/>
  <c r="U1495" i="5"/>
  <c r="Y1495" i="5" s="1"/>
  <c r="AB1487" i="5"/>
  <c r="AB1507" i="5"/>
  <c r="AB1513" i="5"/>
  <c r="AB1494" i="5"/>
  <c r="AB1514" i="5"/>
  <c r="AB1493" i="5"/>
  <c r="U1486" i="5"/>
  <c r="Y1486" i="5" s="1"/>
  <c r="U1503" i="5"/>
  <c r="Y1503" i="5" s="1"/>
  <c r="AB1503" i="5"/>
  <c r="U1505" i="5"/>
  <c r="Y1505" i="5" s="1"/>
  <c r="AB1505" i="5"/>
  <c r="U1514" i="5"/>
  <c r="U1521" i="5"/>
  <c r="Y1521" i="5" s="1"/>
  <c r="U1485" i="5"/>
  <c r="Y1485" i="5" s="1"/>
  <c r="AB1485" i="5"/>
  <c r="U1506" i="5"/>
  <c r="Y1506" i="5" s="1"/>
  <c r="AB1506" i="5"/>
  <c r="U1484" i="5"/>
  <c r="Y1484" i="5" s="1"/>
  <c r="AB1484" i="5"/>
  <c r="U1494" i="5"/>
  <c r="Y1494" i="5" s="1"/>
  <c r="P13" i="11" s="1"/>
  <c r="U1516" i="5"/>
  <c r="Y1516" i="5" s="1"/>
  <c r="AB1516" i="5"/>
  <c r="AB1522" i="5"/>
  <c r="U1507" i="5"/>
  <c r="Y1507" i="5" s="1"/>
  <c r="U1493" i="5"/>
  <c r="Y1493" i="5" s="1"/>
  <c r="U1487" i="5"/>
  <c r="Y1487" i="5" s="1"/>
  <c r="U1496" i="5"/>
  <c r="Y1496" i="5" s="1"/>
  <c r="U1504" i="5"/>
  <c r="Y1504" i="5" s="1"/>
  <c r="AB1504" i="5"/>
  <c r="U1520" i="5"/>
  <c r="Y1520" i="5" s="1"/>
  <c r="AB1520" i="5"/>
  <c r="U1515" i="5"/>
  <c r="Y1515" i="5" s="1"/>
  <c r="AB1515" i="5"/>
  <c r="U1522" i="5"/>
  <c r="Y1522" i="5" s="1"/>
  <c r="U1513" i="5"/>
  <c r="Y1513" i="5" s="1"/>
  <c r="P41" i="11" l="1"/>
  <c r="P39" i="11"/>
  <c r="Y1514" i="5"/>
  <c r="U1221" i="5"/>
  <c r="AB1221" i="5"/>
  <c r="U1222" i="5"/>
  <c r="Y1222" i="5" s="1"/>
  <c r="AB1222" i="5"/>
  <c r="U1223" i="5"/>
  <c r="Y1223" i="5" s="1"/>
  <c r="AB1223" i="5"/>
  <c r="AB1224" i="5"/>
  <c r="U1224" i="5"/>
  <c r="Y1224" i="5" s="1"/>
  <c r="Y1221" i="5" l="1"/>
  <c r="U1230" i="5"/>
  <c r="Y1230" i="5" s="1"/>
  <c r="N13" i="11" s="1"/>
  <c r="AB1230" i="5"/>
  <c r="AB1231" i="5"/>
  <c r="U1231" i="5"/>
  <c r="Y1231" i="5" s="1"/>
  <c r="AB1232" i="5"/>
  <c r="U1232" i="5"/>
  <c r="Y1232" i="5" s="1"/>
  <c r="AB1233" i="5"/>
  <c r="U1233" i="5"/>
  <c r="Y1233" i="5" s="1"/>
  <c r="AB1234" i="5"/>
  <c r="U1234" i="5"/>
  <c r="Y1234" i="5" s="1"/>
  <c r="AB1235" i="5"/>
  <c r="N179" i="11"/>
  <c r="N58" i="11" s="1"/>
  <c r="R58" i="11" s="1"/>
  <c r="U1235" i="5"/>
  <c r="Y1235" i="5" s="1"/>
  <c r="L16" i="10" l="1"/>
  <c r="L10" i="10" s="1"/>
  <c r="L20" i="10" s="1"/>
  <c r="N42" i="11" s="1"/>
  <c r="N41" i="11"/>
  <c r="N39" i="11"/>
  <c r="R179" i="11"/>
  <c r="L21" i="10" l="1"/>
  <c r="N44" i="11" s="1"/>
  <c r="N43" i="11"/>
  <c r="AB1608" i="5"/>
  <c r="U1608" i="5"/>
  <c r="N16" i="10" s="1"/>
  <c r="U1609" i="5"/>
  <c r="Y1609" i="5" s="1"/>
  <c r="AB1609" i="5"/>
  <c r="AB1610" i="5"/>
  <c r="U1610" i="5"/>
  <c r="Y1610" i="5" s="1"/>
  <c r="AB1611" i="5"/>
  <c r="U1611" i="5"/>
  <c r="Y1611" i="5" s="1"/>
  <c r="AB1613" i="5"/>
  <c r="Y1613" i="5"/>
  <c r="AB1614" i="5"/>
  <c r="U1614" i="5"/>
  <c r="Y1614" i="5" s="1"/>
  <c r="AB1615" i="5"/>
  <c r="U1615" i="5"/>
  <c r="Y1615" i="5" s="1"/>
  <c r="AB1617" i="5"/>
  <c r="U1617" i="5"/>
  <c r="Y1617" i="5" s="1"/>
  <c r="AB1618" i="5"/>
  <c r="U1618" i="5"/>
  <c r="Y1618" i="5" s="1"/>
  <c r="U1616" i="5"/>
  <c r="Y1616" i="5" s="1"/>
  <c r="AB1616" i="5"/>
  <c r="U1620" i="5"/>
  <c r="Y1620" i="5" s="1"/>
  <c r="AB1620" i="5"/>
  <c r="AB1619" i="5"/>
  <c r="U1619" i="5"/>
  <c r="Y1619" i="5" s="1"/>
  <c r="AB1621" i="5"/>
  <c r="U1621" i="5"/>
  <c r="Y1621" i="5" s="1"/>
  <c r="U1622" i="5"/>
  <c r="Y1622" i="5" s="1"/>
  <c r="AB1622" i="5"/>
  <c r="U1623" i="5"/>
  <c r="Y1623" i="5" s="1"/>
  <c r="AB1623" i="5"/>
  <c r="U1624" i="5"/>
  <c r="Y1624" i="5" s="1"/>
  <c r="AB1624" i="5"/>
  <c r="U1625" i="5"/>
  <c r="Y1625" i="5" s="1"/>
  <c r="AB1625" i="5"/>
  <c r="U1626" i="5"/>
  <c r="Y1626" i="5" s="1"/>
  <c r="AB1626" i="5"/>
  <c r="U1628" i="5"/>
  <c r="Y1628" i="5" s="1"/>
  <c r="AB1628" i="5"/>
  <c r="U1629" i="5"/>
  <c r="Y1629" i="5" s="1"/>
  <c r="AB1629" i="5"/>
  <c r="AB1594" i="5"/>
  <c r="U1594" i="5"/>
  <c r="Y1594" i="5" s="1"/>
  <c r="N10" i="10" l="1"/>
  <c r="N20" i="10" s="1"/>
  <c r="Y1608" i="5"/>
  <c r="N21" i="10" l="1"/>
  <c r="P44" i="11" s="1"/>
  <c r="P43" i="11"/>
  <c r="P42" i="11"/>
  <c r="AB1798" i="5" l="1"/>
  <c r="AB1707" i="5"/>
  <c r="AB1763" i="5"/>
  <c r="AB1699" i="5"/>
  <c r="AB1786" i="5"/>
  <c r="AB1716" i="5"/>
  <c r="AB1759" i="5"/>
  <c r="AB1735" i="5"/>
  <c r="AB1705" i="5"/>
  <c r="U1716" i="5"/>
  <c r="Y1716" i="5" s="1"/>
  <c r="AB1783" i="5"/>
  <c r="U1711" i="5"/>
  <c r="Y1711" i="5" s="1"/>
  <c r="AB1711" i="5"/>
  <c r="AB1719" i="5"/>
  <c r="AB1781" i="5"/>
  <c r="AB1770" i="5"/>
  <c r="U1763" i="5"/>
  <c r="Y1763" i="5" s="1"/>
  <c r="Y1771" i="5"/>
  <c r="AB1726" i="5"/>
  <c r="AB1700" i="5"/>
  <c r="AB1791" i="5"/>
  <c r="AB1758" i="5"/>
  <c r="U1772" i="5"/>
  <c r="Y1772" i="5" s="1"/>
  <c r="AB1772" i="5"/>
  <c r="U1697" i="5"/>
  <c r="Y1697" i="5" s="1"/>
  <c r="AB1697" i="5"/>
  <c r="AB1708" i="5"/>
  <c r="U1726" i="5"/>
  <c r="Y1726" i="5" s="1"/>
  <c r="U1735" i="5"/>
  <c r="Y1735" i="5" s="1"/>
  <c r="AB1703" i="5"/>
  <c r="U1771" i="5"/>
  <c r="AB1771" i="5"/>
  <c r="AB1779" i="5"/>
  <c r="U1751" i="5"/>
  <c r="Y1751" i="5" s="1"/>
  <c r="AB1751" i="5"/>
  <c r="AB1695" i="5"/>
  <c r="AB1762" i="5"/>
  <c r="U1708" i="5"/>
  <c r="Y1708" i="5" s="1"/>
  <c r="U1781" i="5"/>
  <c r="Y1781" i="5" s="1"/>
  <c r="U1798" i="5"/>
  <c r="Y1798" i="5" s="1"/>
  <c r="AB1793" i="5"/>
  <c r="U1709" i="5"/>
  <c r="Y1709" i="5" s="1"/>
  <c r="AB1709" i="5"/>
  <c r="U1786" i="5"/>
  <c r="Y1786" i="5" s="1"/>
  <c r="U1699" i="5"/>
  <c r="Y1699" i="5" s="1"/>
  <c r="AB1704" i="5"/>
  <c r="AB1799" i="5"/>
  <c r="U1748" i="5"/>
  <c r="Y1748" i="5" s="1"/>
  <c r="AB1748" i="5"/>
  <c r="U1759" i="5"/>
  <c r="AB1797" i="5"/>
  <c r="AB1801" i="5"/>
  <c r="AB1702" i="5"/>
  <c r="AB1773" i="5"/>
  <c r="AB1796" i="5"/>
  <c r="U1717" i="5"/>
  <c r="Y1717" i="5" s="1"/>
  <c r="AB1717" i="5"/>
  <c r="AB1760" i="5"/>
  <c r="AB1792" i="5"/>
  <c r="U1700" i="5"/>
  <c r="Y1700" i="5" s="1"/>
  <c r="AB1794" i="5"/>
  <c r="U1789" i="5"/>
  <c r="Y1789" i="5" s="1"/>
  <c r="AB1789" i="5"/>
  <c r="U1705" i="5"/>
  <c r="Y1705" i="5" s="1"/>
  <c r="U1696" i="5"/>
  <c r="Y1696" i="5" s="1"/>
  <c r="AB1696" i="5"/>
  <c r="U1758" i="5"/>
  <c r="Y1758" i="5" s="1"/>
  <c r="U1753" i="5"/>
  <c r="Y1753" i="5" s="1"/>
  <c r="AB1753" i="5"/>
  <c r="U1793" i="5"/>
  <c r="Y1793" i="5" s="1"/>
  <c r="AB1764" i="5"/>
  <c r="AB1739" i="5"/>
  <c r="U1785" i="5"/>
  <c r="Y1785" i="5" s="1"/>
  <c r="AB1785" i="5"/>
  <c r="U1707" i="5"/>
  <c r="Y1707" i="5" s="1"/>
  <c r="U1739" i="5"/>
  <c r="Y1739" i="5" s="1"/>
  <c r="U1715" i="5"/>
  <c r="Y1715" i="5" s="1"/>
  <c r="AB1715" i="5"/>
  <c r="U1703" i="5"/>
  <c r="Y1703" i="5" s="1"/>
  <c r="Q13" i="11" s="1"/>
  <c r="U1797" i="5"/>
  <c r="Y1797" i="5" s="1"/>
  <c r="Y1770" i="5"/>
  <c r="AB1749" i="5"/>
  <c r="AB1710" i="5"/>
  <c r="AB1795" i="5"/>
  <c r="U1773" i="5"/>
  <c r="Y1773" i="5" s="1"/>
  <c r="AB1718" i="5"/>
  <c r="U1796" i="5"/>
  <c r="Y1796" i="5" s="1"/>
  <c r="U1714" i="5"/>
  <c r="Y1714" i="5" s="1"/>
  <c r="AB1714" i="5"/>
  <c r="U1760" i="5"/>
  <c r="Y1760" i="5" s="1"/>
  <c r="U1695" i="5"/>
  <c r="Y1695" i="5" s="1"/>
  <c r="U1701" i="5"/>
  <c r="Y1701" i="5" s="1"/>
  <c r="AB1701" i="5"/>
  <c r="U1794" i="5"/>
  <c r="Y1794" i="5" s="1"/>
  <c r="U1752" i="5"/>
  <c r="Y1752" i="5" s="1"/>
  <c r="AB1752" i="5"/>
  <c r="AB1698" i="5"/>
  <c r="U1738" i="5"/>
  <c r="Y1738" i="5" s="1"/>
  <c r="AB1738" i="5"/>
  <c r="U1790" i="5"/>
  <c r="Y1790" i="5" s="1"/>
  <c r="AB1790" i="5"/>
  <c r="U1704" i="5"/>
  <c r="Y1704" i="5" s="1"/>
  <c r="U1698" i="5"/>
  <c r="Y1698" i="5" s="1"/>
  <c r="U1783" i="5"/>
  <c r="Y1783" i="5" s="1"/>
  <c r="U1800" i="5"/>
  <c r="Y1800" i="5" s="1"/>
  <c r="AB1800" i="5"/>
  <c r="AB1747" i="5"/>
  <c r="U1787" i="5"/>
  <c r="Y1787" i="5" s="1"/>
  <c r="AB1787" i="5"/>
  <c r="U1747" i="5"/>
  <c r="Y1747" i="5" s="1"/>
  <c r="U1762" i="5"/>
  <c r="Y1762" i="5" s="1"/>
  <c r="U1799" i="5"/>
  <c r="Y1799" i="5" s="1"/>
  <c r="U1782" i="5"/>
  <c r="Y1782" i="5" s="1"/>
  <c r="AB1782" i="5"/>
  <c r="U1719" i="5"/>
  <c r="Y1719" i="5" s="1"/>
  <c r="U1750" i="5"/>
  <c r="Y1750" i="5" s="1"/>
  <c r="AB1750" i="5"/>
  <c r="U1801" i="5"/>
  <c r="Y1801" i="5" s="1"/>
  <c r="U1802" i="5"/>
  <c r="Y1802" i="5" s="1"/>
  <c r="AB1802" i="5"/>
  <c r="U1702" i="5"/>
  <c r="Y1702" i="5" s="1"/>
  <c r="U1764" i="5"/>
  <c r="Y1764" i="5" s="1"/>
  <c r="U1737" i="5"/>
  <c r="Y1737" i="5" s="1"/>
  <c r="AB1737" i="5"/>
  <c r="U1706" i="5"/>
  <c r="Y1706" i="5" s="1"/>
  <c r="AB1706" i="5"/>
  <c r="U1710" i="5"/>
  <c r="Y1710" i="5" s="1"/>
  <c r="U1795" i="5"/>
  <c r="Y1795" i="5" s="1"/>
  <c r="Y1779" i="5"/>
  <c r="U1718" i="5"/>
  <c r="Y1718" i="5" s="1"/>
  <c r="U1749" i="5"/>
  <c r="Y1749" i="5" s="1"/>
  <c r="U1788" i="5"/>
  <c r="Y1788" i="5" s="1"/>
  <c r="AB1788" i="5"/>
  <c r="U1784" i="5"/>
  <c r="Y1784" i="5" s="1"/>
  <c r="AB1784" i="5"/>
  <c r="U1792" i="5"/>
  <c r="Y1792" i="5" s="1"/>
  <c r="U1791" i="5"/>
  <c r="Y1791" i="5" s="1"/>
  <c r="U1780" i="5"/>
  <c r="Y1780" i="5" s="1"/>
  <c r="AB1780" i="5"/>
  <c r="U1736" i="5"/>
  <c r="Y1736" i="5" s="1"/>
  <c r="AB1736" i="5"/>
  <c r="Q39" i="11" l="1"/>
  <c r="Q41" i="11"/>
  <c r="R13" i="11"/>
  <c r="O16" i="10"/>
  <c r="O10" i="10" s="1"/>
  <c r="O20" i="10" s="1"/>
  <c r="Y1759" i="5"/>
  <c r="R39" i="11" l="1"/>
  <c r="R41" i="11"/>
  <c r="R32" i="11"/>
  <c r="P16" i="10"/>
  <c r="P10" i="10" s="1"/>
  <c r="P20" i="10" s="1"/>
  <c r="P21" i="10" s="1"/>
  <c r="R44" i="11" s="1"/>
  <c r="Q43" i="11"/>
  <c r="Q42" i="11"/>
  <c r="O21" i="10"/>
  <c r="Q44" i="11" s="1"/>
  <c r="R42" i="11" l="1"/>
  <c r="R4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5" authorId="0" shapeId="0" xr:uid="{C370F2B9-29AC-4027-83C9-2BD4D7A94693}">
      <text>
        <r>
          <rPr>
            <b/>
            <sz val="9"/>
            <color indexed="9"/>
            <rFont val="Tahoma"/>
            <family val="2"/>
          </rPr>
          <t>Kilometraje que marca el odómetro del vehículo cuando el vehículo entró a la flota</t>
        </r>
      </text>
    </comment>
    <comment ref="Q5" authorId="0" shapeId="0" xr:uid="{E3782928-595D-4525-A0EA-71B3888E4991}">
      <text>
        <r>
          <rPr>
            <b/>
            <sz val="9"/>
            <color indexed="9"/>
            <rFont val="Tahoma"/>
            <family val="2"/>
          </rPr>
          <t>Kilometraje que marca el odómetro del vehículo en el último mantenimiento preventivo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TRANSPORTE</author>
  </authors>
  <commentList>
    <comment ref="I328" authorId="0" shapeId="0" xr:uid="{C2B15838-19C1-4F9D-B1A2-2E800C9125AE}">
      <text>
        <r>
          <rPr>
            <b/>
            <sz val="9"/>
            <color indexed="81"/>
            <rFont val="Tahoma"/>
            <family val="2"/>
          </rPr>
          <t>TRANSPORTE:</t>
        </r>
        <r>
          <rPr>
            <sz val="9"/>
            <color indexed="81"/>
            <rFont val="Tahoma"/>
            <family val="2"/>
          </rPr>
          <t xml:space="preserve">
CAMBIO DE HOROMETRO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TRANSPORTE</author>
  </authors>
  <commentList>
    <comment ref="O60" authorId="0" shapeId="0" xr:uid="{BDCC92FD-F422-43B7-AEA2-7CFB4E66310D}">
      <text>
        <r>
          <rPr>
            <b/>
            <sz val="9"/>
            <color indexed="81"/>
            <rFont val="Tahoma"/>
            <family val="2"/>
          </rPr>
          <t>TRANSPORTE:</t>
        </r>
        <r>
          <rPr>
            <sz val="9"/>
            <color indexed="81"/>
            <rFont val="Tahoma"/>
            <family val="2"/>
          </rPr>
          <t xml:space="preserve">
VIAJE A QUITO</t>
        </r>
      </text>
    </comment>
    <comment ref="P61" authorId="0" shapeId="0" xr:uid="{EB95123A-548F-41FD-ABBE-B408A371BE8F}">
      <text>
        <r>
          <rPr>
            <b/>
            <sz val="9"/>
            <color indexed="81"/>
            <rFont val="Tahoma"/>
            <family val="2"/>
          </rPr>
          <t>TRANSPORTE:</t>
        </r>
        <r>
          <rPr>
            <sz val="9"/>
            <color indexed="81"/>
            <rFont val="Tahoma"/>
            <family val="2"/>
          </rPr>
          <t xml:space="preserve">
VIIAJE A GUAYAQUIL</t>
        </r>
      </text>
    </comment>
  </commentList>
</comments>
</file>

<file path=xl/sharedStrings.xml><?xml version="1.0" encoding="utf-8"?>
<sst xmlns="http://schemas.openxmlformats.org/spreadsheetml/2006/main" count="11237" uniqueCount="585">
  <si>
    <t>Tipo</t>
  </si>
  <si>
    <t>Tipo Vehiculo</t>
  </si>
  <si>
    <t>Marcas</t>
  </si>
  <si>
    <t>Modelo</t>
  </si>
  <si>
    <t>Año</t>
  </si>
  <si>
    <t>Poliza seguro</t>
  </si>
  <si>
    <t>Estado Poliza</t>
  </si>
  <si>
    <t>Estado Vehiculo</t>
  </si>
  <si>
    <t>Mantenimiento</t>
  </si>
  <si>
    <t>Dirección</t>
  </si>
  <si>
    <t>Doc Identidad</t>
  </si>
  <si>
    <t>Calificación</t>
  </si>
  <si>
    <t>Aseguradora</t>
  </si>
  <si>
    <t>Nro Licencia</t>
  </si>
  <si>
    <t>Nombre del Taller</t>
  </si>
  <si>
    <t>Teléfono/Celular</t>
  </si>
  <si>
    <t>Correo</t>
  </si>
  <si>
    <t>Contacto Principal</t>
  </si>
  <si>
    <t>Servicios de Mantenimiento</t>
  </si>
  <si>
    <t>Nro</t>
  </si>
  <si>
    <t>Tipo de Combustible</t>
  </si>
  <si>
    <t>Estación de Combustible</t>
  </si>
  <si>
    <t>Infracción</t>
  </si>
  <si>
    <t>Fecha</t>
  </si>
  <si>
    <t>Placa Vehiculo</t>
  </si>
  <si>
    <t>Año Impuesto</t>
  </si>
  <si>
    <t>Tipo Impuesto</t>
  </si>
  <si>
    <t>Nro Viaje</t>
  </si>
  <si>
    <t>Observaciones</t>
  </si>
  <si>
    <t>Estado Pago</t>
  </si>
  <si>
    <t>Preventivo</t>
  </si>
  <si>
    <t>Correctivo</t>
  </si>
  <si>
    <t>Causas del Mantenimiento</t>
  </si>
  <si>
    <t>Fecha Salida</t>
  </si>
  <si>
    <t>Fecha Entrada</t>
  </si>
  <si>
    <t>Destino</t>
  </si>
  <si>
    <t>Conductor</t>
  </si>
  <si>
    <t>Total Combustible ($)</t>
  </si>
  <si>
    <t>Kms Recorridos</t>
  </si>
  <si>
    <t>Ingreso Total ($)</t>
  </si>
  <si>
    <t>Origen</t>
  </si>
  <si>
    <t>Utilidad ($)</t>
  </si>
  <si>
    <t>Costo Total ($)</t>
  </si>
  <si>
    <t>Taller</t>
  </si>
  <si>
    <t>Estado Vehículo</t>
  </si>
  <si>
    <t>Concepto</t>
  </si>
  <si>
    <t>Ingresos</t>
  </si>
  <si>
    <t>Gastos</t>
  </si>
  <si>
    <t>Combustible</t>
  </si>
  <si>
    <t>Peaje</t>
  </si>
  <si>
    <t>Comidas</t>
  </si>
  <si>
    <t>Multas</t>
  </si>
  <si>
    <t>Personal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</si>
  <si>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</si>
  <si>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</si>
  <si>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</si>
  <si>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</si>
  <si>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</si>
  <si>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</si>
  <si>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</si>
  <si>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</si>
  <si>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</si>
  <si>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</si>
  <si>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</si>
  <si>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</si>
  <si>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Nro de Viajes</t>
  </si>
  <si>
    <t>Km/viaje</t>
  </si>
  <si>
    <t>Gasto medio por viaje</t>
  </si>
  <si>
    <t>Ingresos/Km</t>
  </si>
  <si>
    <t>Indicadores Financieros</t>
  </si>
  <si>
    <t>Totales</t>
  </si>
  <si>
    <t>Unidad</t>
  </si>
  <si>
    <t>und</t>
  </si>
  <si>
    <t>Km</t>
  </si>
  <si>
    <t>$</t>
  </si>
  <si>
    <t>gal</t>
  </si>
  <si>
    <t>Kg</t>
  </si>
  <si>
    <t>Carga Transportada</t>
  </si>
  <si>
    <t>Carga media por viaje</t>
  </si>
  <si>
    <t>Ingreso medio por viaje</t>
  </si>
  <si>
    <t>Ingresos por Km</t>
  </si>
  <si>
    <t>Gastos por Km</t>
  </si>
  <si>
    <t>$/viaje</t>
  </si>
  <si>
    <t>$/Km</t>
  </si>
  <si>
    <t>Mes</t>
  </si>
  <si>
    <t>Nro multas</t>
  </si>
  <si>
    <t>Gastos por Multas</t>
  </si>
  <si>
    <t>Ingresos/Viaje</t>
  </si>
  <si>
    <t>Carga/Km</t>
  </si>
  <si>
    <t>Carga/Viaje</t>
  </si>
  <si>
    <t>SEGUROS DE VEHICULOS</t>
  </si>
  <si>
    <t>IMPUESTOS DE VEHICULOS</t>
  </si>
  <si>
    <t>DATOS DE LOS CONDUCTORES</t>
  </si>
  <si>
    <t>TALLERES DE MANTENIMIENTO</t>
  </si>
  <si>
    <t>OTRAS LISTAS DE DATOS</t>
  </si>
  <si>
    <t>★</t>
  </si>
  <si>
    <t>★★</t>
  </si>
  <si>
    <t>★★★</t>
  </si>
  <si>
    <t>★★★★</t>
  </si>
  <si>
    <t>★★★★★</t>
  </si>
  <si>
    <t>Premium</t>
  </si>
  <si>
    <t>GLP</t>
  </si>
  <si>
    <t>Diesel</t>
  </si>
  <si>
    <t>Cambio de Aceite y Filtro de Aceite</t>
  </si>
  <si>
    <t>Verificación de Niveles de Fluidos</t>
  </si>
  <si>
    <t>Revisión del Sistema de Admisión, Mangueras y Tuberías</t>
  </si>
  <si>
    <t>Cambio de Filtro de Aire</t>
  </si>
  <si>
    <t>Mantenimiento de la Batería</t>
  </si>
  <si>
    <t>Revisión de Luces</t>
  </si>
  <si>
    <t>Reemplazo de Bujías, Cables y Correas Serpentinas</t>
  </si>
  <si>
    <t>Verificación de Neumáticos</t>
  </si>
  <si>
    <t>Revisión de Amortiguadores</t>
  </si>
  <si>
    <t>Inspección de la Correa de Distribución</t>
  </si>
  <si>
    <t>Mantenimiento del Sistema de Combustible</t>
  </si>
  <si>
    <t>Servicio Completo de Mantenimiento Automotriz</t>
  </si>
  <si>
    <t>Inspección del Sistema de Frenos</t>
  </si>
  <si>
    <t>Revisión del Dispositivo de Acoplamiento</t>
  </si>
  <si>
    <t>Verificación del Funcionamiento del Motor</t>
  </si>
  <si>
    <t>Revisión del Sistema de Escape</t>
  </si>
  <si>
    <t>Mantenimiento del Sistema de Dirección</t>
  </si>
  <si>
    <t>Ajuste del Tiempo del Motor</t>
  </si>
  <si>
    <t>Inspección del Sistema de Suspensión</t>
  </si>
  <si>
    <t>Verificación del Sistema de Transmisión</t>
  </si>
  <si>
    <t>Se pasó la luz roja</t>
  </si>
  <si>
    <t>Mal estacionado</t>
  </si>
  <si>
    <t>Accidente imprudencial</t>
  </si>
  <si>
    <t>Conductor alcoholizado</t>
  </si>
  <si>
    <t>Conductor temerario</t>
  </si>
  <si>
    <t>Alta velocidad</t>
  </si>
  <si>
    <t>Tipo Mantenimiento</t>
  </si>
  <si>
    <t>RUTAS DE VIAJE</t>
  </si>
  <si>
    <t>Precio x Galón ($/gal)</t>
  </si>
  <si>
    <t>Placa Vehículo</t>
  </si>
  <si>
    <t>Importe multa ($)</t>
  </si>
  <si>
    <t>Importe pagado ($)</t>
  </si>
  <si>
    <t>Debe ($)</t>
  </si>
  <si>
    <t>Gasto Total ($)</t>
  </si>
  <si>
    <t>Gasto comidas ($)</t>
  </si>
  <si>
    <t>Otros Gastos ($)</t>
  </si>
  <si>
    <t>Ingreso por Kms de recorrido ($/Km)</t>
  </si>
  <si>
    <t>Recorrido por und. de comb. (Km/gal)</t>
  </si>
  <si>
    <t>Volumen de Combustible (gal)</t>
  </si>
  <si>
    <t>Fecha de Pago</t>
  </si>
  <si>
    <t>Seguros</t>
  </si>
  <si>
    <t>Impuestos</t>
  </si>
  <si>
    <t>Otros Egresos</t>
  </si>
  <si>
    <t>Fecha de pago</t>
  </si>
  <si>
    <t>Fecha de inicio</t>
  </si>
  <si>
    <t>Fecha de Vencimiento</t>
  </si>
  <si>
    <t>Impuesto ($)</t>
  </si>
  <si>
    <t>Importe Pagado ($)</t>
  </si>
  <si>
    <t>Margen (%)</t>
  </si>
  <si>
    <t>Ingresos ($)</t>
  </si>
  <si>
    <t>Egresos ($)</t>
  </si>
  <si>
    <t>Placa de Vehículo</t>
  </si>
  <si>
    <t>Total</t>
  </si>
  <si>
    <t>Nro Mantenimientos Preventivos</t>
  </si>
  <si>
    <t>Nro Mantenimientos Correctivos</t>
  </si>
  <si>
    <t>Total de Mantenimientos</t>
  </si>
  <si>
    <t>EGRESOS VARIOS</t>
  </si>
  <si>
    <t>Gastos Personal</t>
  </si>
  <si>
    <t>Gráfica</t>
  </si>
  <si>
    <t>Utilidad media por viaje</t>
  </si>
  <si>
    <t>Utilidad media por Km</t>
  </si>
  <si>
    <t>Margen Bruto</t>
  </si>
  <si>
    <t>%</t>
  </si>
  <si>
    <t>REPORTE GENERAL DE INDICADORES POR VEHICULO</t>
  </si>
  <si>
    <t>REPORTE DE INDICADORES POR CONDUCTOR</t>
  </si>
  <si>
    <t>Kms Inicial (Odómetro)</t>
  </si>
  <si>
    <t>Kms Final (Odómetro)</t>
  </si>
  <si>
    <t>Fecha de Salida</t>
  </si>
  <si>
    <t>Fecha de Llegada</t>
  </si>
  <si>
    <t>Paquete de Mantenimiento</t>
  </si>
  <si>
    <t>Preventivo 01</t>
  </si>
  <si>
    <t>Preventivo 02</t>
  </si>
  <si>
    <t>Preventivo 03</t>
  </si>
  <si>
    <t>Preventivo 04</t>
  </si>
  <si>
    <t>Preventivo 05</t>
  </si>
  <si>
    <t>VEHÍCULO</t>
  </si>
  <si>
    <t>COMBUSTIBLE</t>
  </si>
  <si>
    <t>MANTENIMIENTO</t>
  </si>
  <si>
    <t>OTROS</t>
  </si>
  <si>
    <t>Kilometraje del Odómetro</t>
  </si>
  <si>
    <t>Kms Odómetro Actual</t>
  </si>
  <si>
    <t>Kms Odómetro Inicial</t>
  </si>
  <si>
    <t>Estado Mantenimiento Preventivo</t>
  </si>
  <si>
    <t>DATOS Y CONTROL DEL MANTENIMIENTO PREVENTIVO</t>
  </si>
  <si>
    <t>DATOS PRINCIPALES Y DISPONIBILIDAD DEL VEHÍCULO</t>
  </si>
  <si>
    <t>Gasto peajes ($)</t>
  </si>
  <si>
    <t>Correctivo 01</t>
  </si>
  <si>
    <t>Correctivo 02</t>
  </si>
  <si>
    <t>Correctivo 03</t>
  </si>
  <si>
    <t>Planchado y pintado</t>
  </si>
  <si>
    <t>Cambio de puertas</t>
  </si>
  <si>
    <t>Eliminación de inperfecciones de la pintura</t>
  </si>
  <si>
    <t>VACUMM</t>
  </si>
  <si>
    <t>CABEZAL</t>
  </si>
  <si>
    <t>CAMIÓN RIGIDO</t>
  </si>
  <si>
    <t>DAF</t>
  </si>
  <si>
    <t>HINO</t>
  </si>
  <si>
    <t>SHACMAN</t>
  </si>
  <si>
    <t>VACUUM</t>
  </si>
  <si>
    <t>RIGIDO</t>
  </si>
  <si>
    <t>ARTICULADO</t>
  </si>
  <si>
    <t>QAA-3164</t>
  </si>
  <si>
    <t>BLANCO</t>
  </si>
  <si>
    <t>Toneladas (Tn)</t>
  </si>
  <si>
    <t>QAA-3166</t>
  </si>
  <si>
    <t>QAA-2912</t>
  </si>
  <si>
    <t>QAA-2915</t>
  </si>
  <si>
    <t>QAA-2916</t>
  </si>
  <si>
    <t>QAA-3165</t>
  </si>
  <si>
    <t>QAA-1976</t>
  </si>
  <si>
    <t>IAA-2747</t>
  </si>
  <si>
    <t>A517778</t>
  </si>
  <si>
    <t>AMARILLO</t>
  </si>
  <si>
    <t>A516026</t>
  </si>
  <si>
    <t>A517802</t>
  </si>
  <si>
    <t>J08EWG10689</t>
  </si>
  <si>
    <t>MECÁNICA ORIENTOIL</t>
  </si>
  <si>
    <t>VIA AL COCA KM 3 SECTOR LA PARKER</t>
  </si>
  <si>
    <t>mecanica-orientoil@hotmail.com</t>
  </si>
  <si>
    <t>Cumplimiento con el kilometraje recorrido</t>
  </si>
  <si>
    <t>LUBRICADORA HOMECAR</t>
  </si>
  <si>
    <t>FRENTE AL SINDICATO DE CHOFERES</t>
  </si>
  <si>
    <t>jorgerodriguez64@gmail.com</t>
  </si>
  <si>
    <t>Jorge Rodriguez</t>
  </si>
  <si>
    <t>P11CVT20663</t>
  </si>
  <si>
    <t>E13CWT20044</t>
  </si>
  <si>
    <t>ARGUELLO PAUCAR JOHN FRANKLIN</t>
  </si>
  <si>
    <t>0201710944</t>
  </si>
  <si>
    <t>BAYAS VASQUEZ PEDRO BENJAMIN</t>
  </si>
  <si>
    <t>BRAVO SONGOR MARCO HERNAN</t>
  </si>
  <si>
    <t>BRIONES SOLORZANO LEONARDO FABIO</t>
  </si>
  <si>
    <t>CAMACHO MORENO GILSON ADALBERTO</t>
  </si>
  <si>
    <t>CAMACHO NARANJO CARLOS ANDRES</t>
  </si>
  <si>
    <t>CASTILLO VILLALVA EDGAR PATRICIO</t>
  </si>
  <si>
    <t>CORDOVA CELI ANDRES ALEXANDER</t>
  </si>
  <si>
    <t>ESTACIO DAVILA EDWIN ALEXIS</t>
  </si>
  <si>
    <t>GALEAS AGUILA FREDY RODOLFO</t>
  </si>
  <si>
    <t>LOPEZ GUERRERO CRISTIAN ALEJANDRO</t>
  </si>
  <si>
    <t>LUNA HERNANDEZ LUIS ALBERTO</t>
  </si>
  <si>
    <t>MOSCUY RAMIREZ MILVIO PAUL</t>
  </si>
  <si>
    <t>0802477646</t>
  </si>
  <si>
    <t>NAZARENO PALOMINO JORGE MANUEL</t>
  </si>
  <si>
    <t>ORDOÑEZ CALLE JOSE SALVADOR</t>
  </si>
  <si>
    <t>ORDOÑEZ MENENDEZ JOSUE ELISEO</t>
  </si>
  <si>
    <t>PONCE RUIZ SIXTO LUBERNDI</t>
  </si>
  <si>
    <t>TANDAZO ROSILLO VICTOR HUGO</t>
  </si>
  <si>
    <t>2200222327</t>
  </si>
  <si>
    <t>VARGAS CARAVAJAL ROMEL LEONEL</t>
  </si>
  <si>
    <t>0504385162</t>
  </si>
  <si>
    <t>AGURTO LOPEZ ERWIN JESULIN</t>
  </si>
  <si>
    <t>ANCHUNDIA LISANDRO</t>
  </si>
  <si>
    <t>BARRAGAN GARCIA GISSELA NOEMI</t>
  </si>
  <si>
    <t>CAMACHO ZURITA ALEX ADRIAN</t>
  </si>
  <si>
    <t>DEL VALLE CASTRO JAIME FERNANDO</t>
  </si>
  <si>
    <t>GAROFALO PALAGUACHAY YOMAIRA MARICELA</t>
  </si>
  <si>
    <t>HUANCA MAITA SANTOS ARCECIO</t>
  </si>
  <si>
    <t>JARAMILLO CONZA LUIS ALBERTO</t>
  </si>
  <si>
    <t>MANOBANDA SANCHEZ WILMER BENIGNO</t>
  </si>
  <si>
    <t>MORAN PRIAS PEDRO PABLO</t>
  </si>
  <si>
    <t>MORENO GALEAS JOSE LEODAN</t>
  </si>
  <si>
    <t>2100699962</t>
  </si>
  <si>
    <t>NARANJO PERALTA VANESSA KATERINE</t>
  </si>
  <si>
    <t>QUINTANILLA GARCIA LUIS HUMBERTO</t>
  </si>
  <si>
    <t>2250305303</t>
  </si>
  <si>
    <t>QUINTERO BRAVO KAREN LISETH</t>
  </si>
  <si>
    <t>REYES CELI JAVIER MAURICIO</t>
  </si>
  <si>
    <t>RIVERA GAONA CARLOS FABIAN</t>
  </si>
  <si>
    <t>Jefferson Ortiz</t>
  </si>
  <si>
    <t>La Joya de los Sachas</t>
  </si>
  <si>
    <t>'0201710944</t>
  </si>
  <si>
    <t>BASE ORIENTOIL</t>
  </si>
  <si>
    <t>MDC</t>
  </si>
  <si>
    <t>FLOTA DE VEHICULOS PROYECTO ENAP</t>
  </si>
  <si>
    <t xml:space="preserve">CONTROL DE ENAPITOS  </t>
  </si>
  <si>
    <t>GASOLINA</t>
  </si>
  <si>
    <t>Costo por Km de carga ($/Km)</t>
  </si>
  <si>
    <t>UTILIDAD DEL PROYECTO</t>
  </si>
  <si>
    <t>QAA-3180</t>
  </si>
  <si>
    <t>PLOMO</t>
  </si>
  <si>
    <t>INCHI</t>
  </si>
  <si>
    <t>CAMIONETA</t>
  </si>
  <si>
    <t>CHEVROLET</t>
  </si>
  <si>
    <t>DMAX</t>
  </si>
  <si>
    <t>PFF-2857</t>
  </si>
  <si>
    <t>4JK1ZH1718</t>
  </si>
  <si>
    <t>TACURI GUEVARA LUIS EDUARDO</t>
  </si>
  <si>
    <t>SILVA FERNANDO</t>
  </si>
  <si>
    <t>SUPERVISOR</t>
  </si>
  <si>
    <t>ORDOÑEZ CAR DETAILING CENTER</t>
  </si>
  <si>
    <t>AV. FUNDADORES VIA LA PARKER</t>
  </si>
  <si>
    <t>Juan Carlos Ordoñez</t>
  </si>
  <si>
    <t>8R8RFNS26B9J01843</t>
  </si>
  <si>
    <t>BLANCO-ROJO</t>
  </si>
  <si>
    <t>130 BARRILES</t>
  </si>
  <si>
    <t>160 BARRILES</t>
  </si>
  <si>
    <t>200 BARRILES</t>
  </si>
  <si>
    <t>8R8RFNS2899J01854</t>
  </si>
  <si>
    <t>8R8RFNS39H9J02079</t>
  </si>
  <si>
    <t>8R8RFNS2699J01626</t>
  </si>
  <si>
    <t>8R8RFNS2299J01851</t>
  </si>
  <si>
    <t>8R8RFNS2499J01625</t>
  </si>
  <si>
    <t>8R8RFNS2199J01842</t>
  </si>
  <si>
    <t>SAMANIEGO RICHARD</t>
  </si>
  <si>
    <t>KR-1189/42416</t>
  </si>
  <si>
    <t>KR-1172/42409</t>
  </si>
  <si>
    <t>KR-1344/42429</t>
  </si>
  <si>
    <t>B</t>
  </si>
  <si>
    <t>KR-1090/42407</t>
  </si>
  <si>
    <t>KR-1188/42405</t>
  </si>
  <si>
    <t>KR-1088/42406</t>
  </si>
  <si>
    <t>KR-1185/42408</t>
  </si>
  <si>
    <t>Cumplimiento con las horas transcurridas</t>
  </si>
  <si>
    <t>30/01/20225</t>
  </si>
  <si>
    <t>MANTENIMIENTO DE CABEZALES Y VACUUM</t>
  </si>
  <si>
    <t>PARAISO</t>
  </si>
  <si>
    <t>KR-1184/42418</t>
  </si>
  <si>
    <t>8R8RFNS22B9J01855</t>
  </si>
  <si>
    <t>KR-1108/42403</t>
  </si>
  <si>
    <t>8R8RFNS25B9J01624</t>
  </si>
  <si>
    <t>Prev Caja y Corona</t>
  </si>
  <si>
    <t>Correctivo 04</t>
  </si>
  <si>
    <t>Correctivo 05</t>
  </si>
  <si>
    <t>Correctivo 06</t>
  </si>
  <si>
    <t>Correctivo 07</t>
  </si>
  <si>
    <t>Correctivo 08</t>
  </si>
  <si>
    <t>Correctivo 09</t>
  </si>
  <si>
    <t>Correctivo 10</t>
  </si>
  <si>
    <t>Caja y Corona 01</t>
  </si>
  <si>
    <t>Caja y Corona 02</t>
  </si>
  <si>
    <t>Caja y Corona 03</t>
  </si>
  <si>
    <t>Caja y Corona 04</t>
  </si>
  <si>
    <t>Caja Y Corona 05</t>
  </si>
  <si>
    <t>LAVADORA Y LUBIRCADORA G &amp; J</t>
  </si>
  <si>
    <t>SECTOR LOS LAULERES</t>
  </si>
  <si>
    <t>Govannela Pinargote</t>
  </si>
  <si>
    <t xml:space="preserve">GASOLINERA </t>
  </si>
  <si>
    <t>GASOLINERA MIRAFLORES</t>
  </si>
  <si>
    <t>GASOLINERA SAN JOSE</t>
  </si>
  <si>
    <t>Kms faltantes Mnnto Prev.
Motor
 (Km)</t>
  </si>
  <si>
    <t>Kms 
Último Mnnto. Preventivo
Motor</t>
  </si>
  <si>
    <t>Kms Faltantes Mannto Prev.
Cajas y Diferencial</t>
  </si>
  <si>
    <t>Kms
Último Mnnto Preve
Caja y Diferencial</t>
  </si>
  <si>
    <t>Ciclo para 
Mnnto
Preventivo
Caja y Diferencial</t>
  </si>
  <si>
    <t>Ciclo para Mnnto Prevent.
Motor
 (Kms)</t>
  </si>
  <si>
    <t>Arreglo de la suspensión</t>
  </si>
  <si>
    <t>Horas</t>
  </si>
  <si>
    <t>Disponible</t>
  </si>
  <si>
    <t>QAA-3220</t>
  </si>
  <si>
    <t>A547787</t>
  </si>
  <si>
    <t>KR-1094/42424</t>
  </si>
  <si>
    <t>8R8RFNS22B9J01631</t>
  </si>
  <si>
    <t>Barriles/viaje</t>
  </si>
  <si>
    <t>Nro Mantenimiento Preventivo</t>
  </si>
  <si>
    <t>Nro Mantenimiento Correctivo</t>
  </si>
  <si>
    <t>Und</t>
  </si>
  <si>
    <t>Nro de tanqueos</t>
  </si>
  <si>
    <t>Km/tanqueo</t>
  </si>
  <si>
    <t>Cantidad de galones cargados</t>
  </si>
  <si>
    <t>Tiempo medio por reparación (MMTR)</t>
  </si>
  <si>
    <t>Tiempo Total por reparación</t>
  </si>
  <si>
    <t>Tiempo Total de operación</t>
  </si>
  <si>
    <t>Horas trabjadas</t>
  </si>
  <si>
    <t>PAB-3424</t>
  </si>
  <si>
    <t>PLACA</t>
  </si>
  <si>
    <t>TIPO</t>
  </si>
  <si>
    <t>MARCA</t>
  </si>
  <si>
    <t>MODELO</t>
  </si>
  <si>
    <t>NRO DE SERIE</t>
  </si>
  <si>
    <t>COLOR</t>
  </si>
  <si>
    <t>AÑO</t>
  </si>
  <si>
    <t>Disponibilidad del equipo</t>
  </si>
  <si>
    <t>Kms Recorridos |horas de trabajo</t>
  </si>
  <si>
    <t>Kms|Hrs</t>
  </si>
  <si>
    <t>QAA-1974</t>
  </si>
  <si>
    <t>E13CWT20046</t>
  </si>
  <si>
    <t>Peso de carga (BLS)</t>
  </si>
  <si>
    <t>BASE ORT</t>
  </si>
  <si>
    <t>24/05/025</t>
  </si>
  <si>
    <t>Km/Mnnto</t>
  </si>
  <si>
    <t>Km/Gal</t>
  </si>
  <si>
    <t>Tiempo TotaL por mantenimiento preventivo</t>
  </si>
  <si>
    <t>Equipo</t>
  </si>
  <si>
    <t>CABEZAL ARTICULADO SHACMAN</t>
  </si>
  <si>
    <t>CABEZAL ARTICULADO DAF</t>
  </si>
  <si>
    <t>RIGIDO CAMIÓN RIGIDO HINO</t>
  </si>
  <si>
    <t>CABEZAL ARTICULADO HINO</t>
  </si>
  <si>
    <t>DMAX CAMIONETA CHEVROLET</t>
  </si>
  <si>
    <t>VACUUM 160 BARRILES VACUUM</t>
  </si>
  <si>
    <t>VACUUM 200 BARRILES VACUUM</t>
  </si>
  <si>
    <t>KILÓMETROS RECORRIDOS</t>
  </si>
  <si>
    <t xml:space="preserve">MANTENIMIENTOS PREVENTIVOS </t>
  </si>
  <si>
    <t>(Kms|Hrs) por galón de combustible</t>
  </si>
  <si>
    <t>(Kms |Hrs) por tanqueo</t>
  </si>
  <si>
    <t>(Kms|Hrs) por mantenim.</t>
  </si>
  <si>
    <t>Gal</t>
  </si>
  <si>
    <t>ESTACIÓN PARAÍSO</t>
  </si>
  <si>
    <t>MES</t>
  </si>
  <si>
    <t>Ejecutados</t>
  </si>
  <si>
    <t>Programados</t>
  </si>
  <si>
    <t>Septiembre</t>
  </si>
  <si>
    <t>PFG-2722</t>
  </si>
  <si>
    <t>QINGLING</t>
  </si>
  <si>
    <t>G533087</t>
  </si>
  <si>
    <t>KR-1343/42430</t>
  </si>
  <si>
    <t>KR1343/42430</t>
  </si>
  <si>
    <t>8R8RFNS35H9J02080</t>
  </si>
  <si>
    <t>INTRIAGO ANDRES</t>
  </si>
  <si>
    <t>Tiempo Total de operación del equipo</t>
  </si>
  <si>
    <t>ARGUELLO MAURICIO</t>
  </si>
  <si>
    <t>Indicadores de Mantenimiento</t>
  </si>
  <si>
    <t>CANTIDAD DE GALONES CARGADOS</t>
  </si>
  <si>
    <t>OR-2276</t>
  </si>
  <si>
    <t>8R8RJMS34S8J01377</t>
  </si>
  <si>
    <t>NAVARRETE WILNER</t>
  </si>
  <si>
    <t>CONTENTO DIEDER</t>
  </si>
  <si>
    <t>SIMALEZA JIMMY</t>
  </si>
  <si>
    <t>ABADA JOSSELYN</t>
  </si>
  <si>
    <t>Tiempo MTO PTVO</t>
  </si>
  <si>
    <t>PEREZ JOFFRE</t>
  </si>
  <si>
    <t>VERDESOTO ANGEL</t>
  </si>
  <si>
    <t>KILOMETROS RECORRIDOS POR GALON</t>
  </si>
  <si>
    <t>MANTENIMIENTOS CORRECTIVOS</t>
  </si>
  <si>
    <t>QUISHPE CARLOS</t>
  </si>
  <si>
    <t>LLANOS FRANKLIN</t>
  </si>
  <si>
    <t>AGILA LUIS</t>
  </si>
  <si>
    <t>Mantenimiento Preventivo y Chequeo de Radiadory cambio de luces</t>
  </si>
  <si>
    <t>Cambio de radiador, Cambio de Empaques, cambio de bola en la bota</t>
  </si>
  <si>
    <t>Cambio de valvula prinicpal de vacuum</t>
  </si>
  <si>
    <t>Tiempo medio entre Fallas(MTBF)</t>
  </si>
  <si>
    <t xml:space="preserve">Cambio de Faro derecho frontal </t>
  </si>
  <si>
    <t>Cambio de luces guia traseras</t>
  </si>
  <si>
    <t>TICKET</t>
  </si>
  <si>
    <t>Fecha_Fallo</t>
  </si>
  <si>
    <t>Kilometraje_Horas_Fallo</t>
  </si>
  <si>
    <t>Fecha_Inicio_Reparacion</t>
  </si>
  <si>
    <t>Fecha_Fin_Reparacion</t>
  </si>
  <si>
    <t>Tiempo_Reparacion_horas</t>
  </si>
  <si>
    <t>Tipo_Fallo</t>
  </si>
  <si>
    <t>Estado_Reparacion</t>
  </si>
  <si>
    <t>Intervalo_Entre_Fallos</t>
  </si>
  <si>
    <t>Completado</t>
  </si>
  <si>
    <t>Primer Fallo</t>
  </si>
  <si>
    <t>Causas de la falla</t>
  </si>
  <si>
    <t>Cambio de cable de energia que conecta el cabezal con el vacuum y cambio de tanque de combustible</t>
  </si>
  <si>
    <t>Cambio de Faro zquierdo frontal y Revisión de baterias</t>
  </si>
  <si>
    <t>Revisión y ajuste de muelas de Quinta Rueda</t>
  </si>
  <si>
    <t>Cambio de 8 Llantas Reencauchadas de Vacuum</t>
  </si>
  <si>
    <t>Cambio de 2 Bandas de compresor de Vacuum</t>
  </si>
  <si>
    <t>Revisión de tapas de combustible y revisión de tomacorriente de vacuum</t>
  </si>
  <si>
    <t>Cambio de un switch de 1 tiempo de Vacuum</t>
  </si>
  <si>
    <t>Cambio de foco Neblinero</t>
  </si>
  <si>
    <t>criterio de busqueda</t>
  </si>
  <si>
    <t>Cambio de bandas</t>
  </si>
  <si>
    <t>Cambio de kinping y regulación de frenos</t>
  </si>
  <si>
    <t>Cambio de horometro</t>
  </si>
  <si>
    <t>Cambio de Hormetro dañado de Vacuum</t>
  </si>
  <si>
    <t>N° de Orden</t>
  </si>
  <si>
    <t>Mantenimiento Preventivo de las 250 Horas</t>
  </si>
  <si>
    <t>QINGLING CABEZAL QINGLING</t>
  </si>
  <si>
    <t>Cambio de luces guias posteriores</t>
  </si>
  <si>
    <t>Cambio de 2 baterias</t>
  </si>
  <si>
    <t>Mantenimiento Preventivo 8000 kms</t>
  </si>
  <si>
    <t>Mantenimiento Preventivo 60000 Kms</t>
  </si>
  <si>
    <t>Arreglo de fuga de aire en manguera principal</t>
  </si>
  <si>
    <t>Cambio de tetenedor de valvula de 4 Vías</t>
  </si>
  <si>
    <t>Cambio de Valvula Check, Valvula de alivio y Valvula repartidora.</t>
  </si>
  <si>
    <t>Cambio de Válvula repatidora del vacuum y manguera de aire</t>
  </si>
  <si>
    <t>Soldado de tanquere de aire de vacuum</t>
  </si>
  <si>
    <t>GASOLINERA DIVINO NIÑO</t>
  </si>
  <si>
    <t>GASOLINERA P&amp;S</t>
  </si>
  <si>
    <t>QAA-3074</t>
  </si>
  <si>
    <t>A548013</t>
  </si>
  <si>
    <t>Mantenimiento Preventivo de los 8000 KMs</t>
  </si>
  <si>
    <t>Cambio  de manguera de aire de cabezal vacuum</t>
  </si>
  <si>
    <t>Mantenimiento Preventivo de los 6000 kms</t>
  </si>
  <si>
    <t>Mantenimieto Preventivo de 8000 Kms</t>
  </si>
  <si>
    <t>Cambio de manguera de pulmon de freno / y tanque de aire (sistema de frenado)</t>
  </si>
  <si>
    <t>Cambio de Manometro de -10 a +10</t>
  </si>
  <si>
    <t>Cambio de las 2 Patas de Apoyo del vacuum</t>
  </si>
  <si>
    <t xml:space="preserve">Cambio de manguera de aire por taponamiento </t>
  </si>
  <si>
    <t>Tiempo MTO CRTVO</t>
  </si>
  <si>
    <t xml:space="preserve">Cambio de 8 Llantas Nuevas </t>
  </si>
  <si>
    <t>Cambio de faro led cuadrado</t>
  </si>
  <si>
    <t>Cambio de 2 Llantas reencauchadas 12 R 22.5</t>
  </si>
  <si>
    <t>Cambio de 8 Llantas nuevas para el cabezal</t>
  </si>
  <si>
    <t>Cambio de 2 baterias  NS 150</t>
  </si>
  <si>
    <t>Cambio de 8 llantas nuevas 12R 22.5</t>
  </si>
  <si>
    <t xml:space="preserve">Mantenimiento Preventivo de los 8000 KM s </t>
  </si>
  <si>
    <t>Mantenimiento Preventivo de los 5000 KMs.</t>
  </si>
  <si>
    <t>15//12025</t>
  </si>
  <si>
    <t>Cambio de bateria y alternador</t>
  </si>
  <si>
    <t>Cambio de foco de retroceso</t>
  </si>
  <si>
    <t>Cambio de foco faro Led cuadrado</t>
  </si>
  <si>
    <t>Cambio de 2 baterias  N 150</t>
  </si>
  <si>
    <t>Cambio de Batería NS 78</t>
  </si>
  <si>
    <t>Cambio de tanque de combustible</t>
  </si>
  <si>
    <t>Cambio de acople hembra de valvula de alivio</t>
  </si>
  <si>
    <t>Arreglo y cambio de pastillas de frenos</t>
  </si>
  <si>
    <t>Soldado de radiador por liqueo de refrigerante</t>
  </si>
  <si>
    <t>KM Entre MTO</t>
  </si>
  <si>
    <t>Mantenimiento Preventivop de las 250 Horas</t>
  </si>
  <si>
    <t>Mantenimiento Preventivo de los 250 Horas</t>
  </si>
  <si>
    <t>Cambio de v{alvula principal repartidora del vacuum</t>
  </si>
  <si>
    <t>Mantenimiento correctivo con el cambio de las dos bandas del compresor</t>
  </si>
  <si>
    <t>Mantenimiento Preventivo de los 8000 Kmss</t>
  </si>
  <si>
    <t>Mantenimiento Preventivo de los 8000 Kms</t>
  </si>
  <si>
    <t>QAA-3108</t>
  </si>
  <si>
    <t>A625086</t>
  </si>
  <si>
    <t>Mantenimiento Preventivo de los 10000 KMs</t>
  </si>
  <si>
    <t xml:space="preserve">Mantenim,iento Preventivo de Caja y Corona </t>
  </si>
  <si>
    <t>05/12/20251</t>
  </si>
  <si>
    <t>Chequeo de alarmas encendidas en el tablero</t>
  </si>
  <si>
    <t>Revision y correccion de Inyectores</t>
  </si>
  <si>
    <t>Cambio de cinturones, Revision de alarmas en el tablero y chequeo de fuga de aire.</t>
  </si>
  <si>
    <t>Cambio de un pulmon sencilloy valvula de bola del carter</t>
  </si>
  <si>
    <t>Arreglo del motor de subida del vidrio y cambio de radio</t>
  </si>
  <si>
    <t>Cambio de retrovisor, Ajuste de Quinta rueda y arreglo de Tubo de escape</t>
  </si>
  <si>
    <t>Chequeo de fuga de aire</t>
  </si>
  <si>
    <t>Cambio de valvula de 2 pulgadas</t>
  </si>
  <si>
    <t>Cambio de Retenedor de valvula de 4 Vías</t>
  </si>
  <si>
    <t>Cambio de valvula principal repartidora del vacuum</t>
  </si>
  <si>
    <t>OR-2472/42435</t>
  </si>
  <si>
    <t>8R8RRNS37S8J01601</t>
  </si>
  <si>
    <t>Mantenimiento Preventivo de motor por las 250 Horas</t>
  </si>
  <si>
    <t>Cambio de collarin del embargue de motor de vacuum</t>
  </si>
  <si>
    <t>oRDOÑEZ CAR DETAILING CENTER</t>
  </si>
  <si>
    <t>MENDOZA ENRIQUE</t>
  </si>
  <si>
    <t>LOZANO ALEX</t>
  </si>
  <si>
    <t>DASHBOARD DE CONTROL DE FLOTA VEHICULAR — ENAP 2025</t>
  </si>
  <si>
    <t>Indicadores Clave de Desempeño (KPIs) — Reporte Anual por Vehículo</t>
  </si>
  <si>
    <t>KM POR GALÓN — DATOS FUENTE</t>
  </si>
  <si>
    <t>Placa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</si>
  <si>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</si>
  <si>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</si>
  <si>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</si>
  <si>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</si>
  <si>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</si>
  <si>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</si>
  <si>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</si>
  <si>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</si>
  <si>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</si>
  <si>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</si>
  <si>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</si>
  <si>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</si>
  <si>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KR-1189</t>
  </si>
  <si>
    <t>KR-1172</t>
  </si>
  <si>
    <t>KR-1344</t>
  </si>
  <si>
    <t>KILÓMETROS RECORRIDOS — DATOS FUENTE</t>
  </si>
  <si>
    <t>MANTENIMIENTOS PREVENTIVOS — EJECUTADOS vs. PROGRAMADOS</t>
  </si>
  <si>
    <t>MANTENIMIENTOS CORRECTIVOS POR VEHÍCULO</t>
  </si>
  <si>
    <t>KR-1088</t>
  </si>
  <si>
    <t>KR-1184</t>
  </si>
  <si>
    <t>KR-1108</t>
  </si>
  <si>
    <t>KR-1094</t>
  </si>
  <si>
    <t>KR-1188</t>
  </si>
  <si>
    <t>GALONES CARGADOS POR VEHÍCULO</t>
  </si>
  <si>
    <t>KM RECORRIDOS</t>
  </si>
  <si>
    <t>GALONES CARGADOS</t>
  </si>
  <si>
    <t>MNTO. PREVENTIVOS</t>
  </si>
  <si>
    <t>MNTO. CORRECTIVOS</t>
  </si>
  <si>
    <t>VEHÍCULOS ACTIVOS</t>
  </si>
  <si>
    <t>REPORTE KPI INDIVIDUAL POR VEHÍCULO — ENAP 2025</t>
  </si>
  <si>
    <t>PLACA:</t>
  </si>
  <si>
    <t>Marca:</t>
  </si>
  <si>
    <t>Año:</t>
  </si>
  <si>
    <t>← Ingresa la placa en la celda amarilla y presiona ENTER</t>
  </si>
  <si>
    <t>DATOS FUENTE (vinculados al Reporte General)</t>
  </si>
  <si>
    <t>Indicador</t>
  </si>
  <si>
    <t>Km Recorridos</t>
  </si>
  <si>
    <t>Horas Trabajo</t>
  </si>
  <si>
    <t>Galones Cargados</t>
  </si>
  <si>
    <t>Km / Galón</t>
  </si>
  <si>
    <t>Km / Mnto</t>
  </si>
  <si>
    <t>Disponibilidad %</t>
  </si>
  <si>
    <t>Mnto Preventivos</t>
  </si>
  <si>
    <t>Mnto Correctivos</t>
  </si>
  <si>
    <t>HORAS TRABAJADAS</t>
  </si>
  <si>
    <t>KM / GALÓN PROM.</t>
  </si>
  <si>
    <t>DISPONIBILIDAD</t>
  </si>
  <si>
    <t>CORRECTIVOS AÑO</t>
  </si>
  <si>
    <t>[DATOS AUXILIARES GRÁFICAS — NO MODIFICAR]</t>
  </si>
  <si>
    <t>Tasa de 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</si>
</sst>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_-;\-* #,##0.00_-;_-* &quot;-&quot;??_-;_-@_-"/>
    <numFmt numFmtId="165" formatCode="dd/mm/yyyy;@"/>
    <numFmt numFmtId="166" formatCode="_-* #,##0_-;\-* #,##0_-;_-* &quot;-&quot;??_-;_-@_-"/>
    <numFmt numFmtId="167" formatCode="_-* #,##0.00_-;[Red]\-* #,##0.00;_-* &quot;-&quot;??_-;_-@_-"/>
    <numFmt numFmtId="168" formatCode="\ #,##0.00;[Red]\-#,##0.00;&quot;-&quot;??"/>
    <numFmt numFmtId="169" formatCode="\ #,##0;[Red]\-#,##0;&quot;-&quot;??"/>
    <numFmt numFmtId="170" formatCode="0.0%"/>
    <numFmt numFmtId="171" formatCode="\ #,##0.0;[Red]\-#,##0.0;&quot;-&quot;??"/>
    <numFmt numFmtId="172" formatCode="_-* #,##0.0_-;\-* #,##0.0_-;_-* &quot;-&quot;??_-;_-@_-"/>
    <numFmt numFmtId="173" formatCode="0.00000"/>
    <numFmt numFmtId="174" formatCode="0.000"/>
  </numFmts>
  <fonts count="62" x14ac:knownFonts="1">
    <font>
      <sz val="11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rgb="FFFF9900"/>
      <name val="Tw Cen MT"/>
      <family val="2"/>
      <scheme val="minor"/>
    </font>
    <font>
      <sz val="8"/>
      <color theme="1"/>
      <name val="Tw Cen MT"/>
      <family val="2"/>
      <scheme val="minor"/>
    </font>
    <font>
      <sz val="8"/>
      <color theme="0"/>
      <name val="Tw Cen MT"/>
      <family val="2"/>
      <scheme val="minor"/>
    </font>
    <font>
      <b/>
      <sz val="9"/>
      <color indexed="9"/>
      <name val="Tahoma"/>
      <family val="2"/>
    </font>
    <font>
      <b/>
      <sz val="28"/>
      <color theme="1"/>
      <name val="Tw Cen MT"/>
      <family val="2"/>
      <scheme val="minor"/>
    </font>
    <font>
      <b/>
      <sz val="22"/>
      <color theme="1"/>
      <name val="Tw Cen MT"/>
      <family val="2"/>
      <scheme val="minor"/>
    </font>
    <font>
      <b/>
      <sz val="14"/>
      <color theme="0"/>
      <name val="Tw Cen MT"/>
      <family val="2"/>
      <scheme val="minor"/>
    </font>
    <font>
      <sz val="14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b/>
      <sz val="12"/>
      <color theme="0"/>
      <name val="Tw Cen MT"/>
      <family val="2"/>
      <scheme val="minor"/>
    </font>
    <font>
      <b/>
      <sz val="28"/>
      <color theme="2"/>
      <name val="Tw Cen MT"/>
      <family val="2"/>
      <scheme val="minor"/>
    </font>
    <font>
      <sz val="11"/>
      <color theme="2"/>
      <name val="Tw Cen MT"/>
      <family val="2"/>
      <scheme val="minor"/>
    </font>
    <font>
      <b/>
      <sz val="22"/>
      <color theme="2"/>
      <name val="Tw Cen MT"/>
      <family val="2"/>
      <scheme val="minor"/>
    </font>
    <font>
      <b/>
      <sz val="11"/>
      <color theme="2"/>
      <name val="Tw Cen MT"/>
      <family val="2"/>
      <scheme val="minor"/>
    </font>
    <font>
      <sz val="28"/>
      <color theme="2"/>
      <name val="Tw Cen MT"/>
      <family val="2"/>
      <scheme val="minor"/>
    </font>
    <font>
      <sz val="22"/>
      <color theme="2"/>
      <name val="Tw Cen MT"/>
      <family val="2"/>
      <scheme val="minor"/>
    </font>
    <font>
      <b/>
      <sz val="14"/>
      <color theme="1"/>
      <name val="Tw Cen MT"/>
      <family val="2"/>
      <scheme val="minor"/>
    </font>
    <font>
      <b/>
      <sz val="16"/>
      <color theme="1"/>
      <name val="Tw Cen MT"/>
      <family val="2"/>
      <scheme val="minor"/>
    </font>
    <font>
      <u/>
      <sz val="11"/>
      <color theme="10"/>
      <name val="Tw Cen MT"/>
      <family val="2"/>
      <scheme val="minor"/>
    </font>
    <font>
      <b/>
      <sz val="12"/>
      <color theme="1"/>
      <name val="Tw Cen MT"/>
      <family val="2"/>
      <scheme val="minor"/>
    </font>
    <font>
      <b/>
      <sz val="36"/>
      <color theme="2"/>
      <name val="Tw Cen MT"/>
      <family val="2"/>
      <scheme val="minor"/>
    </font>
    <font>
      <b/>
      <sz val="16"/>
      <color theme="0"/>
      <name val="Tw Cen MT"/>
      <family val="2"/>
      <scheme val="minor"/>
    </font>
    <font>
      <b/>
      <sz val="36"/>
      <color theme="1"/>
      <name val="Tw Cen MT"/>
      <family val="2"/>
      <scheme val="minor"/>
    </font>
    <font>
      <b/>
      <sz val="48"/>
      <color theme="2"/>
      <name val="Tw Cen MT"/>
      <family val="2"/>
      <scheme val="minor"/>
    </font>
    <font>
      <b/>
      <sz val="13"/>
      <color theme="1"/>
      <name val="Tw Cen MT"/>
      <family val="2"/>
      <scheme val="minor"/>
    </font>
    <font>
      <b/>
      <sz val="24"/>
      <color theme="1"/>
      <name val="Tw Cen MT"/>
      <family val="2"/>
      <scheme val="minor"/>
    </font>
    <font>
      <sz val="13"/>
      <color theme="1"/>
      <name val="Tw Cen MT"/>
      <family val="2"/>
      <scheme val="minor"/>
    </font>
    <font>
      <b/>
      <sz val="18"/>
      <color theme="1"/>
      <name val="Tw Cen MT"/>
      <family val="2"/>
      <scheme val="minor"/>
    </font>
    <font>
      <b/>
      <sz val="11"/>
      <name val="Tw Cen MT"/>
      <family val="2"/>
      <scheme val="minor"/>
    </font>
    <font>
      <b/>
      <sz val="12"/>
      <name val="Tw Cen MT"/>
      <family val="2"/>
      <scheme val="minor"/>
    </font>
    <font>
      <b/>
      <sz val="18"/>
      <color theme="0"/>
      <name val="Tw Cen MT"/>
      <family val="2"/>
      <scheme val="minor"/>
    </font>
    <font>
      <sz val="16"/>
      <color theme="1"/>
      <name val="Tw Cen MT"/>
      <family val="2"/>
      <scheme val="minor"/>
    </font>
    <font>
      <b/>
      <sz val="20"/>
      <color theme="0"/>
      <name val="Tw Cen MT"/>
      <family val="2"/>
      <scheme val="minor"/>
    </font>
    <font>
      <b/>
      <sz val="16"/>
      <name val="Tw Cen MT"/>
      <family val="2"/>
      <scheme val="minor"/>
    </font>
    <font>
      <sz val="14"/>
      <name val="Tw Cen MT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FFFF"/>
      <name val="Tw Cen MT"/>
      <family val="2"/>
      <scheme val="minor"/>
    </font>
    <font>
      <b/>
      <sz val="18"/>
      <color rgb="FFFFFFFF"/>
      <name val="Tw Cen MT"/>
      <family val="2"/>
      <scheme val="minor"/>
    </font>
    <font>
      <b/>
      <sz val="10"/>
      <color rgb="FFFFFFFF"/>
      <name val="Tw Cen MT"/>
      <family val="2"/>
      <scheme val="minor"/>
    </font>
    <font>
      <b/>
      <sz val="9"/>
      <color theme="1"/>
      <name val="Tw Cen MT"/>
      <family val="2"/>
      <scheme val="minor"/>
    </font>
    <font>
      <sz val="9"/>
      <color theme="1"/>
      <name val="Tw Cen MT"/>
      <family val="2"/>
      <scheme val="minor"/>
    </font>
    <font>
      <b/>
      <sz val="9"/>
      <color rgb="FFFFFFFF"/>
      <name val="Tw Cen MT"/>
      <family val="2"/>
      <scheme val="minor"/>
    </font>
    <font>
      <sz val="8"/>
      <color rgb="FFFFFFFF"/>
      <name val="Tw Cen MT"/>
      <family val="2"/>
      <scheme val="minor"/>
    </font>
    <font>
      <i/>
      <sz val="11"/>
      <color rgb="FF7F6000"/>
      <name val="Tw Cen MT"/>
      <family val="2"/>
      <scheme val="minor"/>
    </font>
    <font>
      <i/>
      <sz val="8"/>
      <color rgb="FF595959"/>
      <name val="Tw Cen MT"/>
      <family val="2"/>
      <scheme val="minor"/>
    </font>
    <font>
      <b/>
      <sz val="16"/>
      <color rgb="FF44546A"/>
      <name val="Tw Cen MT"/>
      <family val="2"/>
      <scheme val="minor"/>
    </font>
    <font>
      <b/>
      <sz val="18"/>
      <color rgb="FF1F3864"/>
      <name val="Tw Cen MT"/>
      <family val="2"/>
      <scheme val="minor"/>
    </font>
    <font>
      <b/>
      <sz val="20"/>
      <color rgb="FF2E75B6"/>
      <name val="Tw Cen MT"/>
      <family val="2"/>
      <scheme val="minor"/>
    </font>
    <font>
      <b/>
      <sz val="20"/>
      <color rgb="FF44546A"/>
      <name val="Tw Cen MT"/>
      <family val="2"/>
      <scheme val="minor"/>
    </font>
    <font>
      <b/>
      <sz val="20"/>
      <color rgb="FF833C00"/>
      <name val="Tw Cen MT"/>
      <family val="2"/>
      <scheme val="minor"/>
    </font>
    <font>
      <b/>
      <sz val="20"/>
      <color rgb="FF375623"/>
      <name val="Tw Cen MT"/>
      <family val="2"/>
      <scheme val="minor"/>
    </font>
    <font>
      <b/>
      <sz val="20"/>
      <color rgb="FF7030A0"/>
      <name val="Tw Cen MT"/>
      <family val="2"/>
      <scheme val="minor"/>
    </font>
    <font>
      <b/>
      <sz val="20"/>
      <color rgb="FFC00000"/>
      <name val="Tw Cen MT"/>
      <family val="2"/>
      <scheme val="minor"/>
    </font>
    <font>
      <b/>
      <sz val="36"/>
      <color rgb="FFFFFFFF"/>
      <name val="Tw Cen MT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theme="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1496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theme="5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CFEF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5E9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EF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AE0F0"/>
        <bgColor indexed="64"/>
      </patternFill>
    </fill>
    <fill>
      <patternFill patternType="solid">
        <fgColor rgb="FFFFE0E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 style="thin">
        <color theme="6"/>
      </top>
      <bottom style="medium">
        <color theme="5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 style="thin">
        <color theme="5" tint="0.39991454817346722"/>
      </left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5" tint="0.39994506668294322"/>
      </left>
      <right/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1454817346722"/>
      </left>
      <right/>
      <top style="thin">
        <color theme="5" tint="0.39991454817346722"/>
      </top>
      <bottom style="thin">
        <color theme="5" tint="0.39991454817346722"/>
      </bottom>
      <diagonal/>
    </border>
    <border>
      <left/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  <border>
      <left/>
      <right style="thin">
        <color theme="5" tint="0.39991454817346722"/>
      </right>
      <top/>
      <bottom style="thin">
        <color theme="5" tint="0.39991454817346722"/>
      </bottom>
      <diagonal/>
    </border>
    <border>
      <left style="thin">
        <color theme="5" tint="0.39991454817346722"/>
      </left>
      <right style="thin">
        <color theme="5" tint="0.39991454817346722"/>
      </right>
      <top/>
      <bottom style="thin">
        <color theme="5" tint="0.39991454817346722"/>
      </bottom>
      <diagonal/>
    </border>
    <border>
      <left style="thin">
        <color theme="5" tint="0.39991454817346722"/>
      </left>
      <right/>
      <top/>
      <bottom style="thin">
        <color theme="5" tint="0.39991454817346722"/>
      </bottom>
      <diagonal/>
    </border>
    <border>
      <left/>
      <right style="thin">
        <color theme="5" tint="0.39991454817346722"/>
      </right>
      <top style="thin">
        <color theme="5" tint="0.39991454817346722"/>
      </top>
      <bottom/>
      <diagonal/>
    </border>
    <border>
      <left style="thin">
        <color theme="5" tint="0.39991454817346722"/>
      </left>
      <right style="thin">
        <color theme="5" tint="0.39991454817346722"/>
      </right>
      <top style="thin">
        <color theme="5" tint="0.39991454817346722"/>
      </top>
      <bottom/>
      <diagonal/>
    </border>
    <border>
      <left style="thin">
        <color theme="5" tint="0.39991454817346722"/>
      </left>
      <right style="thin">
        <color theme="5" tint="0.39994506668294322"/>
      </right>
      <top style="thin">
        <color theme="5" tint="0.39991454817346722"/>
      </top>
      <bottom style="thin">
        <color theme="5" tint="0.39991454817346722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/>
      <top/>
      <bottom style="thick">
        <color rgb="FF2E75B6"/>
      </bottom>
      <diagonal/>
    </border>
    <border>
      <left/>
      <right/>
      <top style="thick">
        <color rgb="FF1F3864"/>
      </top>
      <bottom style="thick">
        <color rgb="FF1F3864"/>
      </bottom>
      <diagonal/>
    </border>
    <border>
      <left style="thick">
        <color rgb="FF1F3864"/>
      </left>
      <right/>
      <top style="thick">
        <color rgb="FF1F3864"/>
      </top>
      <bottom style="thick">
        <color rgb="FF1F3864"/>
      </bottom>
      <diagonal/>
    </border>
    <border>
      <left/>
      <right style="thick">
        <color rgb="FF1F3864"/>
      </right>
      <top style="thick">
        <color rgb="FF1F3864"/>
      </top>
      <bottom style="thick">
        <color rgb="FF1F3864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ck">
        <color rgb="FF44546A"/>
      </bottom>
      <diagonal/>
    </border>
    <border>
      <left/>
      <right/>
      <top/>
      <bottom style="thick">
        <color rgb="FF833C00"/>
      </bottom>
      <diagonal/>
    </border>
    <border>
      <left/>
      <right/>
      <top/>
      <bottom style="thick">
        <color rgb="FF375623"/>
      </bottom>
      <diagonal/>
    </border>
    <border>
      <left/>
      <right/>
      <top/>
      <bottom style="thick">
        <color rgb="FF7030A0"/>
      </bottom>
      <diagonal/>
    </border>
    <border>
      <left/>
      <right/>
      <top/>
      <bottom style="thick">
        <color rgb="FFC00000"/>
      </bottom>
      <diagonal/>
    </border>
  </borders>
  <cellStyleXfs count="5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707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5" borderId="1" xfId="0" applyFill="1" applyBorder="1"/>
    <xf numFmtId="0" fontId="6" fillId="4" borderId="4" xfId="0" applyFont="1" applyFill="1" applyBorder="1" applyAlignment="1">
      <alignment horizontal="center" vertical="center" wrapText="1"/>
    </xf>
    <xf numFmtId="0" fontId="3" fillId="6" borderId="3" xfId="0" applyFont="1" applyFill="1" applyBorder="1"/>
    <xf numFmtId="0" fontId="3" fillId="9" borderId="3" xfId="0" applyFont="1" applyFill="1" applyBorder="1" applyAlignment="1">
      <alignment horizontal="left"/>
    </xf>
    <xf numFmtId="164" fontId="0" fillId="8" borderId="3" xfId="2" applyFont="1" applyFill="1" applyBorder="1"/>
    <xf numFmtId="164" fontId="3" fillId="6" borderId="3" xfId="2" applyFont="1" applyFill="1" applyBorder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164" fontId="0" fillId="5" borderId="0" xfId="2" applyFont="1" applyFill="1"/>
    <xf numFmtId="165" fontId="8" fillId="0" borderId="0" xfId="0" applyNumberFormat="1" applyFont="1" applyAlignment="1">
      <alignment horizontal="center" vertical="center"/>
    </xf>
    <xf numFmtId="164" fontId="0" fillId="13" borderId="0" xfId="0" applyNumberFormat="1" applyFill="1"/>
    <xf numFmtId="166" fontId="0" fillId="14" borderId="0" xfId="2" applyNumberFormat="1" applyFont="1" applyFill="1"/>
    <xf numFmtId="164" fontId="0" fillId="2" borderId="0" xfId="2" applyFont="1" applyFill="1"/>
    <xf numFmtId="0" fontId="0" fillId="7" borderId="3" xfId="0" applyFill="1" applyBorder="1" applyAlignment="1">
      <alignment horizontal="left" indent="1"/>
    </xf>
    <xf numFmtId="0" fontId="3" fillId="13" borderId="3" xfId="0" applyFont="1" applyFill="1" applyBorder="1"/>
    <xf numFmtId="164" fontId="3" fillId="13" borderId="3" xfId="2" applyFont="1" applyFill="1" applyBorder="1"/>
    <xf numFmtId="0" fontId="3" fillId="17" borderId="3" xfId="0" applyFont="1" applyFill="1" applyBorder="1" applyAlignment="1">
      <alignment horizontal="left"/>
    </xf>
    <xf numFmtId="9" fontId="3" fillId="17" borderId="3" xfId="3" applyFont="1" applyFill="1" applyBorder="1"/>
    <xf numFmtId="0" fontId="6" fillId="4" borderId="0" xfId="0" applyFont="1" applyFill="1" applyAlignment="1">
      <alignment horizontal="center" vertical="center" wrapText="1"/>
    </xf>
    <xf numFmtId="0" fontId="3" fillId="0" borderId="0" xfId="0" applyFont="1"/>
    <xf numFmtId="167" fontId="3" fillId="9" borderId="3" xfId="2" applyNumberFormat="1" applyFont="1" applyFill="1" applyBorder="1"/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68" fontId="0" fillId="14" borderId="0" xfId="0" applyNumberFormat="1" applyFill="1" applyAlignment="1">
      <alignment horizontal="center"/>
    </xf>
    <xf numFmtId="0" fontId="0" fillId="2" borderId="0" xfId="0" applyFill="1"/>
    <xf numFmtId="169" fontId="0" fillId="2" borderId="0" xfId="0" applyNumberFormat="1" applyFill="1" applyAlignment="1">
      <alignment horizontal="center"/>
    </xf>
    <xf numFmtId="169" fontId="0" fillId="2" borderId="0" xfId="0" applyNumberFormat="1" applyFill="1"/>
    <xf numFmtId="168" fontId="0" fillId="2" borderId="0" xfId="0" applyNumberFormat="1" applyFill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2" applyFont="1" applyProtection="1"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7" fillId="0" borderId="0" xfId="0" applyFont="1" applyAlignment="1" applyProtection="1">
      <alignment vertical="center"/>
      <protection locked="0"/>
    </xf>
    <xf numFmtId="166" fontId="0" fillId="0" borderId="0" xfId="2" applyNumberFormat="1" applyFont="1" applyProtection="1">
      <protection locked="0"/>
    </xf>
    <xf numFmtId="164" fontId="0" fillId="0" borderId="0" xfId="2" applyFont="1" applyAlignment="1" applyProtection="1">
      <alignment horizontal="center"/>
      <protection locked="0"/>
    </xf>
    <xf numFmtId="0" fontId="0" fillId="0" borderId="0" xfId="0" applyAlignment="1">
      <alignment vertical="center" wrapText="1"/>
    </xf>
    <xf numFmtId="0" fontId="7" fillId="0" borderId="0" xfId="0" applyFont="1" applyProtection="1">
      <protection locked="0"/>
    </xf>
    <xf numFmtId="165" fontId="0" fillId="0" borderId="0" xfId="0" applyNumberFormat="1" applyProtection="1"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0" fillId="24" borderId="0" xfId="0" applyFill="1"/>
    <xf numFmtId="0" fontId="3" fillId="5" borderId="1" xfId="0" applyFont="1" applyFill="1" applyBorder="1"/>
    <xf numFmtId="0" fontId="11" fillId="5" borderId="2" xfId="1" applyFont="1" applyFill="1" applyBorder="1" applyAlignment="1">
      <alignment vertical="center"/>
    </xf>
    <xf numFmtId="0" fontId="12" fillId="5" borderId="2" xfId="1" applyFont="1" applyFill="1" applyBorder="1" applyAlignment="1">
      <alignment vertical="center"/>
    </xf>
    <xf numFmtId="0" fontId="0" fillId="24" borderId="0" xfId="0" applyFill="1" applyAlignment="1">
      <alignment vertical="center" wrapText="1"/>
    </xf>
    <xf numFmtId="0" fontId="0" fillId="24" borderId="0" xfId="0" applyFill="1" applyAlignment="1">
      <alignment vertical="center"/>
    </xf>
    <xf numFmtId="0" fontId="18" fillId="25" borderId="1" xfId="0" applyFont="1" applyFill="1" applyBorder="1"/>
    <xf numFmtId="0" fontId="17" fillId="25" borderId="2" xfId="1" applyFont="1" applyFill="1" applyBorder="1" applyAlignment="1">
      <alignment vertical="center"/>
    </xf>
    <xf numFmtId="0" fontId="19" fillId="25" borderId="2" xfId="1" applyFont="1" applyFill="1" applyBorder="1" applyAlignment="1">
      <alignment vertical="center"/>
    </xf>
    <xf numFmtId="0" fontId="20" fillId="25" borderId="1" xfId="0" applyFont="1" applyFill="1" applyBorder="1"/>
    <xf numFmtId="0" fontId="0" fillId="25" borderId="1" xfId="0" applyFill="1" applyBorder="1"/>
    <xf numFmtId="0" fontId="21" fillId="25" borderId="2" xfId="1" applyFont="1" applyFill="1" applyBorder="1" applyAlignment="1">
      <alignment vertical="center"/>
    </xf>
    <xf numFmtId="0" fontId="22" fillId="25" borderId="2" xfId="1" applyFont="1" applyFill="1" applyBorder="1" applyAlignment="1">
      <alignment vertical="center"/>
    </xf>
    <xf numFmtId="0" fontId="0" fillId="0" borderId="0" xfId="0" applyAlignment="1" applyProtection="1">
      <alignment horizontal="left"/>
      <protection locked="0"/>
    </xf>
    <xf numFmtId="0" fontId="0" fillId="0" borderId="0" xfId="0" quotePrefix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5" borderId="6" xfId="0" applyFill="1" applyBorder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26" fillId="26" borderId="0" xfId="0" applyFont="1" applyFill="1" applyAlignment="1" applyProtection="1">
      <alignment horizontal="center"/>
      <protection locked="0"/>
    </xf>
    <xf numFmtId="0" fontId="26" fillId="27" borderId="0" xfId="0" applyFont="1" applyFill="1" applyAlignment="1" applyProtection="1">
      <alignment horizontal="center"/>
      <protection locked="0"/>
    </xf>
    <xf numFmtId="0" fontId="26" fillId="28" borderId="0" xfId="0" applyFont="1" applyFill="1" applyAlignment="1" applyProtection="1">
      <alignment horizontal="center"/>
      <protection locked="0"/>
    </xf>
    <xf numFmtId="0" fontId="26" fillId="29" borderId="0" xfId="0" applyFont="1" applyFill="1" applyAlignment="1" applyProtection="1">
      <alignment horizontal="center"/>
      <protection locked="0"/>
    </xf>
    <xf numFmtId="0" fontId="26" fillId="9" borderId="0" xfId="0" applyFont="1" applyFill="1" applyAlignment="1" applyProtection="1">
      <alignment horizontal="center"/>
      <protection locked="0"/>
    </xf>
    <xf numFmtId="0" fontId="26" fillId="30" borderId="0" xfId="0" applyFont="1" applyFill="1" applyAlignment="1" applyProtection="1">
      <alignment horizontal="center"/>
      <protection locked="0"/>
    </xf>
    <xf numFmtId="0" fontId="0" fillId="30" borderId="0" xfId="0" applyFill="1" applyProtection="1">
      <protection locked="0"/>
    </xf>
    <xf numFmtId="165" fontId="0" fillId="30" borderId="0" xfId="0" applyNumberFormat="1" applyFill="1" applyAlignment="1" applyProtection="1">
      <alignment horizontal="center"/>
      <protection locked="0"/>
    </xf>
    <xf numFmtId="166" fontId="0" fillId="30" borderId="0" xfId="2" applyNumberFormat="1" applyFont="1" applyFill="1" applyAlignment="1" applyProtection="1">
      <protection locked="0"/>
    </xf>
    <xf numFmtId="164" fontId="0" fillId="30" borderId="0" xfId="2" applyFont="1" applyFill="1" applyProtection="1">
      <protection locked="0"/>
    </xf>
    <xf numFmtId="0" fontId="0" fillId="9" borderId="0" xfId="0" applyFill="1" applyProtection="1">
      <protection locked="0"/>
    </xf>
    <xf numFmtId="165" fontId="0" fillId="9" borderId="0" xfId="0" applyNumberFormat="1" applyFill="1" applyAlignment="1" applyProtection="1">
      <alignment horizontal="center"/>
      <protection locked="0"/>
    </xf>
    <xf numFmtId="166" fontId="0" fillId="9" borderId="0" xfId="2" applyNumberFormat="1" applyFont="1" applyFill="1" applyAlignment="1" applyProtection="1">
      <protection locked="0"/>
    </xf>
    <xf numFmtId="164" fontId="0" fillId="9" borderId="0" xfId="2" applyFont="1" applyFill="1" applyProtection="1">
      <protection locked="0"/>
    </xf>
    <xf numFmtId="0" fontId="0" fillId="29" borderId="0" xfId="0" applyFill="1" applyProtection="1">
      <protection locked="0"/>
    </xf>
    <xf numFmtId="165" fontId="0" fillId="29" borderId="0" xfId="0" applyNumberFormat="1" applyFill="1" applyAlignment="1" applyProtection="1">
      <alignment horizontal="center"/>
      <protection locked="0"/>
    </xf>
    <xf numFmtId="166" fontId="0" fillId="29" borderId="0" xfId="2" applyNumberFormat="1" applyFont="1" applyFill="1" applyAlignment="1" applyProtection="1">
      <protection locked="0"/>
    </xf>
    <xf numFmtId="164" fontId="0" fillId="29" borderId="0" xfId="2" applyFont="1" applyFill="1" applyProtection="1">
      <protection locked="0"/>
    </xf>
    <xf numFmtId="0" fontId="0" fillId="28" borderId="0" xfId="0" applyFill="1" applyProtection="1">
      <protection locked="0"/>
    </xf>
    <xf numFmtId="165" fontId="0" fillId="28" borderId="0" xfId="0" applyNumberFormat="1" applyFill="1" applyAlignment="1" applyProtection="1">
      <alignment horizontal="center"/>
      <protection locked="0"/>
    </xf>
    <xf numFmtId="166" fontId="0" fillId="28" borderId="0" xfId="2" applyNumberFormat="1" applyFont="1" applyFill="1" applyAlignment="1" applyProtection="1">
      <protection locked="0"/>
    </xf>
    <xf numFmtId="164" fontId="0" fillId="28" borderId="0" xfId="2" applyFont="1" applyFill="1" applyProtection="1">
      <protection locked="0"/>
    </xf>
    <xf numFmtId="0" fontId="0" fillId="27" borderId="0" xfId="0" applyFill="1" applyProtection="1">
      <protection locked="0"/>
    </xf>
    <xf numFmtId="165" fontId="0" fillId="27" borderId="0" xfId="0" applyNumberFormat="1" applyFill="1" applyAlignment="1" applyProtection="1">
      <alignment horizontal="center"/>
      <protection locked="0"/>
    </xf>
    <xf numFmtId="166" fontId="0" fillId="27" borderId="0" xfId="2" applyNumberFormat="1" applyFont="1" applyFill="1" applyAlignment="1" applyProtection="1">
      <protection locked="0"/>
    </xf>
    <xf numFmtId="164" fontId="0" fillId="27" borderId="0" xfId="2" applyFont="1" applyFill="1" applyProtection="1">
      <protection locked="0"/>
    </xf>
    <xf numFmtId="0" fontId="0" fillId="26" borderId="0" xfId="0" applyFill="1" applyProtection="1">
      <protection locked="0"/>
    </xf>
    <xf numFmtId="165" fontId="0" fillId="26" borderId="0" xfId="0" applyNumberFormat="1" applyFill="1" applyAlignment="1" applyProtection="1">
      <alignment horizontal="center"/>
      <protection locked="0"/>
    </xf>
    <xf numFmtId="166" fontId="0" fillId="26" borderId="0" xfId="2" applyNumberFormat="1" applyFont="1" applyFill="1" applyAlignment="1" applyProtection="1">
      <protection locked="0"/>
    </xf>
    <xf numFmtId="164" fontId="0" fillId="26" borderId="0" xfId="2" applyFont="1" applyFill="1" applyProtection="1">
      <protection locked="0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21" borderId="9" xfId="0" applyFont="1" applyFill="1" applyBorder="1" applyAlignment="1">
      <alignment horizontal="center" vertical="center" wrapText="1"/>
    </xf>
    <xf numFmtId="0" fontId="14" fillId="19" borderId="9" xfId="0" applyFont="1" applyFill="1" applyBorder="1" applyAlignment="1">
      <alignment horizontal="center" vertical="center" wrapText="1"/>
    </xf>
    <xf numFmtId="0" fontId="14" fillId="19" borderId="11" xfId="0" applyFont="1" applyFill="1" applyBorder="1" applyAlignment="1">
      <alignment horizontal="center" vertical="center" wrapText="1"/>
    </xf>
    <xf numFmtId="0" fontId="14" fillId="22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25" fillId="0" borderId="0" xfId="4" applyBorder="1" applyProtection="1">
      <protection locked="0"/>
    </xf>
    <xf numFmtId="0" fontId="14" fillId="10" borderId="16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/>
    </xf>
    <xf numFmtId="0" fontId="23" fillId="0" borderId="9" xfId="0" applyFont="1" applyBorder="1" applyAlignment="1" applyProtection="1">
      <alignment horizontal="center" vertical="center"/>
      <protection locked="0"/>
    </xf>
    <xf numFmtId="0" fontId="16" fillId="4" borderId="5" xfId="0" applyFont="1" applyFill="1" applyBorder="1" applyAlignment="1">
      <alignment horizontal="center" vertical="center" wrapText="1"/>
    </xf>
    <xf numFmtId="0" fontId="16" fillId="18" borderId="5" xfId="0" applyFont="1" applyFill="1" applyBorder="1" applyAlignment="1">
      <alignment horizontal="center" vertical="center" wrapText="1"/>
    </xf>
    <xf numFmtId="0" fontId="26" fillId="31" borderId="0" xfId="0" applyFont="1" applyFill="1" applyAlignment="1" applyProtection="1">
      <alignment horizontal="center"/>
      <protection locked="0"/>
    </xf>
    <xf numFmtId="0" fontId="0" fillId="31" borderId="0" xfId="0" applyFill="1" applyProtection="1">
      <protection locked="0"/>
    </xf>
    <xf numFmtId="165" fontId="0" fillId="31" borderId="0" xfId="0" applyNumberFormat="1" applyFill="1" applyAlignment="1" applyProtection="1">
      <alignment horizontal="center"/>
      <protection locked="0"/>
    </xf>
    <xf numFmtId="166" fontId="0" fillId="31" borderId="0" xfId="2" applyNumberFormat="1" applyFont="1" applyFill="1" applyAlignment="1" applyProtection="1">
      <protection locked="0"/>
    </xf>
    <xf numFmtId="164" fontId="0" fillId="31" borderId="0" xfId="2" applyFont="1" applyFill="1" applyProtection="1">
      <protection locked="0"/>
    </xf>
    <xf numFmtId="165" fontId="0" fillId="27" borderId="0" xfId="2" applyNumberFormat="1" applyFont="1" applyFill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166" fontId="15" fillId="0" borderId="0" xfId="2" applyNumberFormat="1" applyFont="1" applyAlignment="1" applyProtection="1">
      <alignment horizontal="left" vertical="top"/>
      <protection locked="0"/>
    </xf>
    <xf numFmtId="0" fontId="15" fillId="5" borderId="0" xfId="0" applyFont="1" applyFill="1" applyAlignment="1">
      <alignment horizontal="center"/>
    </xf>
    <xf numFmtId="166" fontId="15" fillId="0" borderId="0" xfId="2" applyNumberFormat="1" applyFont="1" applyProtection="1">
      <protection locked="0"/>
    </xf>
    <xf numFmtId="166" fontId="15" fillId="14" borderId="0" xfId="2" applyNumberFormat="1" applyFont="1" applyFill="1" applyAlignment="1">
      <alignment horizontal="center"/>
    </xf>
    <xf numFmtId="0" fontId="3" fillId="32" borderId="5" xfId="0" applyFont="1" applyFill="1" applyBorder="1" applyAlignment="1">
      <alignment horizontal="center" vertical="center"/>
    </xf>
    <xf numFmtId="0" fontId="3" fillId="33" borderId="5" xfId="0" applyFont="1" applyFill="1" applyBorder="1" applyAlignment="1">
      <alignment vertical="center"/>
    </xf>
    <xf numFmtId="0" fontId="3" fillId="33" borderId="5" xfId="0" applyFont="1" applyFill="1" applyBorder="1" applyAlignment="1">
      <alignment horizontal="center" vertical="center"/>
    </xf>
    <xf numFmtId="168" fontId="5" fillId="33" borderId="5" xfId="2" applyNumberFormat="1" applyFont="1" applyFill="1" applyBorder="1" applyAlignment="1">
      <alignment horizontal="center" vertical="center"/>
    </xf>
    <xf numFmtId="168" fontId="3" fillId="33" borderId="5" xfId="2" applyNumberFormat="1" applyFont="1" applyFill="1" applyBorder="1" applyAlignment="1">
      <alignment horizontal="center" vertical="center"/>
    </xf>
    <xf numFmtId="9" fontId="3" fillId="33" borderId="5" xfId="0" applyNumberFormat="1" applyFont="1" applyFill="1" applyBorder="1" applyAlignment="1">
      <alignment horizontal="center" vertical="center"/>
    </xf>
    <xf numFmtId="0" fontId="16" fillId="19" borderId="5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 wrapText="1"/>
    </xf>
    <xf numFmtId="0" fontId="14" fillId="15" borderId="9" xfId="0" applyFont="1" applyFill="1" applyBorder="1" applyAlignment="1">
      <alignment horizontal="center" vertical="center" wrapText="1"/>
    </xf>
    <xf numFmtId="0" fontId="14" fillId="15" borderId="15" xfId="0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164" fontId="0" fillId="13" borderId="0" xfId="2" applyFont="1" applyFill="1"/>
    <xf numFmtId="165" fontId="0" fillId="37" borderId="0" xfId="0" applyNumberFormat="1" applyFill="1" applyAlignment="1" applyProtection="1">
      <alignment horizontal="center"/>
      <protection locked="0"/>
    </xf>
    <xf numFmtId="0" fontId="0" fillId="5" borderId="8" xfId="0" applyFill="1" applyBorder="1" applyAlignment="1">
      <alignment horizontal="center"/>
    </xf>
    <xf numFmtId="0" fontId="0" fillId="0" borderId="6" xfId="0" quotePrefix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7" fillId="0" borderId="8" xfId="0" applyFont="1" applyBorder="1" applyAlignment="1" applyProtection="1">
      <alignment vertical="center"/>
      <protection locked="0"/>
    </xf>
    <xf numFmtId="0" fontId="0" fillId="5" borderId="19" xfId="0" applyFill="1" applyBorder="1" applyAlignment="1">
      <alignment horizontal="center"/>
    </xf>
    <xf numFmtId="0" fontId="0" fillId="0" borderId="19" xfId="0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7" fillId="0" borderId="19" xfId="0" applyFont="1" applyBorder="1" applyAlignment="1" applyProtection="1">
      <alignment vertical="center"/>
      <protection locked="0"/>
    </xf>
    <xf numFmtId="165" fontId="0" fillId="37" borderId="20" xfId="0" applyNumberFormat="1" applyFill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locked="0"/>
    </xf>
    <xf numFmtId="0" fontId="26" fillId="0" borderId="20" xfId="0" applyFont="1" applyBorder="1" applyAlignment="1" applyProtection="1">
      <alignment horizontal="center"/>
      <protection locked="0"/>
    </xf>
    <xf numFmtId="0" fontId="0" fillId="5" borderId="20" xfId="0" applyFill="1" applyBorder="1"/>
    <xf numFmtId="0" fontId="0" fillId="0" borderId="20" xfId="0" applyBorder="1" applyProtection="1">
      <protection locked="0"/>
    </xf>
    <xf numFmtId="166" fontId="0" fillId="0" borderId="20" xfId="2" applyNumberFormat="1" applyFont="1" applyBorder="1" applyProtection="1">
      <protection locked="0"/>
    </xf>
    <xf numFmtId="166" fontId="0" fillId="14" borderId="20" xfId="2" applyNumberFormat="1" applyFont="1" applyFill="1" applyBorder="1"/>
    <xf numFmtId="164" fontId="0" fillId="0" borderId="20" xfId="2" applyFont="1" applyBorder="1" applyProtection="1">
      <protection locked="0"/>
    </xf>
    <xf numFmtId="164" fontId="0" fillId="2" borderId="20" xfId="2" applyFont="1" applyFill="1" applyBorder="1"/>
    <xf numFmtId="164" fontId="0" fillId="13" borderId="20" xfId="2" applyFont="1" applyFill="1" applyBorder="1"/>
    <xf numFmtId="164" fontId="0" fillId="5" borderId="20" xfId="2" applyFont="1" applyFill="1" applyBorder="1"/>
    <xf numFmtId="164" fontId="0" fillId="0" borderId="0" xfId="2" applyFont="1" applyBorder="1" applyProtection="1">
      <protection locked="0"/>
    </xf>
    <xf numFmtId="0" fontId="26" fillId="37" borderId="0" xfId="0" applyFont="1" applyFill="1" applyAlignment="1" applyProtection="1">
      <alignment horizontal="center"/>
      <protection locked="0"/>
    </xf>
    <xf numFmtId="0" fontId="0" fillId="37" borderId="0" xfId="0" applyFill="1" applyProtection="1">
      <protection locked="0"/>
    </xf>
    <xf numFmtId="166" fontId="0" fillId="37" borderId="0" xfId="2" applyNumberFormat="1" applyFont="1" applyFill="1" applyAlignment="1" applyProtection="1">
      <protection locked="0"/>
    </xf>
    <xf numFmtId="164" fontId="0" fillId="37" borderId="0" xfId="2" applyFont="1" applyFill="1" applyProtection="1">
      <protection locked="0"/>
    </xf>
    <xf numFmtId="165" fontId="0" fillId="37" borderId="0" xfId="2" applyNumberFormat="1" applyFont="1" applyFill="1" applyAlignment="1" applyProtection="1">
      <alignment horizontal="center"/>
      <protection locked="0"/>
    </xf>
    <xf numFmtId="0" fontId="16" fillId="38" borderId="4" xfId="0" applyFont="1" applyFill="1" applyBorder="1" applyAlignment="1">
      <alignment horizontal="center" vertical="center" wrapText="1"/>
    </xf>
    <xf numFmtId="0" fontId="0" fillId="24" borderId="20" xfId="0" applyFill="1" applyBorder="1"/>
    <xf numFmtId="0" fontId="0" fillId="0" borderId="20" xfId="0" applyBorder="1"/>
    <xf numFmtId="0" fontId="0" fillId="39" borderId="0" xfId="0" applyFill="1" applyAlignment="1">
      <alignment horizontal="center"/>
    </xf>
    <xf numFmtId="165" fontId="0" fillId="39" borderId="0" xfId="0" applyNumberFormat="1" applyFill="1" applyAlignment="1" applyProtection="1">
      <alignment horizontal="center"/>
      <protection locked="0"/>
    </xf>
    <xf numFmtId="0" fontId="26" fillId="39" borderId="0" xfId="0" applyFont="1" applyFill="1" applyAlignment="1" applyProtection="1">
      <alignment horizontal="center"/>
      <protection locked="0"/>
    </xf>
    <xf numFmtId="0" fontId="0" fillId="39" borderId="0" xfId="0" applyFill="1"/>
    <xf numFmtId="0" fontId="0" fillId="39" borderId="0" xfId="0" applyFill="1" applyProtection="1">
      <protection locked="0"/>
    </xf>
    <xf numFmtId="166" fontId="0" fillId="39" borderId="0" xfId="2" applyNumberFormat="1" applyFont="1" applyFill="1" applyProtection="1">
      <protection locked="0"/>
    </xf>
    <xf numFmtId="166" fontId="0" fillId="39" borderId="0" xfId="2" applyNumberFormat="1" applyFont="1" applyFill="1"/>
    <xf numFmtId="164" fontId="0" fillId="39" borderId="0" xfId="2" applyFont="1" applyFill="1" applyProtection="1">
      <protection locked="0"/>
    </xf>
    <xf numFmtId="164" fontId="0" fillId="39" borderId="0" xfId="2" applyFont="1" applyFill="1"/>
    <xf numFmtId="164" fontId="0" fillId="39" borderId="0" xfId="0" applyNumberFormat="1" applyFill="1"/>
    <xf numFmtId="164" fontId="0" fillId="39" borderId="0" xfId="2" applyFont="1" applyFill="1" applyBorder="1" applyProtection="1">
      <protection locked="0"/>
    </xf>
    <xf numFmtId="0" fontId="26" fillId="40" borderId="0" xfId="0" applyFont="1" applyFill="1" applyAlignment="1" applyProtection="1">
      <alignment horizontal="center"/>
      <protection locked="0"/>
    </xf>
    <xf numFmtId="0" fontId="0" fillId="40" borderId="0" xfId="0" applyFill="1" applyProtection="1">
      <protection locked="0"/>
    </xf>
    <xf numFmtId="165" fontId="0" fillId="40" borderId="0" xfId="0" applyNumberFormat="1" applyFill="1" applyAlignment="1" applyProtection="1">
      <alignment horizontal="center"/>
      <protection locked="0"/>
    </xf>
    <xf numFmtId="166" fontId="0" fillId="40" borderId="0" xfId="2" applyNumberFormat="1" applyFont="1" applyFill="1" applyAlignment="1" applyProtection="1">
      <protection locked="0"/>
    </xf>
    <xf numFmtId="164" fontId="0" fillId="40" borderId="0" xfId="2" applyFont="1" applyFill="1" applyProtection="1">
      <protection locked="0"/>
    </xf>
    <xf numFmtId="165" fontId="0" fillId="40" borderId="0" xfId="2" applyNumberFormat="1" applyFont="1" applyFill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0" fillId="7" borderId="0" xfId="0" applyFill="1" applyProtection="1">
      <protection locked="0"/>
    </xf>
    <xf numFmtId="165" fontId="0" fillId="7" borderId="0" xfId="0" applyNumberFormat="1" applyFill="1" applyAlignment="1" applyProtection="1">
      <alignment horizontal="center"/>
      <protection locked="0"/>
    </xf>
    <xf numFmtId="166" fontId="0" fillId="7" borderId="0" xfId="2" applyNumberFormat="1" applyFont="1" applyFill="1" applyAlignment="1" applyProtection="1">
      <protection locked="0"/>
    </xf>
    <xf numFmtId="164" fontId="0" fillId="7" borderId="0" xfId="2" applyFont="1" applyFill="1" applyProtection="1">
      <protection locked="0"/>
    </xf>
    <xf numFmtId="165" fontId="0" fillId="7" borderId="0" xfId="2" applyNumberFormat="1" applyFont="1" applyFill="1" applyAlignment="1" applyProtection="1">
      <alignment horizontal="center"/>
      <protection locked="0"/>
    </xf>
    <xf numFmtId="0" fontId="26" fillId="10" borderId="21" xfId="0" applyFont="1" applyFill="1" applyBorder="1" applyAlignment="1" applyProtection="1">
      <alignment horizontal="center"/>
      <protection locked="0"/>
    </xf>
    <xf numFmtId="0" fontId="0" fillId="10" borderId="21" xfId="0" applyFill="1" applyBorder="1" applyProtection="1">
      <protection locked="0"/>
    </xf>
    <xf numFmtId="165" fontId="0" fillId="10" borderId="21" xfId="0" applyNumberFormat="1" applyFill="1" applyBorder="1" applyAlignment="1" applyProtection="1">
      <alignment horizontal="center"/>
      <protection locked="0"/>
    </xf>
    <xf numFmtId="166" fontId="0" fillId="10" borderId="21" xfId="2" applyNumberFormat="1" applyFont="1" applyFill="1" applyBorder="1" applyAlignment="1" applyProtection="1">
      <protection locked="0"/>
    </xf>
    <xf numFmtId="164" fontId="0" fillId="10" borderId="21" xfId="2" applyFont="1" applyFill="1" applyBorder="1" applyProtection="1">
      <protection locked="0"/>
    </xf>
    <xf numFmtId="0" fontId="26" fillId="10" borderId="0" xfId="0" applyFont="1" applyFill="1" applyAlignment="1" applyProtection="1">
      <alignment horizontal="center"/>
      <protection locked="0"/>
    </xf>
    <xf numFmtId="0" fontId="0" fillId="10" borderId="0" xfId="0" applyFill="1" applyProtection="1">
      <protection locked="0"/>
    </xf>
    <xf numFmtId="165" fontId="0" fillId="10" borderId="0" xfId="0" applyNumberFormat="1" applyFill="1" applyAlignment="1" applyProtection="1">
      <alignment horizontal="center"/>
      <protection locked="0"/>
    </xf>
    <xf numFmtId="166" fontId="0" fillId="10" borderId="0" xfId="2" applyNumberFormat="1" applyFont="1" applyFill="1" applyBorder="1" applyAlignment="1" applyProtection="1">
      <protection locked="0"/>
    </xf>
    <xf numFmtId="164" fontId="0" fillId="10" borderId="0" xfId="2" applyFont="1" applyFill="1" applyBorder="1" applyProtection="1">
      <protection locked="0"/>
    </xf>
    <xf numFmtId="0" fontId="26" fillId="10" borderId="20" xfId="0" applyFont="1" applyFill="1" applyBorder="1" applyAlignment="1" applyProtection="1">
      <alignment horizontal="center"/>
      <protection locked="0"/>
    </xf>
    <xf numFmtId="0" fontId="0" fillId="10" borderId="20" xfId="0" applyFill="1" applyBorder="1" applyProtection="1">
      <protection locked="0"/>
    </xf>
    <xf numFmtId="165" fontId="0" fillId="10" borderId="20" xfId="0" applyNumberFormat="1" applyFill="1" applyBorder="1" applyAlignment="1" applyProtection="1">
      <alignment horizontal="center"/>
      <protection locked="0"/>
    </xf>
    <xf numFmtId="166" fontId="0" fillId="10" borderId="20" xfId="2" applyNumberFormat="1" applyFont="1" applyFill="1" applyBorder="1" applyAlignment="1" applyProtection="1">
      <protection locked="0"/>
    </xf>
    <xf numFmtId="164" fontId="0" fillId="10" borderId="20" xfId="2" applyFont="1" applyFill="1" applyBorder="1" applyProtection="1">
      <protection locked="0"/>
    </xf>
    <xf numFmtId="0" fontId="26" fillId="26" borderId="20" xfId="0" applyFont="1" applyFill="1" applyBorder="1" applyAlignment="1" applyProtection="1">
      <alignment horizontal="center"/>
      <protection locked="0"/>
    </xf>
    <xf numFmtId="0" fontId="0" fillId="26" borderId="20" xfId="0" applyFill="1" applyBorder="1" applyProtection="1">
      <protection locked="0"/>
    </xf>
    <xf numFmtId="165" fontId="0" fillId="26" borderId="20" xfId="0" applyNumberFormat="1" applyFill="1" applyBorder="1" applyAlignment="1" applyProtection="1">
      <alignment horizontal="center"/>
      <protection locked="0"/>
    </xf>
    <xf numFmtId="166" fontId="0" fillId="26" borderId="20" xfId="2" applyNumberFormat="1" applyFont="1" applyFill="1" applyBorder="1" applyAlignment="1" applyProtection="1">
      <protection locked="0"/>
    </xf>
    <xf numFmtId="164" fontId="0" fillId="26" borderId="20" xfId="2" applyFont="1" applyFill="1" applyBorder="1" applyProtection="1">
      <protection locked="0"/>
    </xf>
    <xf numFmtId="0" fontId="26" fillId="27" borderId="20" xfId="0" applyFont="1" applyFill="1" applyBorder="1" applyAlignment="1" applyProtection="1">
      <alignment horizontal="center"/>
      <protection locked="0"/>
    </xf>
    <xf numFmtId="0" fontId="0" fillId="27" borderId="20" xfId="0" applyFill="1" applyBorder="1" applyProtection="1">
      <protection locked="0"/>
    </xf>
    <xf numFmtId="165" fontId="0" fillId="27" borderId="20" xfId="0" applyNumberFormat="1" applyFill="1" applyBorder="1" applyAlignment="1" applyProtection="1">
      <alignment horizontal="center"/>
      <protection locked="0"/>
    </xf>
    <xf numFmtId="166" fontId="0" fillId="27" borderId="20" xfId="2" applyNumberFormat="1" applyFont="1" applyFill="1" applyBorder="1" applyAlignment="1" applyProtection="1">
      <protection locked="0"/>
    </xf>
    <xf numFmtId="164" fontId="0" fillId="27" borderId="20" xfId="2" applyFont="1" applyFill="1" applyBorder="1" applyProtection="1">
      <protection locked="0"/>
    </xf>
    <xf numFmtId="0" fontId="26" fillId="28" borderId="20" xfId="0" applyFont="1" applyFill="1" applyBorder="1" applyAlignment="1" applyProtection="1">
      <alignment horizontal="center"/>
      <protection locked="0"/>
    </xf>
    <xf numFmtId="0" fontId="0" fillId="28" borderId="20" xfId="0" applyFill="1" applyBorder="1" applyProtection="1">
      <protection locked="0"/>
    </xf>
    <xf numFmtId="165" fontId="0" fillId="28" borderId="20" xfId="0" applyNumberFormat="1" applyFill="1" applyBorder="1" applyAlignment="1" applyProtection="1">
      <alignment horizontal="center"/>
      <protection locked="0"/>
    </xf>
    <xf numFmtId="166" fontId="0" fillId="28" borderId="20" xfId="2" applyNumberFormat="1" applyFont="1" applyFill="1" applyBorder="1" applyAlignment="1" applyProtection="1">
      <protection locked="0"/>
    </xf>
    <xf numFmtId="164" fontId="0" fillId="28" borderId="20" xfId="2" applyFont="1" applyFill="1" applyBorder="1" applyProtection="1">
      <protection locked="0"/>
    </xf>
    <xf numFmtId="0" fontId="26" fillId="29" borderId="20" xfId="0" applyFont="1" applyFill="1" applyBorder="1" applyAlignment="1" applyProtection="1">
      <alignment horizontal="center"/>
      <protection locked="0"/>
    </xf>
    <xf numFmtId="0" fontId="0" fillId="29" borderId="20" xfId="0" applyFill="1" applyBorder="1" applyProtection="1">
      <protection locked="0"/>
    </xf>
    <xf numFmtId="165" fontId="0" fillId="29" borderId="20" xfId="0" applyNumberFormat="1" applyFill="1" applyBorder="1" applyAlignment="1" applyProtection="1">
      <alignment horizontal="center"/>
      <protection locked="0"/>
    </xf>
    <xf numFmtId="166" fontId="0" fillId="29" borderId="20" xfId="2" applyNumberFormat="1" applyFont="1" applyFill="1" applyBorder="1" applyAlignment="1" applyProtection="1">
      <protection locked="0"/>
    </xf>
    <xf numFmtId="164" fontId="0" fillId="29" borderId="20" xfId="2" applyFont="1" applyFill="1" applyBorder="1" applyProtection="1">
      <protection locked="0"/>
    </xf>
    <xf numFmtId="0" fontId="26" fillId="9" borderId="20" xfId="0" applyFont="1" applyFill="1" applyBorder="1" applyAlignment="1" applyProtection="1">
      <alignment horizontal="center"/>
      <protection locked="0"/>
    </xf>
    <xf numFmtId="0" fontId="0" fillId="9" borderId="20" xfId="0" applyFill="1" applyBorder="1" applyProtection="1">
      <protection locked="0"/>
    </xf>
    <xf numFmtId="165" fontId="0" fillId="9" borderId="20" xfId="0" applyNumberFormat="1" applyFill="1" applyBorder="1" applyAlignment="1" applyProtection="1">
      <alignment horizontal="center"/>
      <protection locked="0"/>
    </xf>
    <xf numFmtId="166" fontId="0" fillId="9" borderId="20" xfId="2" applyNumberFormat="1" applyFont="1" applyFill="1" applyBorder="1" applyAlignment="1" applyProtection="1">
      <protection locked="0"/>
    </xf>
    <xf numFmtId="164" fontId="0" fillId="9" borderId="20" xfId="2" applyFont="1" applyFill="1" applyBorder="1" applyProtection="1">
      <protection locked="0"/>
    </xf>
    <xf numFmtId="166" fontId="0" fillId="30" borderId="0" xfId="2" applyNumberFormat="1" applyFont="1" applyFill="1" applyBorder="1" applyAlignment="1" applyProtection="1">
      <protection locked="0"/>
    </xf>
    <xf numFmtId="164" fontId="0" fillId="30" borderId="0" xfId="2" applyFont="1" applyFill="1" applyBorder="1" applyProtection="1">
      <protection locked="0"/>
    </xf>
    <xf numFmtId="0" fontId="26" fillId="30" borderId="20" xfId="0" applyFont="1" applyFill="1" applyBorder="1" applyAlignment="1" applyProtection="1">
      <alignment horizontal="center"/>
      <protection locked="0"/>
    </xf>
    <xf numFmtId="0" fontId="0" fillId="30" borderId="20" xfId="0" applyFill="1" applyBorder="1" applyProtection="1">
      <protection locked="0"/>
    </xf>
    <xf numFmtId="165" fontId="0" fillId="30" borderId="20" xfId="0" applyNumberFormat="1" applyFill="1" applyBorder="1" applyAlignment="1" applyProtection="1">
      <alignment horizontal="center"/>
      <protection locked="0"/>
    </xf>
    <xf numFmtId="166" fontId="0" fillId="30" borderId="20" xfId="2" applyNumberFormat="1" applyFont="1" applyFill="1" applyBorder="1" applyAlignment="1" applyProtection="1">
      <protection locked="0"/>
    </xf>
    <xf numFmtId="164" fontId="0" fillId="30" borderId="20" xfId="2" applyFont="1" applyFill="1" applyBorder="1" applyProtection="1">
      <protection locked="0"/>
    </xf>
    <xf numFmtId="0" fontId="26" fillId="31" borderId="20" xfId="0" applyFont="1" applyFill="1" applyBorder="1" applyAlignment="1" applyProtection="1">
      <alignment horizontal="center"/>
      <protection locked="0"/>
    </xf>
    <xf numFmtId="0" fontId="0" fillId="31" borderId="20" xfId="0" applyFill="1" applyBorder="1" applyProtection="1">
      <protection locked="0"/>
    </xf>
    <xf numFmtId="165" fontId="0" fillId="31" borderId="20" xfId="0" applyNumberFormat="1" applyFill="1" applyBorder="1" applyAlignment="1" applyProtection="1">
      <alignment horizontal="center"/>
      <protection locked="0"/>
    </xf>
    <xf numFmtId="166" fontId="0" fillId="31" borderId="20" xfId="2" applyNumberFormat="1" applyFont="1" applyFill="1" applyBorder="1" applyAlignment="1" applyProtection="1">
      <protection locked="0"/>
    </xf>
    <xf numFmtId="164" fontId="0" fillId="31" borderId="20" xfId="2" applyFont="1" applyFill="1" applyBorder="1" applyProtection="1">
      <protection locked="0"/>
    </xf>
    <xf numFmtId="165" fontId="0" fillId="27" borderId="20" xfId="2" applyNumberFormat="1" applyFont="1" applyFill="1" applyBorder="1" applyAlignment="1" applyProtection="1">
      <alignment horizontal="center"/>
      <protection locked="0"/>
    </xf>
    <xf numFmtId="0" fontId="26" fillId="7" borderId="20" xfId="0" applyFont="1" applyFill="1" applyBorder="1" applyAlignment="1" applyProtection="1">
      <alignment horizontal="center"/>
      <protection locked="0"/>
    </xf>
    <xf numFmtId="0" fontId="0" fillId="7" borderId="20" xfId="0" applyFill="1" applyBorder="1" applyProtection="1">
      <protection locked="0"/>
    </xf>
    <xf numFmtId="165" fontId="0" fillId="7" borderId="20" xfId="0" applyNumberFormat="1" applyFill="1" applyBorder="1" applyAlignment="1" applyProtection="1">
      <alignment horizontal="center"/>
      <protection locked="0"/>
    </xf>
    <xf numFmtId="166" fontId="0" fillId="7" borderId="20" xfId="2" applyNumberFormat="1" applyFont="1" applyFill="1" applyBorder="1" applyAlignment="1" applyProtection="1">
      <protection locked="0"/>
    </xf>
    <xf numFmtId="164" fontId="0" fillId="7" borderId="20" xfId="2" applyFont="1" applyFill="1" applyBorder="1" applyProtection="1">
      <protection locked="0"/>
    </xf>
    <xf numFmtId="165" fontId="0" fillId="7" borderId="20" xfId="2" applyNumberFormat="1" applyFont="1" applyFill="1" applyBorder="1" applyAlignment="1" applyProtection="1">
      <alignment horizontal="center"/>
      <protection locked="0"/>
    </xf>
    <xf numFmtId="165" fontId="0" fillId="10" borderId="0" xfId="2" applyNumberFormat="1" applyFont="1" applyFill="1" applyBorder="1" applyAlignment="1" applyProtection="1">
      <alignment horizontal="center"/>
      <protection locked="0"/>
    </xf>
    <xf numFmtId="166" fontId="0" fillId="7" borderId="0" xfId="2" applyNumberFormat="1" applyFont="1" applyFill="1" applyBorder="1" applyAlignment="1" applyProtection="1">
      <protection locked="0"/>
    </xf>
    <xf numFmtId="164" fontId="0" fillId="7" borderId="0" xfId="2" applyFont="1" applyFill="1" applyBorder="1" applyProtection="1">
      <protection locked="0"/>
    </xf>
    <xf numFmtId="165" fontId="0" fillId="7" borderId="0" xfId="2" applyNumberFormat="1" applyFont="1" applyFill="1" applyBorder="1" applyAlignment="1" applyProtection="1">
      <alignment horizontal="center"/>
      <protection locked="0"/>
    </xf>
    <xf numFmtId="166" fontId="0" fillId="26" borderId="0" xfId="2" applyNumberFormat="1" applyFont="1" applyFill="1" applyBorder="1" applyAlignment="1" applyProtection="1">
      <protection locked="0"/>
    </xf>
    <xf numFmtId="164" fontId="0" fillId="26" borderId="0" xfId="2" applyFont="1" applyFill="1" applyBorder="1" applyProtection="1">
      <protection locked="0"/>
    </xf>
    <xf numFmtId="165" fontId="0" fillId="26" borderId="0" xfId="2" applyNumberFormat="1" applyFont="1" applyFill="1" applyBorder="1" applyAlignment="1" applyProtection="1">
      <alignment horizontal="center"/>
      <protection locked="0"/>
    </xf>
    <xf numFmtId="166" fontId="0" fillId="27" borderId="0" xfId="2" applyNumberFormat="1" applyFont="1" applyFill="1" applyBorder="1" applyAlignment="1" applyProtection="1">
      <protection locked="0"/>
    </xf>
    <xf numFmtId="164" fontId="0" fillId="27" borderId="0" xfId="2" applyFont="1" applyFill="1" applyBorder="1" applyProtection="1">
      <protection locked="0"/>
    </xf>
    <xf numFmtId="165" fontId="0" fillId="27" borderId="0" xfId="2" applyNumberFormat="1" applyFont="1" applyFill="1" applyBorder="1" applyAlignment="1" applyProtection="1">
      <alignment horizontal="center"/>
      <protection locked="0"/>
    </xf>
    <xf numFmtId="166" fontId="0" fillId="28" borderId="0" xfId="2" applyNumberFormat="1" applyFont="1" applyFill="1" applyBorder="1" applyAlignment="1" applyProtection="1">
      <protection locked="0"/>
    </xf>
    <xf numFmtId="164" fontId="0" fillId="28" borderId="0" xfId="2" applyFont="1" applyFill="1" applyBorder="1" applyProtection="1">
      <protection locked="0"/>
    </xf>
    <xf numFmtId="165" fontId="0" fillId="28" borderId="0" xfId="2" applyNumberFormat="1" applyFont="1" applyFill="1" applyBorder="1" applyAlignment="1" applyProtection="1">
      <alignment horizontal="center"/>
      <protection locked="0"/>
    </xf>
    <xf numFmtId="166" fontId="0" fillId="29" borderId="0" xfId="2" applyNumberFormat="1" applyFont="1" applyFill="1" applyBorder="1" applyAlignment="1" applyProtection="1">
      <protection locked="0"/>
    </xf>
    <xf numFmtId="164" fontId="0" fillId="29" borderId="0" xfId="2" applyFont="1" applyFill="1" applyBorder="1" applyProtection="1">
      <protection locked="0"/>
    </xf>
    <xf numFmtId="165" fontId="0" fillId="29" borderId="0" xfId="2" applyNumberFormat="1" applyFont="1" applyFill="1" applyBorder="1" applyAlignment="1" applyProtection="1">
      <alignment horizontal="center"/>
      <protection locked="0"/>
    </xf>
    <xf numFmtId="166" fontId="0" fillId="9" borderId="0" xfId="2" applyNumberFormat="1" applyFont="1" applyFill="1" applyBorder="1" applyAlignment="1" applyProtection="1">
      <protection locked="0"/>
    </xf>
    <xf numFmtId="164" fontId="0" fillId="9" borderId="0" xfId="2" applyFont="1" applyFill="1" applyBorder="1" applyProtection="1">
      <protection locked="0"/>
    </xf>
    <xf numFmtId="165" fontId="0" fillId="9" borderId="0" xfId="2" applyNumberFormat="1" applyFont="1" applyFill="1" applyBorder="1" applyAlignment="1" applyProtection="1">
      <alignment horizontal="center"/>
      <protection locked="0"/>
    </xf>
    <xf numFmtId="165" fontId="0" fillId="30" borderId="0" xfId="2" applyNumberFormat="1" applyFont="1" applyFill="1" applyBorder="1" applyAlignment="1" applyProtection="1">
      <alignment horizontal="center"/>
      <protection locked="0"/>
    </xf>
    <xf numFmtId="166" fontId="0" fillId="31" borderId="0" xfId="2" applyNumberFormat="1" applyFont="1" applyFill="1" applyBorder="1" applyAlignment="1" applyProtection="1">
      <protection locked="0"/>
    </xf>
    <xf numFmtId="164" fontId="0" fillId="31" borderId="0" xfId="2" applyFont="1" applyFill="1" applyBorder="1" applyProtection="1">
      <protection locked="0"/>
    </xf>
    <xf numFmtId="165" fontId="0" fillId="31" borderId="0" xfId="2" applyNumberFormat="1" applyFont="1" applyFill="1" applyBorder="1" applyAlignment="1" applyProtection="1">
      <alignment horizontal="center"/>
      <protection locked="0"/>
    </xf>
    <xf numFmtId="166" fontId="0" fillId="40" borderId="0" xfId="2" applyNumberFormat="1" applyFont="1" applyFill="1" applyBorder="1" applyAlignment="1" applyProtection="1">
      <protection locked="0"/>
    </xf>
    <xf numFmtId="164" fontId="0" fillId="40" borderId="0" xfId="2" applyFont="1" applyFill="1" applyBorder="1" applyProtection="1">
      <protection locked="0"/>
    </xf>
    <xf numFmtId="165" fontId="0" fillId="40" borderId="0" xfId="2" applyNumberFormat="1" applyFont="1" applyFill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26" fillId="40" borderId="22" xfId="0" applyFont="1" applyFill="1" applyBorder="1" applyAlignment="1" applyProtection="1">
      <alignment horizontal="center"/>
      <protection locked="0"/>
    </xf>
    <xf numFmtId="0" fontId="0" fillId="40" borderId="22" xfId="0" applyFill="1" applyBorder="1" applyProtection="1">
      <protection locked="0"/>
    </xf>
    <xf numFmtId="165" fontId="0" fillId="40" borderId="22" xfId="0" applyNumberFormat="1" applyFill="1" applyBorder="1" applyAlignment="1" applyProtection="1">
      <alignment horizontal="center"/>
      <protection locked="0"/>
    </xf>
    <xf numFmtId="166" fontId="0" fillId="40" borderId="22" xfId="2" applyNumberFormat="1" applyFont="1" applyFill="1" applyBorder="1" applyAlignment="1" applyProtection="1">
      <protection locked="0"/>
    </xf>
    <xf numFmtId="164" fontId="0" fillId="40" borderId="22" xfId="2" applyFont="1" applyFill="1" applyBorder="1" applyProtection="1">
      <protection locked="0"/>
    </xf>
    <xf numFmtId="165" fontId="0" fillId="40" borderId="22" xfId="2" applyNumberFormat="1" applyFont="1" applyFill="1" applyBorder="1" applyAlignment="1" applyProtection="1">
      <alignment horizontal="center"/>
      <protection locked="0"/>
    </xf>
    <xf numFmtId="165" fontId="0" fillId="31" borderId="20" xfId="2" applyNumberFormat="1" applyFont="1" applyFill="1" applyBorder="1" applyAlignment="1" applyProtection="1">
      <alignment horizontal="center"/>
      <protection locked="0"/>
    </xf>
    <xf numFmtId="166" fontId="0" fillId="37" borderId="0" xfId="2" applyNumberFormat="1" applyFont="1" applyFill="1" applyBorder="1" applyAlignment="1" applyProtection="1">
      <protection locked="0"/>
    </xf>
    <xf numFmtId="164" fontId="0" fillId="37" borderId="0" xfId="2" applyFont="1" applyFill="1" applyBorder="1" applyProtection="1">
      <protection locked="0"/>
    </xf>
    <xf numFmtId="165" fontId="0" fillId="37" borderId="0" xfId="2" applyNumberFormat="1" applyFont="1" applyFill="1" applyBorder="1" applyAlignment="1" applyProtection="1">
      <alignment horizontal="center"/>
      <protection locked="0"/>
    </xf>
    <xf numFmtId="165" fontId="0" fillId="10" borderId="20" xfId="2" applyNumberFormat="1" applyFont="1" applyFill="1" applyBorder="1" applyAlignment="1" applyProtection="1">
      <alignment horizontal="center"/>
      <protection locked="0"/>
    </xf>
    <xf numFmtId="165" fontId="0" fillId="26" borderId="20" xfId="2" applyNumberFormat="1" applyFont="1" applyFill="1" applyBorder="1" applyAlignment="1" applyProtection="1">
      <alignment horizontal="center"/>
      <protection locked="0"/>
    </xf>
    <xf numFmtId="165" fontId="0" fillId="28" borderId="20" xfId="2" applyNumberFormat="1" applyFont="1" applyFill="1" applyBorder="1" applyAlignment="1" applyProtection="1">
      <alignment horizontal="center"/>
      <protection locked="0"/>
    </xf>
    <xf numFmtId="165" fontId="0" fillId="29" borderId="20" xfId="2" applyNumberFormat="1" applyFont="1" applyFill="1" applyBorder="1" applyAlignment="1" applyProtection="1">
      <alignment horizontal="center"/>
      <protection locked="0"/>
    </xf>
    <xf numFmtId="165" fontId="0" fillId="9" borderId="20" xfId="2" applyNumberFormat="1" applyFont="1" applyFill="1" applyBorder="1" applyAlignment="1" applyProtection="1">
      <alignment horizontal="center"/>
      <protection locked="0"/>
    </xf>
    <xf numFmtId="165" fontId="0" fillId="30" borderId="20" xfId="2" applyNumberFormat="1" applyFont="1" applyFill="1" applyBorder="1" applyAlignment="1" applyProtection="1">
      <alignment horizontal="center"/>
      <protection locked="0"/>
    </xf>
    <xf numFmtId="0" fontId="0" fillId="41" borderId="0" xfId="0" applyFill="1"/>
    <xf numFmtId="0" fontId="0" fillId="41" borderId="20" xfId="0" applyFill="1" applyBorder="1"/>
    <xf numFmtId="0" fontId="0" fillId="42" borderId="0" xfId="0" applyFill="1"/>
    <xf numFmtId="0" fontId="0" fillId="42" borderId="20" xfId="0" applyFill="1" applyBorder="1"/>
    <xf numFmtId="0" fontId="0" fillId="43" borderId="0" xfId="0" applyFill="1"/>
    <xf numFmtId="0" fontId="0" fillId="43" borderId="20" xfId="0" applyFill="1" applyBorder="1"/>
    <xf numFmtId="166" fontId="0" fillId="0" borderId="0" xfId="2" applyNumberFormat="1" applyFont="1" applyBorder="1" applyProtection="1">
      <protection locked="0"/>
    </xf>
    <xf numFmtId="166" fontId="0" fillId="14" borderId="0" xfId="2" applyNumberFormat="1" applyFont="1" applyFill="1" applyBorder="1"/>
    <xf numFmtId="164" fontId="0" fillId="2" borderId="0" xfId="2" applyFont="1" applyFill="1" applyBorder="1"/>
    <xf numFmtId="164" fontId="0" fillId="13" borderId="0" xfId="2" applyFont="1" applyFill="1" applyBorder="1"/>
    <xf numFmtId="164" fontId="0" fillId="5" borderId="0" xfId="2" applyFont="1" applyFill="1" applyBorder="1"/>
    <xf numFmtId="165" fontId="0" fillId="9" borderId="0" xfId="2" applyNumberFormat="1" applyFont="1" applyFill="1" applyAlignment="1" applyProtection="1">
      <alignment horizontal="center"/>
      <protection locked="0"/>
    </xf>
    <xf numFmtId="0" fontId="26" fillId="14" borderId="20" xfId="0" applyFont="1" applyFill="1" applyBorder="1" applyAlignment="1" applyProtection="1">
      <alignment horizontal="center"/>
      <protection locked="0"/>
    </xf>
    <xf numFmtId="0" fontId="0" fillId="14" borderId="20" xfId="0" applyFill="1" applyBorder="1" applyProtection="1">
      <protection locked="0"/>
    </xf>
    <xf numFmtId="165" fontId="0" fillId="14" borderId="20" xfId="0" applyNumberFormat="1" applyFill="1" applyBorder="1" applyAlignment="1" applyProtection="1">
      <alignment horizontal="center"/>
      <protection locked="0"/>
    </xf>
    <xf numFmtId="166" fontId="0" fillId="14" borderId="20" xfId="2" applyNumberFormat="1" applyFont="1" applyFill="1" applyBorder="1" applyAlignment="1" applyProtection="1">
      <protection locked="0"/>
    </xf>
    <xf numFmtId="164" fontId="0" fillId="14" borderId="20" xfId="2" applyFont="1" applyFill="1" applyBorder="1" applyProtection="1">
      <protection locked="0"/>
    </xf>
    <xf numFmtId="165" fontId="0" fillId="14" borderId="20" xfId="2" applyNumberFormat="1" applyFont="1" applyFill="1" applyBorder="1" applyAlignment="1" applyProtection="1">
      <alignment horizontal="center"/>
      <protection locked="0"/>
    </xf>
    <xf numFmtId="0" fontId="26" fillId="44" borderId="0" xfId="0" applyFont="1" applyFill="1" applyAlignment="1" applyProtection="1">
      <alignment horizontal="center"/>
      <protection locked="0"/>
    </xf>
    <xf numFmtId="0" fontId="0" fillId="44" borderId="0" xfId="0" applyFill="1" applyProtection="1">
      <protection locked="0"/>
    </xf>
    <xf numFmtId="165" fontId="0" fillId="44" borderId="0" xfId="0" applyNumberFormat="1" applyFill="1" applyAlignment="1" applyProtection="1">
      <alignment horizontal="center"/>
      <protection locked="0"/>
    </xf>
    <xf numFmtId="166" fontId="0" fillId="44" borderId="0" xfId="2" applyNumberFormat="1" applyFont="1" applyFill="1" applyAlignment="1" applyProtection="1">
      <protection locked="0"/>
    </xf>
    <xf numFmtId="164" fontId="0" fillId="44" borderId="0" xfId="2" applyFont="1" applyFill="1" applyProtection="1">
      <protection locked="0"/>
    </xf>
    <xf numFmtId="165" fontId="0" fillId="44" borderId="0" xfId="2" applyNumberFormat="1" applyFont="1" applyFill="1" applyAlignment="1" applyProtection="1">
      <alignment horizontal="center"/>
      <protection locked="0"/>
    </xf>
    <xf numFmtId="0" fontId="26" fillId="14" borderId="0" xfId="0" applyFont="1" applyFill="1" applyAlignment="1" applyProtection="1">
      <alignment horizontal="center"/>
      <protection locked="0"/>
    </xf>
    <xf numFmtId="0" fontId="0" fillId="14" borderId="0" xfId="0" applyFill="1" applyProtection="1">
      <protection locked="0"/>
    </xf>
    <xf numFmtId="165" fontId="0" fillId="14" borderId="0" xfId="0" applyNumberFormat="1" applyFill="1" applyAlignment="1" applyProtection="1">
      <alignment horizontal="center"/>
      <protection locked="0"/>
    </xf>
    <xf numFmtId="166" fontId="0" fillId="14" borderId="0" xfId="2" applyNumberFormat="1" applyFont="1" applyFill="1" applyBorder="1" applyAlignment="1" applyProtection="1">
      <protection locked="0"/>
    </xf>
    <xf numFmtId="164" fontId="0" fillId="14" borderId="0" xfId="2" applyFont="1" applyFill="1" applyBorder="1" applyProtection="1">
      <protection locked="0"/>
    </xf>
    <xf numFmtId="165" fontId="0" fillId="14" borderId="0" xfId="2" applyNumberFormat="1" applyFont="1" applyFill="1" applyBorder="1" applyAlignment="1" applyProtection="1">
      <alignment horizontal="center"/>
      <protection locked="0"/>
    </xf>
    <xf numFmtId="0" fontId="26" fillId="44" borderId="20" xfId="0" applyFont="1" applyFill="1" applyBorder="1" applyAlignment="1" applyProtection="1">
      <alignment horizontal="center"/>
      <protection locked="0"/>
    </xf>
    <xf numFmtId="0" fontId="0" fillId="44" borderId="20" xfId="0" applyFill="1" applyBorder="1" applyProtection="1">
      <protection locked="0"/>
    </xf>
    <xf numFmtId="165" fontId="0" fillId="44" borderId="20" xfId="0" applyNumberFormat="1" applyFill="1" applyBorder="1" applyAlignment="1" applyProtection="1">
      <alignment horizontal="center"/>
      <protection locked="0"/>
    </xf>
    <xf numFmtId="166" fontId="0" fillId="44" borderId="20" xfId="2" applyNumberFormat="1" applyFont="1" applyFill="1" applyBorder="1" applyAlignment="1" applyProtection="1">
      <protection locked="0"/>
    </xf>
    <xf numFmtId="164" fontId="0" fillId="44" borderId="20" xfId="2" applyFont="1" applyFill="1" applyBorder="1" applyProtection="1">
      <protection locked="0"/>
    </xf>
    <xf numFmtId="165" fontId="0" fillId="44" borderId="20" xfId="2" applyNumberFormat="1" applyFont="1" applyFill="1" applyBorder="1" applyAlignment="1" applyProtection="1">
      <alignment horizontal="center"/>
      <protection locked="0"/>
    </xf>
    <xf numFmtId="0" fontId="26" fillId="45" borderId="0" xfId="0" applyFont="1" applyFill="1" applyAlignment="1" applyProtection="1">
      <alignment horizontal="center"/>
      <protection locked="0"/>
    </xf>
    <xf numFmtId="0" fontId="0" fillId="45" borderId="0" xfId="0" applyFill="1" applyProtection="1">
      <protection locked="0"/>
    </xf>
    <xf numFmtId="165" fontId="0" fillId="45" borderId="0" xfId="0" applyNumberFormat="1" applyFill="1" applyAlignment="1" applyProtection="1">
      <alignment horizontal="center"/>
      <protection locked="0"/>
    </xf>
    <xf numFmtId="166" fontId="0" fillId="45" borderId="0" xfId="2" applyNumberFormat="1" applyFont="1" applyFill="1" applyAlignment="1" applyProtection="1">
      <protection locked="0"/>
    </xf>
    <xf numFmtId="164" fontId="0" fillId="45" borderId="0" xfId="2" applyFont="1" applyFill="1" applyProtection="1">
      <protection locked="0"/>
    </xf>
    <xf numFmtId="165" fontId="0" fillId="45" borderId="0" xfId="2" applyNumberFormat="1" applyFont="1" applyFill="1" applyAlignment="1" applyProtection="1">
      <alignment horizontal="center"/>
      <protection locked="0"/>
    </xf>
    <xf numFmtId="0" fontId="26" fillId="45" borderId="20" xfId="0" applyFont="1" applyFill="1" applyBorder="1" applyAlignment="1" applyProtection="1">
      <alignment horizontal="center"/>
      <protection locked="0"/>
    </xf>
    <xf numFmtId="0" fontId="0" fillId="45" borderId="20" xfId="0" applyFill="1" applyBorder="1" applyProtection="1">
      <protection locked="0"/>
    </xf>
    <xf numFmtId="165" fontId="0" fillId="45" borderId="20" xfId="0" applyNumberFormat="1" applyFill="1" applyBorder="1" applyAlignment="1" applyProtection="1">
      <alignment horizontal="center"/>
      <protection locked="0"/>
    </xf>
    <xf numFmtId="166" fontId="0" fillId="45" borderId="20" xfId="2" applyNumberFormat="1" applyFont="1" applyFill="1" applyBorder="1" applyAlignment="1" applyProtection="1">
      <protection locked="0"/>
    </xf>
    <xf numFmtId="164" fontId="0" fillId="45" borderId="20" xfId="2" applyFont="1" applyFill="1" applyBorder="1" applyProtection="1">
      <protection locked="0"/>
    </xf>
    <xf numFmtId="165" fontId="0" fillId="45" borderId="20" xfId="2" applyNumberFormat="1" applyFont="1" applyFill="1" applyBorder="1" applyAlignment="1" applyProtection="1">
      <alignment horizontal="center"/>
      <protection locked="0"/>
    </xf>
    <xf numFmtId="0" fontId="26" fillId="41" borderId="0" xfId="0" applyFont="1" applyFill="1" applyAlignment="1" applyProtection="1">
      <alignment horizontal="center"/>
      <protection locked="0"/>
    </xf>
    <xf numFmtId="0" fontId="0" fillId="41" borderId="0" xfId="0" applyFill="1" applyProtection="1">
      <protection locked="0"/>
    </xf>
    <xf numFmtId="165" fontId="0" fillId="41" borderId="0" xfId="0" applyNumberFormat="1" applyFill="1" applyAlignment="1" applyProtection="1">
      <alignment horizontal="center"/>
      <protection locked="0"/>
    </xf>
    <xf numFmtId="166" fontId="0" fillId="41" borderId="0" xfId="2" applyNumberFormat="1" applyFont="1" applyFill="1" applyAlignment="1" applyProtection="1">
      <protection locked="0"/>
    </xf>
    <xf numFmtId="164" fontId="0" fillId="41" borderId="0" xfId="2" applyFont="1" applyFill="1" applyProtection="1">
      <protection locked="0"/>
    </xf>
    <xf numFmtId="165" fontId="0" fillId="41" borderId="0" xfId="2" applyNumberFormat="1" applyFont="1" applyFill="1" applyAlignment="1" applyProtection="1">
      <alignment horizontal="center"/>
      <protection locked="0"/>
    </xf>
    <xf numFmtId="0" fontId="26" fillId="41" borderId="20" xfId="0" applyFont="1" applyFill="1" applyBorder="1" applyAlignment="1" applyProtection="1">
      <alignment horizontal="center"/>
      <protection locked="0"/>
    </xf>
    <xf numFmtId="0" fontId="0" fillId="41" borderId="20" xfId="0" applyFill="1" applyBorder="1" applyProtection="1">
      <protection locked="0"/>
    </xf>
    <xf numFmtId="165" fontId="0" fillId="41" borderId="20" xfId="0" applyNumberFormat="1" applyFill="1" applyBorder="1" applyAlignment="1" applyProtection="1">
      <alignment horizontal="center"/>
      <protection locked="0"/>
    </xf>
    <xf numFmtId="166" fontId="0" fillId="41" borderId="20" xfId="2" applyNumberFormat="1" applyFont="1" applyFill="1" applyBorder="1" applyAlignment="1" applyProtection="1">
      <protection locked="0"/>
    </xf>
    <xf numFmtId="164" fontId="0" fillId="41" borderId="20" xfId="2" applyFont="1" applyFill="1" applyBorder="1" applyProtection="1">
      <protection locked="0"/>
    </xf>
    <xf numFmtId="165" fontId="0" fillId="41" borderId="20" xfId="2" applyNumberFormat="1" applyFont="1" applyFill="1" applyBorder="1" applyAlignment="1" applyProtection="1">
      <alignment horizontal="center"/>
      <protection locked="0"/>
    </xf>
    <xf numFmtId="0" fontId="26" fillId="16" borderId="0" xfId="0" applyFont="1" applyFill="1" applyAlignment="1" applyProtection="1">
      <alignment horizontal="center"/>
      <protection locked="0"/>
    </xf>
    <xf numFmtId="0" fontId="0" fillId="16" borderId="0" xfId="0" applyFill="1" applyProtection="1">
      <protection locked="0"/>
    </xf>
    <xf numFmtId="165" fontId="0" fillId="16" borderId="0" xfId="0" applyNumberFormat="1" applyFill="1" applyAlignment="1" applyProtection="1">
      <alignment horizontal="center"/>
      <protection locked="0"/>
    </xf>
    <xf numFmtId="166" fontId="0" fillId="16" borderId="0" xfId="2" applyNumberFormat="1" applyFont="1" applyFill="1" applyAlignment="1" applyProtection="1">
      <protection locked="0"/>
    </xf>
    <xf numFmtId="164" fontId="0" fillId="16" borderId="0" xfId="2" applyFont="1" applyFill="1" applyProtection="1">
      <protection locked="0"/>
    </xf>
    <xf numFmtId="165" fontId="0" fillId="16" borderId="0" xfId="2" applyNumberFormat="1" applyFont="1" applyFill="1" applyAlignment="1" applyProtection="1">
      <alignment horizontal="center"/>
      <protection locked="0"/>
    </xf>
    <xf numFmtId="0" fontId="26" fillId="16" borderId="20" xfId="0" applyFont="1" applyFill="1" applyBorder="1" applyAlignment="1" applyProtection="1">
      <alignment horizontal="center"/>
      <protection locked="0"/>
    </xf>
    <xf numFmtId="0" fontId="0" fillId="16" borderId="20" xfId="0" applyFill="1" applyBorder="1" applyProtection="1">
      <protection locked="0"/>
    </xf>
    <xf numFmtId="165" fontId="0" fillId="16" borderId="20" xfId="0" applyNumberFormat="1" applyFill="1" applyBorder="1" applyAlignment="1" applyProtection="1">
      <alignment horizontal="center"/>
      <protection locked="0"/>
    </xf>
    <xf numFmtId="166" fontId="0" fillId="16" borderId="20" xfId="2" applyNumberFormat="1" applyFont="1" applyFill="1" applyBorder="1" applyAlignment="1" applyProtection="1">
      <protection locked="0"/>
    </xf>
    <xf numFmtId="164" fontId="0" fillId="16" borderId="20" xfId="2" applyFont="1" applyFill="1" applyBorder="1" applyProtection="1">
      <protection locked="0"/>
    </xf>
    <xf numFmtId="165" fontId="0" fillId="16" borderId="20" xfId="2" applyNumberFormat="1" applyFont="1" applyFill="1" applyBorder="1" applyAlignment="1" applyProtection="1">
      <alignment horizontal="center"/>
      <protection locked="0"/>
    </xf>
    <xf numFmtId="0" fontId="14" fillId="0" borderId="0" xfId="0" applyFont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166" fontId="0" fillId="37" borderId="0" xfId="2" applyNumberFormat="1" applyFont="1" applyFill="1" applyProtection="1">
      <protection locked="0"/>
    </xf>
    <xf numFmtId="0" fontId="0" fillId="34" borderId="0" xfId="0" applyFill="1"/>
    <xf numFmtId="0" fontId="3" fillId="0" borderId="0" xfId="0" applyFont="1" applyAlignment="1" applyProtection="1">
      <alignment horizontal="center"/>
      <protection locked="0"/>
    </xf>
    <xf numFmtId="166" fontId="0" fillId="14" borderId="0" xfId="2" applyNumberFormat="1" applyFont="1" applyFill="1" applyAlignment="1" applyProtection="1">
      <alignment horizontal="center"/>
      <protection locked="0"/>
    </xf>
    <xf numFmtId="0" fontId="0" fillId="27" borderId="0" xfId="0" applyFill="1"/>
    <xf numFmtId="166" fontId="0" fillId="27" borderId="0" xfId="2" applyNumberFormat="1" applyFont="1" applyFill="1" applyProtection="1">
      <protection locked="0"/>
    </xf>
    <xf numFmtId="166" fontId="0" fillId="27" borderId="0" xfId="2" applyNumberFormat="1" applyFont="1" applyFill="1"/>
    <xf numFmtId="164" fontId="0" fillId="27" borderId="0" xfId="2" applyFont="1" applyFill="1"/>
    <xf numFmtId="0" fontId="0" fillId="29" borderId="0" xfId="0" applyFill="1"/>
    <xf numFmtId="0" fontId="0" fillId="29" borderId="20" xfId="0" applyFill="1" applyBorder="1"/>
    <xf numFmtId="166" fontId="0" fillId="0" borderId="0" xfId="2" applyNumberFormat="1" applyFont="1" applyAlignment="1" applyProtection="1">
      <protection locked="0"/>
    </xf>
    <xf numFmtId="165" fontId="0" fillId="0" borderId="0" xfId="2" applyNumberFormat="1" applyFont="1" applyAlignment="1" applyProtection="1">
      <alignment horizontal="center"/>
      <protection locked="0"/>
    </xf>
    <xf numFmtId="165" fontId="0" fillId="28" borderId="0" xfId="2" applyNumberFormat="1" applyFont="1" applyFill="1" applyAlignment="1" applyProtection="1">
      <alignment horizontal="center"/>
      <protection locked="0"/>
    </xf>
    <xf numFmtId="0" fontId="26" fillId="46" borderId="0" xfId="0" applyFont="1" applyFill="1" applyAlignment="1" applyProtection="1">
      <alignment horizontal="center"/>
      <protection locked="0"/>
    </xf>
    <xf numFmtId="0" fontId="0" fillId="46" borderId="0" xfId="0" applyFill="1" applyProtection="1">
      <protection locked="0"/>
    </xf>
    <xf numFmtId="165" fontId="0" fillId="46" borderId="0" xfId="0" applyNumberFormat="1" applyFill="1" applyAlignment="1" applyProtection="1">
      <alignment horizontal="center"/>
      <protection locked="0"/>
    </xf>
    <xf numFmtId="166" fontId="0" fillId="46" borderId="0" xfId="2" applyNumberFormat="1" applyFont="1" applyFill="1" applyAlignment="1" applyProtection="1">
      <protection locked="0"/>
    </xf>
    <xf numFmtId="164" fontId="0" fillId="46" borderId="0" xfId="2" applyFont="1" applyFill="1" applyProtection="1">
      <protection locked="0"/>
    </xf>
    <xf numFmtId="165" fontId="0" fillId="46" borderId="0" xfId="2" applyNumberFormat="1" applyFont="1" applyFill="1" applyAlignment="1" applyProtection="1">
      <alignment horizontal="center"/>
      <protection locked="0"/>
    </xf>
    <xf numFmtId="0" fontId="26" fillId="46" borderId="20" xfId="0" applyFont="1" applyFill="1" applyBorder="1" applyAlignment="1" applyProtection="1">
      <alignment horizontal="center"/>
      <protection locked="0"/>
    </xf>
    <xf numFmtId="0" fontId="0" fillId="46" borderId="20" xfId="0" applyFill="1" applyBorder="1" applyProtection="1">
      <protection locked="0"/>
    </xf>
    <xf numFmtId="165" fontId="0" fillId="46" borderId="20" xfId="0" applyNumberFormat="1" applyFill="1" applyBorder="1" applyAlignment="1" applyProtection="1">
      <alignment horizontal="center"/>
      <protection locked="0"/>
    </xf>
    <xf numFmtId="166" fontId="0" fillId="46" borderId="20" xfId="2" applyNumberFormat="1" applyFont="1" applyFill="1" applyBorder="1" applyAlignment="1" applyProtection="1">
      <protection locked="0"/>
    </xf>
    <xf numFmtId="164" fontId="0" fillId="46" borderId="20" xfId="2" applyFont="1" applyFill="1" applyBorder="1" applyProtection="1">
      <protection locked="0"/>
    </xf>
    <xf numFmtId="165" fontId="0" fillId="46" borderId="20" xfId="2" applyNumberFormat="1" applyFont="1" applyFill="1" applyBorder="1" applyAlignment="1" applyProtection="1">
      <alignment horizontal="center"/>
      <protection locked="0"/>
    </xf>
    <xf numFmtId="166" fontId="0" fillId="37" borderId="0" xfId="2" applyNumberFormat="1" applyFont="1" applyFill="1" applyAlignment="1" applyProtection="1">
      <alignment horizontal="center"/>
      <protection locked="0"/>
    </xf>
    <xf numFmtId="166" fontId="0" fillId="31" borderId="0" xfId="2" applyNumberFormat="1" applyFont="1" applyFill="1" applyProtection="1">
      <protection locked="0"/>
    </xf>
    <xf numFmtId="164" fontId="0" fillId="31" borderId="0" xfId="2" applyFont="1" applyFill="1"/>
    <xf numFmtId="0" fontId="14" fillId="47" borderId="9" xfId="0" applyFont="1" applyFill="1" applyBorder="1" applyAlignment="1">
      <alignment horizontal="center" vertical="center" wrapText="1"/>
    </xf>
    <xf numFmtId="0" fontId="14" fillId="47" borderId="11" xfId="0" applyFont="1" applyFill="1" applyBorder="1" applyAlignment="1">
      <alignment horizontal="center" vertical="center" wrapText="1"/>
    </xf>
    <xf numFmtId="170" fontId="31" fillId="23" borderId="0" xfId="3" applyNumberFormat="1" applyFont="1" applyFill="1" applyAlignment="1">
      <alignment horizontal="center"/>
    </xf>
    <xf numFmtId="0" fontId="0" fillId="0" borderId="20" xfId="0" applyBorder="1" applyAlignment="1" applyProtection="1">
      <alignment horizontal="center"/>
      <protection locked="0"/>
    </xf>
    <xf numFmtId="164" fontId="0" fillId="37" borderId="20" xfId="2" applyFont="1" applyFill="1" applyBorder="1" applyProtection="1">
      <protection locked="0"/>
    </xf>
    <xf numFmtId="166" fontId="15" fillId="37" borderId="0" xfId="2" applyNumberFormat="1" applyFont="1" applyFill="1" applyAlignment="1" applyProtection="1">
      <alignment horizontal="center"/>
      <protection locked="0"/>
    </xf>
    <xf numFmtId="0" fontId="26" fillId="48" borderId="0" xfId="0" applyFont="1" applyFill="1" applyAlignment="1" applyProtection="1">
      <alignment horizontal="center"/>
      <protection locked="0"/>
    </xf>
    <xf numFmtId="0" fontId="0" fillId="48" borderId="0" xfId="0" applyFill="1" applyProtection="1">
      <protection locked="0"/>
    </xf>
    <xf numFmtId="165" fontId="0" fillId="48" borderId="0" xfId="0" applyNumberFormat="1" applyFill="1" applyAlignment="1" applyProtection="1">
      <alignment horizontal="center"/>
      <protection locked="0"/>
    </xf>
    <xf numFmtId="166" fontId="0" fillId="48" borderId="0" xfId="2" applyNumberFormat="1" applyFont="1" applyFill="1" applyAlignment="1" applyProtection="1">
      <protection locked="0"/>
    </xf>
    <xf numFmtId="164" fontId="0" fillId="48" borderId="0" xfId="2" applyFont="1" applyFill="1" applyProtection="1">
      <protection locked="0"/>
    </xf>
    <xf numFmtId="165" fontId="0" fillId="48" borderId="0" xfId="2" applyNumberFormat="1" applyFont="1" applyFill="1" applyAlignment="1" applyProtection="1">
      <alignment horizontal="center"/>
      <protection locked="0"/>
    </xf>
    <xf numFmtId="0" fontId="26" fillId="48" borderId="20" xfId="0" applyFont="1" applyFill="1" applyBorder="1" applyAlignment="1" applyProtection="1">
      <alignment horizontal="center"/>
      <protection locked="0"/>
    </xf>
    <xf numFmtId="0" fontId="0" fillId="48" borderId="20" xfId="0" applyFill="1" applyBorder="1" applyProtection="1">
      <protection locked="0"/>
    </xf>
    <xf numFmtId="165" fontId="0" fillId="48" borderId="20" xfId="0" applyNumberFormat="1" applyFill="1" applyBorder="1" applyAlignment="1" applyProtection="1">
      <alignment horizontal="center"/>
      <protection locked="0"/>
    </xf>
    <xf numFmtId="166" fontId="0" fillId="48" borderId="20" xfId="2" applyNumberFormat="1" applyFont="1" applyFill="1" applyBorder="1" applyAlignment="1" applyProtection="1">
      <protection locked="0"/>
    </xf>
    <xf numFmtId="164" fontId="0" fillId="48" borderId="20" xfId="2" applyFont="1" applyFill="1" applyBorder="1" applyProtection="1">
      <protection locked="0"/>
    </xf>
    <xf numFmtId="165" fontId="0" fillId="48" borderId="20" xfId="2" applyNumberFormat="1" applyFont="1" applyFill="1" applyBorder="1" applyAlignment="1" applyProtection="1">
      <alignment horizontal="center"/>
      <protection locked="0"/>
    </xf>
    <xf numFmtId="166" fontId="33" fillId="49" borderId="0" xfId="0" applyNumberFormat="1" applyFont="1" applyFill="1" applyAlignment="1">
      <alignment horizontal="center"/>
    </xf>
    <xf numFmtId="0" fontId="0" fillId="50" borderId="0" xfId="0" applyFill="1"/>
    <xf numFmtId="0" fontId="0" fillId="34" borderId="20" xfId="0" applyFill="1" applyBorder="1"/>
    <xf numFmtId="0" fontId="26" fillId="37" borderId="20" xfId="0" applyFont="1" applyFill="1" applyBorder="1" applyAlignment="1" applyProtection="1">
      <alignment horizontal="center"/>
      <protection locked="0"/>
    </xf>
    <xf numFmtId="0" fontId="0" fillId="37" borderId="20" xfId="0" applyFill="1" applyBorder="1" applyProtection="1">
      <protection locked="0"/>
    </xf>
    <xf numFmtId="166" fontId="0" fillId="37" borderId="20" xfId="2" applyNumberFormat="1" applyFont="1" applyFill="1" applyBorder="1" applyAlignment="1" applyProtection="1">
      <protection locked="0"/>
    </xf>
    <xf numFmtId="165" fontId="0" fillId="37" borderId="20" xfId="2" applyNumberFormat="1" applyFont="1" applyFill="1" applyBorder="1" applyAlignment="1" applyProtection="1">
      <alignment horizontal="center"/>
      <protection locked="0"/>
    </xf>
    <xf numFmtId="0" fontId="0" fillId="37" borderId="0" xfId="0" applyFill="1" applyAlignment="1">
      <alignment vertical="center"/>
    </xf>
    <xf numFmtId="0" fontId="28" fillId="19" borderId="3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166" fontId="26" fillId="14" borderId="0" xfId="2" applyNumberFormat="1" applyFont="1" applyFill="1" applyAlignment="1" applyProtection="1">
      <alignment horizontal="center"/>
    </xf>
    <xf numFmtId="166" fontId="31" fillId="19" borderId="0" xfId="2" applyNumberFormat="1" applyFont="1" applyFill="1" applyProtection="1"/>
    <xf numFmtId="166" fontId="31" fillId="49" borderId="0" xfId="2" applyNumberFormat="1" applyFont="1" applyFill="1" applyAlignment="1">
      <alignment horizontal="center"/>
    </xf>
    <xf numFmtId="166" fontId="31" fillId="49" borderId="0" xfId="2" applyNumberFormat="1" applyFont="1" applyFill="1" applyAlignment="1" applyProtection="1">
      <alignment horizontal="center"/>
      <protection locked="0"/>
    </xf>
    <xf numFmtId="0" fontId="31" fillId="23" borderId="0" xfId="0" applyFont="1" applyFill="1" applyAlignment="1" applyProtection="1">
      <alignment horizontal="center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165" fontId="0" fillId="37" borderId="23" xfId="0" applyNumberFormat="1" applyFill="1" applyBorder="1" applyAlignment="1" applyProtection="1">
      <alignment horizontal="center"/>
      <protection locked="0"/>
    </xf>
    <xf numFmtId="165" fontId="0" fillId="0" borderId="23" xfId="0" applyNumberFormat="1" applyBorder="1" applyAlignment="1" applyProtection="1">
      <alignment horizontal="center"/>
      <protection locked="0"/>
    </xf>
    <xf numFmtId="0" fontId="15" fillId="0" borderId="23" xfId="0" applyFont="1" applyBorder="1" applyAlignment="1" applyProtection="1">
      <alignment horizontal="center"/>
      <protection locked="0"/>
    </xf>
    <xf numFmtId="0" fontId="0" fillId="5" borderId="23" xfId="0" applyFill="1" applyBorder="1"/>
    <xf numFmtId="0" fontId="0" fillId="0" borderId="23" xfId="0" applyBorder="1" applyProtection="1">
      <protection locked="0"/>
    </xf>
    <xf numFmtId="166" fontId="0" fillId="0" borderId="23" xfId="2" applyNumberFormat="1" applyFont="1" applyBorder="1" applyProtection="1">
      <protection locked="0"/>
    </xf>
    <xf numFmtId="166" fontId="0" fillId="14" borderId="23" xfId="2" applyNumberFormat="1" applyFont="1" applyFill="1" applyBorder="1"/>
    <xf numFmtId="164" fontId="0" fillId="0" borderId="23" xfId="2" applyFont="1" applyBorder="1" applyProtection="1">
      <protection locked="0"/>
    </xf>
    <xf numFmtId="164" fontId="0" fillId="2" borderId="23" xfId="2" applyFont="1" applyFill="1" applyBorder="1"/>
    <xf numFmtId="164" fontId="0" fillId="37" borderId="23" xfId="2" applyFont="1" applyFill="1" applyBorder="1" applyProtection="1">
      <protection locked="0"/>
    </xf>
    <xf numFmtId="164" fontId="0" fillId="13" borderId="23" xfId="2" applyFont="1" applyFill="1" applyBorder="1"/>
    <xf numFmtId="164" fontId="0" fillId="5" borderId="23" xfId="2" applyFont="1" applyFill="1" applyBorder="1"/>
    <xf numFmtId="0" fontId="0" fillId="50" borderId="20" xfId="0" applyFill="1" applyBorder="1"/>
    <xf numFmtId="0" fontId="26" fillId="0" borderId="23" xfId="0" applyFont="1" applyBorder="1" applyAlignment="1" applyProtection="1">
      <alignment horizontal="center"/>
      <protection locked="0"/>
    </xf>
    <xf numFmtId="166" fontId="0" fillId="29" borderId="0" xfId="2" applyNumberFormat="1" applyFont="1" applyFill="1"/>
    <xf numFmtId="166" fontId="0" fillId="41" borderId="0" xfId="2" applyNumberFormat="1" applyFont="1" applyFill="1"/>
    <xf numFmtId="166" fontId="0" fillId="29" borderId="23" xfId="2" applyNumberFormat="1" applyFont="1" applyFill="1" applyBorder="1"/>
    <xf numFmtId="165" fontId="0" fillId="5" borderId="0" xfId="0" applyNumberFormat="1" applyFill="1" applyAlignment="1" applyProtection="1">
      <alignment horizontal="center"/>
      <protection locked="0"/>
    </xf>
    <xf numFmtId="0" fontId="23" fillId="33" borderId="5" xfId="0" applyFont="1" applyFill="1" applyBorder="1" applyAlignment="1">
      <alignment vertical="center"/>
    </xf>
    <xf numFmtId="0" fontId="34" fillId="29" borderId="24" xfId="0" applyFont="1" applyFill="1" applyBorder="1" applyAlignment="1">
      <alignment vertical="center"/>
    </xf>
    <xf numFmtId="0" fontId="34" fillId="29" borderId="25" xfId="0" applyFont="1" applyFill="1" applyBorder="1" applyAlignment="1">
      <alignment horizontal="center" vertical="center"/>
    </xf>
    <xf numFmtId="0" fontId="34" fillId="29" borderId="0" xfId="0" applyFont="1" applyFill="1"/>
    <xf numFmtId="0" fontId="28" fillId="19" borderId="27" xfId="0" applyFont="1" applyFill="1" applyBorder="1" applyAlignment="1">
      <alignment horizontal="center" vertical="center"/>
    </xf>
    <xf numFmtId="0" fontId="28" fillId="19" borderId="28" xfId="0" applyFont="1" applyFill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 wrapText="1"/>
    </xf>
    <xf numFmtId="0" fontId="13" fillId="18" borderId="29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35" fillId="33" borderId="5" xfId="0" applyFont="1" applyFill="1" applyBorder="1" applyAlignment="1">
      <alignment horizontal="center" vertical="center"/>
    </xf>
    <xf numFmtId="0" fontId="35" fillId="33" borderId="31" xfId="0" applyFont="1" applyFill="1" applyBorder="1" applyAlignment="1">
      <alignment horizontal="center" vertical="center"/>
    </xf>
    <xf numFmtId="0" fontId="36" fillId="9" borderId="5" xfId="0" applyFont="1" applyFill="1" applyBorder="1" applyAlignment="1">
      <alignment horizontal="center" vertical="center"/>
    </xf>
    <xf numFmtId="0" fontId="34" fillId="41" borderId="3" xfId="0" applyFont="1" applyFill="1" applyBorder="1" applyAlignment="1" applyProtection="1">
      <alignment horizontal="center" vertical="center"/>
      <protection locked="0"/>
    </xf>
    <xf numFmtId="0" fontId="37" fillId="4" borderId="4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/>
    </xf>
    <xf numFmtId="0" fontId="37" fillId="19" borderId="3" xfId="0" applyFont="1" applyFill="1" applyBorder="1" applyAlignment="1">
      <alignment horizontal="center" vertical="center"/>
    </xf>
    <xf numFmtId="0" fontId="37" fillId="4" borderId="3" xfId="0" applyFont="1" applyFill="1" applyBorder="1" applyAlignment="1">
      <alignment horizontal="center" vertical="center" wrapText="1"/>
    </xf>
    <xf numFmtId="0" fontId="37" fillId="18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38" fillId="8" borderId="3" xfId="0" applyFont="1" applyFill="1" applyBorder="1" applyAlignment="1">
      <alignment horizontal="center" vertical="center"/>
    </xf>
    <xf numFmtId="169" fontId="24" fillId="2" borderId="3" xfId="2" applyNumberFormat="1" applyFont="1" applyFill="1" applyBorder="1" applyAlignment="1">
      <alignment horizontal="center" vertical="center"/>
    </xf>
    <xf numFmtId="169" fontId="24" fillId="8" borderId="3" xfId="2" applyNumberFormat="1" applyFont="1" applyFill="1" applyBorder="1" applyAlignment="1">
      <alignment horizontal="center" vertical="center"/>
    </xf>
    <xf numFmtId="169" fontId="14" fillId="2" borderId="3" xfId="2" applyNumberFormat="1" applyFont="1" applyFill="1" applyBorder="1" applyAlignment="1">
      <alignment horizontal="center" vertical="center"/>
    </xf>
    <xf numFmtId="169" fontId="14" fillId="8" borderId="3" xfId="2" applyNumberFormat="1" applyFont="1" applyFill="1" applyBorder="1" applyAlignment="1">
      <alignment horizontal="center" vertical="center"/>
    </xf>
    <xf numFmtId="169" fontId="14" fillId="32" borderId="5" xfId="2" applyNumberFormat="1" applyFont="1" applyFill="1" applyBorder="1" applyAlignment="1">
      <alignment horizontal="center" vertical="center"/>
    </xf>
    <xf numFmtId="168" fontId="14" fillId="32" borderId="5" xfId="2" applyNumberFormat="1" applyFont="1" applyFill="1" applyBorder="1" applyAlignment="1">
      <alignment horizontal="center" vertical="center"/>
    </xf>
    <xf numFmtId="169" fontId="14" fillId="9" borderId="5" xfId="2" applyNumberFormat="1" applyFont="1" applyFill="1" applyBorder="1" applyAlignment="1">
      <alignment horizontal="center" vertical="center"/>
    </xf>
    <xf numFmtId="168" fontId="14" fillId="9" borderId="5" xfId="2" applyNumberFormat="1" applyFont="1" applyFill="1" applyBorder="1" applyAlignment="1">
      <alignment horizontal="center" vertical="center"/>
    </xf>
    <xf numFmtId="169" fontId="24" fillId="32" borderId="5" xfId="2" applyNumberFormat="1" applyFont="1" applyFill="1" applyBorder="1" applyAlignment="1">
      <alignment horizontal="center" vertical="center"/>
    </xf>
    <xf numFmtId="168" fontId="24" fillId="32" borderId="5" xfId="2" applyNumberFormat="1" applyFont="1" applyFill="1" applyBorder="1" applyAlignment="1">
      <alignment horizontal="center" vertical="center"/>
    </xf>
    <xf numFmtId="169" fontId="24" fillId="9" borderId="5" xfId="2" applyNumberFormat="1" applyFont="1" applyFill="1" applyBorder="1" applyAlignment="1">
      <alignment horizontal="center" vertical="center"/>
    </xf>
    <xf numFmtId="0" fontId="39" fillId="36" borderId="4" xfId="0" applyFont="1" applyFill="1" applyBorder="1" applyAlignment="1">
      <alignment horizontal="center" vertical="center" wrapText="1"/>
    </xf>
    <xf numFmtId="0" fontId="37" fillId="35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 wrapText="1"/>
    </xf>
    <xf numFmtId="0" fontId="37" fillId="18" borderId="5" xfId="0" applyFont="1" applyFill="1" applyBorder="1" applyAlignment="1">
      <alignment horizontal="center" vertical="center" wrapText="1"/>
    </xf>
    <xf numFmtId="0" fontId="34" fillId="32" borderId="5" xfId="0" applyFont="1" applyFill="1" applyBorder="1" applyAlignment="1">
      <alignment vertical="center"/>
    </xf>
    <xf numFmtId="0" fontId="34" fillId="9" borderId="5" xfId="0" applyFont="1" applyFill="1" applyBorder="1" applyAlignment="1">
      <alignment vertical="center"/>
    </xf>
    <xf numFmtId="0" fontId="34" fillId="32" borderId="5" xfId="0" applyFont="1" applyFill="1" applyBorder="1" applyAlignment="1">
      <alignment horizontal="center" vertical="center"/>
    </xf>
    <xf numFmtId="0" fontId="34" fillId="9" borderId="5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vertical="center"/>
    </xf>
    <xf numFmtId="0" fontId="34" fillId="8" borderId="3" xfId="0" applyFont="1" applyFill="1" applyBorder="1" applyAlignment="1">
      <alignment horizontal="left" vertical="center"/>
    </xf>
    <xf numFmtId="0" fontId="40" fillId="33" borderId="5" xfId="0" applyFont="1" applyFill="1" applyBorder="1" applyAlignment="1">
      <alignment vertical="center"/>
    </xf>
    <xf numFmtId="0" fontId="40" fillId="33" borderId="26" xfId="0" applyFont="1" applyFill="1" applyBorder="1" applyAlignment="1">
      <alignment vertical="center"/>
    </xf>
    <xf numFmtId="0" fontId="40" fillId="33" borderId="5" xfId="0" applyFont="1" applyFill="1" applyBorder="1" applyAlignment="1">
      <alignment horizontal="center" vertical="center"/>
    </xf>
    <xf numFmtId="169" fontId="40" fillId="2" borderId="3" xfId="2" applyNumberFormat="1" applyFont="1" applyFill="1" applyBorder="1" applyAlignment="1">
      <alignment horizontal="center" vertical="center"/>
    </xf>
    <xf numFmtId="169" fontId="41" fillId="2" borderId="3" xfId="2" applyNumberFormat="1" applyFont="1" applyFill="1" applyBorder="1" applyAlignment="1">
      <alignment horizontal="center" vertical="center"/>
    </xf>
    <xf numFmtId="169" fontId="41" fillId="9" borderId="5" xfId="2" applyNumberFormat="1" applyFont="1" applyFill="1" applyBorder="1" applyAlignment="1">
      <alignment horizontal="center" vertical="center"/>
    </xf>
    <xf numFmtId="168" fontId="41" fillId="9" borderId="5" xfId="2" applyNumberFormat="1" applyFont="1" applyFill="1" applyBorder="1" applyAlignment="1">
      <alignment horizontal="center" vertical="center"/>
    </xf>
    <xf numFmtId="169" fontId="41" fillId="40" borderId="5" xfId="2" applyNumberFormat="1" applyFont="1" applyFill="1" applyBorder="1" applyAlignment="1">
      <alignment horizontal="center" vertical="center"/>
    </xf>
    <xf numFmtId="168" fontId="41" fillId="40" borderId="5" xfId="2" applyNumberFormat="1" applyFont="1" applyFill="1" applyBorder="1" applyAlignment="1">
      <alignment horizontal="center" vertical="center"/>
    </xf>
    <xf numFmtId="169" fontId="40" fillId="40" borderId="25" xfId="2" applyNumberFormat="1" applyFont="1" applyFill="1" applyBorder="1" applyAlignment="1">
      <alignment horizontal="center" vertical="center"/>
    </xf>
    <xf numFmtId="169" fontId="40" fillId="9" borderId="25" xfId="2" applyNumberFormat="1" applyFont="1" applyFill="1" applyBorder="1" applyAlignment="1">
      <alignment horizontal="center" vertical="center"/>
    </xf>
    <xf numFmtId="0" fontId="34" fillId="32" borderId="3" xfId="0" applyFont="1" applyFill="1" applyBorder="1" applyAlignment="1" applyProtection="1">
      <alignment horizontal="center" vertical="center"/>
      <protection locked="0"/>
    </xf>
    <xf numFmtId="166" fontId="0" fillId="14" borderId="0" xfId="2" applyNumberFormat="1" applyFont="1" applyFill="1" applyAlignment="1" applyProtection="1">
      <protection locked="0"/>
    </xf>
    <xf numFmtId="164" fontId="0" fillId="14" borderId="0" xfId="2" applyFont="1" applyFill="1" applyProtection="1">
      <protection locked="0"/>
    </xf>
    <xf numFmtId="165" fontId="0" fillId="14" borderId="0" xfId="2" applyNumberFormat="1" applyFont="1" applyFill="1" applyAlignment="1" applyProtection="1">
      <alignment horizontal="center"/>
      <protection locked="0"/>
    </xf>
    <xf numFmtId="166" fontId="0" fillId="0" borderId="20" xfId="2" applyNumberFormat="1" applyFont="1" applyBorder="1" applyAlignment="1" applyProtection="1">
      <protection locked="0"/>
    </xf>
    <xf numFmtId="165" fontId="0" fillId="0" borderId="20" xfId="2" applyNumberFormat="1" applyFont="1" applyBorder="1" applyAlignment="1" applyProtection="1">
      <alignment horizontal="center"/>
      <protection locked="0"/>
    </xf>
    <xf numFmtId="0" fontId="26" fillId="37" borderId="0" xfId="0" applyFont="1" applyFill="1" applyAlignment="1">
      <alignment horizontal="center"/>
    </xf>
    <xf numFmtId="166" fontId="0" fillId="35" borderId="0" xfId="2" applyNumberFormat="1" applyFont="1" applyFill="1"/>
    <xf numFmtId="166" fontId="5" fillId="27" borderId="0" xfId="2" applyNumberFormat="1" applyFont="1" applyFill="1" applyProtection="1">
      <protection locked="0"/>
    </xf>
    <xf numFmtId="166" fontId="5" fillId="27" borderId="0" xfId="2" applyNumberFormat="1" applyFont="1" applyFill="1"/>
    <xf numFmtId="164" fontId="5" fillId="27" borderId="0" xfId="2" applyFont="1" applyFill="1" applyProtection="1">
      <protection locked="0"/>
    </xf>
    <xf numFmtId="164" fontId="5" fillId="27" borderId="0" xfId="2" applyFont="1" applyFill="1"/>
    <xf numFmtId="166" fontId="15" fillId="14" borderId="0" xfId="2" applyNumberFormat="1" applyFont="1" applyFill="1" applyAlignment="1" applyProtection="1">
      <alignment horizontal="center"/>
    </xf>
    <xf numFmtId="0" fontId="3" fillId="0" borderId="20" xfId="0" applyFont="1" applyBorder="1" applyAlignment="1" applyProtection="1">
      <alignment horizontal="center"/>
      <protection locked="0"/>
    </xf>
    <xf numFmtId="0" fontId="0" fillId="51" borderId="0" xfId="0" applyFill="1"/>
    <xf numFmtId="0" fontId="0" fillId="14" borderId="0" xfId="0" applyFill="1" applyAlignment="1" applyProtection="1">
      <alignment horizontal="center"/>
      <protection locked="0"/>
    </xf>
    <xf numFmtId="171" fontId="41" fillId="40" borderId="5" xfId="2" applyNumberFormat="1" applyFont="1" applyFill="1" applyBorder="1" applyAlignment="1">
      <alignment horizontal="center" vertical="center"/>
    </xf>
    <xf numFmtId="0" fontId="39" fillId="35" borderId="5" xfId="0" applyFont="1" applyFill="1" applyBorder="1" applyAlignment="1">
      <alignment horizontal="center" vertical="center"/>
    </xf>
    <xf numFmtId="0" fontId="0" fillId="51" borderId="20" xfId="0" applyFill="1" applyBorder="1"/>
    <xf numFmtId="0" fontId="26" fillId="52" borderId="0" xfId="0" applyFont="1" applyFill="1" applyAlignment="1" applyProtection="1">
      <alignment horizontal="center"/>
      <protection locked="0"/>
    </xf>
    <xf numFmtId="0" fontId="0" fillId="52" borderId="0" xfId="0" applyFill="1" applyProtection="1">
      <protection locked="0"/>
    </xf>
    <xf numFmtId="165" fontId="0" fillId="52" borderId="0" xfId="0" applyNumberFormat="1" applyFill="1" applyAlignment="1" applyProtection="1">
      <alignment horizontal="center"/>
      <protection locked="0"/>
    </xf>
    <xf numFmtId="166" fontId="0" fillId="52" borderId="0" xfId="2" applyNumberFormat="1" applyFont="1" applyFill="1" applyBorder="1" applyAlignment="1" applyProtection="1">
      <protection locked="0"/>
    </xf>
    <xf numFmtId="164" fontId="0" fillId="52" borderId="0" xfId="2" applyFont="1" applyFill="1" applyBorder="1" applyProtection="1">
      <protection locked="0"/>
    </xf>
    <xf numFmtId="165" fontId="0" fillId="52" borderId="0" xfId="2" applyNumberFormat="1" applyFont="1" applyFill="1" applyBorder="1" applyAlignment="1" applyProtection="1">
      <alignment horizontal="center"/>
      <protection locked="0"/>
    </xf>
    <xf numFmtId="166" fontId="3" fillId="41" borderId="0" xfId="2" applyNumberFormat="1" applyFont="1" applyFill="1"/>
    <xf numFmtId="166" fontId="3" fillId="35" borderId="0" xfId="2" applyNumberFormat="1" applyFont="1" applyFill="1"/>
    <xf numFmtId="166" fontId="5" fillId="14" borderId="0" xfId="2" applyNumberFormat="1" applyFont="1" applyFill="1"/>
    <xf numFmtId="164" fontId="5" fillId="2" borderId="0" xfId="2" applyFont="1" applyFill="1"/>
    <xf numFmtId="164" fontId="5" fillId="13" borderId="0" xfId="2" applyFont="1" applyFill="1"/>
    <xf numFmtId="164" fontId="5" fillId="5" borderId="0" xfId="2" applyFont="1" applyFill="1"/>
    <xf numFmtId="171" fontId="14" fillId="32" borderId="5" xfId="2" applyNumberFormat="1" applyFont="1" applyFill="1" applyBorder="1" applyAlignment="1">
      <alignment horizontal="center" vertical="center"/>
    </xf>
    <xf numFmtId="171" fontId="24" fillId="32" borderId="5" xfId="2" applyNumberFormat="1" applyFont="1" applyFill="1" applyBorder="1" applyAlignment="1">
      <alignment horizontal="center" vertical="center"/>
    </xf>
    <xf numFmtId="171" fontId="14" fillId="9" borderId="5" xfId="2" applyNumberFormat="1" applyFont="1" applyFill="1" applyBorder="1" applyAlignment="1">
      <alignment horizontal="center" vertical="center"/>
    </xf>
    <xf numFmtId="168" fontId="41" fillId="2" borderId="3" xfId="2" applyNumberFormat="1" applyFont="1" applyFill="1" applyBorder="1" applyAlignment="1">
      <alignment horizontal="center" vertical="center"/>
    </xf>
    <xf numFmtId="172" fontId="0" fillId="48" borderId="0" xfId="2" applyNumberFormat="1" applyFont="1" applyFill="1" applyAlignment="1" applyProtection="1">
      <protection locked="0"/>
    </xf>
    <xf numFmtId="2" fontId="0" fillId="0" borderId="0" xfId="0" applyNumberFormat="1"/>
    <xf numFmtId="172" fontId="0" fillId="9" borderId="0" xfId="2" applyNumberFormat="1" applyFont="1" applyFill="1" applyBorder="1" applyAlignment="1" applyProtection="1">
      <protection locked="0"/>
    </xf>
    <xf numFmtId="164" fontId="0" fillId="44" borderId="0" xfId="2" applyFont="1" applyFill="1" applyAlignment="1" applyProtection="1">
      <protection locked="0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vertical="center" wrapText="1"/>
    </xf>
    <xf numFmtId="165" fontId="0" fillId="9" borderId="6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2" fontId="0" fillId="27" borderId="20" xfId="0" applyNumberFormat="1" applyFill="1" applyBorder="1" applyAlignment="1" applyProtection="1">
      <alignment horizontal="center"/>
      <protection locked="0"/>
    </xf>
    <xf numFmtId="164" fontId="0" fillId="9" borderId="0" xfId="2" applyFont="1" applyFill="1" applyBorder="1" applyAlignment="1" applyProtection="1">
      <protection locked="0"/>
    </xf>
    <xf numFmtId="172" fontId="0" fillId="46" borderId="0" xfId="2" applyNumberFormat="1" applyFont="1" applyFill="1" applyAlignment="1" applyProtection="1">
      <protection locked="0"/>
    </xf>
    <xf numFmtId="172" fontId="0" fillId="28" borderId="0" xfId="2" applyNumberFormat="1" applyFont="1" applyFill="1" applyBorder="1" applyAlignment="1" applyProtection="1">
      <protection locked="0"/>
    </xf>
    <xf numFmtId="171" fontId="14" fillId="2" borderId="3" xfId="2" applyNumberFormat="1" applyFont="1" applyFill="1" applyBorder="1" applyAlignment="1">
      <alignment horizontal="center" vertical="center"/>
    </xf>
    <xf numFmtId="0" fontId="23" fillId="33" borderId="32" xfId="0" applyFont="1" applyFill="1" applyBorder="1" applyAlignment="1">
      <alignment vertical="center"/>
    </xf>
    <xf numFmtId="0" fontId="40" fillId="33" borderId="30" xfId="0" applyFont="1" applyFill="1" applyBorder="1" applyAlignment="1">
      <alignment vertical="center"/>
    </xf>
    <xf numFmtId="0" fontId="40" fillId="33" borderId="31" xfId="0" applyFont="1" applyFill="1" applyBorder="1" applyAlignment="1">
      <alignment horizontal="center" vertical="center"/>
    </xf>
    <xf numFmtId="171" fontId="41" fillId="2" borderId="3" xfId="2" applyNumberFormat="1" applyFont="1" applyFill="1" applyBorder="1" applyAlignment="1">
      <alignment horizontal="center" vertical="center"/>
    </xf>
    <xf numFmtId="164" fontId="0" fillId="28" borderId="0" xfId="2" applyFont="1" applyFill="1" applyBorder="1" applyAlignment="1" applyProtection="1">
      <protection locked="0"/>
    </xf>
    <xf numFmtId="164" fontId="0" fillId="27" borderId="0" xfId="2" applyFont="1" applyFill="1" applyAlignment="1" applyProtection="1">
      <protection locked="0"/>
    </xf>
    <xf numFmtId="0" fontId="0" fillId="24" borderId="22" xfId="0" applyFill="1" applyBorder="1"/>
    <xf numFmtId="0" fontId="0" fillId="3" borderId="20" xfId="0" applyFill="1" applyBorder="1"/>
    <xf numFmtId="0" fontId="0" fillId="49" borderId="0" xfId="0" applyFill="1"/>
    <xf numFmtId="164" fontId="0" fillId="49" borderId="0" xfId="0" applyNumberFormat="1" applyFill="1"/>
    <xf numFmtId="164" fontId="0" fillId="49" borderId="0" xfId="2" applyFont="1" applyFill="1"/>
    <xf numFmtId="164" fontId="0" fillId="49" borderId="20" xfId="2" applyFont="1" applyFill="1" applyBorder="1"/>
    <xf numFmtId="164" fontId="0" fillId="49" borderId="0" xfId="2" applyFont="1" applyFill="1" applyBorder="1"/>
    <xf numFmtId="164" fontId="0" fillId="49" borderId="23" xfId="2" applyFont="1" applyFill="1" applyBorder="1"/>
    <xf numFmtId="164" fontId="5" fillId="49" borderId="0" xfId="2" applyFont="1" applyFill="1"/>
    <xf numFmtId="0" fontId="0" fillId="49" borderId="0" xfId="2" applyNumberFormat="1" applyFont="1" applyFill="1"/>
    <xf numFmtId="0" fontId="0" fillId="49" borderId="20" xfId="2" applyNumberFormat="1" applyFont="1" applyFill="1" applyBorder="1"/>
    <xf numFmtId="166" fontId="31" fillId="49" borderId="0" xfId="0" applyNumberFormat="1" applyFont="1" applyFill="1" applyAlignment="1">
      <alignment horizontal="center"/>
    </xf>
    <xf numFmtId="0" fontId="0" fillId="53" borderId="0" xfId="0" applyFill="1"/>
    <xf numFmtId="0" fontId="0" fillId="53" borderId="22" xfId="0" applyFill="1" applyBorder="1"/>
    <xf numFmtId="0" fontId="0" fillId="5" borderId="34" xfId="0" applyFill="1" applyBorder="1" applyAlignment="1">
      <alignment horizontal="center"/>
    </xf>
    <xf numFmtId="0" fontId="0" fillId="27" borderId="0" xfId="2" applyNumberFormat="1" applyFont="1" applyFill="1"/>
    <xf numFmtId="0" fontId="15" fillId="0" borderId="9" xfId="0" applyFont="1" applyBorder="1" applyAlignment="1">
      <alignment vertical="center" wrapText="1"/>
    </xf>
    <xf numFmtId="0" fontId="26" fillId="23" borderId="0" xfId="0" applyFont="1" applyFill="1" applyAlignment="1" applyProtection="1">
      <alignment horizontal="center"/>
      <protection locked="0"/>
    </xf>
    <xf numFmtId="0" fontId="0" fillId="23" borderId="0" xfId="0" applyFill="1" applyProtection="1">
      <protection locked="0"/>
    </xf>
    <xf numFmtId="165" fontId="0" fillId="23" borderId="0" xfId="0" applyNumberFormat="1" applyFill="1" applyAlignment="1" applyProtection="1">
      <alignment horizontal="center"/>
      <protection locked="0"/>
    </xf>
    <xf numFmtId="166" fontId="0" fillId="23" borderId="0" xfId="2" applyNumberFormat="1" applyFont="1" applyFill="1" applyBorder="1" applyAlignment="1" applyProtection="1">
      <protection locked="0"/>
    </xf>
    <xf numFmtId="164" fontId="0" fillId="23" borderId="0" xfId="2" applyFont="1" applyFill="1" applyBorder="1" applyProtection="1">
      <protection locked="0"/>
    </xf>
    <xf numFmtId="165" fontId="0" fillId="23" borderId="0" xfId="2" applyNumberFormat="1" applyFont="1" applyFill="1" applyBorder="1" applyAlignment="1" applyProtection="1">
      <alignment horizontal="center"/>
      <protection locked="0"/>
    </xf>
    <xf numFmtId="164" fontId="0" fillId="26" borderId="0" xfId="2" applyFont="1" applyFill="1" applyBorder="1" applyAlignment="1" applyProtection="1">
      <protection locked="0"/>
    </xf>
    <xf numFmtId="165" fontId="0" fillId="5" borderId="6" xfId="0" applyNumberForma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2" fontId="0" fillId="5" borderId="0" xfId="0" applyNumberFormat="1" applyFill="1"/>
    <xf numFmtId="1" fontId="0" fillId="5" borderId="0" xfId="0" applyNumberFormat="1" applyFill="1"/>
    <xf numFmtId="168" fontId="14" fillId="2" borderId="3" xfId="2" applyNumberFormat="1" applyFont="1" applyFill="1" applyBorder="1" applyAlignment="1">
      <alignment horizontal="center" vertical="center"/>
    </xf>
    <xf numFmtId="171" fontId="14" fillId="8" borderId="3" xfId="2" applyNumberFormat="1" applyFont="1" applyFill="1" applyBorder="1" applyAlignment="1">
      <alignment horizontal="center" vertical="center"/>
    </xf>
    <xf numFmtId="0" fontId="0" fillId="5" borderId="33" xfId="0" applyFill="1" applyBorder="1" applyAlignment="1">
      <alignment horizontal="center"/>
    </xf>
    <xf numFmtId="165" fontId="0" fillId="5" borderId="20" xfId="0" applyNumberFormat="1" applyFill="1" applyBorder="1" applyAlignment="1" applyProtection="1">
      <alignment horizontal="center"/>
      <protection locked="0"/>
    </xf>
    <xf numFmtId="0" fontId="26" fillId="0" borderId="0" xfId="0" applyFont="1"/>
    <xf numFmtId="0" fontId="41" fillId="49" borderId="13" xfId="0" applyFont="1" applyFill="1" applyBorder="1" applyAlignment="1">
      <alignment horizontal="center" vertical="center" wrapText="1"/>
    </xf>
    <xf numFmtId="0" fontId="0" fillId="28" borderId="6" xfId="0" applyFill="1" applyBorder="1"/>
    <xf numFmtId="165" fontId="0" fillId="28" borderId="6" xfId="0" applyNumberFormat="1" applyFill="1" applyBorder="1" applyAlignment="1">
      <alignment horizontal="center"/>
    </xf>
    <xf numFmtId="166" fontId="0" fillId="28" borderId="6" xfId="2" applyNumberFormat="1" applyFont="1" applyFill="1" applyBorder="1" applyAlignment="1"/>
    <xf numFmtId="0" fontId="26" fillId="10" borderId="6" xfId="0" applyFont="1" applyFill="1" applyBorder="1" applyAlignment="1">
      <alignment horizontal="center"/>
    </xf>
    <xf numFmtId="0" fontId="0" fillId="10" borderId="6" xfId="0" applyFill="1" applyBorder="1"/>
    <xf numFmtId="165" fontId="0" fillId="10" borderId="6" xfId="0" applyNumberFormat="1" applyFill="1" applyBorder="1" applyAlignment="1">
      <alignment horizontal="center"/>
    </xf>
    <xf numFmtId="166" fontId="0" fillId="10" borderId="6" xfId="2" applyNumberFormat="1" applyFont="1" applyFill="1" applyBorder="1" applyAlignment="1"/>
    <xf numFmtId="0" fontId="26" fillId="27" borderId="6" xfId="0" applyFont="1" applyFill="1" applyBorder="1" applyAlignment="1">
      <alignment horizontal="center"/>
    </xf>
    <xf numFmtId="0" fontId="0" fillId="27" borderId="6" xfId="0" applyFill="1" applyBorder="1"/>
    <xf numFmtId="165" fontId="0" fillId="27" borderId="6" xfId="0" applyNumberFormat="1" applyFill="1" applyBorder="1" applyAlignment="1">
      <alignment horizontal="center"/>
    </xf>
    <xf numFmtId="166" fontId="0" fillId="27" borderId="6" xfId="2" applyNumberFormat="1" applyFont="1" applyFill="1" applyBorder="1" applyAlignment="1"/>
    <xf numFmtId="0" fontId="26" fillId="29" borderId="6" xfId="0" applyFont="1" applyFill="1" applyBorder="1" applyAlignment="1">
      <alignment horizontal="center"/>
    </xf>
    <xf numFmtId="0" fontId="0" fillId="29" borderId="6" xfId="0" applyFill="1" applyBorder="1"/>
    <xf numFmtId="165" fontId="0" fillId="29" borderId="6" xfId="0" applyNumberFormat="1" applyFill="1" applyBorder="1" applyAlignment="1">
      <alignment horizontal="center"/>
    </xf>
    <xf numFmtId="166" fontId="0" fillId="29" borderId="6" xfId="2" applyNumberFormat="1" applyFont="1" applyFill="1" applyBorder="1" applyAlignment="1"/>
    <xf numFmtId="0" fontId="26" fillId="7" borderId="6" xfId="0" applyFont="1" applyFill="1" applyBorder="1" applyAlignment="1">
      <alignment horizontal="center"/>
    </xf>
    <xf numFmtId="0" fontId="0" fillId="7" borderId="6" xfId="0" applyFill="1" applyBorder="1"/>
    <xf numFmtId="165" fontId="0" fillId="7" borderId="6" xfId="0" applyNumberFormat="1" applyFill="1" applyBorder="1" applyAlignment="1">
      <alignment horizontal="center"/>
    </xf>
    <xf numFmtId="166" fontId="0" fillId="7" borderId="6" xfId="2" applyNumberFormat="1" applyFont="1" applyFill="1" applyBorder="1" applyAlignment="1"/>
    <xf numFmtId="0" fontId="26" fillId="44" borderId="6" xfId="0" applyFont="1" applyFill="1" applyBorder="1" applyAlignment="1">
      <alignment horizontal="center"/>
    </xf>
    <xf numFmtId="0" fontId="0" fillId="44" borderId="6" xfId="0" applyFill="1" applyBorder="1"/>
    <xf numFmtId="165" fontId="0" fillId="44" borderId="6" xfId="0" applyNumberFormat="1" applyFill="1" applyBorder="1" applyAlignment="1">
      <alignment horizontal="center"/>
    </xf>
    <xf numFmtId="166" fontId="0" fillId="44" borderId="6" xfId="2" applyNumberFormat="1" applyFont="1" applyFill="1" applyBorder="1" applyAlignment="1"/>
    <xf numFmtId="0" fontId="26" fillId="28" borderId="33" xfId="0" applyFont="1" applyFill="1" applyBorder="1" applyAlignment="1">
      <alignment horizontal="center"/>
    </xf>
    <xf numFmtId="166" fontId="0" fillId="28" borderId="33" xfId="2" applyNumberFormat="1" applyFont="1" applyFill="1" applyBorder="1" applyAlignment="1"/>
    <xf numFmtId="0" fontId="0" fillId="10" borderId="6" xfId="2" applyNumberFormat="1" applyFont="1" applyFill="1" applyBorder="1" applyAlignment="1"/>
    <xf numFmtId="0" fontId="0" fillId="27" borderId="6" xfId="2" applyNumberFormat="1" applyFont="1" applyFill="1" applyBorder="1" applyAlignment="1"/>
    <xf numFmtId="0" fontId="0" fillId="29" borderId="6" xfId="2" applyNumberFormat="1" applyFont="1" applyFill="1" applyBorder="1" applyAlignment="1"/>
    <xf numFmtId="0" fontId="0" fillId="7" borderId="6" xfId="2" applyNumberFormat="1" applyFont="1" applyFill="1" applyBorder="1" applyAlignment="1"/>
    <xf numFmtId="0" fontId="0" fillId="44" borderId="6" xfId="2" applyNumberFormat="1" applyFont="1" applyFill="1" applyBorder="1" applyAlignment="1"/>
    <xf numFmtId="0" fontId="0" fillId="28" borderId="6" xfId="2" applyNumberFormat="1" applyFont="1" applyFill="1" applyBorder="1" applyAlignment="1"/>
    <xf numFmtId="0" fontId="0" fillId="56" borderId="0" xfId="0" applyFill="1"/>
    <xf numFmtId="0" fontId="47" fillId="56" borderId="0" xfId="0" applyFont="1" applyFill="1"/>
    <xf numFmtId="0" fontId="48" fillId="0" borderId="0" xfId="0" applyFont="1"/>
    <xf numFmtId="0" fontId="47" fillId="58" borderId="0" xfId="0" applyFont="1" applyFill="1"/>
    <xf numFmtId="0" fontId="47" fillId="59" borderId="0" xfId="0" applyFont="1" applyFill="1"/>
    <xf numFmtId="0" fontId="47" fillId="13" borderId="0" xfId="0" applyFont="1" applyFill="1"/>
    <xf numFmtId="0" fontId="47" fillId="61" borderId="0" xfId="0" applyFont="1" applyFill="1"/>
    <xf numFmtId="0" fontId="8" fillId="0" borderId="0" xfId="0" applyFont="1"/>
    <xf numFmtId="0" fontId="48" fillId="62" borderId="0" xfId="0" applyFont="1" applyFill="1"/>
    <xf numFmtId="0" fontId="48" fillId="63" borderId="0" xfId="0" applyFont="1" applyFill="1"/>
    <xf numFmtId="0" fontId="48" fillId="64" borderId="0" xfId="0" applyFont="1" applyFill="1"/>
    <xf numFmtId="0" fontId="48" fillId="65" borderId="0" xfId="0" applyFont="1" applyFill="1"/>
    <xf numFmtId="0" fontId="48" fillId="66" borderId="0" xfId="0" applyFont="1" applyFill="1"/>
    <xf numFmtId="0" fontId="49" fillId="69" borderId="0" xfId="0" applyFont="1" applyFill="1"/>
    <xf numFmtId="0" fontId="47" fillId="62" borderId="0" xfId="0" applyFont="1" applyFill="1"/>
    <xf numFmtId="0" fontId="47" fillId="70" borderId="0" xfId="0" applyFont="1" applyFill="1"/>
    <xf numFmtId="0" fontId="48" fillId="70" borderId="0" xfId="0" applyFont="1" applyFill="1"/>
    <xf numFmtId="0" fontId="0" fillId="54" borderId="0" xfId="0" applyFill="1"/>
    <xf numFmtId="0" fontId="47" fillId="72" borderId="0" xfId="0" applyFont="1" applyFill="1"/>
    <xf numFmtId="0" fontId="0" fillId="55" borderId="0" xfId="0" applyFill="1"/>
    <xf numFmtId="0" fontId="48" fillId="56" borderId="0" xfId="0" applyFont="1" applyFill="1"/>
    <xf numFmtId="0" fontId="2" fillId="0" borderId="0" xfId="0" applyFont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" fillId="62" borderId="0" xfId="0" applyFont="1" applyFill="1"/>
    <xf numFmtId="0" fontId="0" fillId="62" borderId="0" xfId="0" applyFill="1"/>
    <xf numFmtId="0" fontId="3" fillId="70" borderId="0" xfId="0" applyFont="1" applyFill="1"/>
    <xf numFmtId="2" fontId="0" fillId="70" borderId="0" xfId="0" applyNumberFormat="1" applyFill="1"/>
    <xf numFmtId="0" fontId="0" fillId="70" borderId="0" xfId="0" applyFill="1"/>
    <xf numFmtId="173" fontId="0" fillId="70" borderId="0" xfId="0" applyNumberFormat="1" applyFill="1"/>
    <xf numFmtId="174" fontId="0" fillId="70" borderId="0" xfId="0" applyNumberFormat="1" applyFill="1"/>
    <xf numFmtId="0" fontId="1" fillId="0" borderId="0" xfId="0" applyFont="1" applyAlignment="1" applyProtection="1">
      <alignment horizontal="center"/>
      <protection locked="0"/>
    </xf>
    <xf numFmtId="0" fontId="32" fillId="3" borderId="10" xfId="0" applyFont="1" applyFill="1" applyBorder="1" applyAlignment="1">
      <alignment horizontal="center" vertical="center"/>
    </xf>
    <xf numFmtId="0" fontId="32" fillId="3" borderId="11" xfId="0" applyFont="1" applyFill="1" applyBorder="1" applyAlignment="1">
      <alignment horizontal="center" vertical="center"/>
    </xf>
    <xf numFmtId="0" fontId="32" fillId="3" borderId="12" xfId="0" applyFont="1" applyFill="1" applyBorder="1" applyAlignment="1">
      <alignment horizontal="center" vertical="center"/>
    </xf>
    <xf numFmtId="0" fontId="32" fillId="19" borderId="11" xfId="0" applyFont="1" applyFill="1" applyBorder="1" applyAlignment="1">
      <alignment horizontal="center" vertical="center"/>
    </xf>
    <xf numFmtId="0" fontId="32" fillId="19" borderId="12" xfId="0" applyFont="1" applyFill="1" applyBorder="1" applyAlignment="1">
      <alignment horizontal="center" vertical="center"/>
    </xf>
    <xf numFmtId="0" fontId="30" fillId="25" borderId="1" xfId="1" applyFont="1" applyFill="1" applyBorder="1" applyAlignment="1">
      <alignment horizontal="center" vertical="center"/>
    </xf>
    <xf numFmtId="0" fontId="17" fillId="25" borderId="1" xfId="1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24" fillId="20" borderId="0" xfId="0" applyFont="1" applyFill="1" applyAlignment="1">
      <alignment horizontal="center" vertical="center"/>
    </xf>
    <xf numFmtId="0" fontId="27" fillId="25" borderId="1" xfId="1" applyFont="1" applyFill="1" applyBorder="1" applyAlignment="1">
      <alignment horizontal="center" vertical="center"/>
    </xf>
    <xf numFmtId="0" fontId="29" fillId="5" borderId="1" xfId="1" applyFont="1" applyFill="1" applyBorder="1" applyAlignment="1">
      <alignment horizontal="center" vertical="center"/>
    </xf>
    <xf numFmtId="0" fontId="50" fillId="71" borderId="0" xfId="0" applyFont="1" applyFill="1"/>
    <xf numFmtId="0" fontId="49" fillId="57" borderId="39" xfId="0" applyFont="1" applyFill="1" applyBorder="1" applyAlignment="1">
      <alignment horizontal="center" vertical="center"/>
    </xf>
    <xf numFmtId="0" fontId="49" fillId="57" borderId="0" xfId="0" applyFont="1" applyFill="1" applyAlignment="1">
      <alignment horizontal="center" vertical="center"/>
    </xf>
    <xf numFmtId="174" fontId="58" fillId="76" borderId="42" xfId="0" applyNumberFormat="1" applyFont="1" applyFill="1" applyBorder="1" applyAlignment="1">
      <alignment horizontal="center" vertical="center"/>
    </xf>
    <xf numFmtId="0" fontId="49" fillId="34" borderId="39" xfId="0" applyFont="1" applyFill="1" applyBorder="1" applyAlignment="1">
      <alignment horizontal="center" vertical="center"/>
    </xf>
    <xf numFmtId="0" fontId="49" fillId="34" borderId="0" xfId="0" applyFont="1" applyFill="1" applyAlignment="1">
      <alignment horizontal="center" vertical="center"/>
    </xf>
    <xf numFmtId="174" fontId="59" fillId="77" borderId="43" xfId="0" applyNumberFormat="1" applyFont="1" applyFill="1" applyBorder="1" applyAlignment="1">
      <alignment horizontal="center" vertical="center"/>
    </xf>
    <xf numFmtId="0" fontId="49" fillId="24" borderId="39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60" fillId="78" borderId="44" xfId="0" applyFont="1" applyFill="1" applyBorder="1" applyAlignment="1">
      <alignment horizontal="center" vertical="center"/>
    </xf>
    <xf numFmtId="0" fontId="49" fillId="55" borderId="39" xfId="0" applyFont="1" applyFill="1" applyBorder="1" applyAlignment="1">
      <alignment horizontal="center" vertical="center"/>
    </xf>
    <xf numFmtId="0" fontId="49" fillId="55" borderId="0" xfId="0" applyFont="1" applyFill="1" applyAlignment="1">
      <alignment horizontal="center" vertical="center"/>
    </xf>
    <xf numFmtId="0" fontId="55" fillId="74" borderId="35" xfId="0" applyFont="1" applyFill="1" applyBorder="1" applyAlignment="1">
      <alignment horizontal="center" vertical="center"/>
    </xf>
    <xf numFmtId="0" fontId="49" fillId="69" borderId="39" xfId="0" applyFont="1" applyFill="1" applyBorder="1" applyAlignment="1">
      <alignment horizontal="center" vertical="center"/>
    </xf>
    <xf numFmtId="0" fontId="49" fillId="69" borderId="0" xfId="0" applyFont="1" applyFill="1" applyAlignment="1">
      <alignment horizontal="center" vertical="center"/>
    </xf>
    <xf numFmtId="0" fontId="56" fillId="75" borderId="40" xfId="0" applyFont="1" applyFill="1" applyBorder="1" applyAlignment="1">
      <alignment horizontal="center" vertical="center"/>
    </xf>
    <xf numFmtId="0" fontId="49" fillId="60" borderId="39" xfId="0" applyFont="1" applyFill="1" applyBorder="1" applyAlignment="1">
      <alignment horizontal="center" vertical="center"/>
    </xf>
    <xf numFmtId="0" fontId="49" fillId="60" borderId="0" xfId="0" applyFont="1" applyFill="1" applyAlignment="1">
      <alignment horizontal="center" vertical="center"/>
    </xf>
    <xf numFmtId="0" fontId="57" fillId="61" borderId="41" xfId="0" applyFont="1" applyFill="1" applyBorder="1" applyAlignment="1">
      <alignment horizontal="center" vertical="center"/>
    </xf>
    <xf numFmtId="0" fontId="52" fillId="68" borderId="0" xfId="0" applyFont="1" applyFill="1" applyAlignment="1">
      <alignment horizontal="center"/>
    </xf>
    <xf numFmtId="0" fontId="61" fillId="54" borderId="0" xfId="0" applyFont="1" applyFill="1" applyAlignment="1">
      <alignment horizontal="center" vertical="center"/>
    </xf>
    <xf numFmtId="0" fontId="45" fillId="55" borderId="0" xfId="0" applyFont="1" applyFill="1" applyAlignment="1">
      <alignment horizontal="center" vertical="center"/>
    </xf>
    <xf numFmtId="0" fontId="54" fillId="73" borderId="37" xfId="0" applyFont="1" applyFill="1" applyBorder="1" applyAlignment="1">
      <alignment horizontal="center" vertical="center"/>
    </xf>
    <xf numFmtId="0" fontId="54" fillId="73" borderId="36" xfId="0" applyFont="1" applyFill="1" applyBorder="1" applyAlignment="1">
      <alignment horizontal="center" vertical="center"/>
    </xf>
    <xf numFmtId="0" fontId="54" fillId="73" borderId="38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1" fillId="67" borderId="0" xfId="0" applyFont="1" applyFill="1" applyAlignment="1">
      <alignment horizontal="left" vertical="center"/>
    </xf>
    <xf numFmtId="0" fontId="46" fillId="60" borderId="0" xfId="0" applyFont="1" applyFill="1"/>
    <xf numFmtId="0" fontId="46" fillId="34" borderId="0" xfId="0" applyFont="1" applyFill="1"/>
    <xf numFmtId="0" fontId="46" fillId="24" borderId="0" xfId="0" applyFont="1" applyFill="1"/>
    <xf numFmtId="0" fontId="45" fillId="54" borderId="0" xfId="0" applyFont="1" applyFill="1" applyAlignment="1">
      <alignment horizontal="center"/>
    </xf>
    <xf numFmtId="0" fontId="44" fillId="55" borderId="0" xfId="0" applyFont="1" applyFill="1" applyAlignment="1">
      <alignment horizontal="center"/>
    </xf>
    <xf numFmtId="0" fontId="46" fillId="55" borderId="0" xfId="0" applyFont="1" applyFill="1"/>
    <xf numFmtId="0" fontId="46" fillId="57" borderId="0" xfId="0" applyFont="1" applyFill="1"/>
  </cellXfs>
  <cellStyles count="5">
    <cellStyle name="Hipervínculo" xfId="4" builtinId="8"/>
    <cellStyle name="Millares" xfId="2" builtinId="3"/>
    <cellStyle name="Normal" xfId="0" builtinId="0"/>
    <cellStyle name="Normal 2" xfId="1" xr:uid="{BD325980-21CE-4F67-A2C7-FCB87B69A666}"/>
    <cellStyle name="Porcentaje" xfId="3" builtinId="5"/>
  </cellStyles>
  <dxfs count="291">
    <dxf>
      <font>
        <color theme="0"/>
      </font>
    </dxf>
    <dxf>
      <font>
        <color rgb="FFFF3300"/>
      </font>
    </dxf>
    <dxf>
      <font>
        <b val="0"/>
        <i val="0"/>
        <color rgb="FFC00000"/>
      </font>
      <fill>
        <patternFill>
          <bgColor rgb="FFFFCCCC"/>
        </patternFill>
      </fill>
    </dxf>
    <dxf>
      <font>
        <b val="0"/>
        <i val="0"/>
        <color rgb="FFC00000"/>
      </font>
      <fill>
        <patternFill>
          <bgColor rgb="FFFFCCCC"/>
        </patternFill>
      </fill>
    </dxf>
    <dxf>
      <font>
        <b val="0"/>
        <i val="0"/>
        <color rgb="FFC00000"/>
      </font>
      <fill>
        <patternFill>
          <bgColor rgb="FFFFCCCC"/>
        </patternFill>
      </fill>
    </dxf>
    <dxf>
      <font>
        <b val="0"/>
        <i val="0"/>
        <color rgb="FFC00000"/>
      </font>
      <fill>
        <patternFill>
          <bgColor rgb="FFFFCCCC"/>
        </patternFill>
      </fill>
    </dxf>
    <dxf>
      <font>
        <b val="0"/>
        <i val="0"/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auto="1"/>
      </font>
      <fill>
        <patternFill>
          <bgColor rgb="FFFFC000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numFmt numFmtId="168" formatCode="\ #,##0.00;[Red]\-#,##0.00;&quot;-&quot;??"/>
      <fill>
        <patternFill patternType="solid">
          <fgColor indexed="64"/>
          <bgColor theme="4" tint="0.79998168889431442"/>
        </patternFill>
      </fill>
    </dxf>
    <dxf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8" formatCode="\ #,##0.00;[Red]\-#,##0.00;&quot;-&quot;??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8" formatCode="\ #,##0.00;[Red]\-#,##0.00;&quot;-&quot;??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8" formatCode="\ #,##0.00;[Red]\-#,##0.00;&quot;-&quot;??"/>
      <fill>
        <patternFill patternType="solid">
          <fgColor indexed="64"/>
          <bgColor theme="4" tint="0.79998168889431442"/>
        </patternFill>
      </fill>
    </dxf>
    <dxf>
      <numFmt numFmtId="168" formatCode="\ #,##0.00;[Red]\-#,##0.00;&quot;-&quot;??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8" formatCode="\ #,##0.00;[Red]\-#,##0.00;&quot;-&quot;??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numFmt numFmtId="168" formatCode="\ #,##0.00;[Red]\-#,##0.00;&quot;-&quot;??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/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8" formatCode="\ #,##0.00;[Red]\-#,##0.0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border outline="0">
        <top style="thin">
          <color theme="5" tint="0.39991454817346722"/>
        </top>
      </border>
    </dxf>
    <dxf>
      <border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w Cen MT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8" formatCode="\ #,##0.00;[Red]\-#,##0.0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45066682943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/>
        <bottom/>
      </border>
    </dxf>
    <dxf>
      <numFmt numFmtId="2" formatCode="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/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71" formatCode="\ #,##0.0;[Red]\-#,##0.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71" formatCode="\ #,##0.0;[Red]\-#,##0.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71" formatCode="\ #,##0.0;[Red]\-#,##0.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71" formatCode="\ #,##0.0;[Red]\-#,##0.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71" formatCode="\ #,##0.0;[Red]\-#,##0.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71" formatCode="\ #,##0.0;[Red]\-#,##0.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8" formatCode="\ #,##0.00;[Red]\-#,##0.0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border outline="0">
        <top style="thin">
          <color theme="5" tint="0.39991454817346722"/>
        </top>
      </border>
    </dxf>
    <dxf>
      <border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w Cen MT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w Cen MT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/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8" formatCode="\ #,##0.00;[Red]\-#,##0.0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border outline="0">
        <top style="thin">
          <color theme="5" tint="0.39991454817346722"/>
        </top>
      </border>
    </dxf>
    <dxf>
      <border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w Cen MT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w Cen MT"/>
        <family val="2"/>
        <scheme val="minor"/>
      </font>
      <numFmt numFmtId="169" formatCode="\ #,##0;[Red]\-#,##0;&quot;-&quot;??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45066682943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w Cen MT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 style="thin">
          <color theme="5" tint="0.39991454817346722"/>
        </top>
        <bottom style="thin">
          <color theme="5" tint="0.399914548173467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 tint="0.39991454817346722"/>
        </left>
        <right style="thin">
          <color theme="5" tint="0.39991454817346722"/>
        </right>
        <top/>
        <bottom/>
      </border>
    </dxf>
    <dxf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</dxf>
    <dxf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4" formatCode="_-* #,##0.00_-;\-* #,##0.00_-;_-* &quot;-&quot;??_-;_-@_-"/>
      <fill>
        <patternFill patternType="solid">
          <fgColor indexed="64"/>
          <bgColor theme="5" tint="0.79998168889431442"/>
        </patternFill>
      </fill>
    </dxf>
    <dxf>
      <protection locked="0" hidden="0"/>
    </dxf>
    <dxf>
      <protection locked="0" hidden="0"/>
    </dxf>
    <dxf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0" hidden="0"/>
    </dxf>
    <dxf>
      <numFmt numFmtId="165" formatCode="dd/mm/yyyy;@"/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protection locked="0" hidden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4" formatCode="_-* #,##0.00_-;\-* #,##0.00_-;_-* &quot;-&quot;??_-;_-@_-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4" formatCode="_-* #,##0.00_-;\-* #,##0.00_-;_-* &quot;-&quot;??_-;_-@_-"/>
      <fill>
        <patternFill patternType="solid">
          <fgColor indexed="64"/>
          <bgColor theme="8" tint="0.39997558519241921"/>
        </patternFill>
      </fill>
    </dxf>
    <dxf>
      <numFmt numFmtId="164" formatCode="_-* #,##0.00_-;\-* #,##0.00_-;_-* &quot;-&quot;??_-;_-@_-"/>
      <fill>
        <patternFill patternType="solid">
          <fgColor indexed="64"/>
          <bgColor rgb="FFFFCCCC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_-* #,##0.00_-;\-* #,##0.00_-;_-* &quot;-&quot;??_-;_-@_-"/>
      <fill>
        <patternFill patternType="solid">
          <fgColor indexed="64"/>
          <bgColor theme="4" tint="0.79998168889431442"/>
        </patternFill>
      </fill>
    </dxf>
    <dxf>
      <protection locked="0" hidden="0"/>
    </dxf>
    <dxf>
      <numFmt numFmtId="166" formatCode="_-* #,##0_-;\-* #,##0_-;_-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2"/>
        </patternFill>
      </fill>
    </dxf>
    <dxf>
      <numFmt numFmtId="166" formatCode="_-* #,##0_-;\-* #,##0_-;_-* &quot;-&quot;??_-;_-@_-"/>
      <fill>
        <patternFill patternType="solid">
          <fgColor indexed="64"/>
          <bgColor theme="7" tint="0.79998168889431442"/>
        </patternFill>
      </fill>
    </dxf>
    <dxf>
      <numFmt numFmtId="166" formatCode="_-* #,##0_-;\-* #,##0_-;_-* &quot;-&quot;??_-;_-@_-"/>
      <protection locked="0" hidden="0"/>
    </dxf>
    <dxf>
      <numFmt numFmtId="166" formatCode="_-* #,##0_-;\-* #,##0_-;_-* &quot;-&quot;??_-;_-@_-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alignment horizontal="center" vertical="bottom" textRotation="0" wrapText="0" indent="0" justifyLastLine="0" shrinkToFit="0" readingOrder="0"/>
      <protection locked="0" hidden="0"/>
    </dxf>
    <dxf>
      <numFmt numFmtId="165" formatCode="dd/mm/yyyy;@"/>
      <alignment horizontal="center" vertical="bottom" textRotation="0" wrapText="0" indent="0" justifyLastLine="0" shrinkToFit="0" readingOrder="0"/>
      <protection locked="0" hidden="0"/>
    </dxf>
    <dxf>
      <numFmt numFmtId="165" formatCode="dd/mm/yyyy;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Tw Cen MT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Tw Cen MT"/>
        <family val="2"/>
        <scheme val="minor"/>
      </font>
      <protection locked="0" hidden="0"/>
    </dxf>
    <dxf>
      <alignment vertical="center" textRotation="0" wrapText="1" indent="0" justifyLastLine="0" shrinkToFit="0" readingOrder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9900"/>
        <name val="Tw Cen MT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FF9900"/>
        <name val="Tw Cen MT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5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65" formatCode="d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5" formatCode="dd/mm/yyyy;@"/>
      <alignment horizontal="center" vertical="bottom" textRotation="0" wrapText="0" indent="0" justifyLastLine="0" shrinkToFit="0" readingOrder="0"/>
      <protection locked="0" hidden="0"/>
    </dxf>
    <dxf>
      <numFmt numFmtId="165" formatCode="d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Tw Cen MT"/>
        <family val="2"/>
        <scheme val="minor"/>
      </font>
      <numFmt numFmtId="170" formatCode="0.0%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Tw Cen MT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w Cen MT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-0.249977111117893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Tw Cen MT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* #,##0_-;\-* #,##0_-;_-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family val="2"/>
        <scheme val="minor"/>
      </font>
      <numFmt numFmtId="166" formatCode="_-* #,##0_-;\-* #,##0_-;_-* &quot;-&quot;??_-;_-@_-"/>
      <protection locked="0" hidden="0"/>
    </dxf>
    <dxf>
      <numFmt numFmtId="166" formatCode="_-* #,##0_-;\-* #,##0_-;_-* &quot;-&quot;??_-;_-@_-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* #,##0_-;\-* #,##0_-;_-* &quot;-&quot;??_-;_-@_-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0" formatCode="General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protection locked="0" hidden="0"/>
    </dxf>
    <dxf>
      <numFmt numFmtId="165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* #,##0_-;\-* #,##0_-;_-* &quot;-&quot;??_-;_-@_-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* #,##0_-;\-* #,##0_-;_-* &quot;-&quot;??_-;_-@_-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* #,##0_-;\-* #,##0_-;_-* &quot;-&quot;??_-;_-@_-"/>
      <alignment horizontal="general" vertical="bottom" textRotation="0" wrapText="0" indent="0" justifyLastLine="0" shrinkToFit="0" readingOrder="0"/>
      <protection locked="0" hidden="0"/>
    </dxf>
    <dxf>
      <numFmt numFmtId="166" formatCode="_-* #,##0_-;\-* #,##0_-;_-* &quot;-&quot;??_-;_-@_-"/>
      <alignment horizontal="general" vertical="bottom" textRotation="0" wrapText="0" indent="0" justifyLastLine="0" shrinkToFit="0" readingOrder="0"/>
      <protection locked="0" hidden="0"/>
    </dxf>
    <dxf>
      <protection locked="0" hidden="0"/>
    </dxf>
    <dxf>
      <numFmt numFmtId="165" formatCode="dd/mm/yyyy;@"/>
      <alignment horizontal="center" vertical="bottom" textRotation="0" wrapText="0" indent="0" justifyLastLine="0" shrinkToFit="0" readingOrder="0"/>
      <protection locked="0" hidden="0"/>
    </dxf>
    <dxf>
      <numFmt numFmtId="165" formatCode="dd/mm/yy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Tw Cen MT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w Cen MT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colors>
    <mruColors>
      <color rgb="FFFF3300"/>
      <color rgb="FFFFFFCC"/>
      <color rgb="FFFF9900"/>
      <color rgb="FFFF7C80"/>
      <color rgb="FF99FF99"/>
      <color rgb="FFFFE5E5"/>
      <color rgb="FF114964"/>
      <color rgb="FFFFCCCC"/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'Flujo de Caja'!$C$21</c:f>
              <c:strCache>
                <c:ptCount val="1"/>
                <c:pt idx="0">
                  <c:v>Margen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'Flujo de Caja'!$D$21:$O$21</c:f>
              <c:numCache>
                <c:formatCode>0%</c:formatCode>
                <c:ptCount val="12"/>
                <c:pt idx="0">
                  <c:v>-6.9938840990941831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0.2958665010258158</c:v>
                </c:pt>
                <c:pt idx="10">
                  <c:v>0.37942735405811018</c:v>
                </c:pt>
                <c:pt idx="11">
                  <c:v>0.30483285465494259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5-4D10-8EF4-48F48E8B8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541923855"/>
        <c:axId val="1478670127"/>
      </c:barChart>
      <c:lineChart>
        <c:grouping val="standard"/>
        <c:varyColors val="0"/>
        <c:ser>
          <c:idx val="0"/>
          <c:order val="0"/>
          <c:tx>
            <c:strRef>
              <c:f>'Flujo de Caja'!$C$9</c:f>
              <c:strCache>
                <c:ptCount val="1"/>
                <c:pt idx="0">
                  <c:v>Ingresos ($)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'Flujo de Caja'!$D$8:$O$8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'Flujo de Caja'!$D$9:$O$9</c:f>
              <c:numCache>
                <c:formatCode>_-* #,##0.00_-;\-* #,##0.00_-;_-* "-"??_-;_-@_-</c:formatCode>
                <c:ptCount val="12"/>
                <c:pt idx="0">
                  <c:v>1374.45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29308.390000000007</c:v>
                </c:pt>
                <c:pt idx="10">
                  <c:v>32791.990000000005</c:v>
                </c:pt>
                <c:pt idx="11">
                  <c:v>30605.099999999991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5-4D10-8EF4-48F48E8B8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057215"/>
        <c:axId val="1912083023"/>
      </c:lineChart>
      <c:catAx>
        <c:axId val="192005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12083023"/>
        <c:crosses val="autoZero"/>
        <c:auto val="1"/>
        <c:lblAlgn val="ctr"/>
        <c:lblOffset val="100"/>
        <c:noMultiLvlLbl val="0"/>
      </c:catAx>
      <c:valAx>
        <c:axId val="19120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'Flujo de Caja'!$C$9</c:f>
              <c:strCache>
                <c:ptCount val="1"/>
                <c:pt idx="0">
                  <c:v>Ingresos ($)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20057215"/>
        <c:crosses val="autoZero"/>
        <c:crossBetween val="between"/>
      </c:valAx>
      <c:valAx>
        <c:axId val="1478670127"/>
        <c:scaling>
          <c:orientation val="minMax"/>
        </c:scaling>
        <c:delete val="0"/>
        <c:axPos val="r"/>
        <c:title>
          <c:tx>
            <c:strRef>
              <c:f>'Flujo de Caja'!$C$21</c:f>
              <c:strCache>
                <c:ptCount val="1"/>
                <c:pt idx="0">
                  <c:v>Margen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41923855"/>
        <c:crosses val="max"/>
        <c:crossBetween val="between"/>
      </c:valAx>
      <c:catAx>
        <c:axId val="1541923855"/>
        <c:scaling>
          <c:orientation val="minMax"/>
        </c:scaling>
        <c:delete val="1"/>
        <c:axPos val="b"/>
        <c:majorTickMark val="out"/>
        <c:minorTickMark val="none"/>
        <c:tickLblPos val="nextTo"/>
        <c:crossAx val="1478670127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MANTENIMIENTOS PREVENTIVOS</a:t>
            </a:r>
            <a:r>
              <a:rPr lang="en-US" b="1" baseline="0"/>
              <a:t> EJECUTADOS POR UNIDAD</a:t>
            </a:r>
            <a:endParaRPr lang="en-US" b="1"/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888231751604069E-2"/>
          <c:y val="0.11730036391886225"/>
          <c:w val="0.96501516044635205"/>
          <c:h val="0.711201620281563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'Reporte General'!$R$109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'Reporte General'!$D$110:$D$134</c:f>
              <c:strCache>
                <c:ptCount val="2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QAA-3180</c:v>
                </c:pt>
                <c:pt idx="10">
                  <c:v>PFF-2857</c:v>
                </c:pt>
                <c:pt idx="11">
                  <c:v>QAA-3108</c:v>
                </c:pt>
                <c:pt idx="12">
                  <c:v>QAA-3074</c:v>
                </c:pt>
                <c:pt idx="13">
                  <c:v>QAA-3220</c:v>
                </c:pt>
                <c:pt idx="14">
                  <c:v>QAA-1974</c:v>
                </c:pt>
                <c:pt idx="15">
                  <c:v>KR-1189/42416</c:v>
                </c:pt>
                <c:pt idx="16">
                  <c:v>KR-1172/42409</c:v>
                </c:pt>
                <c:pt idx="17">
                  <c:v>KR-1344/42429</c:v>
                </c:pt>
                <c:pt idx="18">
                  <c:v>KR-1090/42407</c:v>
                </c:pt>
                <c:pt idx="19">
                  <c:v>KR-1188/42405</c:v>
                </c:pt>
                <c:pt idx="20">
                  <c:v>KR-1088/42406</c:v>
                </c:pt>
                <c:pt idx="21">
                  <c:v>KR-1185/42408</c:v>
                </c:pt>
                <c:pt idx="22">
                  <c:v>KR-1184/42418</c:v>
                </c:pt>
                <c:pt idx="23">
                  <c:v>KR-1108/42403</c:v>
                </c:pt>
                <c:pt idx="24">
                  <c:v>KR-1094/42424</c:v>
                </c:pt>
              </c:strCache>
            </c:strRef>
          </c:cat>
          <c:val>
            <c:numRef>
              <c:f>'Reporte General'!$R$110:$R$134</c:f>
              <c:numCache>
                <c:formatCode>\ #,##0;[Red]\-#,##0;"-"??</c:formatCode>
                <c:ptCount val="25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9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  <c:pt idx="12">
                  <c:v>4</c:v>
                </c:pt>
                <c:pt idx="13">
                  <c:v>6</c:v>
                </c:pt>
                <c:pt idx="14">
                  <c:v>2</c:v>
                </c:pt>
                <c:pt idx="15">
                  <c:v>5</c:v>
                </c:pt>
                <c:pt idx="16">
                  <c:v>4</c:v>
                </c:pt>
                <c:pt idx="17">
                  <c:v>8</c:v>
                </c:pt>
                <c:pt idx="18">
                  <c:v>0</c:v>
                </c:pt>
                <c:pt idx="19">
                  <c:v>6</c:v>
                </c:pt>
                <c:pt idx="20">
                  <c:v>6</c:v>
                </c:pt>
                <c:pt idx="21">
                  <c:v>0</c:v>
                </c:pt>
                <c:pt idx="22">
                  <c:v>5</c:v>
                </c:pt>
                <c:pt idx="23">
                  <c:v>8</c:v>
                </c:pt>
                <c:pt idx="2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B-41C4-8F03-F32833EAC9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56258432"/>
        <c:axId val="1356258016"/>
      </c:barChart>
      <c:catAx>
        <c:axId val="13562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56258016"/>
        <c:crosses val="autoZero"/>
        <c:auto val="1"/>
        <c:lblAlgn val="ctr"/>
        <c:lblOffset val="100"/>
        <c:noMultiLvlLbl val="0"/>
      </c:catAx>
      <c:valAx>
        <c:axId val="1356258016"/>
        <c:scaling>
          <c:orientation val="minMax"/>
        </c:scaling>
        <c:delete val="1"/>
        <c:axPos val="l"/>
        <c:numFmt formatCode="\ #,##0;[Red]\-#,##0;&quot;-&quot;??" sourceLinked="1"/>
        <c:majorTickMark val="none"/>
        <c:minorTickMark val="none"/>
        <c:tickLblPos val="nextTo"/>
        <c:crossAx val="13562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800" b="1"/>
              <a:t>CANTIDAD</a:t>
            </a:r>
            <a:r>
              <a:rPr lang="es-EC" sz="1800" b="1" baseline="0"/>
              <a:t> DE GALONES POR VEHICULO</a:t>
            </a:r>
            <a:endParaRPr lang="es-EC" sz="1800" b="1"/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General'!$F$170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General'!$F$171:$F$185</c:f>
              <c:numCache>
                <c:formatCode>\ #,##0.0;[Red]\-#,##0.0;"-"??</c:formatCode>
                <c:ptCount val="15"/>
                <c:pt idx="0">
                  <c:v>331.89</c:v>
                </c:pt>
                <c:pt idx="1">
                  <c:v>1320.48</c:v>
                </c:pt>
                <c:pt idx="2">
                  <c:v>589.81999999999994</c:v>
                </c:pt>
                <c:pt idx="3">
                  <c:v>951.15</c:v>
                </c:pt>
                <c:pt idx="4">
                  <c:v>338.29999999999995</c:v>
                </c:pt>
                <c:pt idx="5">
                  <c:v>503</c:v>
                </c:pt>
                <c:pt idx="6">
                  <c:v>773.38</c:v>
                </c:pt>
                <c:pt idx="7">
                  <c:v>493.48</c:v>
                </c:pt>
                <c:pt idx="8">
                  <c:v>295</c:v>
                </c:pt>
                <c:pt idx="9">
                  <c:v>0</c:v>
                </c:pt>
                <c:pt idx="10">
                  <c:v>78.510000000000005</c:v>
                </c:pt>
                <c:pt idx="12" formatCode="\ #,##0;[Red]\-#,##0;&quot;-&quot;??">
                  <c:v>0</c:v>
                </c:pt>
                <c:pt idx="13" formatCode="\ #,##0;[Red]\-#,##0;&quot;-&quot;??">
                  <c:v>0</c:v>
                </c:pt>
                <c:pt idx="14" formatCode="\ #,##0;[Red]\-#,##0;&quot;-&quot;??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9-43D5-9424-B1FA89017A42}"/>
            </c:ext>
          </c:extLst>
        </c:ser>
        <c:ser>
          <c:idx val="1"/>
          <c:order val="1"/>
          <c:tx>
            <c:strRef>
              <c:f>'Reporte General'!$G$170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General'!$G$171:$G$185</c:f>
              <c:numCache>
                <c:formatCode>\ #,##0.0;[Red]\-#,##0.0;"-"??</c:formatCode>
                <c:ptCount val="15"/>
                <c:pt idx="0">
                  <c:v>642.59</c:v>
                </c:pt>
                <c:pt idx="1">
                  <c:v>593.26</c:v>
                </c:pt>
                <c:pt idx="2">
                  <c:v>729.74999999999989</c:v>
                </c:pt>
                <c:pt idx="3">
                  <c:v>809.9899999999999</c:v>
                </c:pt>
                <c:pt idx="4">
                  <c:v>544.94999999999993</c:v>
                </c:pt>
                <c:pt idx="5">
                  <c:v>430</c:v>
                </c:pt>
                <c:pt idx="6">
                  <c:v>473.12000000000006</c:v>
                </c:pt>
                <c:pt idx="7">
                  <c:v>0</c:v>
                </c:pt>
                <c:pt idx="8">
                  <c:v>420</c:v>
                </c:pt>
                <c:pt idx="9">
                  <c:v>0</c:v>
                </c:pt>
                <c:pt idx="10">
                  <c:v>64.72</c:v>
                </c:pt>
                <c:pt idx="12" formatCode="\ #,##0;[Red]\-#,##0;&quot;-&quot;??">
                  <c:v>0</c:v>
                </c:pt>
                <c:pt idx="13" formatCode="\ #,##0;[Red]\-#,##0;&quot;-&quot;??">
                  <c:v>0</c:v>
                </c:pt>
                <c:pt idx="14" formatCode="\ #,##0;[Red]\-#,##0;&quot;-&quot;??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9-43D5-9424-B1FA89017A42}"/>
            </c:ext>
          </c:extLst>
        </c:ser>
        <c:ser>
          <c:idx val="2"/>
          <c:order val="2"/>
          <c:tx>
            <c:strRef>
              <c:f>'Reporte General'!$H$170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General'!$H$171:$H$185</c:f>
              <c:numCache>
                <c:formatCode>\ #,##0.0;[Red]\-#,##0.0;"-"??</c:formatCode>
                <c:ptCount val="15"/>
                <c:pt idx="0">
                  <c:v>669.06</c:v>
                </c:pt>
                <c:pt idx="1">
                  <c:v>243.35</c:v>
                </c:pt>
                <c:pt idx="2">
                  <c:v>854.79999999999984</c:v>
                </c:pt>
                <c:pt idx="3">
                  <c:v>809.42</c:v>
                </c:pt>
                <c:pt idx="4">
                  <c:v>878.2</c:v>
                </c:pt>
                <c:pt idx="5">
                  <c:v>360</c:v>
                </c:pt>
                <c:pt idx="6">
                  <c:v>254.87</c:v>
                </c:pt>
                <c:pt idx="7">
                  <c:v>455.6099999999999</c:v>
                </c:pt>
                <c:pt idx="8">
                  <c:v>350</c:v>
                </c:pt>
                <c:pt idx="9">
                  <c:v>0</c:v>
                </c:pt>
                <c:pt idx="10">
                  <c:v>62.279999999999994</c:v>
                </c:pt>
                <c:pt idx="12" formatCode="\ #,##0;[Red]\-#,##0;&quot;-&quot;??">
                  <c:v>0</c:v>
                </c:pt>
                <c:pt idx="13" formatCode="\ #,##0;[Red]\-#,##0;&quot;-&quot;??">
                  <c:v>0</c:v>
                </c:pt>
                <c:pt idx="14" formatCode="\ #,##0;[Red]\-#,##0;&quot;-&quot;??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9-43D5-9424-B1FA89017A42}"/>
            </c:ext>
          </c:extLst>
        </c:ser>
        <c:ser>
          <c:idx val="3"/>
          <c:order val="3"/>
          <c:tx>
            <c:strRef>
              <c:f>'Reporte General'!$I$170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General'!$I$171:$I$185</c:f>
              <c:numCache>
                <c:formatCode>\ #,##0;[Red]\-#,##0;"-"??</c:formatCode>
                <c:ptCount val="15"/>
                <c:pt idx="0" formatCode="\ #,##0.0;[Red]\-#,##0.0;&quot;-&quot;??">
                  <c:v>362.3</c:v>
                </c:pt>
                <c:pt idx="1">
                  <c:v>305.26</c:v>
                </c:pt>
                <c:pt idx="2">
                  <c:v>1168.8300000000002</c:v>
                </c:pt>
                <c:pt idx="3">
                  <c:v>1126.3999999999999</c:v>
                </c:pt>
                <c:pt idx="4">
                  <c:v>1081.6300000000001</c:v>
                </c:pt>
                <c:pt idx="5" formatCode="\ #,##0.0;[Red]\-#,##0.0;&quot;-&quot;??">
                  <c:v>300</c:v>
                </c:pt>
                <c:pt idx="6" formatCode="\ #,##0.0;[Red]\-#,##0.0;&quot;-&quot;??">
                  <c:v>194</c:v>
                </c:pt>
                <c:pt idx="7" formatCode="\ #,##0.0;[Red]\-#,##0.0;&quot;-&quot;??">
                  <c:v>916.96000000000015</c:v>
                </c:pt>
                <c:pt idx="8">
                  <c:v>305</c:v>
                </c:pt>
                <c:pt idx="9">
                  <c:v>0</c:v>
                </c:pt>
                <c:pt idx="10" formatCode="\ #,##0.0;[Red]\-#,##0.0;&quot;-&quot;??">
                  <c:v>60.440000000000005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9-43D5-9424-B1FA89017A42}"/>
            </c:ext>
          </c:extLst>
        </c:ser>
        <c:ser>
          <c:idx val="4"/>
          <c:order val="4"/>
          <c:tx>
            <c:strRef>
              <c:f>'Reporte General'!$J$170</c:f>
              <c:strCache>
                <c:ptCount val="1"/>
                <c:pt idx="0">
                  <c:v>Mayo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General'!$J$171:$J$185</c:f>
              <c:numCache>
                <c:formatCode>\ #,##0;[Red]\-#,##0;"-"??</c:formatCode>
                <c:ptCount val="15"/>
                <c:pt idx="0" formatCode="\ #,##0.0;[Red]\-#,##0.0;&quot;-&quot;??">
                  <c:v>462.8</c:v>
                </c:pt>
                <c:pt idx="1">
                  <c:v>1050.78</c:v>
                </c:pt>
                <c:pt idx="2">
                  <c:v>1505.1599999999999</c:v>
                </c:pt>
                <c:pt idx="3">
                  <c:v>1737.8000000000002</c:v>
                </c:pt>
                <c:pt idx="4">
                  <c:v>1695.84</c:v>
                </c:pt>
                <c:pt idx="5" formatCode="\ #,##0.0;[Red]\-#,##0.0;&quot;-&quot;??">
                  <c:v>305</c:v>
                </c:pt>
                <c:pt idx="6" formatCode="\ #,##0.0;[Red]\-#,##0.0;&quot;-&quot;??">
                  <c:v>685.52</c:v>
                </c:pt>
                <c:pt idx="7">
                  <c:v>1039.54</c:v>
                </c:pt>
                <c:pt idx="8">
                  <c:v>305</c:v>
                </c:pt>
                <c:pt idx="9">
                  <c:v>0</c:v>
                </c:pt>
                <c:pt idx="10" formatCode="\ #,##0.0;[Red]\-#,##0.0;&quot;-&quot;??">
                  <c:v>70.62</c:v>
                </c:pt>
                <c:pt idx="12" formatCode="\ #,##0.0;[Red]\-#,##0.0;&quot;-&quot;??">
                  <c:v>392.18</c:v>
                </c:pt>
                <c:pt idx="13" formatCode="\ #,##0.0;[Red]\-#,##0.0;&quot;-&quot;??">
                  <c:v>0</c:v>
                </c:pt>
                <c:pt idx="14">
                  <c:v>1110.0000000000002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79-43D5-9424-B1FA89017A42}"/>
            </c:ext>
          </c:extLst>
        </c:ser>
        <c:ser>
          <c:idx val="5"/>
          <c:order val="5"/>
          <c:tx>
            <c:strRef>
              <c:f>'Reporte General'!$K$170</c:f>
              <c:strCache>
                <c:ptCount val="1"/>
                <c:pt idx="0">
                  <c:v>Junio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General'!$K$171:$K$185</c:f>
              <c:numCache>
                <c:formatCode>\ #,##0.00;[Red]\-#,##0.00;"-"??</c:formatCode>
                <c:ptCount val="15"/>
                <c:pt idx="0">
                  <c:v>334.93</c:v>
                </c:pt>
                <c:pt idx="1">
                  <c:v>865.86</c:v>
                </c:pt>
                <c:pt idx="2">
                  <c:v>854.80000000000007</c:v>
                </c:pt>
                <c:pt idx="3">
                  <c:v>892.02</c:v>
                </c:pt>
                <c:pt idx="4">
                  <c:v>852.86</c:v>
                </c:pt>
                <c:pt idx="5">
                  <c:v>285</c:v>
                </c:pt>
                <c:pt idx="6">
                  <c:v>438.21000000000004</c:v>
                </c:pt>
                <c:pt idx="7" formatCode="\ #,##0;[Red]\-#,##0;&quot;-&quot;??">
                  <c:v>1038.97</c:v>
                </c:pt>
                <c:pt idx="8">
                  <c:v>305</c:v>
                </c:pt>
                <c:pt idx="9">
                  <c:v>600</c:v>
                </c:pt>
                <c:pt idx="10" formatCode="\ #,##0.0;[Red]\-#,##0.0;&quot;-&quot;??">
                  <c:v>73.5</c:v>
                </c:pt>
                <c:pt idx="12">
                  <c:v>0</c:v>
                </c:pt>
                <c:pt idx="13">
                  <c:v>0</c:v>
                </c:pt>
                <c:pt idx="14">
                  <c:v>333.12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79-43D5-9424-B1FA89017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940864"/>
        <c:axId val="1278940448"/>
      </c:barChart>
      <c:lineChart>
        <c:grouping val="standard"/>
        <c:varyColors val="0"/>
        <c:ser>
          <c:idx val="6"/>
          <c:order val="6"/>
          <c:tx>
            <c:strRef>
              <c:f>'Reporte General'!$L$170</c:f>
              <c:strCache>
                <c:ptCount val="1"/>
                <c:pt idx="0">
                  <c:v>Julio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General'!$L$171:$L$185</c:f>
              <c:numCache>
                <c:formatCode>\ #,##0.0;[Red]\-#,##0.0;"-"??</c:formatCode>
                <c:ptCount val="15"/>
                <c:pt idx="0" formatCode="\ #,##0.00;[Red]\-#,##0.00;&quot;-&quot;??">
                  <c:v>340.28</c:v>
                </c:pt>
                <c:pt idx="1">
                  <c:v>377.15000000000003</c:v>
                </c:pt>
                <c:pt idx="2">
                  <c:v>319.5</c:v>
                </c:pt>
                <c:pt idx="3">
                  <c:v>242.79</c:v>
                </c:pt>
                <c:pt idx="4">
                  <c:v>403.17</c:v>
                </c:pt>
                <c:pt idx="5">
                  <c:v>350</c:v>
                </c:pt>
                <c:pt idx="6">
                  <c:v>237.18</c:v>
                </c:pt>
                <c:pt idx="7">
                  <c:v>217.9</c:v>
                </c:pt>
                <c:pt idx="8">
                  <c:v>305</c:v>
                </c:pt>
                <c:pt idx="9">
                  <c:v>670</c:v>
                </c:pt>
                <c:pt idx="10">
                  <c:v>82.42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79-43D5-9424-B1FA89017A42}"/>
            </c:ext>
          </c:extLst>
        </c:ser>
        <c:ser>
          <c:idx val="7"/>
          <c:order val="7"/>
          <c:tx>
            <c:strRef>
              <c:f>'Reporte General'!$M$170</c:f>
              <c:strCache>
                <c:ptCount val="1"/>
                <c:pt idx="0">
                  <c:v>Agosto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General'!$M$171:$M$185</c:f>
              <c:numCache>
                <c:formatCode>\ #,##0.0;[Red]\-#,##0.0;"-"??</c:formatCode>
                <c:ptCount val="15"/>
                <c:pt idx="0" formatCode="\ #,##0.00;[Red]\-#,##0.00;&quot;-&quot;??">
                  <c:v>473.95000000000005</c:v>
                </c:pt>
                <c:pt idx="1">
                  <c:v>475.76</c:v>
                </c:pt>
                <c:pt idx="2">
                  <c:v>1077.06</c:v>
                </c:pt>
                <c:pt idx="3">
                  <c:v>875.18000000000006</c:v>
                </c:pt>
                <c:pt idx="4">
                  <c:v>880.28</c:v>
                </c:pt>
                <c:pt idx="5">
                  <c:v>300</c:v>
                </c:pt>
                <c:pt idx="6">
                  <c:v>0</c:v>
                </c:pt>
                <c:pt idx="7">
                  <c:v>1149.1100000000001</c:v>
                </c:pt>
                <c:pt idx="8">
                  <c:v>290</c:v>
                </c:pt>
                <c:pt idx="9">
                  <c:v>640</c:v>
                </c:pt>
                <c:pt idx="10">
                  <c:v>86.289999999999992</c:v>
                </c:pt>
                <c:pt idx="12">
                  <c:v>435.58000000000004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79-43D5-9424-B1FA89017A42}"/>
            </c:ext>
          </c:extLst>
        </c:ser>
        <c:ser>
          <c:idx val="8"/>
          <c:order val="8"/>
          <c:tx>
            <c:strRef>
              <c:f>'Reporte General'!$N$170</c:f>
              <c:strCache>
                <c:ptCount val="1"/>
                <c:pt idx="0">
                  <c:v>Septiembre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General'!$N$171:$N$185</c:f>
              <c:numCache>
                <c:formatCode>\ #,##0.0;[Red]\-#,##0.0;"-"??</c:formatCode>
                <c:ptCount val="15"/>
                <c:pt idx="0">
                  <c:v>335.46000000000004</c:v>
                </c:pt>
                <c:pt idx="1">
                  <c:v>0</c:v>
                </c:pt>
                <c:pt idx="2" formatCode="\ #,##0.00;[Red]\-#,##0.00;&quot;-&quot;??">
                  <c:v>788.96</c:v>
                </c:pt>
                <c:pt idx="3">
                  <c:v>758.92000000000007</c:v>
                </c:pt>
                <c:pt idx="4">
                  <c:v>866.56999999999994</c:v>
                </c:pt>
                <c:pt idx="5">
                  <c:v>470</c:v>
                </c:pt>
                <c:pt idx="6">
                  <c:v>796.98</c:v>
                </c:pt>
                <c:pt idx="7">
                  <c:v>0</c:v>
                </c:pt>
                <c:pt idx="8">
                  <c:v>386.41</c:v>
                </c:pt>
                <c:pt idx="9">
                  <c:v>609.34999999999991</c:v>
                </c:pt>
                <c:pt idx="10">
                  <c:v>101.17</c:v>
                </c:pt>
                <c:pt idx="12">
                  <c:v>750.1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79-43D5-9424-B1FA89017A42}"/>
            </c:ext>
          </c:extLst>
        </c:ser>
        <c:ser>
          <c:idx val="9"/>
          <c:order val="9"/>
          <c:tx>
            <c:strRef>
              <c:f>'Reporte General'!$O$170</c:f>
              <c:strCache>
                <c:ptCount val="1"/>
                <c:pt idx="0">
                  <c:v>Octubre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General'!$O$171:$O$185</c:f>
              <c:numCache>
                <c:formatCode>\ #,##0.0;[Red]\-#,##0.0;"-"??</c:formatCode>
                <c:ptCount val="15"/>
                <c:pt idx="0" formatCode="\ #,##0.00;[Red]\-#,##0.00;&quot;-&quot;??">
                  <c:v>403.5</c:v>
                </c:pt>
                <c:pt idx="1">
                  <c:v>0</c:v>
                </c:pt>
                <c:pt idx="2" formatCode="\ #,##0.00;[Red]\-#,##0.00;&quot;-&quot;??">
                  <c:v>998.0139999999999</c:v>
                </c:pt>
                <c:pt idx="3" formatCode="\ #,##0.00;[Red]\-#,##0.00;&quot;-&quot;??">
                  <c:v>817.07</c:v>
                </c:pt>
                <c:pt idx="4">
                  <c:v>875.7800000000002</c:v>
                </c:pt>
                <c:pt idx="5">
                  <c:v>222</c:v>
                </c:pt>
                <c:pt idx="6">
                  <c:v>466.53000000000003</c:v>
                </c:pt>
                <c:pt idx="7">
                  <c:v>0</c:v>
                </c:pt>
                <c:pt idx="8">
                  <c:v>369.07</c:v>
                </c:pt>
                <c:pt idx="9">
                  <c:v>805.81</c:v>
                </c:pt>
                <c:pt idx="10" formatCode="\ #,##0.00;[Red]\-#,##0.00;&quot;-&quot;??">
                  <c:v>137.63</c:v>
                </c:pt>
                <c:pt idx="11" formatCode="\ #,##0.00;[Red]\-#,##0.00;&quot;-&quot;??">
                  <c:v>506.98</c:v>
                </c:pt>
                <c:pt idx="12">
                  <c:v>902.84000000000015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79-43D5-9424-B1FA89017A42}"/>
            </c:ext>
          </c:extLst>
        </c:ser>
        <c:ser>
          <c:idx val="10"/>
          <c:order val="10"/>
          <c:tx>
            <c:strRef>
              <c:f>'Reporte General'!$P$170</c:f>
              <c:strCache>
                <c:ptCount val="1"/>
                <c:pt idx="0">
                  <c:v>Noviembre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General'!$P$171:$P$185</c:f>
              <c:numCache>
                <c:formatCode>\ #,##0.0;[Red]\-#,##0.0;"-"??</c:formatCode>
                <c:ptCount val="15"/>
                <c:pt idx="0">
                  <c:v>216.49</c:v>
                </c:pt>
                <c:pt idx="1">
                  <c:v>0</c:v>
                </c:pt>
                <c:pt idx="2">
                  <c:v>798.88</c:v>
                </c:pt>
                <c:pt idx="3">
                  <c:v>868</c:v>
                </c:pt>
                <c:pt idx="4">
                  <c:v>825.12000000000012</c:v>
                </c:pt>
                <c:pt idx="5">
                  <c:v>331</c:v>
                </c:pt>
                <c:pt idx="6">
                  <c:v>667.41000000000008</c:v>
                </c:pt>
                <c:pt idx="7">
                  <c:v>0</c:v>
                </c:pt>
                <c:pt idx="8">
                  <c:v>445</c:v>
                </c:pt>
                <c:pt idx="9">
                  <c:v>773.12</c:v>
                </c:pt>
                <c:pt idx="10">
                  <c:v>105.21</c:v>
                </c:pt>
                <c:pt idx="11">
                  <c:v>553.29</c:v>
                </c:pt>
                <c:pt idx="12">
                  <c:v>874.16000000000008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79-43D5-9424-B1FA89017A42}"/>
            </c:ext>
          </c:extLst>
        </c:ser>
        <c:ser>
          <c:idx val="11"/>
          <c:order val="11"/>
          <c:tx>
            <c:strRef>
              <c:f>'Reporte General'!$Q$170</c:f>
              <c:strCache>
                <c:ptCount val="1"/>
                <c:pt idx="0">
                  <c:v>Diciembre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'Reporte General'!$D$171:$D$185</c:f>
              <c:strCache>
                <c:ptCount val="15"/>
                <c:pt idx="0">
                  <c:v>QAA-3164</c:v>
                </c:pt>
                <c:pt idx="1">
                  <c:v>QAA-3166</c:v>
                </c:pt>
                <c:pt idx="2">
                  <c:v>QAA-2912</c:v>
                </c:pt>
                <c:pt idx="3">
                  <c:v>QAA-2915</c:v>
                </c:pt>
                <c:pt idx="4">
                  <c:v>QAA-2916</c:v>
                </c:pt>
                <c:pt idx="5">
                  <c:v>PAB-3424</c:v>
                </c:pt>
                <c:pt idx="6">
                  <c:v>QAA-3165</c:v>
                </c:pt>
                <c:pt idx="7">
                  <c:v>QAA-1976</c:v>
                </c:pt>
                <c:pt idx="8">
                  <c:v>IAA-2747</c:v>
                </c:pt>
                <c:pt idx="9">
                  <c:v>PFG-2722</c:v>
                </c:pt>
                <c:pt idx="10">
                  <c:v>PFF-2857</c:v>
                </c:pt>
                <c:pt idx="11">
                  <c:v>QAA-3074</c:v>
                </c:pt>
                <c:pt idx="12">
                  <c:v>QAA-3220</c:v>
                </c:pt>
                <c:pt idx="13">
                  <c:v>QAA-3108</c:v>
                </c:pt>
                <c:pt idx="14">
                  <c:v>QAA-1974</c:v>
                </c:pt>
              </c:strCache>
            </c:strRef>
          </c:cat>
          <c:val>
            <c:numRef>
              <c:f>'Reporte General'!$Q$171:$Q$185</c:f>
              <c:numCache>
                <c:formatCode>\ #,##0.0;[Red]\-#,##0.0;"-"??</c:formatCode>
                <c:ptCount val="15"/>
                <c:pt idx="0">
                  <c:v>314.25</c:v>
                </c:pt>
                <c:pt idx="1">
                  <c:v>0</c:v>
                </c:pt>
                <c:pt idx="2">
                  <c:v>799.96</c:v>
                </c:pt>
                <c:pt idx="3">
                  <c:v>563.5</c:v>
                </c:pt>
                <c:pt idx="4">
                  <c:v>772.4</c:v>
                </c:pt>
                <c:pt idx="5">
                  <c:v>350</c:v>
                </c:pt>
                <c:pt idx="6">
                  <c:v>407.87</c:v>
                </c:pt>
                <c:pt idx="7">
                  <c:v>0</c:v>
                </c:pt>
                <c:pt idx="8">
                  <c:v>386</c:v>
                </c:pt>
                <c:pt idx="9">
                  <c:v>803.41</c:v>
                </c:pt>
                <c:pt idx="10">
                  <c:v>73.160000000000011</c:v>
                </c:pt>
                <c:pt idx="11">
                  <c:v>676.10000000000014</c:v>
                </c:pt>
                <c:pt idx="12">
                  <c:v>700.63000000000011</c:v>
                </c:pt>
                <c:pt idx="13">
                  <c:v>897.38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679-43D5-9424-B1FA89017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940864"/>
        <c:axId val="1278940448"/>
      </c:lineChart>
      <c:catAx>
        <c:axId val="127894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78940448"/>
        <c:crosses val="autoZero"/>
        <c:auto val="1"/>
        <c:lblAlgn val="ctr"/>
        <c:lblOffset val="100"/>
        <c:noMultiLvlLbl val="0"/>
      </c:catAx>
      <c:valAx>
        <c:axId val="12789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 #,##0.0;[Red]\-#,##0.0;&quot;-&quot;??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789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4C97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📏  Kilómetros Recorridos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4C97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 Kilómetros Recorridos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_DatosGraficas!$B$1:$M$1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_DatosGraficas!$B$2:$M$2</c:f>
              <c:numCache>
                <c:formatCode>General</c:formatCode>
                <c:ptCount val="12"/>
                <c:pt idx="0">
                  <c:v>774</c:v>
                </c:pt>
                <c:pt idx="1">
                  <c:v>453</c:v>
                </c:pt>
                <c:pt idx="2">
                  <c:v>1637</c:v>
                </c:pt>
                <c:pt idx="3">
                  <c:v>1811</c:v>
                </c:pt>
                <c:pt idx="4">
                  <c:v>3263</c:v>
                </c:pt>
                <c:pt idx="5">
                  <c:v>1789</c:v>
                </c:pt>
                <c:pt idx="6">
                  <c:v>2334</c:v>
                </c:pt>
                <c:pt idx="7">
                  <c:v>2333</c:v>
                </c:pt>
                <c:pt idx="8">
                  <c:v>2059</c:v>
                </c:pt>
                <c:pt idx="9">
                  <c:v>2799</c:v>
                </c:pt>
                <c:pt idx="10">
                  <c:v>1480</c:v>
                </c:pt>
                <c:pt idx="11">
                  <c:v>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1-3E47-98E9-061BC7BE4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02337663"/>
        <c:axId val="205896127"/>
      </c:barChart>
      <c:catAx>
        <c:axId val="20233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5896127"/>
        <c:crosses val="autoZero"/>
        <c:auto val="1"/>
        <c:lblAlgn val="ctr"/>
        <c:lblOffset val="100"/>
        <c:noMultiLvlLbl val="0"/>
      </c:catAx>
      <c:valAx>
        <c:axId val="20589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233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7E4E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⛽  Galones de Combustible Cargados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7E4E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 Galones de Combustible Cargados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_DatosGraficas!$B$4:$M$4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_DatosGraficas!$B$5:$M$5</c:f>
              <c:numCache>
                <c:formatCode>General</c:formatCode>
                <c:ptCount val="12"/>
                <c:pt idx="0">
                  <c:v>331.89</c:v>
                </c:pt>
                <c:pt idx="1">
                  <c:v>642.59</c:v>
                </c:pt>
                <c:pt idx="2">
                  <c:v>669.06</c:v>
                </c:pt>
                <c:pt idx="3">
                  <c:v>362.3</c:v>
                </c:pt>
                <c:pt idx="4">
                  <c:v>462.8</c:v>
                </c:pt>
                <c:pt idx="5">
                  <c:v>334.93</c:v>
                </c:pt>
                <c:pt idx="6">
                  <c:v>340.28</c:v>
                </c:pt>
                <c:pt idx="7">
                  <c:v>473.95000000000005</c:v>
                </c:pt>
                <c:pt idx="8">
                  <c:v>335.46000000000004</c:v>
                </c:pt>
                <c:pt idx="9">
                  <c:v>403.5</c:v>
                </c:pt>
                <c:pt idx="10">
                  <c:v>216.49</c:v>
                </c:pt>
                <c:pt idx="11">
                  <c:v>314.25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B-6444-A14B-DA50EB8EA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05406655"/>
        <c:axId val="205420991"/>
      </c:barChart>
      <c:catAx>
        <c:axId val="20540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5420991"/>
        <c:crosses val="autoZero"/>
        <c:auto val="1"/>
        <c:lblAlgn val="ctr"/>
        <c:lblOffset val="100"/>
        <c:noMultiLvlLbl val="0"/>
      </c:catAx>
      <c:valAx>
        <c:axId val="20542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540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A6B53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📊  Km / Galón de Combustible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A6B53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Km / Galón de Combustible</c:v>
          </c:tx>
          <c:spPr>
            <a:ln w="28575" cap="rnd">
              <a:solidFill>
                <a:srgbClr val="12B48A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12B48A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strRef>
              <c:f>_DatosGraficas!$B$7:$M$7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_DatosGraficas!$B$8:$M$8</c:f>
              <c:numCache>
                <c:formatCode>General</c:formatCode>
                <c:ptCount val="12"/>
                <c:pt idx="0">
                  <c:v>2.3320979842718974</c:v>
                </c:pt>
                <c:pt idx="1">
                  <c:v>0.70495961655176709</c:v>
                </c:pt>
                <c:pt idx="2">
                  <c:v>2.4467162885241982</c:v>
                </c:pt>
                <c:pt idx="3">
                  <c:v>4.998619928236268</c:v>
                </c:pt>
                <c:pt idx="4">
                  <c:v>7.0505617977528088</c:v>
                </c:pt>
                <c:pt idx="5">
                  <c:v>5.3414146239512732</c:v>
                </c:pt>
                <c:pt idx="6">
                  <c:v>6.8590572469730819</c:v>
                </c:pt>
                <c:pt idx="7">
                  <c:v>4.9224601751239581</c:v>
                </c:pt>
                <c:pt idx="8">
                  <c:v>6.1378405771179869</c:v>
                </c:pt>
                <c:pt idx="9">
                  <c:v>6.9368029739776951</c:v>
                </c:pt>
                <c:pt idx="10">
                  <c:v>6.8363434800683631</c:v>
                </c:pt>
                <c:pt idx="11">
                  <c:v>6.7207637231503581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D-0B4C-B615-E9C4C525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45983"/>
        <c:axId val="199528383"/>
      </c:lineChart>
      <c:catAx>
        <c:axId val="20574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28383"/>
        <c:crosses val="autoZero"/>
        <c:auto val="1"/>
        <c:lblAlgn val="ctr"/>
        <c:lblOffset val="100"/>
        <c:noMultiLvlLbl val="0"/>
      </c:catAx>
      <c:valAx>
        <c:axId val="19952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574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C1D95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🔧  Km por Mantenimiento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C1D95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Km por Mantenimiento</c:v>
          </c:tx>
          <c:spPr>
            <a:ln w="28575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8B5CF6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strRef>
              <c:f>_DatosGraficas!$B$10:$M$10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_DatosGraficas!$B$11:$M$11</c:f>
              <c:numCache>
                <c:formatCode>General</c:formatCode>
                <c:ptCount val="12"/>
                <c:pt idx="0">
                  <c:v>8039</c:v>
                </c:pt>
                <c:pt idx="1">
                  <c:v>7836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8000</c:v>
                </c:pt>
                <c:pt idx="6">
                  <c:v>0</c:v>
                </c:pt>
                <c:pt idx="7">
                  <c:v>0</c:v>
                </c:pt>
                <c:pt idx="8">
                  <c:v>7928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5-0A49-9CFA-E4D469824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92895"/>
        <c:axId val="207594687"/>
      </c:lineChart>
      <c:catAx>
        <c:axId val="20759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7594687"/>
        <c:crosses val="autoZero"/>
        <c:auto val="1"/>
        <c:lblAlgn val="ctr"/>
        <c:lblOffset val="100"/>
        <c:noMultiLvlLbl val="0"/>
      </c:catAx>
      <c:valAx>
        <c:axId val="20759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759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369A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✅  Disponibilidad del Equipo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369A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Disponibilidad del Equipo (%)</c:v>
          </c:tx>
          <c:spPr>
            <a:ln w="28575" cap="rnd">
              <a:solidFill>
                <a:srgbClr val="0EA5E9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EA5E9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strRef>
              <c:f>_DatosGraficas!$B$13:$M$13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_DatosGraficas!$B$14:$M$14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96.666666666666686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2-DC41-9C26-BADE55D7D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09503"/>
        <c:axId val="208511295"/>
      </c:lineChart>
      <c:catAx>
        <c:axId val="2085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511295"/>
        <c:crosses val="autoZero"/>
        <c:auto val="1"/>
        <c:lblAlgn val="ctr"/>
        <c:lblOffset val="100"/>
        <c:noMultiLvlLbl val="0"/>
      </c:catAx>
      <c:valAx>
        <c:axId val="20851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50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5803D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🛡️  Mantenimientos Preventivos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5803D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 Mantenimientos Preventivos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_DatosGraficas!$B$16:$M$16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_DatosGraficas!$B$17:$M$17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4-BD43-B3CF-ECFDFD63F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08618815"/>
        <c:axId val="208620607"/>
      </c:barChart>
      <c:catAx>
        <c:axId val="20861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620607"/>
        <c:crosses val="autoZero"/>
        <c:auto val="1"/>
        <c:lblAlgn val="ctr"/>
        <c:lblOffset val="100"/>
        <c:noMultiLvlLbl val="0"/>
      </c:catAx>
      <c:valAx>
        <c:axId val="2086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61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991B1B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⚠️  Mantenimientos Correctivos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991B1B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 Mantenimientos Correctivos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_DatosGraficas!$B$19:$M$19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_DatosGraficas!$B$20:$M$20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7-7F45-A126-825FCF207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08695999"/>
        <c:axId val="208697791"/>
      </c:barChart>
      <c:catAx>
        <c:axId val="20869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697791"/>
        <c:crosses val="autoZero"/>
        <c:auto val="1"/>
        <c:lblAlgn val="ctr"/>
        <c:lblOffset val="100"/>
        <c:noMultiLvlLbl val="0"/>
      </c:catAx>
      <c:valAx>
        <c:axId val="20869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69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9A3412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📉  Tasa de Falla (fallas/hora)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9A3412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Tasa de Falla (fallas/hora)</c:v>
          </c:tx>
          <c:spPr>
            <a:ln w="28575" cap="rnd">
              <a:solidFill>
                <a:srgbClr val="F9731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97316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strRef>
              <c:f>_DatosGraficas!$B$22:$M$22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_DatosGraficas!$B$23:$M$23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1.4285714285714285E-2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6-0C43-9498-A121D263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41215"/>
        <c:axId val="208843007"/>
      </c:lineChart>
      <c:catAx>
        <c:axId val="20884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843007"/>
        <c:crosses val="autoZero"/>
        <c:auto val="1"/>
        <c:lblAlgn val="ctr"/>
        <c:lblOffset val="100"/>
        <c:noMultiLvlLbl val="0"/>
      </c:catAx>
      <c:valAx>
        <c:axId val="2088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84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Km / Galón por Vehículo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Gerencia'!$A$6</c:f>
              <c:strCache>
                <c:ptCount val="1"/>
                <c:pt idx="0">
                  <c:v>QAA-3164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Gerencia'!$B$6:$M$6</c:f>
              <c:numCache>
                <c:formatCode>General</c:formatCode>
                <c:ptCount val="12"/>
                <c:pt idx="0">
                  <c:v>2.33</c:v>
                </c:pt>
                <c:pt idx="1">
                  <c:v>0.7</c:v>
                </c:pt>
                <c:pt idx="2">
                  <c:v>2.4500000000000002</c:v>
                </c:pt>
                <c:pt idx="3">
                  <c:v>5</c:v>
                </c:pt>
                <c:pt idx="4">
                  <c:v>7.05</c:v>
                </c:pt>
                <c:pt idx="5">
                  <c:v>5.34</c:v>
                </c:pt>
                <c:pt idx="6">
                  <c:v>6.86</c:v>
                </c:pt>
                <c:pt idx="7">
                  <c:v>4.92</c:v>
                </c:pt>
                <c:pt idx="8">
                  <c:v>6.14</c:v>
                </c:pt>
                <c:pt idx="9">
                  <c:v>6.94</c:v>
                </c:pt>
                <c:pt idx="10">
                  <c:v>6.84</c:v>
                </c:pt>
                <c:pt idx="11">
                  <c:v>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4-954B-94A7-C1A2DB1DC5FA}"/>
            </c:ext>
          </c:extLst>
        </c:ser>
        <c:ser>
          <c:idx val="1"/>
          <c:order val="1"/>
          <c:tx>
            <c:strRef>
              <c:f>'Dashboard Gerencia'!$A$7</c:f>
              <c:strCache>
                <c:ptCount val="1"/>
                <c:pt idx="0">
                  <c:v>QAA-3166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Gerencia'!$B$7:$M$7</c:f>
              <c:numCache>
                <c:formatCode>General</c:formatCode>
                <c:ptCount val="12"/>
                <c:pt idx="0">
                  <c:v>1.37</c:v>
                </c:pt>
                <c:pt idx="1">
                  <c:v>0.85</c:v>
                </c:pt>
                <c:pt idx="2">
                  <c:v>6.28</c:v>
                </c:pt>
                <c:pt idx="3">
                  <c:v>4.08</c:v>
                </c:pt>
                <c:pt idx="4">
                  <c:v>6.15</c:v>
                </c:pt>
                <c:pt idx="5">
                  <c:v>4.8600000000000003</c:v>
                </c:pt>
                <c:pt idx="6">
                  <c:v>5.44</c:v>
                </c:pt>
                <c:pt idx="7">
                  <c:v>4.08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4-954B-94A7-C1A2DB1DC5FA}"/>
            </c:ext>
          </c:extLst>
        </c:ser>
        <c:ser>
          <c:idx val="2"/>
          <c:order val="2"/>
          <c:tx>
            <c:strRef>
              <c:f>'Dashboard Gerencia'!$A$8</c:f>
              <c:strCache>
                <c:ptCount val="1"/>
                <c:pt idx="0">
                  <c:v>QAA-2912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Gerencia'!$B$8:$M$8</c:f>
              <c:numCache>
                <c:formatCode>General</c:formatCode>
                <c:ptCount val="12"/>
                <c:pt idx="0">
                  <c:v>6.15</c:v>
                </c:pt>
                <c:pt idx="1">
                  <c:v>5.59</c:v>
                </c:pt>
                <c:pt idx="2">
                  <c:v>5.7</c:v>
                </c:pt>
                <c:pt idx="3">
                  <c:v>4.99</c:v>
                </c:pt>
                <c:pt idx="4">
                  <c:v>5.44</c:v>
                </c:pt>
                <c:pt idx="5">
                  <c:v>5.36</c:v>
                </c:pt>
                <c:pt idx="6">
                  <c:v>4.97</c:v>
                </c:pt>
                <c:pt idx="7">
                  <c:v>5.33</c:v>
                </c:pt>
                <c:pt idx="8">
                  <c:v>5.57</c:v>
                </c:pt>
                <c:pt idx="9">
                  <c:v>5.89</c:v>
                </c:pt>
                <c:pt idx="10">
                  <c:v>6.31</c:v>
                </c:pt>
                <c:pt idx="11">
                  <c:v>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B4-954B-94A7-C1A2DB1DC5FA}"/>
            </c:ext>
          </c:extLst>
        </c:ser>
        <c:ser>
          <c:idx val="3"/>
          <c:order val="3"/>
          <c:tx>
            <c:strRef>
              <c:f>'Dashboard Gerencia'!$A$9</c:f>
              <c:strCache>
                <c:ptCount val="1"/>
                <c:pt idx="0">
                  <c:v>QAA-2915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Gerencia'!$B$9:$M$9</c:f>
              <c:numCache>
                <c:formatCode>General</c:formatCode>
                <c:ptCount val="12"/>
                <c:pt idx="0">
                  <c:v>1.07</c:v>
                </c:pt>
                <c:pt idx="1">
                  <c:v>6.79</c:v>
                </c:pt>
                <c:pt idx="2">
                  <c:v>4.6399999999999997</c:v>
                </c:pt>
                <c:pt idx="3">
                  <c:v>5.23</c:v>
                </c:pt>
                <c:pt idx="4">
                  <c:v>5.91</c:v>
                </c:pt>
                <c:pt idx="5">
                  <c:v>5.01</c:v>
                </c:pt>
                <c:pt idx="6">
                  <c:v>5.85</c:v>
                </c:pt>
                <c:pt idx="7">
                  <c:v>5.67</c:v>
                </c:pt>
                <c:pt idx="8">
                  <c:v>6.2</c:v>
                </c:pt>
                <c:pt idx="9">
                  <c:v>6.1</c:v>
                </c:pt>
                <c:pt idx="10">
                  <c:v>5.92</c:v>
                </c:pt>
                <c:pt idx="11">
                  <c:v>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B4-954B-94A7-C1A2DB1DC5FA}"/>
            </c:ext>
          </c:extLst>
        </c:ser>
        <c:ser>
          <c:idx val="4"/>
          <c:order val="4"/>
          <c:tx>
            <c:strRef>
              <c:f>'Dashboard Gerencia'!$A$10</c:f>
              <c:strCache>
                <c:ptCount val="1"/>
                <c:pt idx="0">
                  <c:v>QAA-2916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Gerencia'!$B$10:$M$10</c:f>
              <c:numCache>
                <c:formatCode>General</c:formatCode>
                <c:ptCount val="12"/>
                <c:pt idx="0">
                  <c:v>0.88</c:v>
                </c:pt>
                <c:pt idx="1">
                  <c:v>0.71</c:v>
                </c:pt>
                <c:pt idx="2">
                  <c:v>5.73</c:v>
                </c:pt>
                <c:pt idx="3">
                  <c:v>5.37</c:v>
                </c:pt>
                <c:pt idx="4">
                  <c:v>5.81</c:v>
                </c:pt>
                <c:pt idx="5">
                  <c:v>5.86</c:v>
                </c:pt>
                <c:pt idx="6">
                  <c:v>6.03</c:v>
                </c:pt>
                <c:pt idx="7">
                  <c:v>5.26</c:v>
                </c:pt>
                <c:pt idx="8">
                  <c:v>5.77</c:v>
                </c:pt>
                <c:pt idx="9">
                  <c:v>5.94</c:v>
                </c:pt>
                <c:pt idx="10">
                  <c:v>6.38</c:v>
                </c:pt>
                <c:pt idx="11">
                  <c:v>6.47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B4-954B-94A7-C1A2DB1DC5FA}"/>
            </c:ext>
          </c:extLst>
        </c:ser>
        <c:ser>
          <c:idx val="5"/>
          <c:order val="5"/>
          <c:tx>
            <c:strRef>
              <c:f>'Dashboard Gerencia'!$A$11</c:f>
              <c:strCache>
                <c:ptCount val="1"/>
                <c:pt idx="0">
                  <c:v>PAB-3424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Gerencia'!$B$11:$M$11</c:f>
              <c:numCache>
                <c:formatCode>General</c:formatCode>
                <c:ptCount val="12"/>
                <c:pt idx="0">
                  <c:v>3.08</c:v>
                </c:pt>
                <c:pt idx="1">
                  <c:v>3.71</c:v>
                </c:pt>
                <c:pt idx="2">
                  <c:v>3.22</c:v>
                </c:pt>
                <c:pt idx="3">
                  <c:v>6.74</c:v>
                </c:pt>
                <c:pt idx="4">
                  <c:v>8.31</c:v>
                </c:pt>
                <c:pt idx="5">
                  <c:v>7.51</c:v>
                </c:pt>
                <c:pt idx="6">
                  <c:v>4.42</c:v>
                </c:pt>
                <c:pt idx="7">
                  <c:v>5.82</c:v>
                </c:pt>
                <c:pt idx="8">
                  <c:v>4.0199999999999996</c:v>
                </c:pt>
                <c:pt idx="9">
                  <c:v>7.45</c:v>
                </c:pt>
                <c:pt idx="10">
                  <c:v>5.21</c:v>
                </c:pt>
                <c:pt idx="11">
                  <c:v>5.79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B4-954B-94A7-C1A2DB1DC5FA}"/>
            </c:ext>
          </c:extLst>
        </c:ser>
        <c:ser>
          <c:idx val="6"/>
          <c:order val="6"/>
          <c:tx>
            <c:strRef>
              <c:f>'Dashboard Gerencia'!$A$12</c:f>
              <c:strCache>
                <c:ptCount val="1"/>
                <c:pt idx="0">
                  <c:v>QAA-3165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Gerencia'!$B$12:$M$12</c:f>
              <c:numCache>
                <c:formatCode>General</c:formatCode>
                <c:ptCount val="12"/>
                <c:pt idx="0">
                  <c:v>1.85</c:v>
                </c:pt>
                <c:pt idx="1">
                  <c:v>0.93</c:v>
                </c:pt>
                <c:pt idx="2">
                  <c:v>5.14</c:v>
                </c:pt>
                <c:pt idx="3">
                  <c:v>3.6</c:v>
                </c:pt>
                <c:pt idx="4">
                  <c:v>4.8099999999999996</c:v>
                </c:pt>
                <c:pt idx="5">
                  <c:v>5.6</c:v>
                </c:pt>
                <c:pt idx="6">
                  <c:v>5.03</c:v>
                </c:pt>
                <c:pt idx="7">
                  <c:v>0</c:v>
                </c:pt>
                <c:pt idx="8">
                  <c:v>5.97</c:v>
                </c:pt>
                <c:pt idx="9">
                  <c:v>8.0299999999999994</c:v>
                </c:pt>
                <c:pt idx="10">
                  <c:v>7.73</c:v>
                </c:pt>
                <c:pt idx="11">
                  <c:v>7.57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B4-954B-94A7-C1A2DB1DC5FA}"/>
            </c:ext>
          </c:extLst>
        </c:ser>
        <c:ser>
          <c:idx val="7"/>
          <c:order val="7"/>
          <c:tx>
            <c:strRef>
              <c:f>'Dashboard Gerencia'!$A$13</c:f>
              <c:strCache>
                <c:ptCount val="1"/>
                <c:pt idx="0">
                  <c:v>QAA-1976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Gerencia'!$B$13:$M$13</c:f>
              <c:numCache>
                <c:formatCode>General</c:formatCode>
                <c:ptCount val="12"/>
                <c:pt idx="0">
                  <c:v>5.97</c:v>
                </c:pt>
                <c:pt idx="1">
                  <c:v>0</c:v>
                </c:pt>
                <c:pt idx="2">
                  <c:v>4.84</c:v>
                </c:pt>
                <c:pt idx="3">
                  <c:v>3.79</c:v>
                </c:pt>
                <c:pt idx="4">
                  <c:v>5.49</c:v>
                </c:pt>
                <c:pt idx="5">
                  <c:v>3.93</c:v>
                </c:pt>
                <c:pt idx="6">
                  <c:v>3.29</c:v>
                </c:pt>
                <c:pt idx="7">
                  <c:v>3.86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B4-954B-94A7-C1A2DB1DC5FA}"/>
            </c:ext>
          </c:extLst>
        </c:ser>
        <c:ser>
          <c:idx val="8"/>
          <c:order val="8"/>
          <c:tx>
            <c:strRef>
              <c:f>'Dashboard Gerencia'!$A$14</c:f>
              <c:strCache>
                <c:ptCount val="1"/>
                <c:pt idx="0">
                  <c:v>IAA-2747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Gerencia'!$B$14:$M$14</c:f>
              <c:numCache>
                <c:formatCode>General</c:formatCode>
                <c:ptCount val="12"/>
                <c:pt idx="0">
                  <c:v>7.24</c:v>
                </c:pt>
                <c:pt idx="1">
                  <c:v>5</c:v>
                </c:pt>
                <c:pt idx="2">
                  <c:v>2.88</c:v>
                </c:pt>
                <c:pt idx="3">
                  <c:v>11.2</c:v>
                </c:pt>
                <c:pt idx="4">
                  <c:v>11.25</c:v>
                </c:pt>
                <c:pt idx="5">
                  <c:v>10.47</c:v>
                </c:pt>
                <c:pt idx="6">
                  <c:v>10.210000000000001</c:v>
                </c:pt>
                <c:pt idx="7">
                  <c:v>11.99</c:v>
                </c:pt>
                <c:pt idx="8">
                  <c:v>7.06</c:v>
                </c:pt>
                <c:pt idx="9">
                  <c:v>9.64</c:v>
                </c:pt>
                <c:pt idx="10">
                  <c:v>9.39</c:v>
                </c:pt>
                <c:pt idx="11">
                  <c:v>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B4-954B-94A7-C1A2DB1DC5FA}"/>
            </c:ext>
          </c:extLst>
        </c:ser>
        <c:ser>
          <c:idx val="9"/>
          <c:order val="9"/>
          <c:tx>
            <c:strRef>
              <c:f>'Dashboard Gerencia'!$A$15</c:f>
              <c:strCache>
                <c:ptCount val="1"/>
                <c:pt idx="0">
                  <c:v>PFG-2722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5.92</c:v>
                </c:pt>
                <c:pt idx="6">
                  <c:v>9.66</c:v>
                </c:pt>
                <c:pt idx="7">
                  <c:v>7.81</c:v>
                </c:pt>
                <c:pt idx="8">
                  <c:v>7.81</c:v>
                </c:pt>
                <c:pt idx="9">
                  <c:v>5.97</c:v>
                </c:pt>
                <c:pt idx="10">
                  <c:v>6.65</c:v>
                </c:pt>
                <c:pt idx="11">
                  <c:v>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B4-954B-94A7-C1A2DB1DC5FA}"/>
            </c:ext>
          </c:extLst>
        </c:ser>
        <c:ser>
          <c:idx val="10"/>
          <c:order val="10"/>
          <c:tx>
            <c:strRef>
              <c:f>'Dashboard Gerencia'!$A$16</c:f>
              <c:strCache>
                <c:ptCount val="1"/>
                <c:pt idx="0">
                  <c:v>PFF-2857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Gerencia'!$B$16:$M$16</c:f>
              <c:numCache>
                <c:formatCode>General</c:formatCode>
                <c:ptCount val="12"/>
                <c:pt idx="0">
                  <c:v>11.71</c:v>
                </c:pt>
                <c:pt idx="1">
                  <c:v>3.79</c:v>
                </c:pt>
                <c:pt idx="2">
                  <c:v>55.54</c:v>
                </c:pt>
                <c:pt idx="3">
                  <c:v>44.99</c:v>
                </c:pt>
                <c:pt idx="4">
                  <c:v>37.18</c:v>
                </c:pt>
                <c:pt idx="5">
                  <c:v>37.78</c:v>
                </c:pt>
                <c:pt idx="6">
                  <c:v>39.94</c:v>
                </c:pt>
                <c:pt idx="7">
                  <c:v>39.4</c:v>
                </c:pt>
                <c:pt idx="8">
                  <c:v>34.93</c:v>
                </c:pt>
                <c:pt idx="9">
                  <c:v>41.48</c:v>
                </c:pt>
                <c:pt idx="10">
                  <c:v>35.840000000000003</c:v>
                </c:pt>
                <c:pt idx="11">
                  <c:v>27.54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B4-954B-94A7-C1A2DB1DC5FA}"/>
            </c:ext>
          </c:extLst>
        </c:ser>
        <c:ser>
          <c:idx val="11"/>
          <c:order val="11"/>
          <c:tx>
            <c:strRef>
              <c:f>'Dashboard Gerencia'!$A$17</c:f>
              <c:strCache>
                <c:ptCount val="1"/>
                <c:pt idx="0">
                  <c:v>QAA-3220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Gerencia'!$B$17:$M$17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24.79</c:v>
                </c:pt>
                <c:pt idx="5">
                  <c:v>0</c:v>
                </c:pt>
                <c:pt idx="6">
                  <c:v>0</c:v>
                </c:pt>
                <c:pt idx="7">
                  <c:v>5.62</c:v>
                </c:pt>
                <c:pt idx="8">
                  <c:v>5.61</c:v>
                </c:pt>
                <c:pt idx="9">
                  <c:v>5.55</c:v>
                </c:pt>
                <c:pt idx="10">
                  <c:v>5.42</c:v>
                </c:pt>
                <c:pt idx="11">
                  <c:v>6.31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B4-954B-94A7-C1A2DB1DC5FA}"/>
            </c:ext>
          </c:extLst>
        </c:ser>
        <c:ser>
          <c:idx val="12"/>
          <c:order val="12"/>
          <c:tx>
            <c:strRef>
              <c:f>'Dashboard Gerencia'!$A$18</c:f>
              <c:strCache>
                <c:ptCount val="1"/>
                <c:pt idx="0">
                  <c:v>KR-1189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Gerencia'!$B$18:$M$18</c:f>
              <c:numCache>
                <c:formatCode>General</c:formatCode>
                <c:ptCount val="12"/>
                <c:pt idx="0">
                  <c:v>1.99</c:v>
                </c:pt>
                <c:pt idx="1">
                  <c:v>3.79</c:v>
                </c:pt>
                <c:pt idx="2">
                  <c:v>3.45</c:v>
                </c:pt>
                <c:pt idx="3">
                  <c:v>2.1</c:v>
                </c:pt>
                <c:pt idx="4">
                  <c:v>1.27</c:v>
                </c:pt>
                <c:pt idx="5">
                  <c:v>1.51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0.71</c:v>
                </c:pt>
                <c:pt idx="10">
                  <c:v>1.49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B4-954B-94A7-C1A2DB1DC5FA}"/>
            </c:ext>
          </c:extLst>
        </c:ser>
        <c:ser>
          <c:idx val="13"/>
          <c:order val="13"/>
          <c:tx>
            <c:strRef>
              <c:f>'Dashboard Gerencia'!$A$19</c:f>
              <c:strCache>
                <c:ptCount val="1"/>
                <c:pt idx="0">
                  <c:v>KR-1172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Gerencia'!$B$19:$M$19</c:f>
              <c:numCache>
                <c:formatCode>General</c:formatCode>
                <c:ptCount val="12"/>
                <c:pt idx="0">
                  <c:v>3.44</c:v>
                </c:pt>
                <c:pt idx="1">
                  <c:v>2.29</c:v>
                </c:pt>
                <c:pt idx="2">
                  <c:v>1.66</c:v>
                </c:pt>
                <c:pt idx="3">
                  <c:v>1.4</c:v>
                </c:pt>
                <c:pt idx="4">
                  <c:v>2.06</c:v>
                </c:pt>
                <c:pt idx="5">
                  <c:v>1.86</c:v>
                </c:pt>
                <c:pt idx="6">
                  <c:v>2.71</c:v>
                </c:pt>
                <c:pt idx="7">
                  <c:v>2.37</c:v>
                </c:pt>
                <c:pt idx="8">
                  <c:v>1.81</c:v>
                </c:pt>
                <c:pt idx="9">
                  <c:v>1.72</c:v>
                </c:pt>
                <c:pt idx="10">
                  <c:v>1.79</c:v>
                </c:pt>
                <c:pt idx="11">
                  <c:v>2.0299999999999998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0B4-954B-94A7-C1A2DB1DC5FA}"/>
            </c:ext>
          </c:extLst>
        </c:ser>
        <c:ser>
          <c:idx val="14"/>
          <c:order val="14"/>
          <c:tx>
            <c:strRef>
              <c:f>'Dashboard Gerencia'!$A$20</c:f>
              <c:strCache>
                <c:ptCount val="1"/>
                <c:pt idx="0">
                  <c:v>KR-1344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Gerencia'!$B$5:$M$5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Gerencia'!$B$20:$M$20</c:f>
              <c:numCache>
                <c:formatCode>General</c:formatCode>
                <c:ptCount val="12"/>
                <c:pt idx="0">
                  <c:v>2.2400000000000002</c:v>
                </c:pt>
                <c:pt idx="1">
                  <c:v>3.14</c:v>
                </c:pt>
                <c:pt idx="2">
                  <c:v>3.02</c:v>
                </c:pt>
                <c:pt idx="3">
                  <c:v>1.68</c:v>
                </c:pt>
                <c:pt idx="4">
                  <c:v>2.3199999999999998</c:v>
                </c:pt>
                <c:pt idx="5">
                  <c:v>1.92</c:v>
                </c:pt>
                <c:pt idx="6">
                  <c:v>2.2400000000000002</c:v>
                </c:pt>
                <c:pt idx="7">
                  <c:v>3.78</c:v>
                </c:pt>
                <c:pt idx="8">
                  <c:v>1.74</c:v>
                </c:pt>
                <c:pt idx="9">
                  <c:v>1.51</c:v>
                </c:pt>
                <c:pt idx="10">
                  <c:v>2.0099999999999998</c:v>
                </c:pt>
                <c:pt idx="11">
                  <c:v>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0B4-954B-94A7-C1A2DB1D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097535"/>
        <c:axId val="102074111"/>
      </c:barChart>
      <c:catAx>
        <c:axId val="7309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074111"/>
        <c:crosses val="autoZero"/>
        <c:auto val="1"/>
        <c:lblAlgn val="ctr"/>
        <c:lblOffset val="100"/>
        <c:noMultiLvlLbl val="0"/>
      </c:catAx>
      <c:valAx>
        <c:axId val="10207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309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Kilómetros Recorridos por Vehículo (Mensual)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'Dashboard Gerencia'!$A$25</c:f>
              <c:strCache>
                <c:ptCount val="1"/>
                <c:pt idx="0">
                  <c:v>QAA-3164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Gerencia'!$B$24:$M$24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Gerencia'!$B$25:$M$25</c:f>
              <c:numCache>
                <c:formatCode>General</c:formatCode>
                <c:ptCount val="12"/>
                <c:pt idx="0">
                  <c:v>774</c:v>
                </c:pt>
                <c:pt idx="1">
                  <c:v>453</c:v>
                </c:pt>
                <c:pt idx="2">
                  <c:v>1637</c:v>
                </c:pt>
                <c:pt idx="3">
                  <c:v>1811</c:v>
                </c:pt>
                <c:pt idx="4">
                  <c:v>3263</c:v>
                </c:pt>
                <c:pt idx="5">
                  <c:v>1789</c:v>
                </c:pt>
                <c:pt idx="6">
                  <c:v>2334</c:v>
                </c:pt>
                <c:pt idx="7">
                  <c:v>2333</c:v>
                </c:pt>
                <c:pt idx="8">
                  <c:v>2059</c:v>
                </c:pt>
                <c:pt idx="9">
                  <c:v>2799</c:v>
                </c:pt>
                <c:pt idx="10">
                  <c:v>1480</c:v>
                </c:pt>
                <c:pt idx="11">
                  <c:v>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1-5046-9BDE-F851AF90FBC2}"/>
            </c:ext>
          </c:extLst>
        </c:ser>
        <c:ser>
          <c:idx val="1"/>
          <c:order val="1"/>
          <c:tx>
            <c:strRef>
              <c:f>'Dashboard Gerencia'!$A$26</c:f>
              <c:strCache>
                <c:ptCount val="1"/>
                <c:pt idx="0">
                  <c:v>QAA-3166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Gerencia'!$B$24:$M$24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Gerencia'!$B$26:$M$26</c:f>
              <c:numCache>
                <c:formatCode>General</c:formatCode>
                <c:ptCount val="12"/>
                <c:pt idx="0">
                  <c:v>1807</c:v>
                </c:pt>
                <c:pt idx="1">
                  <c:v>505</c:v>
                </c:pt>
                <c:pt idx="2">
                  <c:v>1528</c:v>
                </c:pt>
                <c:pt idx="3">
                  <c:v>1244</c:v>
                </c:pt>
                <c:pt idx="4">
                  <c:v>6461</c:v>
                </c:pt>
                <c:pt idx="5">
                  <c:v>4208</c:v>
                </c:pt>
                <c:pt idx="6">
                  <c:v>2052</c:v>
                </c:pt>
                <c:pt idx="7">
                  <c:v>1940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1-5046-9BDE-F851AF90FBC2}"/>
            </c:ext>
          </c:extLst>
        </c:ser>
        <c:ser>
          <c:idx val="2"/>
          <c:order val="2"/>
          <c:tx>
            <c:strRef>
              <c:f>'Dashboard Gerencia'!$A$27</c:f>
              <c:strCache>
                <c:ptCount val="1"/>
                <c:pt idx="0">
                  <c:v>QAA-2912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Gerencia'!$B$24:$M$24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Gerencia'!$B$27:$M$27</c:f>
              <c:numCache>
                <c:formatCode>General</c:formatCode>
                <c:ptCount val="12"/>
                <c:pt idx="0">
                  <c:v>3627</c:v>
                </c:pt>
                <c:pt idx="1">
                  <c:v>4077</c:v>
                </c:pt>
                <c:pt idx="2">
                  <c:v>4876</c:v>
                </c:pt>
                <c:pt idx="3">
                  <c:v>5838</c:v>
                </c:pt>
                <c:pt idx="4">
                  <c:v>8193</c:v>
                </c:pt>
                <c:pt idx="5">
                  <c:v>4583</c:v>
                </c:pt>
                <c:pt idx="6">
                  <c:v>1589</c:v>
                </c:pt>
                <c:pt idx="7">
                  <c:v>5741</c:v>
                </c:pt>
                <c:pt idx="8">
                  <c:v>4392</c:v>
                </c:pt>
                <c:pt idx="9">
                  <c:v>5876</c:v>
                </c:pt>
                <c:pt idx="10">
                  <c:v>5040</c:v>
                </c:pt>
                <c:pt idx="11">
                  <c:v>5022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1-5046-9BDE-F851AF90FBC2}"/>
            </c:ext>
          </c:extLst>
        </c:ser>
        <c:ser>
          <c:idx val="3"/>
          <c:order val="3"/>
          <c:tx>
            <c:strRef>
              <c:f>'Dashboard Gerencia'!$A$28</c:f>
              <c:strCache>
                <c:ptCount val="1"/>
                <c:pt idx="0">
                  <c:v>QAA-2915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'Dashboard Gerencia'!$B$24:$M$24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Gerencia'!$B$28:$M$28</c:f>
              <c:numCache>
                <c:formatCode>General</c:formatCode>
                <c:ptCount val="12"/>
                <c:pt idx="0">
                  <c:v>1019</c:v>
                </c:pt>
                <c:pt idx="1">
                  <c:v>5500</c:v>
                </c:pt>
                <c:pt idx="2">
                  <c:v>3759</c:v>
                </c:pt>
                <c:pt idx="3">
                  <c:v>5895</c:v>
                </c:pt>
                <c:pt idx="4">
                  <c:v>10263</c:v>
                </c:pt>
                <c:pt idx="5">
                  <c:v>4466</c:v>
                </c:pt>
                <c:pt idx="6">
                  <c:v>1420</c:v>
                </c:pt>
                <c:pt idx="7">
                  <c:v>4963</c:v>
                </c:pt>
                <c:pt idx="8">
                  <c:v>4706</c:v>
                </c:pt>
                <c:pt idx="9">
                  <c:v>4988</c:v>
                </c:pt>
                <c:pt idx="10">
                  <c:v>5140</c:v>
                </c:pt>
                <c:pt idx="11">
                  <c:v>3488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1-5046-9BDE-F851AF90FBC2}"/>
            </c:ext>
          </c:extLst>
        </c:ser>
        <c:ser>
          <c:idx val="4"/>
          <c:order val="4"/>
          <c:tx>
            <c:strRef>
              <c:f>'Dashboard Gerencia'!$A$29</c:f>
              <c:strCache>
                <c:ptCount val="1"/>
                <c:pt idx="0">
                  <c:v>QAA-2916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'Dashboard Gerencia'!$B$24:$M$24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Gerencia'!$B$29:$M$29</c:f>
              <c:numCache>
                <c:formatCode>General</c:formatCode>
                <c:ptCount val="12"/>
                <c:pt idx="0">
                  <c:v>298</c:v>
                </c:pt>
                <c:pt idx="1">
                  <c:v>388</c:v>
                </c:pt>
                <c:pt idx="2">
                  <c:v>5035</c:v>
                </c:pt>
                <c:pt idx="3">
                  <c:v>5813</c:v>
                </c:pt>
                <c:pt idx="4">
                  <c:v>9852</c:v>
                </c:pt>
                <c:pt idx="5">
                  <c:v>4994</c:v>
                </c:pt>
                <c:pt idx="6">
                  <c:v>2430</c:v>
                </c:pt>
                <c:pt idx="7">
                  <c:v>4626</c:v>
                </c:pt>
                <c:pt idx="8">
                  <c:v>5002</c:v>
                </c:pt>
                <c:pt idx="9">
                  <c:v>5200</c:v>
                </c:pt>
                <c:pt idx="10">
                  <c:v>5264</c:v>
                </c:pt>
                <c:pt idx="11">
                  <c:v>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1-5046-9BDE-F851AF90FBC2}"/>
            </c:ext>
          </c:extLst>
        </c:ser>
        <c:ser>
          <c:idx val="5"/>
          <c:order val="5"/>
          <c:tx>
            <c:strRef>
              <c:f>'Dashboard Gerencia'!$A$30</c:f>
              <c:strCache>
                <c:ptCount val="1"/>
                <c:pt idx="0">
                  <c:v>PAB-3424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'Dashboard Gerencia'!$B$24:$M$24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Gerencia'!$B$30:$M$30</c:f>
              <c:numCache>
                <c:formatCode>General</c:formatCode>
                <c:ptCount val="12"/>
                <c:pt idx="0">
                  <c:v>1548</c:v>
                </c:pt>
                <c:pt idx="1">
                  <c:v>1594</c:v>
                </c:pt>
                <c:pt idx="2">
                  <c:v>1159</c:v>
                </c:pt>
                <c:pt idx="3">
                  <c:v>2021</c:v>
                </c:pt>
                <c:pt idx="4">
                  <c:v>2534</c:v>
                </c:pt>
                <c:pt idx="5">
                  <c:v>2139</c:v>
                </c:pt>
                <c:pt idx="6">
                  <c:v>1547</c:v>
                </c:pt>
                <c:pt idx="7">
                  <c:v>1746</c:v>
                </c:pt>
                <c:pt idx="8">
                  <c:v>1889</c:v>
                </c:pt>
                <c:pt idx="9">
                  <c:v>1653</c:v>
                </c:pt>
                <c:pt idx="10">
                  <c:v>1725</c:v>
                </c:pt>
                <c:pt idx="11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B1-5046-9BDE-F851AF90FBC2}"/>
            </c:ext>
          </c:extLst>
        </c:ser>
        <c:ser>
          <c:idx val="6"/>
          <c:order val="6"/>
          <c:tx>
            <c:strRef>
              <c:f>'Dashboard Gerencia'!$A$31</c:f>
              <c:strCache>
                <c:ptCount val="1"/>
                <c:pt idx="0">
                  <c:v>QAA-3165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Gerencia'!$B$24:$M$24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Gerencia'!$B$31:$M$31</c:f>
              <c:numCache>
                <c:formatCode>General</c:formatCode>
                <c:ptCount val="12"/>
                <c:pt idx="0">
                  <c:v>1431</c:v>
                </c:pt>
                <c:pt idx="1">
                  <c:v>439</c:v>
                </c:pt>
                <c:pt idx="2">
                  <c:v>1310</c:v>
                </c:pt>
                <c:pt idx="3">
                  <c:v>699</c:v>
                </c:pt>
                <c:pt idx="4">
                  <c:v>3298</c:v>
                </c:pt>
                <c:pt idx="5">
                  <c:v>2454</c:v>
                </c:pt>
                <c:pt idx="6">
                  <c:v>1194</c:v>
                </c:pt>
                <c:pt idx="7">
                  <c:v>0</c:v>
                </c:pt>
                <c:pt idx="8">
                  <c:v>4758</c:v>
                </c:pt>
                <c:pt idx="9">
                  <c:v>3744</c:v>
                </c:pt>
                <c:pt idx="10">
                  <c:v>5162</c:v>
                </c:pt>
                <c:pt idx="11">
                  <c:v>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B1-5046-9BDE-F851AF90FBC2}"/>
            </c:ext>
          </c:extLst>
        </c:ser>
        <c:ser>
          <c:idx val="7"/>
          <c:order val="7"/>
          <c:tx>
            <c:strRef>
              <c:f>'Dashboard Gerencia'!$A$32</c:f>
              <c:strCache>
                <c:ptCount val="1"/>
                <c:pt idx="0">
                  <c:v>QAA-1976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Gerencia'!$B$24:$M$24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Gerencia'!$B$32:$M$32</c:f>
              <c:numCache>
                <c:formatCode>General</c:formatCode>
                <c:ptCount val="12"/>
                <c:pt idx="0">
                  <c:v>2945</c:v>
                </c:pt>
                <c:pt idx="1">
                  <c:v>0</c:v>
                </c:pt>
                <c:pt idx="2">
                  <c:v>2207</c:v>
                </c:pt>
                <c:pt idx="3">
                  <c:v>3472</c:v>
                </c:pt>
                <c:pt idx="4">
                  <c:v>5704</c:v>
                </c:pt>
                <c:pt idx="5">
                  <c:v>4084</c:v>
                </c:pt>
                <c:pt idx="6">
                  <c:v>716</c:v>
                </c:pt>
                <c:pt idx="7">
                  <c:v>4437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B1-5046-9BDE-F851AF90FBC2}"/>
            </c:ext>
          </c:extLst>
        </c:ser>
        <c:ser>
          <c:idx val="8"/>
          <c:order val="8"/>
          <c:tx>
            <c:strRef>
              <c:f>'Dashboard Gerencia'!$A$33</c:f>
              <c:strCache>
                <c:ptCount val="1"/>
                <c:pt idx="0">
                  <c:v>IAA-2747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Gerencia'!$B$24:$M$24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Gerencia'!$B$33:$M$33</c:f>
              <c:numCache>
                <c:formatCode>General</c:formatCode>
                <c:ptCount val="12"/>
                <c:pt idx="0">
                  <c:v>2136</c:v>
                </c:pt>
                <c:pt idx="1">
                  <c:v>2099</c:v>
                </c:pt>
                <c:pt idx="2">
                  <c:v>1009</c:v>
                </c:pt>
                <c:pt idx="3">
                  <c:v>3415</c:v>
                </c:pt>
                <c:pt idx="4">
                  <c:v>3431</c:v>
                </c:pt>
                <c:pt idx="5">
                  <c:v>3192</c:v>
                </c:pt>
                <c:pt idx="6">
                  <c:v>3115</c:v>
                </c:pt>
                <c:pt idx="7">
                  <c:v>3477</c:v>
                </c:pt>
                <c:pt idx="8">
                  <c:v>2729</c:v>
                </c:pt>
                <c:pt idx="9">
                  <c:v>3556</c:v>
                </c:pt>
                <c:pt idx="10">
                  <c:v>4180</c:v>
                </c:pt>
                <c:pt idx="11">
                  <c:v>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B1-5046-9BDE-F851AF90F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520447"/>
        <c:axId val="189522239"/>
      </c:barChart>
      <c:catAx>
        <c:axId val="18952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9522239"/>
        <c:crosses val="autoZero"/>
        <c:auto val="1"/>
        <c:lblAlgn val="ctr"/>
        <c:lblOffset val="100"/>
        <c:noMultiLvlLbl val="0"/>
      </c:catAx>
      <c:valAx>
        <c:axId val="18952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952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Mantenimientos Preventivos — Ejecutados vs. Programados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Gerencia'!$A$44</c:f>
              <c:strCache>
                <c:ptCount val="1"/>
                <c:pt idx="0">
                  <c:v>Ejecutados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Gerencia'!$B$43:$M$43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Gerencia'!$B$44:$M$44</c:f>
              <c:numCache>
                <c:formatCode>General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3</c:v>
                </c:pt>
                <c:pt idx="3">
                  <c:v>12</c:v>
                </c:pt>
                <c:pt idx="4">
                  <c:v>11</c:v>
                </c:pt>
                <c:pt idx="5">
                  <c:v>18</c:v>
                </c:pt>
                <c:pt idx="6">
                  <c:v>4</c:v>
                </c:pt>
                <c:pt idx="7">
                  <c:v>13</c:v>
                </c:pt>
                <c:pt idx="8">
                  <c:v>9</c:v>
                </c:pt>
                <c:pt idx="9">
                  <c:v>13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D-EE47-9360-748E661C5453}"/>
            </c:ext>
          </c:extLst>
        </c:ser>
        <c:ser>
          <c:idx val="1"/>
          <c:order val="1"/>
          <c:tx>
            <c:strRef>
              <c:f>'Dashboard Gerencia'!$A$45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Gerencia'!$B$43:$M$43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Gerencia'!$B$45:$M$45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10</c:v>
                </c:pt>
                <c:pt idx="5">
                  <c:v>12</c:v>
                </c:pt>
                <c:pt idx="6">
                  <c:v>10</c:v>
                </c:pt>
                <c:pt idx="7">
                  <c:v>13</c:v>
                </c:pt>
                <c:pt idx="8">
                  <c:v>9</c:v>
                </c:pt>
                <c:pt idx="9">
                  <c:v>13</c:v>
                </c:pt>
                <c:pt idx="10">
                  <c:v>9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9D-EE47-9360-748E661C5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80831"/>
        <c:axId val="189100735"/>
      </c:barChart>
      <c:catAx>
        <c:axId val="18868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9100735"/>
        <c:crosses val="autoZero"/>
        <c:auto val="1"/>
        <c:lblAlgn val="ctr"/>
        <c:lblOffset val="100"/>
        <c:noMultiLvlLbl val="0"/>
      </c:catAx>
      <c:valAx>
        <c:axId val="18910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868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Mantenimientos Correctivos por Vehículo (Mensual)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'Dashboard Gerencia'!$A$50</c:f>
              <c:strCache>
                <c:ptCount val="1"/>
                <c:pt idx="0">
                  <c:v>QAA-3164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Gerencia'!$B$50:$M$50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9-6642-9755-DBBA44CD8C6B}"/>
            </c:ext>
          </c:extLst>
        </c:ser>
        <c:ser>
          <c:idx val="1"/>
          <c:order val="1"/>
          <c:tx>
            <c:strRef>
              <c:f>'Dashboard Gerencia'!$A$51</c:f>
              <c:strCache>
                <c:ptCount val="1"/>
                <c:pt idx="0">
                  <c:v>QAA-2912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Gerencia'!$B$51:$M$51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9-6642-9755-DBBA44CD8C6B}"/>
            </c:ext>
          </c:extLst>
        </c:ser>
        <c:ser>
          <c:idx val="2"/>
          <c:order val="2"/>
          <c:tx>
            <c:strRef>
              <c:f>'Dashboard Gerencia'!$A$52</c:f>
              <c:strCache>
                <c:ptCount val="1"/>
                <c:pt idx="0">
                  <c:v>QAA-2915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Gerencia'!$B$52:$M$52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9-6642-9755-DBBA44CD8C6B}"/>
            </c:ext>
          </c:extLst>
        </c:ser>
        <c:ser>
          <c:idx val="3"/>
          <c:order val="3"/>
          <c:tx>
            <c:strRef>
              <c:f>'Dashboard Gerencia'!$A$53</c:f>
              <c:strCache>
                <c:ptCount val="1"/>
                <c:pt idx="0">
                  <c:v>QAA-2916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Gerencia'!$B$53:$M$53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59-6642-9755-DBBA44CD8C6B}"/>
            </c:ext>
          </c:extLst>
        </c:ser>
        <c:ser>
          <c:idx val="4"/>
          <c:order val="4"/>
          <c:tx>
            <c:strRef>
              <c:f>'Dashboard Gerencia'!$A$54</c:f>
              <c:strCache>
                <c:ptCount val="1"/>
                <c:pt idx="0">
                  <c:v>QAA-3165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Gerencia'!$B$54:$M$54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59-6642-9755-DBBA44CD8C6B}"/>
            </c:ext>
          </c:extLst>
        </c:ser>
        <c:ser>
          <c:idx val="5"/>
          <c:order val="5"/>
          <c:tx>
            <c:strRef>
              <c:f>'Dashboard Gerencia'!$A$55</c:f>
              <c:strCache>
                <c:ptCount val="1"/>
                <c:pt idx="0">
                  <c:v>QAA-3220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Gerencia'!$B$55:$M$55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59-6642-9755-DBBA44CD8C6B}"/>
            </c:ext>
          </c:extLst>
        </c:ser>
        <c:ser>
          <c:idx val="6"/>
          <c:order val="6"/>
          <c:tx>
            <c:strRef>
              <c:f>'Dashboard Gerencia'!$A$56</c:f>
              <c:strCache>
                <c:ptCount val="1"/>
                <c:pt idx="0">
                  <c:v>QAA-3074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Gerencia'!$B$56:$M$56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59-6642-9755-DBBA44CD8C6B}"/>
            </c:ext>
          </c:extLst>
        </c:ser>
        <c:ser>
          <c:idx val="7"/>
          <c:order val="7"/>
          <c:tx>
            <c:strRef>
              <c:f>'Dashboard Gerencia'!$A$57</c:f>
              <c:strCache>
                <c:ptCount val="1"/>
                <c:pt idx="0">
                  <c:v>PFF-2857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Gerencia'!$B$57:$M$57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59-6642-9755-DBBA44CD8C6B}"/>
            </c:ext>
          </c:extLst>
        </c:ser>
        <c:ser>
          <c:idx val="8"/>
          <c:order val="8"/>
          <c:tx>
            <c:strRef>
              <c:f>'Dashboard Gerencia'!$A$58</c:f>
              <c:strCache>
                <c:ptCount val="1"/>
                <c:pt idx="0">
                  <c:v>KR-1344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Gerencia'!$B$58:$M$58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59-6642-9755-DBBA44CD8C6B}"/>
            </c:ext>
          </c:extLst>
        </c:ser>
        <c:ser>
          <c:idx val="9"/>
          <c:order val="9"/>
          <c:tx>
            <c:strRef>
              <c:f>'Dashboard Gerencia'!$A$59</c:f>
              <c:strCache>
                <c:ptCount val="1"/>
                <c:pt idx="0">
                  <c:v>KR-1088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Gerencia'!$B$59:$M$59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59-6642-9755-DBBA44CD8C6B}"/>
            </c:ext>
          </c:extLst>
        </c:ser>
        <c:ser>
          <c:idx val="10"/>
          <c:order val="10"/>
          <c:tx>
            <c:strRef>
              <c:f>'Dashboard Gerencia'!$A$60</c:f>
              <c:strCache>
                <c:ptCount val="1"/>
                <c:pt idx="0">
                  <c:v>KR-1184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Gerencia'!$B$60:$M$60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59-6642-9755-DBBA44CD8C6B}"/>
            </c:ext>
          </c:extLst>
        </c:ser>
        <c:ser>
          <c:idx val="11"/>
          <c:order val="11"/>
          <c:tx>
            <c:strRef>
              <c:f>'Dashboard Gerencia'!$A$61</c:f>
              <c:strCache>
                <c:ptCount val="1"/>
                <c:pt idx="0">
                  <c:v>KR-1108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Gerencia'!$B$61:$M$61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59-6642-9755-DBBA44CD8C6B}"/>
            </c:ext>
          </c:extLst>
        </c:ser>
        <c:ser>
          <c:idx val="12"/>
          <c:order val="12"/>
          <c:tx>
            <c:strRef>
              <c:f>'Dashboard Gerencia'!$A$62</c:f>
              <c:strCache>
                <c:ptCount val="1"/>
                <c:pt idx="0">
                  <c:v>KR-1094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Gerencia'!$B$62:$M$62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59-6642-9755-DBBA44CD8C6B}"/>
            </c:ext>
          </c:extLst>
        </c:ser>
        <c:ser>
          <c:idx val="13"/>
          <c:order val="13"/>
          <c:tx>
            <c:strRef>
              <c:f>'Dashboard Gerencia'!$A$63</c:f>
              <c:strCache>
                <c:ptCount val="1"/>
                <c:pt idx="0">
                  <c:v>KR-1188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Gerencia'!$B$49:$M$49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Gerencia'!$B$63:$M$63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459-6642-9755-DBBA44CD8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798015"/>
        <c:axId val="102087999"/>
      </c:barChart>
      <c:catAx>
        <c:axId val="18679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087999"/>
        <c:crosses val="autoZero"/>
        <c:auto val="1"/>
        <c:lblAlgn val="ctr"/>
        <c:lblOffset val="100"/>
        <c:noMultiLvlLbl val="0"/>
      </c:catAx>
      <c:valAx>
        <c:axId val="10208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679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Galones de Combustible Cargados por Vehículo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'Dashboard Gerencia'!$A$69</c:f>
              <c:strCache>
                <c:ptCount val="1"/>
                <c:pt idx="0">
                  <c:v>QAA-3164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Gerencia'!$B$69:$M$69</c:f>
              <c:numCache>
                <c:formatCode>General</c:formatCode>
                <c:ptCount val="12"/>
                <c:pt idx="0">
                  <c:v>332</c:v>
                </c:pt>
                <c:pt idx="1">
                  <c:v>643</c:v>
                </c:pt>
                <c:pt idx="2">
                  <c:v>669</c:v>
                </c:pt>
                <c:pt idx="3">
                  <c:v>362</c:v>
                </c:pt>
                <c:pt idx="4">
                  <c:v>463</c:v>
                </c:pt>
                <c:pt idx="5">
                  <c:v>335</c:v>
                </c:pt>
                <c:pt idx="6">
                  <c:v>340</c:v>
                </c:pt>
                <c:pt idx="7">
                  <c:v>474</c:v>
                </c:pt>
                <c:pt idx="8">
                  <c:v>335</c:v>
                </c:pt>
                <c:pt idx="9">
                  <c:v>404</c:v>
                </c:pt>
                <c:pt idx="10">
                  <c:v>216</c:v>
                </c:pt>
                <c:pt idx="1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6-084D-9BE6-6EBFFAC9C59F}"/>
            </c:ext>
          </c:extLst>
        </c:ser>
        <c:ser>
          <c:idx val="1"/>
          <c:order val="1"/>
          <c:tx>
            <c:strRef>
              <c:f>'Dashboard Gerencia'!$A$70</c:f>
              <c:strCache>
                <c:ptCount val="1"/>
                <c:pt idx="0">
                  <c:v>QAA-3166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Gerencia'!$B$70:$M$70</c:f>
              <c:numCache>
                <c:formatCode>General</c:formatCode>
                <c:ptCount val="12"/>
                <c:pt idx="0">
                  <c:v>1320</c:v>
                </c:pt>
                <c:pt idx="1">
                  <c:v>593</c:v>
                </c:pt>
                <c:pt idx="2">
                  <c:v>243</c:v>
                </c:pt>
                <c:pt idx="3">
                  <c:v>305</c:v>
                </c:pt>
                <c:pt idx="4">
                  <c:v>1051</c:v>
                </c:pt>
                <c:pt idx="5">
                  <c:v>866</c:v>
                </c:pt>
                <c:pt idx="6">
                  <c:v>377</c:v>
                </c:pt>
                <c:pt idx="7">
                  <c:v>476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6-084D-9BE6-6EBFFAC9C59F}"/>
            </c:ext>
          </c:extLst>
        </c:ser>
        <c:ser>
          <c:idx val="2"/>
          <c:order val="2"/>
          <c:tx>
            <c:strRef>
              <c:f>'Dashboard Gerencia'!$A$71</c:f>
              <c:strCache>
                <c:ptCount val="1"/>
                <c:pt idx="0">
                  <c:v>QAA-2912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Gerencia'!$B$71:$M$71</c:f>
              <c:numCache>
                <c:formatCode>General</c:formatCode>
                <c:ptCount val="12"/>
                <c:pt idx="0">
                  <c:v>590</c:v>
                </c:pt>
                <c:pt idx="1">
                  <c:v>730</c:v>
                </c:pt>
                <c:pt idx="2">
                  <c:v>855</c:v>
                </c:pt>
                <c:pt idx="3">
                  <c:v>1169</c:v>
                </c:pt>
                <c:pt idx="4">
                  <c:v>1505</c:v>
                </c:pt>
                <c:pt idx="5">
                  <c:v>855</c:v>
                </c:pt>
                <c:pt idx="6">
                  <c:v>320</c:v>
                </c:pt>
                <c:pt idx="7">
                  <c:v>1077</c:v>
                </c:pt>
                <c:pt idx="8">
                  <c:v>789</c:v>
                </c:pt>
                <c:pt idx="9">
                  <c:v>998</c:v>
                </c:pt>
                <c:pt idx="10">
                  <c:v>799</c:v>
                </c:pt>
                <c:pt idx="1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6-084D-9BE6-6EBFFAC9C59F}"/>
            </c:ext>
          </c:extLst>
        </c:ser>
        <c:ser>
          <c:idx val="3"/>
          <c:order val="3"/>
          <c:tx>
            <c:strRef>
              <c:f>'Dashboard Gerencia'!$A$72</c:f>
              <c:strCache>
                <c:ptCount val="1"/>
                <c:pt idx="0">
                  <c:v>QAA-2915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Gerencia'!$B$72:$M$72</c:f>
              <c:numCache>
                <c:formatCode>General</c:formatCode>
                <c:ptCount val="12"/>
                <c:pt idx="0">
                  <c:v>951</c:v>
                </c:pt>
                <c:pt idx="1">
                  <c:v>810</c:v>
                </c:pt>
                <c:pt idx="2">
                  <c:v>809</c:v>
                </c:pt>
                <c:pt idx="3">
                  <c:v>1126</c:v>
                </c:pt>
                <c:pt idx="4">
                  <c:v>1738</c:v>
                </c:pt>
                <c:pt idx="5">
                  <c:v>892</c:v>
                </c:pt>
                <c:pt idx="6">
                  <c:v>243</c:v>
                </c:pt>
                <c:pt idx="7">
                  <c:v>875</c:v>
                </c:pt>
                <c:pt idx="8">
                  <c:v>759</c:v>
                </c:pt>
                <c:pt idx="9">
                  <c:v>817</c:v>
                </c:pt>
                <c:pt idx="10">
                  <c:v>868</c:v>
                </c:pt>
                <c:pt idx="11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B6-084D-9BE6-6EBFFAC9C59F}"/>
            </c:ext>
          </c:extLst>
        </c:ser>
        <c:ser>
          <c:idx val="4"/>
          <c:order val="4"/>
          <c:tx>
            <c:strRef>
              <c:f>'Dashboard Gerencia'!$A$73</c:f>
              <c:strCache>
                <c:ptCount val="1"/>
                <c:pt idx="0">
                  <c:v>QAA-2916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Gerencia'!$B$73:$M$73</c:f>
              <c:numCache>
                <c:formatCode>General</c:formatCode>
                <c:ptCount val="12"/>
                <c:pt idx="0">
                  <c:v>338</c:v>
                </c:pt>
                <c:pt idx="1">
                  <c:v>545</c:v>
                </c:pt>
                <c:pt idx="2">
                  <c:v>878</c:v>
                </c:pt>
                <c:pt idx="3">
                  <c:v>1082</c:v>
                </c:pt>
                <c:pt idx="4">
                  <c:v>1696</c:v>
                </c:pt>
                <c:pt idx="5">
                  <c:v>853</c:v>
                </c:pt>
                <c:pt idx="6">
                  <c:v>403</c:v>
                </c:pt>
                <c:pt idx="7">
                  <c:v>880</c:v>
                </c:pt>
                <c:pt idx="8">
                  <c:v>867</c:v>
                </c:pt>
                <c:pt idx="9">
                  <c:v>876</c:v>
                </c:pt>
                <c:pt idx="10">
                  <c:v>825</c:v>
                </c:pt>
                <c:pt idx="11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B6-084D-9BE6-6EBFFAC9C59F}"/>
            </c:ext>
          </c:extLst>
        </c:ser>
        <c:ser>
          <c:idx val="5"/>
          <c:order val="5"/>
          <c:tx>
            <c:strRef>
              <c:f>'Dashboard Gerencia'!$A$74</c:f>
              <c:strCache>
                <c:ptCount val="1"/>
                <c:pt idx="0">
                  <c:v>PAB-3424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Gerencia'!$B$74:$M$74</c:f>
              <c:numCache>
                <c:formatCode>General</c:formatCode>
                <c:ptCount val="12"/>
                <c:pt idx="0">
                  <c:v>503</c:v>
                </c:pt>
                <c:pt idx="1">
                  <c:v>430</c:v>
                </c:pt>
                <c:pt idx="2">
                  <c:v>360</c:v>
                </c:pt>
                <c:pt idx="3">
                  <c:v>300</c:v>
                </c:pt>
                <c:pt idx="4">
                  <c:v>305</c:v>
                </c:pt>
                <c:pt idx="5">
                  <c:v>285</c:v>
                </c:pt>
                <c:pt idx="6">
                  <c:v>350</c:v>
                </c:pt>
                <c:pt idx="7">
                  <c:v>300</c:v>
                </c:pt>
                <c:pt idx="8">
                  <c:v>470</c:v>
                </c:pt>
                <c:pt idx="9">
                  <c:v>222</c:v>
                </c:pt>
                <c:pt idx="10">
                  <c:v>331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B6-084D-9BE6-6EBFFAC9C59F}"/>
            </c:ext>
          </c:extLst>
        </c:ser>
        <c:ser>
          <c:idx val="6"/>
          <c:order val="6"/>
          <c:tx>
            <c:strRef>
              <c:f>'Dashboard Gerencia'!$A$75</c:f>
              <c:strCache>
                <c:ptCount val="1"/>
                <c:pt idx="0">
                  <c:v>QAA-3165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Gerencia'!$B$75:$M$75</c:f>
              <c:numCache>
                <c:formatCode>General</c:formatCode>
                <c:ptCount val="12"/>
                <c:pt idx="0">
                  <c:v>773</c:v>
                </c:pt>
                <c:pt idx="1">
                  <c:v>473</c:v>
                </c:pt>
                <c:pt idx="2">
                  <c:v>255</c:v>
                </c:pt>
                <c:pt idx="3">
                  <c:v>194</c:v>
                </c:pt>
                <c:pt idx="4">
                  <c:v>686</c:v>
                </c:pt>
                <c:pt idx="5">
                  <c:v>438</c:v>
                </c:pt>
                <c:pt idx="6">
                  <c:v>237</c:v>
                </c:pt>
                <c:pt idx="7">
                  <c:v>0</c:v>
                </c:pt>
                <c:pt idx="8">
                  <c:v>797</c:v>
                </c:pt>
                <c:pt idx="9">
                  <c:v>467</c:v>
                </c:pt>
                <c:pt idx="10">
                  <c:v>667</c:v>
                </c:pt>
                <c:pt idx="11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B6-084D-9BE6-6EBFFAC9C59F}"/>
            </c:ext>
          </c:extLst>
        </c:ser>
        <c:ser>
          <c:idx val="7"/>
          <c:order val="7"/>
          <c:tx>
            <c:strRef>
              <c:f>'Dashboard Gerencia'!$A$76</c:f>
              <c:strCache>
                <c:ptCount val="1"/>
                <c:pt idx="0">
                  <c:v>QAA-1976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Gerencia'!$B$76:$M$76</c:f>
              <c:numCache>
                <c:formatCode>General</c:formatCode>
                <c:ptCount val="12"/>
                <c:pt idx="0">
                  <c:v>493</c:v>
                </c:pt>
                <c:pt idx="1">
                  <c:v>0</c:v>
                </c:pt>
                <c:pt idx="2">
                  <c:v>456</c:v>
                </c:pt>
                <c:pt idx="3">
                  <c:v>917</c:v>
                </c:pt>
                <c:pt idx="4">
                  <c:v>1040</c:v>
                </c:pt>
                <c:pt idx="5">
                  <c:v>1039</c:v>
                </c:pt>
                <c:pt idx="6">
                  <c:v>218</c:v>
                </c:pt>
                <c:pt idx="7">
                  <c:v>1149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B6-084D-9BE6-6EBFFAC9C59F}"/>
            </c:ext>
          </c:extLst>
        </c:ser>
        <c:ser>
          <c:idx val="8"/>
          <c:order val="8"/>
          <c:tx>
            <c:strRef>
              <c:f>'Dashboard Gerencia'!$A$77</c:f>
              <c:strCache>
                <c:ptCount val="1"/>
                <c:pt idx="0">
                  <c:v>IAA-2747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Gerencia'!$B$77:$M$77</c:f>
              <c:numCache>
                <c:formatCode>General</c:formatCode>
                <c:ptCount val="12"/>
                <c:pt idx="0">
                  <c:v>295</c:v>
                </c:pt>
                <c:pt idx="1">
                  <c:v>420</c:v>
                </c:pt>
                <c:pt idx="2">
                  <c:v>350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290</c:v>
                </c:pt>
                <c:pt idx="8">
                  <c:v>386</c:v>
                </c:pt>
                <c:pt idx="9">
                  <c:v>369</c:v>
                </c:pt>
                <c:pt idx="10">
                  <c:v>445</c:v>
                </c:pt>
                <c:pt idx="11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B6-084D-9BE6-6EBFFAC9C59F}"/>
            </c:ext>
          </c:extLst>
        </c:ser>
        <c:ser>
          <c:idx val="9"/>
          <c:order val="9"/>
          <c:tx>
            <c:strRef>
              <c:f>'Dashboard Gerencia'!$A$78</c:f>
              <c:strCache>
                <c:ptCount val="1"/>
                <c:pt idx="0">
                  <c:v>PFG-2722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Gerencia'!$B$78:$M$78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600</c:v>
                </c:pt>
                <c:pt idx="6">
                  <c:v>670</c:v>
                </c:pt>
                <c:pt idx="7">
                  <c:v>640</c:v>
                </c:pt>
                <c:pt idx="8">
                  <c:v>609</c:v>
                </c:pt>
                <c:pt idx="9">
                  <c:v>806</c:v>
                </c:pt>
                <c:pt idx="10">
                  <c:v>773</c:v>
                </c:pt>
                <c:pt idx="11">
                  <c:v>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B6-084D-9BE6-6EBFFAC9C59F}"/>
            </c:ext>
          </c:extLst>
        </c:ser>
        <c:ser>
          <c:idx val="10"/>
          <c:order val="10"/>
          <c:tx>
            <c:strRef>
              <c:f>'Dashboard Gerencia'!$A$79</c:f>
              <c:strCache>
                <c:ptCount val="1"/>
                <c:pt idx="0">
                  <c:v>PFF-2857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Gerencia'!$B$79:$M$79</c:f>
              <c:numCache>
                <c:formatCode>General</c:formatCode>
                <c:ptCount val="12"/>
                <c:pt idx="0">
                  <c:v>79</c:v>
                </c:pt>
                <c:pt idx="1">
                  <c:v>65</c:v>
                </c:pt>
                <c:pt idx="2">
                  <c:v>62</c:v>
                </c:pt>
                <c:pt idx="3">
                  <c:v>60</c:v>
                </c:pt>
                <c:pt idx="4">
                  <c:v>71</c:v>
                </c:pt>
                <c:pt idx="5">
                  <c:v>74</c:v>
                </c:pt>
                <c:pt idx="6">
                  <c:v>82</c:v>
                </c:pt>
                <c:pt idx="7">
                  <c:v>86</c:v>
                </c:pt>
                <c:pt idx="8">
                  <c:v>101</c:v>
                </c:pt>
                <c:pt idx="9">
                  <c:v>138</c:v>
                </c:pt>
                <c:pt idx="10">
                  <c:v>105</c:v>
                </c:pt>
                <c:pt idx="1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B6-084D-9BE6-6EBFFAC9C59F}"/>
            </c:ext>
          </c:extLst>
        </c:ser>
        <c:ser>
          <c:idx val="11"/>
          <c:order val="11"/>
          <c:tx>
            <c:strRef>
              <c:f>'Dashboard Gerencia'!$A$80</c:f>
              <c:strCache>
                <c:ptCount val="1"/>
                <c:pt idx="0">
                  <c:v>QAA-3220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Gerencia'!$B$80:$M$80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392</c:v>
                </c:pt>
                <c:pt idx="5">
                  <c:v>0</c:v>
                </c:pt>
                <c:pt idx="6">
                  <c:v>0</c:v>
                </c:pt>
                <c:pt idx="7">
                  <c:v>436</c:v>
                </c:pt>
                <c:pt idx="8">
                  <c:v>750</c:v>
                </c:pt>
                <c:pt idx="9">
                  <c:v>903</c:v>
                </c:pt>
                <c:pt idx="10">
                  <c:v>874</c:v>
                </c:pt>
                <c:pt idx="11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B6-084D-9BE6-6EBFFAC9C59F}"/>
            </c:ext>
          </c:extLst>
        </c:ser>
        <c:ser>
          <c:idx val="12"/>
          <c:order val="12"/>
          <c:tx>
            <c:strRef>
              <c:f>'Dashboard Gerencia'!$A$81</c:f>
              <c:strCache>
                <c:ptCount val="1"/>
                <c:pt idx="0">
                  <c:v>KR-1189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Gerencia'!$B$81:$M$81</c:f>
              <c:numCache>
                <c:formatCode>General</c:formatCode>
                <c:ptCount val="12"/>
                <c:pt idx="0">
                  <c:v>44</c:v>
                </c:pt>
                <c:pt idx="1">
                  <c:v>24</c:v>
                </c:pt>
                <c:pt idx="2">
                  <c:v>39</c:v>
                </c:pt>
                <c:pt idx="3">
                  <c:v>111</c:v>
                </c:pt>
                <c:pt idx="4">
                  <c:v>156</c:v>
                </c:pt>
                <c:pt idx="5">
                  <c:v>143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</c:v>
                </c:pt>
                <c:pt idx="10">
                  <c:v>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B6-084D-9BE6-6EBFFAC9C59F}"/>
            </c:ext>
          </c:extLst>
        </c:ser>
        <c:ser>
          <c:idx val="13"/>
          <c:order val="13"/>
          <c:tx>
            <c:strRef>
              <c:f>'Dashboard Gerencia'!$A$82</c:f>
              <c:strCache>
                <c:ptCount val="1"/>
                <c:pt idx="0">
                  <c:v>KR-1172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Gerencia'!$B$82:$M$82</c:f>
              <c:numCache>
                <c:formatCode>General</c:formatCode>
                <c:ptCount val="12"/>
                <c:pt idx="0">
                  <c:v>37</c:v>
                </c:pt>
                <c:pt idx="1">
                  <c:v>55</c:v>
                </c:pt>
                <c:pt idx="2">
                  <c:v>54</c:v>
                </c:pt>
                <c:pt idx="3">
                  <c:v>49</c:v>
                </c:pt>
                <c:pt idx="4">
                  <c:v>45</c:v>
                </c:pt>
                <c:pt idx="5">
                  <c:v>37</c:v>
                </c:pt>
                <c:pt idx="6">
                  <c:v>10</c:v>
                </c:pt>
                <c:pt idx="7">
                  <c:v>44</c:v>
                </c:pt>
                <c:pt idx="8">
                  <c:v>43</c:v>
                </c:pt>
                <c:pt idx="9">
                  <c:v>57</c:v>
                </c:pt>
                <c:pt idx="10">
                  <c:v>25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6B6-084D-9BE6-6EBFFAC9C59F}"/>
            </c:ext>
          </c:extLst>
        </c:ser>
        <c:ser>
          <c:idx val="14"/>
          <c:order val="14"/>
          <c:tx>
            <c:strRef>
              <c:f>'Dashboard Gerencia'!$A$83</c:f>
              <c:strCache>
                <c:ptCount val="1"/>
                <c:pt idx="0">
                  <c:v>KR-1344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Gerencia'!$B$68:$M$68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Gerencia'!$B$83:$M$83</c:f>
              <c:numCache>
                <c:formatCode>General</c:formatCode>
                <c:ptCount val="12"/>
                <c:pt idx="0">
                  <c:v>83</c:v>
                </c:pt>
                <c:pt idx="1">
                  <c:v>25</c:v>
                </c:pt>
                <c:pt idx="2">
                  <c:v>25</c:v>
                </c:pt>
                <c:pt idx="3">
                  <c:v>42</c:v>
                </c:pt>
                <c:pt idx="4">
                  <c:v>53</c:v>
                </c:pt>
                <c:pt idx="5">
                  <c:v>117</c:v>
                </c:pt>
                <c:pt idx="6">
                  <c:v>24</c:v>
                </c:pt>
                <c:pt idx="7">
                  <c:v>44</c:v>
                </c:pt>
                <c:pt idx="8">
                  <c:v>157</c:v>
                </c:pt>
                <c:pt idx="9">
                  <c:v>166</c:v>
                </c:pt>
                <c:pt idx="10">
                  <c:v>137</c:v>
                </c:pt>
                <c:pt idx="11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6B6-084D-9BE6-6EBFFAC9C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953791"/>
        <c:axId val="188973951"/>
      </c:barChart>
      <c:catAx>
        <c:axId val="19195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8973951"/>
        <c:crosses val="autoZero"/>
        <c:auto val="1"/>
        <c:lblAlgn val="ctr"/>
        <c:lblOffset val="100"/>
        <c:noMultiLvlLbl val="0"/>
      </c:catAx>
      <c:valAx>
        <c:axId val="1889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195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lang="es-E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RECORRIDO DE UNIDADES </a:t>
            </a:r>
          </a:p>
          <a:p>
            <a:pPr algn="ctr" rtl="0">
              <a:defRPr lang="es-E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rich>
      </cx:tx>
      <cx:spPr>
        <a:solidFill>
          <a:srgbClr val="FFFF00"/>
        </a:solidFill>
      </cx:spPr>
    </cx:title>
    <cx:plotArea>
      <cx:plotAreaRegion>
        <cx:series layoutId="clusteredColumn" uniqueId="{CA684C60-556D-4BA5-A8C5-8706CC5A9760}">
          <cx:tx>
            <cx:txData>
              <cx:f>_xlchart.v1.1</cx:f>
              <cx:v>Total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91BEF289-3D94-4E1E-9D57-603F9ACED25E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lang="es-E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txPr>
      </cx:axis>
      <cx:axis id="1" hidden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es-E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lang="es-E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mpuestos!C3"/><Relationship Id="rId13" Type="http://schemas.openxmlformats.org/officeDocument/2006/relationships/image" Target="../media/image10.svg"/><Relationship Id="rId18" Type="http://schemas.openxmlformats.org/officeDocument/2006/relationships/image" Target="../media/image13.png"/><Relationship Id="rId26" Type="http://schemas.openxmlformats.org/officeDocument/2006/relationships/hyperlink" Target="#Mantenimiento!C3"/><Relationship Id="rId3" Type="http://schemas.openxmlformats.org/officeDocument/2006/relationships/image" Target="../media/image3.png"/><Relationship Id="rId21" Type="http://schemas.openxmlformats.org/officeDocument/2006/relationships/image" Target="../media/image15.png"/><Relationship Id="rId7" Type="http://schemas.openxmlformats.org/officeDocument/2006/relationships/image" Target="../media/image6.svg"/><Relationship Id="rId12" Type="http://schemas.openxmlformats.org/officeDocument/2006/relationships/image" Target="../media/image9.png"/><Relationship Id="rId17" Type="http://schemas.openxmlformats.org/officeDocument/2006/relationships/hyperlink" Target="#'Otras listas'!C3"/><Relationship Id="rId25" Type="http://schemas.openxmlformats.org/officeDocument/2006/relationships/image" Target="../media/image18.svg"/><Relationship Id="rId2" Type="http://schemas.openxmlformats.org/officeDocument/2006/relationships/hyperlink" Target="#Flota!C3"/><Relationship Id="rId16" Type="http://schemas.openxmlformats.org/officeDocument/2006/relationships/image" Target="../media/image12.svg"/><Relationship Id="rId20" Type="http://schemas.openxmlformats.org/officeDocument/2006/relationships/hyperlink" Target="#Rutas!C3"/><Relationship Id="rId29" Type="http://schemas.openxmlformats.org/officeDocument/2006/relationships/hyperlink" Target="#'Flujo de Caja'!D6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hyperlink" Target="#Conductores!C3"/><Relationship Id="rId24" Type="http://schemas.openxmlformats.org/officeDocument/2006/relationships/image" Target="../media/image17.png"/><Relationship Id="rId32" Type="http://schemas.openxmlformats.org/officeDocument/2006/relationships/image" Target="../media/image23.png"/><Relationship Id="rId5" Type="http://schemas.openxmlformats.org/officeDocument/2006/relationships/hyperlink" Target="#Seguros!C3"/><Relationship Id="rId15" Type="http://schemas.openxmlformats.org/officeDocument/2006/relationships/image" Target="../media/image11.png"/><Relationship Id="rId23" Type="http://schemas.openxmlformats.org/officeDocument/2006/relationships/hyperlink" Target="#Multas!C3"/><Relationship Id="rId28" Type="http://schemas.openxmlformats.org/officeDocument/2006/relationships/image" Target="../media/image20.svg"/><Relationship Id="rId10" Type="http://schemas.openxmlformats.org/officeDocument/2006/relationships/image" Target="../media/image8.svg"/><Relationship Id="rId19" Type="http://schemas.openxmlformats.org/officeDocument/2006/relationships/image" Target="../media/image14.svg"/><Relationship Id="rId31" Type="http://schemas.openxmlformats.org/officeDocument/2006/relationships/image" Target="../media/image22.svg"/><Relationship Id="rId4" Type="http://schemas.openxmlformats.org/officeDocument/2006/relationships/image" Target="../media/image4.svg"/><Relationship Id="rId9" Type="http://schemas.openxmlformats.org/officeDocument/2006/relationships/image" Target="../media/image7.png"/><Relationship Id="rId14" Type="http://schemas.openxmlformats.org/officeDocument/2006/relationships/hyperlink" Target="#Talleres!C3"/><Relationship Id="rId22" Type="http://schemas.openxmlformats.org/officeDocument/2006/relationships/image" Target="../media/image16.svg"/><Relationship Id="rId27" Type="http://schemas.openxmlformats.org/officeDocument/2006/relationships/image" Target="../media/image19.png"/><Relationship Id="rId30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Talleres!C3"/><Relationship Id="rId18" Type="http://schemas.openxmlformats.org/officeDocument/2006/relationships/image" Target="../media/image14.svg"/><Relationship Id="rId26" Type="http://schemas.openxmlformats.org/officeDocument/2006/relationships/image" Target="../media/image19.png"/><Relationship Id="rId3" Type="http://schemas.openxmlformats.org/officeDocument/2006/relationships/image" Target="../media/image25.svg"/><Relationship Id="rId21" Type="http://schemas.openxmlformats.org/officeDocument/2006/relationships/image" Target="../media/image16.svg"/><Relationship Id="rId7" Type="http://schemas.openxmlformats.org/officeDocument/2006/relationships/hyperlink" Target="#Impuestos!C3"/><Relationship Id="rId12" Type="http://schemas.openxmlformats.org/officeDocument/2006/relationships/image" Target="../media/image10.svg"/><Relationship Id="rId17" Type="http://schemas.openxmlformats.org/officeDocument/2006/relationships/image" Target="../media/image13.png"/><Relationship Id="rId25" Type="http://schemas.openxmlformats.org/officeDocument/2006/relationships/hyperlink" Target="#Mantenimiento!C3"/><Relationship Id="rId2" Type="http://schemas.openxmlformats.org/officeDocument/2006/relationships/image" Target="../media/image24.png"/><Relationship Id="rId16" Type="http://schemas.openxmlformats.org/officeDocument/2006/relationships/hyperlink" Target="#'Otras listas'!C3"/><Relationship Id="rId20" Type="http://schemas.openxmlformats.org/officeDocument/2006/relationships/image" Target="../media/image15.png"/><Relationship Id="rId29" Type="http://schemas.openxmlformats.org/officeDocument/2006/relationships/image" Target="../media/image21.png"/><Relationship Id="rId1" Type="http://schemas.openxmlformats.org/officeDocument/2006/relationships/hyperlink" Target="#Flota!C3"/><Relationship Id="rId6" Type="http://schemas.openxmlformats.org/officeDocument/2006/relationships/image" Target="../media/image27.svg"/><Relationship Id="rId11" Type="http://schemas.openxmlformats.org/officeDocument/2006/relationships/image" Target="../media/image9.png"/><Relationship Id="rId24" Type="http://schemas.openxmlformats.org/officeDocument/2006/relationships/image" Target="../media/image18.svg"/><Relationship Id="rId5" Type="http://schemas.openxmlformats.org/officeDocument/2006/relationships/image" Target="../media/image26.png"/><Relationship Id="rId15" Type="http://schemas.openxmlformats.org/officeDocument/2006/relationships/image" Target="../media/image12.svg"/><Relationship Id="rId23" Type="http://schemas.openxmlformats.org/officeDocument/2006/relationships/image" Target="../media/image17.png"/><Relationship Id="rId28" Type="http://schemas.openxmlformats.org/officeDocument/2006/relationships/hyperlink" Target="#'Flujo de Caja'!D6"/><Relationship Id="rId10" Type="http://schemas.openxmlformats.org/officeDocument/2006/relationships/hyperlink" Target="#Conductores!C3"/><Relationship Id="rId19" Type="http://schemas.openxmlformats.org/officeDocument/2006/relationships/hyperlink" Target="#Rutas!C3"/><Relationship Id="rId31" Type="http://schemas.openxmlformats.org/officeDocument/2006/relationships/image" Target="../media/image2.png"/><Relationship Id="rId4" Type="http://schemas.openxmlformats.org/officeDocument/2006/relationships/hyperlink" Target="#Seguros!C3"/><Relationship Id="rId9" Type="http://schemas.openxmlformats.org/officeDocument/2006/relationships/image" Target="../media/image8.svg"/><Relationship Id="rId14" Type="http://schemas.openxmlformats.org/officeDocument/2006/relationships/image" Target="../media/image11.png"/><Relationship Id="rId22" Type="http://schemas.openxmlformats.org/officeDocument/2006/relationships/hyperlink" Target="#Multas!C3"/><Relationship Id="rId27" Type="http://schemas.openxmlformats.org/officeDocument/2006/relationships/image" Target="../media/image20.svg"/><Relationship Id="rId30" Type="http://schemas.openxmlformats.org/officeDocument/2006/relationships/image" Target="../media/image2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mpuestos!C3"/><Relationship Id="rId13" Type="http://schemas.openxmlformats.org/officeDocument/2006/relationships/image" Target="../media/image10.svg"/><Relationship Id="rId18" Type="http://schemas.openxmlformats.org/officeDocument/2006/relationships/image" Target="../media/image13.png"/><Relationship Id="rId26" Type="http://schemas.openxmlformats.org/officeDocument/2006/relationships/hyperlink" Target="#Mantenimiento!C3"/><Relationship Id="rId3" Type="http://schemas.openxmlformats.org/officeDocument/2006/relationships/image" Target="../media/image24.png"/><Relationship Id="rId21" Type="http://schemas.openxmlformats.org/officeDocument/2006/relationships/image" Target="../media/image15.png"/><Relationship Id="rId7" Type="http://schemas.openxmlformats.org/officeDocument/2006/relationships/image" Target="../media/image28.svg"/><Relationship Id="rId12" Type="http://schemas.openxmlformats.org/officeDocument/2006/relationships/image" Target="../media/image9.png"/><Relationship Id="rId17" Type="http://schemas.openxmlformats.org/officeDocument/2006/relationships/hyperlink" Target="#'Otras listas'!C3"/><Relationship Id="rId25" Type="http://schemas.openxmlformats.org/officeDocument/2006/relationships/image" Target="../media/image18.svg"/><Relationship Id="rId2" Type="http://schemas.openxmlformats.org/officeDocument/2006/relationships/hyperlink" Target="#Flota!C3"/><Relationship Id="rId16" Type="http://schemas.openxmlformats.org/officeDocument/2006/relationships/image" Target="../media/image12.svg"/><Relationship Id="rId20" Type="http://schemas.openxmlformats.org/officeDocument/2006/relationships/hyperlink" Target="#Rutas!C3"/><Relationship Id="rId29" Type="http://schemas.openxmlformats.org/officeDocument/2006/relationships/hyperlink" Target="#'Flujo de Caja'!D6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hyperlink" Target="#Conductores!C3"/><Relationship Id="rId24" Type="http://schemas.openxmlformats.org/officeDocument/2006/relationships/image" Target="../media/image17.png"/><Relationship Id="rId5" Type="http://schemas.openxmlformats.org/officeDocument/2006/relationships/hyperlink" Target="#Seguros!C3"/><Relationship Id="rId15" Type="http://schemas.openxmlformats.org/officeDocument/2006/relationships/image" Target="../media/image11.png"/><Relationship Id="rId23" Type="http://schemas.openxmlformats.org/officeDocument/2006/relationships/hyperlink" Target="#Multas!C3"/><Relationship Id="rId28" Type="http://schemas.openxmlformats.org/officeDocument/2006/relationships/image" Target="../media/image20.svg"/><Relationship Id="rId10" Type="http://schemas.openxmlformats.org/officeDocument/2006/relationships/image" Target="../media/image30.svg"/><Relationship Id="rId19" Type="http://schemas.openxmlformats.org/officeDocument/2006/relationships/image" Target="../media/image14.svg"/><Relationship Id="rId31" Type="http://schemas.openxmlformats.org/officeDocument/2006/relationships/image" Target="../media/image22.svg"/><Relationship Id="rId4" Type="http://schemas.openxmlformats.org/officeDocument/2006/relationships/image" Target="../media/image25.svg"/><Relationship Id="rId9" Type="http://schemas.openxmlformats.org/officeDocument/2006/relationships/image" Target="../media/image29.png"/><Relationship Id="rId14" Type="http://schemas.openxmlformats.org/officeDocument/2006/relationships/hyperlink" Target="#Talleres!C3"/><Relationship Id="rId22" Type="http://schemas.openxmlformats.org/officeDocument/2006/relationships/image" Target="../media/image16.svg"/><Relationship Id="rId27" Type="http://schemas.openxmlformats.org/officeDocument/2006/relationships/image" Target="../media/image19.png"/><Relationship Id="rId30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Impuestos!C3"/><Relationship Id="rId13" Type="http://schemas.openxmlformats.org/officeDocument/2006/relationships/image" Target="../media/image33.svg"/><Relationship Id="rId18" Type="http://schemas.openxmlformats.org/officeDocument/2006/relationships/image" Target="../media/image13.png"/><Relationship Id="rId26" Type="http://schemas.openxmlformats.org/officeDocument/2006/relationships/hyperlink" Target="#Mantenimiento!C3"/><Relationship Id="rId3" Type="http://schemas.openxmlformats.org/officeDocument/2006/relationships/image" Target="../media/image24.png"/><Relationship Id="rId21" Type="http://schemas.openxmlformats.org/officeDocument/2006/relationships/image" Target="../media/image15.png"/><Relationship Id="rId7" Type="http://schemas.openxmlformats.org/officeDocument/2006/relationships/image" Target="../media/image28.svg"/><Relationship Id="rId12" Type="http://schemas.openxmlformats.org/officeDocument/2006/relationships/image" Target="../media/image32.png"/><Relationship Id="rId17" Type="http://schemas.openxmlformats.org/officeDocument/2006/relationships/hyperlink" Target="#'Otras listas'!C3"/><Relationship Id="rId25" Type="http://schemas.openxmlformats.org/officeDocument/2006/relationships/image" Target="../media/image18.svg"/><Relationship Id="rId2" Type="http://schemas.openxmlformats.org/officeDocument/2006/relationships/hyperlink" Target="#Flota!C3"/><Relationship Id="rId16" Type="http://schemas.openxmlformats.org/officeDocument/2006/relationships/image" Target="../media/image12.svg"/><Relationship Id="rId20" Type="http://schemas.openxmlformats.org/officeDocument/2006/relationships/hyperlink" Target="#Rutas!C3"/><Relationship Id="rId29" Type="http://schemas.openxmlformats.org/officeDocument/2006/relationships/hyperlink" Target="#'Flujo de Caja'!D6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hyperlink" Target="#Conductores!C3"/><Relationship Id="rId24" Type="http://schemas.openxmlformats.org/officeDocument/2006/relationships/image" Target="../media/image17.png"/><Relationship Id="rId32" Type="http://schemas.openxmlformats.org/officeDocument/2006/relationships/image" Target="../media/image23.png"/><Relationship Id="rId5" Type="http://schemas.openxmlformats.org/officeDocument/2006/relationships/hyperlink" Target="#Seguros!C3"/><Relationship Id="rId15" Type="http://schemas.openxmlformats.org/officeDocument/2006/relationships/image" Target="../media/image11.png"/><Relationship Id="rId23" Type="http://schemas.openxmlformats.org/officeDocument/2006/relationships/hyperlink" Target="#Multas!C3"/><Relationship Id="rId28" Type="http://schemas.openxmlformats.org/officeDocument/2006/relationships/image" Target="../media/image20.svg"/><Relationship Id="rId10" Type="http://schemas.openxmlformats.org/officeDocument/2006/relationships/image" Target="../media/image31.svg"/><Relationship Id="rId19" Type="http://schemas.openxmlformats.org/officeDocument/2006/relationships/image" Target="../media/image14.svg"/><Relationship Id="rId31" Type="http://schemas.openxmlformats.org/officeDocument/2006/relationships/image" Target="../media/image22.svg"/><Relationship Id="rId4" Type="http://schemas.openxmlformats.org/officeDocument/2006/relationships/image" Target="../media/image25.svg"/><Relationship Id="rId9" Type="http://schemas.openxmlformats.org/officeDocument/2006/relationships/image" Target="../media/image7.png"/><Relationship Id="rId14" Type="http://schemas.openxmlformats.org/officeDocument/2006/relationships/hyperlink" Target="#Talleres!C3"/><Relationship Id="rId22" Type="http://schemas.openxmlformats.org/officeDocument/2006/relationships/image" Target="../media/image16.svg"/><Relationship Id="rId27" Type="http://schemas.openxmlformats.org/officeDocument/2006/relationships/image" Target="../media/image19.png"/><Relationship Id="rId30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Impuestos!C3"/><Relationship Id="rId13" Type="http://schemas.openxmlformats.org/officeDocument/2006/relationships/image" Target="../media/image34.svg"/><Relationship Id="rId18" Type="http://schemas.openxmlformats.org/officeDocument/2006/relationships/image" Target="../media/image13.png"/><Relationship Id="rId26" Type="http://schemas.openxmlformats.org/officeDocument/2006/relationships/hyperlink" Target="#Mantenimiento!C3"/><Relationship Id="rId3" Type="http://schemas.openxmlformats.org/officeDocument/2006/relationships/image" Target="../media/image24.png"/><Relationship Id="rId21" Type="http://schemas.openxmlformats.org/officeDocument/2006/relationships/image" Target="../media/image15.png"/><Relationship Id="rId7" Type="http://schemas.openxmlformats.org/officeDocument/2006/relationships/image" Target="../media/image28.svg"/><Relationship Id="rId12" Type="http://schemas.openxmlformats.org/officeDocument/2006/relationships/image" Target="../media/image9.png"/><Relationship Id="rId17" Type="http://schemas.openxmlformats.org/officeDocument/2006/relationships/hyperlink" Target="#'Otras listas'!C3"/><Relationship Id="rId25" Type="http://schemas.openxmlformats.org/officeDocument/2006/relationships/image" Target="../media/image18.svg"/><Relationship Id="rId2" Type="http://schemas.openxmlformats.org/officeDocument/2006/relationships/hyperlink" Target="#Flota!C3"/><Relationship Id="rId16" Type="http://schemas.openxmlformats.org/officeDocument/2006/relationships/image" Target="../media/image36.svg"/><Relationship Id="rId20" Type="http://schemas.openxmlformats.org/officeDocument/2006/relationships/hyperlink" Target="#Rutas!C3"/><Relationship Id="rId29" Type="http://schemas.openxmlformats.org/officeDocument/2006/relationships/hyperlink" Target="#'Flujo de Caja'!D6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hyperlink" Target="#Conductores!C3"/><Relationship Id="rId24" Type="http://schemas.openxmlformats.org/officeDocument/2006/relationships/image" Target="../media/image17.png"/><Relationship Id="rId32" Type="http://schemas.openxmlformats.org/officeDocument/2006/relationships/image" Target="../media/image23.png"/><Relationship Id="rId5" Type="http://schemas.openxmlformats.org/officeDocument/2006/relationships/hyperlink" Target="#Seguros!C3"/><Relationship Id="rId15" Type="http://schemas.openxmlformats.org/officeDocument/2006/relationships/image" Target="../media/image35.png"/><Relationship Id="rId23" Type="http://schemas.openxmlformats.org/officeDocument/2006/relationships/hyperlink" Target="#Multas!C3"/><Relationship Id="rId28" Type="http://schemas.openxmlformats.org/officeDocument/2006/relationships/image" Target="../media/image20.svg"/><Relationship Id="rId10" Type="http://schemas.openxmlformats.org/officeDocument/2006/relationships/image" Target="../media/image31.svg"/><Relationship Id="rId19" Type="http://schemas.openxmlformats.org/officeDocument/2006/relationships/image" Target="../media/image14.svg"/><Relationship Id="rId31" Type="http://schemas.openxmlformats.org/officeDocument/2006/relationships/image" Target="../media/image22.svg"/><Relationship Id="rId4" Type="http://schemas.openxmlformats.org/officeDocument/2006/relationships/image" Target="../media/image25.svg"/><Relationship Id="rId9" Type="http://schemas.openxmlformats.org/officeDocument/2006/relationships/image" Target="../media/image7.png"/><Relationship Id="rId14" Type="http://schemas.openxmlformats.org/officeDocument/2006/relationships/hyperlink" Target="#Talleres!C3"/><Relationship Id="rId22" Type="http://schemas.openxmlformats.org/officeDocument/2006/relationships/image" Target="../media/image16.svg"/><Relationship Id="rId27" Type="http://schemas.openxmlformats.org/officeDocument/2006/relationships/image" Target="../media/image19.png"/><Relationship Id="rId30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Impuestos!C3"/><Relationship Id="rId13" Type="http://schemas.openxmlformats.org/officeDocument/2006/relationships/image" Target="../media/image34.svg"/><Relationship Id="rId18" Type="http://schemas.openxmlformats.org/officeDocument/2006/relationships/image" Target="../media/image37.png"/><Relationship Id="rId26" Type="http://schemas.openxmlformats.org/officeDocument/2006/relationships/hyperlink" Target="#Mantenimiento!C3"/><Relationship Id="rId3" Type="http://schemas.openxmlformats.org/officeDocument/2006/relationships/image" Target="../media/image24.png"/><Relationship Id="rId21" Type="http://schemas.openxmlformats.org/officeDocument/2006/relationships/image" Target="../media/image15.png"/><Relationship Id="rId7" Type="http://schemas.openxmlformats.org/officeDocument/2006/relationships/image" Target="../media/image28.svg"/><Relationship Id="rId12" Type="http://schemas.openxmlformats.org/officeDocument/2006/relationships/image" Target="../media/image9.png"/><Relationship Id="rId17" Type="http://schemas.openxmlformats.org/officeDocument/2006/relationships/hyperlink" Target="#'Otras listas'!C3"/><Relationship Id="rId25" Type="http://schemas.openxmlformats.org/officeDocument/2006/relationships/image" Target="../media/image18.svg"/><Relationship Id="rId2" Type="http://schemas.openxmlformats.org/officeDocument/2006/relationships/hyperlink" Target="#Flota!C3"/><Relationship Id="rId16" Type="http://schemas.openxmlformats.org/officeDocument/2006/relationships/image" Target="../media/image12.svg"/><Relationship Id="rId20" Type="http://schemas.openxmlformats.org/officeDocument/2006/relationships/hyperlink" Target="#Rutas!C3"/><Relationship Id="rId29" Type="http://schemas.openxmlformats.org/officeDocument/2006/relationships/hyperlink" Target="#'Flujo de Caja'!D6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hyperlink" Target="#Conductores!C3"/><Relationship Id="rId24" Type="http://schemas.openxmlformats.org/officeDocument/2006/relationships/image" Target="../media/image17.png"/><Relationship Id="rId32" Type="http://schemas.openxmlformats.org/officeDocument/2006/relationships/image" Target="../media/image23.png"/><Relationship Id="rId5" Type="http://schemas.openxmlformats.org/officeDocument/2006/relationships/hyperlink" Target="#Seguros!C3"/><Relationship Id="rId15" Type="http://schemas.openxmlformats.org/officeDocument/2006/relationships/image" Target="../media/image11.png"/><Relationship Id="rId23" Type="http://schemas.openxmlformats.org/officeDocument/2006/relationships/hyperlink" Target="#Multas!C3"/><Relationship Id="rId28" Type="http://schemas.openxmlformats.org/officeDocument/2006/relationships/image" Target="../media/image20.svg"/><Relationship Id="rId10" Type="http://schemas.openxmlformats.org/officeDocument/2006/relationships/image" Target="../media/image31.svg"/><Relationship Id="rId19" Type="http://schemas.openxmlformats.org/officeDocument/2006/relationships/image" Target="../media/image38.svg"/><Relationship Id="rId31" Type="http://schemas.openxmlformats.org/officeDocument/2006/relationships/image" Target="../media/image22.svg"/><Relationship Id="rId4" Type="http://schemas.openxmlformats.org/officeDocument/2006/relationships/image" Target="../media/image25.svg"/><Relationship Id="rId9" Type="http://schemas.openxmlformats.org/officeDocument/2006/relationships/image" Target="../media/image7.png"/><Relationship Id="rId14" Type="http://schemas.openxmlformats.org/officeDocument/2006/relationships/hyperlink" Target="#Talleres!C3"/><Relationship Id="rId22" Type="http://schemas.openxmlformats.org/officeDocument/2006/relationships/image" Target="../media/image16.svg"/><Relationship Id="rId27" Type="http://schemas.openxmlformats.org/officeDocument/2006/relationships/image" Target="../media/image19.png"/><Relationship Id="rId30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Impuestos!C3"/><Relationship Id="rId13" Type="http://schemas.openxmlformats.org/officeDocument/2006/relationships/image" Target="../media/image34.svg"/><Relationship Id="rId18" Type="http://schemas.openxmlformats.org/officeDocument/2006/relationships/image" Target="../media/image13.png"/><Relationship Id="rId26" Type="http://schemas.openxmlformats.org/officeDocument/2006/relationships/hyperlink" Target="#Mantenimiento!C3"/><Relationship Id="rId3" Type="http://schemas.openxmlformats.org/officeDocument/2006/relationships/image" Target="../media/image24.png"/><Relationship Id="rId21" Type="http://schemas.openxmlformats.org/officeDocument/2006/relationships/image" Target="../media/image39.png"/><Relationship Id="rId7" Type="http://schemas.openxmlformats.org/officeDocument/2006/relationships/image" Target="../media/image28.svg"/><Relationship Id="rId12" Type="http://schemas.openxmlformats.org/officeDocument/2006/relationships/image" Target="../media/image9.png"/><Relationship Id="rId17" Type="http://schemas.openxmlformats.org/officeDocument/2006/relationships/hyperlink" Target="#'Otras listas'!C3"/><Relationship Id="rId25" Type="http://schemas.openxmlformats.org/officeDocument/2006/relationships/image" Target="../media/image18.svg"/><Relationship Id="rId2" Type="http://schemas.openxmlformats.org/officeDocument/2006/relationships/hyperlink" Target="#Flota!C3"/><Relationship Id="rId16" Type="http://schemas.openxmlformats.org/officeDocument/2006/relationships/image" Target="../media/image12.svg"/><Relationship Id="rId20" Type="http://schemas.openxmlformats.org/officeDocument/2006/relationships/hyperlink" Target="#Rutas!C3"/><Relationship Id="rId29" Type="http://schemas.openxmlformats.org/officeDocument/2006/relationships/hyperlink" Target="#'Flujo de Caja'!D6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hyperlink" Target="#Conductores!C3"/><Relationship Id="rId24" Type="http://schemas.openxmlformats.org/officeDocument/2006/relationships/image" Target="../media/image17.png"/><Relationship Id="rId32" Type="http://schemas.openxmlformats.org/officeDocument/2006/relationships/image" Target="../media/image23.png"/><Relationship Id="rId5" Type="http://schemas.openxmlformats.org/officeDocument/2006/relationships/hyperlink" Target="#Seguros!C3"/><Relationship Id="rId15" Type="http://schemas.openxmlformats.org/officeDocument/2006/relationships/image" Target="../media/image11.png"/><Relationship Id="rId23" Type="http://schemas.openxmlformats.org/officeDocument/2006/relationships/hyperlink" Target="#Multas!C3"/><Relationship Id="rId28" Type="http://schemas.openxmlformats.org/officeDocument/2006/relationships/image" Target="../media/image20.svg"/><Relationship Id="rId10" Type="http://schemas.openxmlformats.org/officeDocument/2006/relationships/image" Target="../media/image31.svg"/><Relationship Id="rId19" Type="http://schemas.openxmlformats.org/officeDocument/2006/relationships/image" Target="../media/image14.svg"/><Relationship Id="rId31" Type="http://schemas.openxmlformats.org/officeDocument/2006/relationships/image" Target="../media/image22.svg"/><Relationship Id="rId4" Type="http://schemas.openxmlformats.org/officeDocument/2006/relationships/image" Target="../media/image25.svg"/><Relationship Id="rId9" Type="http://schemas.openxmlformats.org/officeDocument/2006/relationships/image" Target="../media/image7.png"/><Relationship Id="rId14" Type="http://schemas.openxmlformats.org/officeDocument/2006/relationships/hyperlink" Target="#Talleres!C3"/><Relationship Id="rId22" Type="http://schemas.openxmlformats.org/officeDocument/2006/relationships/image" Target="../media/image40.svg"/><Relationship Id="rId27" Type="http://schemas.openxmlformats.org/officeDocument/2006/relationships/image" Target="../media/image19.png"/><Relationship Id="rId30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Impuestos!C3"/><Relationship Id="rId13" Type="http://schemas.openxmlformats.org/officeDocument/2006/relationships/image" Target="../media/image34.svg"/><Relationship Id="rId18" Type="http://schemas.openxmlformats.org/officeDocument/2006/relationships/image" Target="../media/image13.png"/><Relationship Id="rId26" Type="http://schemas.openxmlformats.org/officeDocument/2006/relationships/hyperlink" Target="#Mantenimiento!C3"/><Relationship Id="rId3" Type="http://schemas.openxmlformats.org/officeDocument/2006/relationships/image" Target="../media/image24.png"/><Relationship Id="rId21" Type="http://schemas.openxmlformats.org/officeDocument/2006/relationships/image" Target="../media/image15.png"/><Relationship Id="rId7" Type="http://schemas.openxmlformats.org/officeDocument/2006/relationships/image" Target="../media/image28.svg"/><Relationship Id="rId12" Type="http://schemas.openxmlformats.org/officeDocument/2006/relationships/image" Target="../media/image9.png"/><Relationship Id="rId17" Type="http://schemas.openxmlformats.org/officeDocument/2006/relationships/hyperlink" Target="#'Otras listas'!C3"/><Relationship Id="rId25" Type="http://schemas.openxmlformats.org/officeDocument/2006/relationships/image" Target="../media/image43.svg"/><Relationship Id="rId2" Type="http://schemas.openxmlformats.org/officeDocument/2006/relationships/hyperlink" Target="#Flota!C3"/><Relationship Id="rId16" Type="http://schemas.openxmlformats.org/officeDocument/2006/relationships/image" Target="../media/image12.svg"/><Relationship Id="rId20" Type="http://schemas.openxmlformats.org/officeDocument/2006/relationships/hyperlink" Target="#Rutas!C3"/><Relationship Id="rId29" Type="http://schemas.openxmlformats.org/officeDocument/2006/relationships/hyperlink" Target="#'Flujo de Caja'!D6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hyperlink" Target="#Conductores!C3"/><Relationship Id="rId24" Type="http://schemas.openxmlformats.org/officeDocument/2006/relationships/image" Target="../media/image42.png"/><Relationship Id="rId32" Type="http://schemas.openxmlformats.org/officeDocument/2006/relationships/image" Target="../media/image23.png"/><Relationship Id="rId5" Type="http://schemas.openxmlformats.org/officeDocument/2006/relationships/hyperlink" Target="#Seguros!C3"/><Relationship Id="rId15" Type="http://schemas.openxmlformats.org/officeDocument/2006/relationships/image" Target="../media/image11.png"/><Relationship Id="rId23" Type="http://schemas.openxmlformats.org/officeDocument/2006/relationships/hyperlink" Target="#Multas!C3"/><Relationship Id="rId28" Type="http://schemas.openxmlformats.org/officeDocument/2006/relationships/image" Target="../media/image20.svg"/><Relationship Id="rId10" Type="http://schemas.openxmlformats.org/officeDocument/2006/relationships/image" Target="../media/image31.svg"/><Relationship Id="rId19" Type="http://schemas.openxmlformats.org/officeDocument/2006/relationships/image" Target="../media/image41.svg"/><Relationship Id="rId31" Type="http://schemas.openxmlformats.org/officeDocument/2006/relationships/image" Target="../media/image22.svg"/><Relationship Id="rId4" Type="http://schemas.openxmlformats.org/officeDocument/2006/relationships/image" Target="../media/image25.svg"/><Relationship Id="rId9" Type="http://schemas.openxmlformats.org/officeDocument/2006/relationships/image" Target="../media/image7.png"/><Relationship Id="rId14" Type="http://schemas.openxmlformats.org/officeDocument/2006/relationships/hyperlink" Target="#Talleres!C3"/><Relationship Id="rId22" Type="http://schemas.openxmlformats.org/officeDocument/2006/relationships/image" Target="../media/image16.svg"/><Relationship Id="rId27" Type="http://schemas.openxmlformats.org/officeDocument/2006/relationships/image" Target="../media/image19.png"/><Relationship Id="rId30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Impuestos!C3"/><Relationship Id="rId13" Type="http://schemas.openxmlformats.org/officeDocument/2006/relationships/image" Target="../media/image10.svg"/><Relationship Id="rId18" Type="http://schemas.openxmlformats.org/officeDocument/2006/relationships/image" Target="../media/image13.png"/><Relationship Id="rId26" Type="http://schemas.openxmlformats.org/officeDocument/2006/relationships/hyperlink" Target="#Mantenimiento!C3"/><Relationship Id="rId3" Type="http://schemas.openxmlformats.org/officeDocument/2006/relationships/image" Target="../media/image24.png"/><Relationship Id="rId21" Type="http://schemas.openxmlformats.org/officeDocument/2006/relationships/image" Target="../media/image15.png"/><Relationship Id="rId7" Type="http://schemas.openxmlformats.org/officeDocument/2006/relationships/image" Target="../media/image6.svg"/><Relationship Id="rId12" Type="http://schemas.openxmlformats.org/officeDocument/2006/relationships/image" Target="../media/image9.png"/><Relationship Id="rId17" Type="http://schemas.openxmlformats.org/officeDocument/2006/relationships/hyperlink" Target="#'Otras listas'!C3"/><Relationship Id="rId25" Type="http://schemas.openxmlformats.org/officeDocument/2006/relationships/image" Target="../media/image18.svg"/><Relationship Id="rId2" Type="http://schemas.openxmlformats.org/officeDocument/2006/relationships/hyperlink" Target="#Flota!C3"/><Relationship Id="rId16" Type="http://schemas.openxmlformats.org/officeDocument/2006/relationships/image" Target="../media/image12.svg"/><Relationship Id="rId20" Type="http://schemas.openxmlformats.org/officeDocument/2006/relationships/hyperlink" Target="#Rutas!C3"/><Relationship Id="rId29" Type="http://schemas.openxmlformats.org/officeDocument/2006/relationships/hyperlink" Target="#'Flujo de Caja'!D6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hyperlink" Target="#Conductores!C3"/><Relationship Id="rId24" Type="http://schemas.openxmlformats.org/officeDocument/2006/relationships/image" Target="../media/image17.png"/><Relationship Id="rId5" Type="http://schemas.openxmlformats.org/officeDocument/2006/relationships/hyperlink" Target="#Seguros!C3"/><Relationship Id="rId15" Type="http://schemas.openxmlformats.org/officeDocument/2006/relationships/image" Target="../media/image11.png"/><Relationship Id="rId23" Type="http://schemas.openxmlformats.org/officeDocument/2006/relationships/hyperlink" Target="#Multas!C3"/><Relationship Id="rId28" Type="http://schemas.openxmlformats.org/officeDocument/2006/relationships/image" Target="../media/image45.svg"/><Relationship Id="rId10" Type="http://schemas.openxmlformats.org/officeDocument/2006/relationships/image" Target="../media/image8.svg"/><Relationship Id="rId19" Type="http://schemas.openxmlformats.org/officeDocument/2006/relationships/image" Target="../media/image14.svg"/><Relationship Id="rId31" Type="http://schemas.openxmlformats.org/officeDocument/2006/relationships/image" Target="../media/image22.svg"/><Relationship Id="rId4" Type="http://schemas.openxmlformats.org/officeDocument/2006/relationships/image" Target="../media/image25.svg"/><Relationship Id="rId9" Type="http://schemas.openxmlformats.org/officeDocument/2006/relationships/image" Target="../media/image7.png"/><Relationship Id="rId14" Type="http://schemas.openxmlformats.org/officeDocument/2006/relationships/hyperlink" Target="#Talleres!C3"/><Relationship Id="rId22" Type="http://schemas.openxmlformats.org/officeDocument/2006/relationships/image" Target="../media/image16.svg"/><Relationship Id="rId27" Type="http://schemas.openxmlformats.org/officeDocument/2006/relationships/image" Target="../media/image44.png"/><Relationship Id="rId30" Type="http://schemas.openxmlformats.org/officeDocument/2006/relationships/image" Target="../media/image2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Reporte Conductor'!G3"/><Relationship Id="rId13" Type="http://schemas.openxmlformats.org/officeDocument/2006/relationships/image" Target="../media/image52.svg"/><Relationship Id="rId3" Type="http://schemas.openxmlformats.org/officeDocument/2006/relationships/image" Target="../media/image46.png"/><Relationship Id="rId7" Type="http://schemas.openxmlformats.org/officeDocument/2006/relationships/image" Target="../media/image49.svg"/><Relationship Id="rId12" Type="http://schemas.openxmlformats.org/officeDocument/2006/relationships/image" Target="../media/image24.png"/><Relationship Id="rId2" Type="http://schemas.openxmlformats.org/officeDocument/2006/relationships/hyperlink" Target="#'Flujo de Caja'!A1"/><Relationship Id="rId1" Type="http://schemas.openxmlformats.org/officeDocument/2006/relationships/image" Target="../media/image2.png"/><Relationship Id="rId6" Type="http://schemas.openxmlformats.org/officeDocument/2006/relationships/image" Target="../media/image48.png"/><Relationship Id="rId11" Type="http://schemas.openxmlformats.org/officeDocument/2006/relationships/hyperlink" Target="#Flota!C3"/><Relationship Id="rId5" Type="http://schemas.openxmlformats.org/officeDocument/2006/relationships/hyperlink" Target="#'Reporte General'!D6"/><Relationship Id="rId10" Type="http://schemas.openxmlformats.org/officeDocument/2006/relationships/image" Target="../media/image51.svg"/><Relationship Id="rId4" Type="http://schemas.openxmlformats.org/officeDocument/2006/relationships/image" Target="../media/image47.svg"/><Relationship Id="rId9" Type="http://schemas.openxmlformats.org/officeDocument/2006/relationships/image" Target="../media/image50.png"/><Relationship Id="rId14" Type="http://schemas.openxmlformats.org/officeDocument/2006/relationships/chart" Target="../charts/chart1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Reporte Conductor'!G3"/><Relationship Id="rId13" Type="http://schemas.openxmlformats.org/officeDocument/2006/relationships/image" Target="../media/image52.svg"/><Relationship Id="rId3" Type="http://schemas.openxmlformats.org/officeDocument/2006/relationships/image" Target="../media/image53.png"/><Relationship Id="rId7" Type="http://schemas.openxmlformats.org/officeDocument/2006/relationships/image" Target="../media/image56.svg"/><Relationship Id="rId12" Type="http://schemas.openxmlformats.org/officeDocument/2006/relationships/image" Target="../media/image24.png"/><Relationship Id="rId17" Type="http://schemas.openxmlformats.org/officeDocument/2006/relationships/chart" Target="../charts/chart3.xml"/><Relationship Id="rId2" Type="http://schemas.openxmlformats.org/officeDocument/2006/relationships/hyperlink" Target="#'Flujo de Caja'!A1"/><Relationship Id="rId16" Type="http://schemas.openxmlformats.org/officeDocument/2006/relationships/chart" Target="../charts/chart2.xml"/><Relationship Id="rId1" Type="http://schemas.openxmlformats.org/officeDocument/2006/relationships/image" Target="../media/image2.png"/><Relationship Id="rId6" Type="http://schemas.openxmlformats.org/officeDocument/2006/relationships/image" Target="../media/image55.png"/><Relationship Id="rId11" Type="http://schemas.openxmlformats.org/officeDocument/2006/relationships/hyperlink" Target="#Flota!C3"/><Relationship Id="rId5" Type="http://schemas.openxmlformats.org/officeDocument/2006/relationships/hyperlink" Target="#'Reporte General'!D6"/><Relationship Id="rId15" Type="http://schemas.microsoft.com/office/2014/relationships/chartEx" Target="../charts/chartEx1.xml"/><Relationship Id="rId10" Type="http://schemas.openxmlformats.org/officeDocument/2006/relationships/image" Target="../media/image51.svg"/><Relationship Id="rId4" Type="http://schemas.openxmlformats.org/officeDocument/2006/relationships/image" Target="../media/image54.svg"/><Relationship Id="rId9" Type="http://schemas.openxmlformats.org/officeDocument/2006/relationships/image" Target="../media/image50.png"/><Relationship Id="rId14" Type="http://schemas.openxmlformats.org/officeDocument/2006/relationships/image" Target="../media/image23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Reporte Conductor'!G3"/><Relationship Id="rId13" Type="http://schemas.openxmlformats.org/officeDocument/2006/relationships/image" Target="../media/image52.svg"/><Relationship Id="rId3" Type="http://schemas.openxmlformats.org/officeDocument/2006/relationships/image" Target="../media/image53.png"/><Relationship Id="rId7" Type="http://schemas.openxmlformats.org/officeDocument/2006/relationships/image" Target="../media/image57.svg"/><Relationship Id="rId12" Type="http://schemas.openxmlformats.org/officeDocument/2006/relationships/image" Target="../media/image24.png"/><Relationship Id="rId2" Type="http://schemas.openxmlformats.org/officeDocument/2006/relationships/hyperlink" Target="#'Flujo de Caja'!A1"/><Relationship Id="rId1" Type="http://schemas.openxmlformats.org/officeDocument/2006/relationships/image" Target="../media/image2.png"/><Relationship Id="rId6" Type="http://schemas.openxmlformats.org/officeDocument/2006/relationships/image" Target="../media/image48.png"/><Relationship Id="rId11" Type="http://schemas.openxmlformats.org/officeDocument/2006/relationships/hyperlink" Target="#Flota!C3"/><Relationship Id="rId5" Type="http://schemas.openxmlformats.org/officeDocument/2006/relationships/hyperlink" Target="#'Reporte General'!D6"/><Relationship Id="rId10" Type="http://schemas.openxmlformats.org/officeDocument/2006/relationships/image" Target="../media/image59.svg"/><Relationship Id="rId4" Type="http://schemas.openxmlformats.org/officeDocument/2006/relationships/image" Target="../media/image54.svg"/><Relationship Id="rId9" Type="http://schemas.openxmlformats.org/officeDocument/2006/relationships/image" Target="../media/image58.png"/><Relationship Id="rId14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0</xdr:row>
      <xdr:rowOff>567266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E85557C-9D41-45B4-A448-3CD787FD5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0</xdr:row>
      <xdr:rowOff>696806</xdr:rowOff>
    </xdr:from>
    <xdr:to>
      <xdr:col>0</xdr:col>
      <xdr:colOff>535733</xdr:colOff>
      <xdr:row>10</xdr:row>
      <xdr:rowOff>231108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4CE33972-D85E-2A75-466F-F68D88D3E97F}"/>
            </a:ext>
          </a:extLst>
        </xdr:cNvPr>
        <xdr:cNvGrpSpPr/>
      </xdr:nvGrpSpPr>
      <xdr:grpSpPr>
        <a:xfrm>
          <a:off x="152400" y="696806"/>
          <a:ext cx="383333" cy="3941202"/>
          <a:chOff x="152400" y="701040"/>
          <a:chExt cx="383333" cy="4094273"/>
        </a:xfrm>
      </xdr:grpSpPr>
      <xdr:pic>
        <xdr:nvPicPr>
          <xdr:cNvPr id="2" name="Gráfico 1" descr="Lavado de autos con relleno sólido">
            <a:hlinkClick xmlns:r="http://schemas.openxmlformats.org/officeDocument/2006/relationships" r:id="rId2" tooltip="FLOTA"/>
            <a:extLst>
              <a:ext uri="{FF2B5EF4-FFF2-40B4-BE49-F238E27FC236}">
                <a16:creationId xmlns:a16="http://schemas.microsoft.com/office/drawing/2014/main" id="{B766F0BE-AFFF-453D-B26D-01B457241A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t="29166"/>
          <a:stretch/>
        </xdr:blipFill>
        <xdr:spPr>
          <a:xfrm>
            <a:off x="152400" y="701040"/>
            <a:ext cx="383332" cy="271527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3" name="Gráfico 2" descr="Bloquear con relleno sólido">
            <a:hlinkClick xmlns:r="http://schemas.openxmlformats.org/officeDocument/2006/relationships" r:id="rId5" tooltip="SEGUROS"/>
            <a:extLst>
              <a:ext uri="{FF2B5EF4-FFF2-40B4-BE49-F238E27FC236}">
                <a16:creationId xmlns:a16="http://schemas.microsoft.com/office/drawing/2014/main" id="{64FB4ED5-5024-4B0E-9B52-EDC7EBB77F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2400" y="1023868"/>
            <a:ext cx="383333" cy="383333"/>
          </a:xfrm>
          <a:prstGeom prst="rect">
            <a:avLst/>
          </a:prstGeom>
        </xdr:spPr>
      </xdr:pic>
      <xdr:pic>
        <xdr:nvPicPr>
          <xdr:cNvPr id="4" name="Gráfico 3" descr="Impuestos con relleno sólido">
            <a:hlinkClick xmlns:r="http://schemas.openxmlformats.org/officeDocument/2006/relationships" r:id="rId8" tooltip="IMPUESTOS"/>
            <a:extLst>
              <a:ext uri="{FF2B5EF4-FFF2-40B4-BE49-F238E27FC236}">
                <a16:creationId xmlns:a16="http://schemas.microsoft.com/office/drawing/2014/main" id="{BBE21224-610B-42C2-B409-FD013088BA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2400" y="1458502"/>
            <a:ext cx="383333" cy="383333"/>
          </a:xfrm>
          <a:prstGeom prst="rect">
            <a:avLst/>
          </a:prstGeom>
        </xdr:spPr>
      </xdr:pic>
      <xdr:pic>
        <xdr:nvPicPr>
          <xdr:cNvPr id="5" name="Gráfico 4" descr="Identificación de empleado con relleno sólido">
            <a:hlinkClick xmlns:r="http://schemas.openxmlformats.org/officeDocument/2006/relationships" r:id="rId11" tooltip="CONDUCTORES"/>
            <a:extLst>
              <a:ext uri="{FF2B5EF4-FFF2-40B4-BE49-F238E27FC236}">
                <a16:creationId xmlns:a16="http://schemas.microsoft.com/office/drawing/2014/main" id="{3F05DF81-4A2E-4577-BBE9-2B3BFEA98D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68806" y="1893136"/>
            <a:ext cx="350520" cy="350520"/>
          </a:xfrm>
          <a:prstGeom prst="rect">
            <a:avLst/>
          </a:prstGeom>
        </xdr:spPr>
      </xdr:pic>
      <xdr:pic>
        <xdr:nvPicPr>
          <xdr:cNvPr id="7" name="Gráfico 6" descr="Disco de sierra con relleno sólido">
            <a:hlinkClick xmlns:r="http://schemas.openxmlformats.org/officeDocument/2006/relationships" r:id="rId14" tooltip="TALLERES"/>
            <a:extLst>
              <a:ext uri="{FF2B5EF4-FFF2-40B4-BE49-F238E27FC236}">
                <a16:creationId xmlns:a16="http://schemas.microsoft.com/office/drawing/2014/main" id="{C244E60E-7C5C-433D-A063-0F6D1095E4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rcRect/>
          <a:stretch/>
        </xdr:blipFill>
        <xdr:spPr>
          <a:xfrm>
            <a:off x="152400" y="2294957"/>
            <a:ext cx="383333" cy="383333"/>
          </a:xfrm>
          <a:prstGeom prst="rect">
            <a:avLst/>
          </a:prstGeom>
        </xdr:spPr>
      </xdr:pic>
      <xdr:pic>
        <xdr:nvPicPr>
          <xdr:cNvPr id="8" name="Gráfico 7" descr="Lista con relleno sólido">
            <a:hlinkClick xmlns:r="http://schemas.openxmlformats.org/officeDocument/2006/relationships" r:id="rId17" tooltip="OTRAS LISTAS"/>
            <a:extLst>
              <a:ext uri="{FF2B5EF4-FFF2-40B4-BE49-F238E27FC236}">
                <a16:creationId xmlns:a16="http://schemas.microsoft.com/office/drawing/2014/main" id="{90C24710-2726-4CEF-8632-BD18302342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9"/>
              </a:ext>
            </a:extLst>
          </a:blip>
          <a:srcRect/>
          <a:stretch/>
        </xdr:blipFill>
        <xdr:spPr>
          <a:xfrm>
            <a:off x="168806" y="2729591"/>
            <a:ext cx="350520" cy="350520"/>
          </a:xfrm>
          <a:prstGeom prst="rect">
            <a:avLst/>
          </a:prstGeom>
        </xdr:spPr>
      </xdr:pic>
      <xdr:pic>
        <xdr:nvPicPr>
          <xdr:cNvPr id="9" name="Gráfico 8" descr="Dirigir dos pines por un camino con relleno sólido">
            <a:hlinkClick xmlns:r="http://schemas.openxmlformats.org/officeDocument/2006/relationships" r:id="rId20" tooltip="RUTAS"/>
            <a:extLst>
              <a:ext uri="{FF2B5EF4-FFF2-40B4-BE49-F238E27FC236}">
                <a16:creationId xmlns:a16="http://schemas.microsoft.com/office/drawing/2014/main" id="{F561ED58-04A0-4BEE-8696-37343A8000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rcRect/>
          <a:stretch/>
        </xdr:blipFill>
        <xdr:spPr>
          <a:xfrm>
            <a:off x="152400" y="3131412"/>
            <a:ext cx="383333" cy="383333"/>
          </a:xfrm>
          <a:prstGeom prst="rect">
            <a:avLst/>
          </a:prstGeom>
        </xdr:spPr>
      </xdr:pic>
      <xdr:pic>
        <xdr:nvPicPr>
          <xdr:cNvPr id="10" name="Gráfico 9" descr="Cuaderno de estrategias con relleno sólido">
            <a:hlinkClick xmlns:r="http://schemas.openxmlformats.org/officeDocument/2006/relationships" r:id="rId23" tooltip="MULTAS"/>
            <a:extLst>
              <a:ext uri="{FF2B5EF4-FFF2-40B4-BE49-F238E27FC236}">
                <a16:creationId xmlns:a16="http://schemas.microsoft.com/office/drawing/2014/main" id="{3FD0D8BD-BDF8-41F0-A25E-60AB7D3831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5"/>
              </a:ext>
            </a:extLst>
          </a:blip>
          <a:srcRect/>
          <a:stretch/>
        </xdr:blipFill>
        <xdr:spPr>
          <a:xfrm>
            <a:off x="152400" y="3566046"/>
            <a:ext cx="383333" cy="383333"/>
          </a:xfrm>
          <a:prstGeom prst="rect">
            <a:avLst/>
          </a:prstGeom>
        </xdr:spPr>
      </xdr:pic>
      <xdr:pic>
        <xdr:nvPicPr>
          <xdr:cNvPr id="11" name="Gráfico 10" descr="Herramientas con relleno sólido">
            <a:hlinkClick xmlns:r="http://schemas.openxmlformats.org/officeDocument/2006/relationships" r:id="rId26" tooltip="MANTENIMIENTO"/>
            <a:extLst>
              <a:ext uri="{FF2B5EF4-FFF2-40B4-BE49-F238E27FC236}">
                <a16:creationId xmlns:a16="http://schemas.microsoft.com/office/drawing/2014/main" id="{260F2C33-FFFE-4832-8D60-28084BFF89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rcRect/>
          <a:stretch/>
        </xdr:blipFill>
        <xdr:spPr>
          <a:xfrm>
            <a:off x="164066" y="4000680"/>
            <a:ext cx="360000" cy="360000"/>
          </a:xfrm>
          <a:prstGeom prst="rect">
            <a:avLst/>
          </a:prstGeom>
          <a:effectLst/>
        </xdr:spPr>
      </xdr:pic>
      <xdr:pic>
        <xdr:nvPicPr>
          <xdr:cNvPr id="12" name="Gráfico 11" descr="Gráfico de barras con tendencia alcista con relleno sólido">
            <a:hlinkClick xmlns:r="http://schemas.openxmlformats.org/officeDocument/2006/relationships" r:id="rId29" tooltip="REPORTES"/>
            <a:extLst>
              <a:ext uri="{FF2B5EF4-FFF2-40B4-BE49-F238E27FC236}">
                <a16:creationId xmlns:a16="http://schemas.microsoft.com/office/drawing/2014/main" id="{A3C5D081-D4AE-419A-A7E2-1141BB3473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rcRect/>
          <a:stretch/>
        </xdr:blipFill>
        <xdr:spPr>
          <a:xfrm>
            <a:off x="152400" y="4411980"/>
            <a:ext cx="383333" cy="383333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645582</xdr:colOff>
      <xdr:row>0</xdr:row>
      <xdr:rowOff>42333</xdr:rowOff>
    </xdr:from>
    <xdr:to>
      <xdr:col>5</xdr:col>
      <xdr:colOff>870857</xdr:colOff>
      <xdr:row>0</xdr:row>
      <xdr:rowOff>1174750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7B01A33-2595-4677-B9E4-CBC4DB40F89A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45582" y="42333"/>
          <a:ext cx="3640668" cy="1132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2</xdr:row>
      <xdr:rowOff>143933</xdr:rowOff>
    </xdr:from>
    <xdr:to>
      <xdr:col>0</xdr:col>
      <xdr:colOff>535733</xdr:colOff>
      <xdr:row>23</xdr:row>
      <xdr:rowOff>26887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360FFCFF-6125-5CD5-1F7F-F62DF232A720}"/>
            </a:ext>
          </a:extLst>
        </xdr:cNvPr>
        <xdr:cNvGrpSpPr/>
      </xdr:nvGrpSpPr>
      <xdr:grpSpPr>
        <a:xfrm>
          <a:off x="152400" y="708377"/>
          <a:ext cx="383333" cy="4553732"/>
          <a:chOff x="152400" y="701040"/>
          <a:chExt cx="383333" cy="4094273"/>
        </a:xfrm>
      </xdr:grpSpPr>
      <xdr:pic>
        <xdr:nvPicPr>
          <xdr:cNvPr id="39" name="Gráfico 38" descr="Lavado de autos con relleno sólido">
            <a:hlinkClick xmlns:r="http://schemas.openxmlformats.org/officeDocument/2006/relationships" r:id="rId1" tooltip="FLOTA"/>
            <a:extLst>
              <a:ext uri="{FF2B5EF4-FFF2-40B4-BE49-F238E27FC236}">
                <a16:creationId xmlns:a16="http://schemas.microsoft.com/office/drawing/2014/main" id="{5A1FB024-5AEE-1C88-96DA-322D2D747D5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rcRect t="29166"/>
          <a:stretch/>
        </xdr:blipFill>
        <xdr:spPr>
          <a:xfrm>
            <a:off x="152400" y="701040"/>
            <a:ext cx="383332" cy="271527"/>
          </a:xfrm>
          <a:prstGeom prst="rect">
            <a:avLst/>
          </a:prstGeom>
          <a:effectLst/>
        </xdr:spPr>
      </xdr:pic>
      <xdr:pic>
        <xdr:nvPicPr>
          <xdr:cNvPr id="40" name="Gráfico 39" descr="Bloquear con relleno sólido">
            <a:hlinkClick xmlns:r="http://schemas.openxmlformats.org/officeDocument/2006/relationships" r:id="rId4" tooltip="SEGUROS"/>
            <a:extLst>
              <a:ext uri="{FF2B5EF4-FFF2-40B4-BE49-F238E27FC236}">
                <a16:creationId xmlns:a16="http://schemas.microsoft.com/office/drawing/2014/main" id="{9446520E-F948-F37D-40DD-DB97691175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52400" y="1023868"/>
            <a:ext cx="383333" cy="383333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41" name="Gráfico 40" descr="Impuestos con relleno sólido">
            <a:hlinkClick xmlns:r="http://schemas.openxmlformats.org/officeDocument/2006/relationships" r:id="rId7" tooltip="IMPUESTOS"/>
            <a:extLst>
              <a:ext uri="{FF2B5EF4-FFF2-40B4-BE49-F238E27FC236}">
                <a16:creationId xmlns:a16="http://schemas.microsoft.com/office/drawing/2014/main" id="{647A04EB-5D10-1911-319F-C06C352DF1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52400" y="1458502"/>
            <a:ext cx="383333" cy="383333"/>
          </a:xfrm>
          <a:prstGeom prst="rect">
            <a:avLst/>
          </a:prstGeom>
        </xdr:spPr>
      </xdr:pic>
      <xdr:pic>
        <xdr:nvPicPr>
          <xdr:cNvPr id="42" name="Gráfico 41" descr="Identificación de empleado con relleno sólido">
            <a:hlinkClick xmlns:r="http://schemas.openxmlformats.org/officeDocument/2006/relationships" r:id="rId10" tooltip="CONDUCTORES"/>
            <a:extLst>
              <a:ext uri="{FF2B5EF4-FFF2-40B4-BE49-F238E27FC236}">
                <a16:creationId xmlns:a16="http://schemas.microsoft.com/office/drawing/2014/main" id="{D33312BE-C811-43DA-0BC4-900F08AD8C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rcRect/>
          <a:stretch/>
        </xdr:blipFill>
        <xdr:spPr>
          <a:xfrm>
            <a:off x="168806" y="1893136"/>
            <a:ext cx="350520" cy="350520"/>
          </a:xfrm>
          <a:prstGeom prst="rect">
            <a:avLst/>
          </a:prstGeom>
        </xdr:spPr>
      </xdr:pic>
      <xdr:pic>
        <xdr:nvPicPr>
          <xdr:cNvPr id="43" name="Gráfico 42" descr="Disco de sierra con relleno sólido">
            <a:hlinkClick xmlns:r="http://schemas.openxmlformats.org/officeDocument/2006/relationships" r:id="rId13" tooltip="TALLERES"/>
            <a:extLst>
              <a:ext uri="{FF2B5EF4-FFF2-40B4-BE49-F238E27FC236}">
                <a16:creationId xmlns:a16="http://schemas.microsoft.com/office/drawing/2014/main" id="{4C1BD4E1-B079-FA20-2E1D-E3770E8BD7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rcRect/>
          <a:stretch/>
        </xdr:blipFill>
        <xdr:spPr>
          <a:xfrm>
            <a:off x="152400" y="2294957"/>
            <a:ext cx="383333" cy="383333"/>
          </a:xfrm>
          <a:prstGeom prst="rect">
            <a:avLst/>
          </a:prstGeom>
        </xdr:spPr>
      </xdr:pic>
      <xdr:pic>
        <xdr:nvPicPr>
          <xdr:cNvPr id="44" name="Gráfico 43" descr="Lista con relleno sólido">
            <a:hlinkClick xmlns:r="http://schemas.openxmlformats.org/officeDocument/2006/relationships" r:id="rId16" tooltip="OTRAS LISTAS"/>
            <a:extLst>
              <a:ext uri="{FF2B5EF4-FFF2-40B4-BE49-F238E27FC236}">
                <a16:creationId xmlns:a16="http://schemas.microsoft.com/office/drawing/2014/main" id="{A11E45DA-97F4-BA72-7A74-A5D10326C6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rcRect/>
          <a:stretch/>
        </xdr:blipFill>
        <xdr:spPr>
          <a:xfrm>
            <a:off x="168806" y="2729591"/>
            <a:ext cx="350520" cy="350520"/>
          </a:xfrm>
          <a:prstGeom prst="rect">
            <a:avLst/>
          </a:prstGeom>
        </xdr:spPr>
      </xdr:pic>
      <xdr:pic>
        <xdr:nvPicPr>
          <xdr:cNvPr id="45" name="Gráfico 44" descr="Dirigir dos pines por un camino con relleno sólido">
            <a:hlinkClick xmlns:r="http://schemas.openxmlformats.org/officeDocument/2006/relationships" r:id="rId19" tooltip="RUTAS"/>
            <a:extLst>
              <a:ext uri="{FF2B5EF4-FFF2-40B4-BE49-F238E27FC236}">
                <a16:creationId xmlns:a16="http://schemas.microsoft.com/office/drawing/2014/main" id="{E4680267-5CD9-D357-9B30-A8B38F3A7E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1"/>
              </a:ext>
            </a:extLst>
          </a:blip>
          <a:srcRect/>
          <a:stretch/>
        </xdr:blipFill>
        <xdr:spPr>
          <a:xfrm>
            <a:off x="152400" y="3131412"/>
            <a:ext cx="383333" cy="383333"/>
          </a:xfrm>
          <a:prstGeom prst="rect">
            <a:avLst/>
          </a:prstGeom>
        </xdr:spPr>
      </xdr:pic>
      <xdr:pic>
        <xdr:nvPicPr>
          <xdr:cNvPr id="46" name="Gráfico 45" descr="Cuaderno de estrategias con relleno sólido">
            <a:hlinkClick xmlns:r="http://schemas.openxmlformats.org/officeDocument/2006/relationships" r:id="rId22" tooltip="MULTAS"/>
            <a:extLst>
              <a:ext uri="{FF2B5EF4-FFF2-40B4-BE49-F238E27FC236}">
                <a16:creationId xmlns:a16="http://schemas.microsoft.com/office/drawing/2014/main" id="{62174C6B-7FE7-342F-6AE4-3C32BABFAB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4"/>
              </a:ext>
            </a:extLst>
          </a:blip>
          <a:srcRect/>
          <a:stretch/>
        </xdr:blipFill>
        <xdr:spPr>
          <a:xfrm>
            <a:off x="152400" y="3566046"/>
            <a:ext cx="383333" cy="383333"/>
          </a:xfrm>
          <a:prstGeom prst="rect">
            <a:avLst/>
          </a:prstGeom>
        </xdr:spPr>
      </xdr:pic>
      <xdr:pic>
        <xdr:nvPicPr>
          <xdr:cNvPr id="47" name="Gráfico 46" descr="Herramientas con relleno sólido">
            <a:hlinkClick xmlns:r="http://schemas.openxmlformats.org/officeDocument/2006/relationships" r:id="rId25" tooltip="MANTENIMIENTO"/>
            <a:extLst>
              <a:ext uri="{FF2B5EF4-FFF2-40B4-BE49-F238E27FC236}">
                <a16:creationId xmlns:a16="http://schemas.microsoft.com/office/drawing/2014/main" id="{0D2094BE-10ED-22DB-16CA-CAA1838F79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7"/>
              </a:ext>
            </a:extLst>
          </a:blip>
          <a:srcRect/>
          <a:stretch/>
        </xdr:blipFill>
        <xdr:spPr>
          <a:xfrm>
            <a:off x="164066" y="4000680"/>
            <a:ext cx="360000" cy="360000"/>
          </a:xfrm>
          <a:prstGeom prst="rect">
            <a:avLst/>
          </a:prstGeom>
          <a:effectLst/>
        </xdr:spPr>
      </xdr:pic>
      <xdr:pic>
        <xdr:nvPicPr>
          <xdr:cNvPr id="48" name="Gráfico 47" descr="Gráfico de barras con tendencia alcista con relleno sólido">
            <a:hlinkClick xmlns:r="http://schemas.openxmlformats.org/officeDocument/2006/relationships" r:id="rId28" tooltip="REPORTES"/>
            <a:extLst>
              <a:ext uri="{FF2B5EF4-FFF2-40B4-BE49-F238E27FC236}">
                <a16:creationId xmlns:a16="http://schemas.microsoft.com/office/drawing/2014/main" id="{23080E20-9B3C-AA65-4DA4-7F0BF712BF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0"/>
              </a:ext>
            </a:extLst>
          </a:blip>
          <a:srcRect/>
          <a:stretch/>
        </xdr:blipFill>
        <xdr:spPr>
          <a:xfrm>
            <a:off x="152400" y="4411980"/>
            <a:ext cx="383333" cy="383333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2</xdr:row>
      <xdr:rowOff>14393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19FE48-155B-48C5-AEFA-6262BF058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2</xdr:row>
      <xdr:rowOff>16933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8E31E-66C6-43AB-BE7F-93143669E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2</xdr:row>
      <xdr:rowOff>146473</xdr:rowOff>
    </xdr:from>
    <xdr:to>
      <xdr:col>0</xdr:col>
      <xdr:colOff>535733</xdr:colOff>
      <xdr:row>25</xdr:row>
      <xdr:rowOff>34507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8FAE8E7E-0C80-AD07-E7F2-9F665E70C646}"/>
            </a:ext>
          </a:extLst>
        </xdr:cNvPr>
        <xdr:cNvGrpSpPr/>
      </xdr:nvGrpSpPr>
      <xdr:grpSpPr>
        <a:xfrm>
          <a:off x="152400" y="710917"/>
          <a:ext cx="383333" cy="4643479"/>
          <a:chOff x="152400" y="701040"/>
          <a:chExt cx="383333" cy="4094273"/>
        </a:xfrm>
      </xdr:grpSpPr>
      <xdr:pic>
        <xdr:nvPicPr>
          <xdr:cNvPr id="4" name="Gráfico 3" descr="Lavado de autos con relleno sólido">
            <a:hlinkClick xmlns:r="http://schemas.openxmlformats.org/officeDocument/2006/relationships" r:id="rId2" tooltip="FLOTA"/>
            <a:extLst>
              <a:ext uri="{FF2B5EF4-FFF2-40B4-BE49-F238E27FC236}">
                <a16:creationId xmlns:a16="http://schemas.microsoft.com/office/drawing/2014/main" id="{0ABF4C9D-56D2-96AC-C3AE-2E54FF434A4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t="29166"/>
          <a:stretch/>
        </xdr:blipFill>
        <xdr:spPr>
          <a:xfrm>
            <a:off x="152400" y="701040"/>
            <a:ext cx="383332" cy="271527"/>
          </a:xfrm>
          <a:prstGeom prst="rect">
            <a:avLst/>
          </a:prstGeom>
          <a:effectLst/>
        </xdr:spPr>
      </xdr:pic>
      <xdr:pic>
        <xdr:nvPicPr>
          <xdr:cNvPr id="5" name="Gráfico 4" descr="Bloquear con relleno sólido">
            <a:hlinkClick xmlns:r="http://schemas.openxmlformats.org/officeDocument/2006/relationships" r:id="rId5" tooltip="SEGUROS"/>
            <a:extLst>
              <a:ext uri="{FF2B5EF4-FFF2-40B4-BE49-F238E27FC236}">
                <a16:creationId xmlns:a16="http://schemas.microsoft.com/office/drawing/2014/main" id="{3CE255AB-18AB-37E4-0C64-D02C80DE54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2400" y="1023868"/>
            <a:ext cx="383333" cy="383333"/>
          </a:xfrm>
          <a:prstGeom prst="rect">
            <a:avLst/>
          </a:prstGeom>
          <a:effectLst/>
        </xdr:spPr>
      </xdr:pic>
      <xdr:pic>
        <xdr:nvPicPr>
          <xdr:cNvPr id="6" name="Gráfico 5" descr="Impuestos con relleno sólido">
            <a:hlinkClick xmlns:r="http://schemas.openxmlformats.org/officeDocument/2006/relationships" r:id="rId8" tooltip="IMPUESTOS"/>
            <a:extLst>
              <a:ext uri="{FF2B5EF4-FFF2-40B4-BE49-F238E27FC236}">
                <a16:creationId xmlns:a16="http://schemas.microsoft.com/office/drawing/2014/main" id="{F71C75A3-BBDD-9A3D-3684-845D2305AE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2400" y="1458502"/>
            <a:ext cx="383333" cy="383333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7" name="Gráfico 6" descr="Identificación de empleado con relleno sólido">
            <a:hlinkClick xmlns:r="http://schemas.openxmlformats.org/officeDocument/2006/relationships" r:id="rId11" tooltip="CONDUCTORES"/>
            <a:extLst>
              <a:ext uri="{FF2B5EF4-FFF2-40B4-BE49-F238E27FC236}">
                <a16:creationId xmlns:a16="http://schemas.microsoft.com/office/drawing/2014/main" id="{DD2FFD10-E709-4DA3-932C-DE04DFD7C4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68806" y="1893136"/>
            <a:ext cx="350520" cy="350520"/>
          </a:xfrm>
          <a:prstGeom prst="rect">
            <a:avLst/>
          </a:prstGeom>
        </xdr:spPr>
      </xdr:pic>
      <xdr:pic>
        <xdr:nvPicPr>
          <xdr:cNvPr id="8" name="Gráfico 7" descr="Disco de sierra con relleno sólido">
            <a:hlinkClick xmlns:r="http://schemas.openxmlformats.org/officeDocument/2006/relationships" r:id="rId14" tooltip="TALLERES"/>
            <a:extLst>
              <a:ext uri="{FF2B5EF4-FFF2-40B4-BE49-F238E27FC236}">
                <a16:creationId xmlns:a16="http://schemas.microsoft.com/office/drawing/2014/main" id="{F96413AE-4475-DAE9-F682-A5883804C3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rcRect/>
          <a:stretch/>
        </xdr:blipFill>
        <xdr:spPr>
          <a:xfrm>
            <a:off x="152400" y="2294957"/>
            <a:ext cx="383333" cy="383333"/>
          </a:xfrm>
          <a:prstGeom prst="rect">
            <a:avLst/>
          </a:prstGeom>
        </xdr:spPr>
      </xdr:pic>
      <xdr:pic>
        <xdr:nvPicPr>
          <xdr:cNvPr id="9" name="Gráfico 8" descr="Lista con relleno sólido">
            <a:hlinkClick xmlns:r="http://schemas.openxmlformats.org/officeDocument/2006/relationships" r:id="rId17" tooltip="OTRAS LISTAS"/>
            <a:extLst>
              <a:ext uri="{FF2B5EF4-FFF2-40B4-BE49-F238E27FC236}">
                <a16:creationId xmlns:a16="http://schemas.microsoft.com/office/drawing/2014/main" id="{22F0FA4A-F73F-54DA-D2A3-A71B1686E0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9"/>
              </a:ext>
            </a:extLst>
          </a:blip>
          <a:srcRect/>
          <a:stretch/>
        </xdr:blipFill>
        <xdr:spPr>
          <a:xfrm>
            <a:off x="168806" y="2729591"/>
            <a:ext cx="350520" cy="350520"/>
          </a:xfrm>
          <a:prstGeom prst="rect">
            <a:avLst/>
          </a:prstGeom>
        </xdr:spPr>
      </xdr:pic>
      <xdr:pic>
        <xdr:nvPicPr>
          <xdr:cNvPr id="10" name="Gráfico 9" descr="Dirigir dos pines por un camino con relleno sólido">
            <a:hlinkClick xmlns:r="http://schemas.openxmlformats.org/officeDocument/2006/relationships" r:id="rId20" tooltip="RUTAS"/>
            <a:extLst>
              <a:ext uri="{FF2B5EF4-FFF2-40B4-BE49-F238E27FC236}">
                <a16:creationId xmlns:a16="http://schemas.microsoft.com/office/drawing/2014/main" id="{BD900561-CD63-126D-52FB-B2F6F33826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rcRect/>
          <a:stretch/>
        </xdr:blipFill>
        <xdr:spPr>
          <a:xfrm>
            <a:off x="152400" y="3131412"/>
            <a:ext cx="383333" cy="383333"/>
          </a:xfrm>
          <a:prstGeom prst="rect">
            <a:avLst/>
          </a:prstGeom>
        </xdr:spPr>
      </xdr:pic>
      <xdr:pic>
        <xdr:nvPicPr>
          <xdr:cNvPr id="11" name="Gráfico 10" descr="Cuaderno de estrategias con relleno sólido">
            <a:hlinkClick xmlns:r="http://schemas.openxmlformats.org/officeDocument/2006/relationships" r:id="rId23" tooltip="MULTAS"/>
            <a:extLst>
              <a:ext uri="{FF2B5EF4-FFF2-40B4-BE49-F238E27FC236}">
                <a16:creationId xmlns:a16="http://schemas.microsoft.com/office/drawing/2014/main" id="{F402258B-723D-76FE-5E4C-FCF9FC937E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5"/>
              </a:ext>
            </a:extLst>
          </a:blip>
          <a:srcRect/>
          <a:stretch/>
        </xdr:blipFill>
        <xdr:spPr>
          <a:xfrm>
            <a:off x="152400" y="3566046"/>
            <a:ext cx="383333" cy="383333"/>
          </a:xfrm>
          <a:prstGeom prst="rect">
            <a:avLst/>
          </a:prstGeom>
        </xdr:spPr>
      </xdr:pic>
      <xdr:pic>
        <xdr:nvPicPr>
          <xdr:cNvPr id="12" name="Gráfico 11" descr="Herramientas con relleno sólido">
            <a:hlinkClick xmlns:r="http://schemas.openxmlformats.org/officeDocument/2006/relationships" r:id="rId26" tooltip="MANTENIMIENTO"/>
            <a:extLst>
              <a:ext uri="{FF2B5EF4-FFF2-40B4-BE49-F238E27FC236}">
                <a16:creationId xmlns:a16="http://schemas.microsoft.com/office/drawing/2014/main" id="{91420101-3215-5B9B-94FB-986D897C9C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rcRect/>
          <a:stretch/>
        </xdr:blipFill>
        <xdr:spPr>
          <a:xfrm>
            <a:off x="164066" y="4000680"/>
            <a:ext cx="360000" cy="360000"/>
          </a:xfrm>
          <a:prstGeom prst="rect">
            <a:avLst/>
          </a:prstGeom>
          <a:effectLst/>
        </xdr:spPr>
      </xdr:pic>
      <xdr:pic>
        <xdr:nvPicPr>
          <xdr:cNvPr id="13" name="Gráfico 12" descr="Gráfico de barras con tendencia alcista con relleno sólido">
            <a:hlinkClick xmlns:r="http://schemas.openxmlformats.org/officeDocument/2006/relationships" r:id="rId29" tooltip="REPORTES"/>
            <a:extLst>
              <a:ext uri="{FF2B5EF4-FFF2-40B4-BE49-F238E27FC236}">
                <a16:creationId xmlns:a16="http://schemas.microsoft.com/office/drawing/2014/main" id="{8E5BE56E-9B92-A979-9BCD-33DF7F9236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rcRect/>
          <a:stretch/>
        </xdr:blipFill>
        <xdr:spPr>
          <a:xfrm>
            <a:off x="152400" y="4411980"/>
            <a:ext cx="383333" cy="38333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2</xdr:row>
      <xdr:rowOff>16933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4F8C57-79F2-4FAD-A0F2-70636A37D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2</xdr:row>
      <xdr:rowOff>146473</xdr:rowOff>
    </xdr:from>
    <xdr:to>
      <xdr:col>0</xdr:col>
      <xdr:colOff>535733</xdr:colOff>
      <xdr:row>25</xdr:row>
      <xdr:rowOff>34507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9A858E56-D7C4-769D-606E-3B3D56C681DE}"/>
            </a:ext>
          </a:extLst>
        </xdr:cNvPr>
        <xdr:cNvGrpSpPr/>
      </xdr:nvGrpSpPr>
      <xdr:grpSpPr>
        <a:xfrm>
          <a:off x="152400" y="710917"/>
          <a:ext cx="383333" cy="4572923"/>
          <a:chOff x="152400" y="701040"/>
          <a:chExt cx="383333" cy="4094273"/>
        </a:xfrm>
      </xdr:grpSpPr>
      <xdr:pic>
        <xdr:nvPicPr>
          <xdr:cNvPr id="15" name="Gráfico 14" descr="Lavado de autos con relleno sólido">
            <a:hlinkClick xmlns:r="http://schemas.openxmlformats.org/officeDocument/2006/relationships" r:id="rId2" tooltip="FLOTA"/>
            <a:extLst>
              <a:ext uri="{FF2B5EF4-FFF2-40B4-BE49-F238E27FC236}">
                <a16:creationId xmlns:a16="http://schemas.microsoft.com/office/drawing/2014/main" id="{7DB4BF67-06CF-CC77-2536-3C07F42389B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t="29166"/>
          <a:stretch/>
        </xdr:blipFill>
        <xdr:spPr>
          <a:xfrm>
            <a:off x="152400" y="701040"/>
            <a:ext cx="383332" cy="271527"/>
          </a:xfrm>
          <a:prstGeom prst="rect">
            <a:avLst/>
          </a:prstGeom>
          <a:effectLst/>
        </xdr:spPr>
      </xdr:pic>
      <xdr:pic>
        <xdr:nvPicPr>
          <xdr:cNvPr id="16" name="Gráfico 15" descr="Bloquear con relleno sólido">
            <a:hlinkClick xmlns:r="http://schemas.openxmlformats.org/officeDocument/2006/relationships" r:id="rId5" tooltip="SEGUROS"/>
            <a:extLst>
              <a:ext uri="{FF2B5EF4-FFF2-40B4-BE49-F238E27FC236}">
                <a16:creationId xmlns:a16="http://schemas.microsoft.com/office/drawing/2014/main" id="{67BE1170-F88A-8416-08E2-42235EEF13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2400" y="1023868"/>
            <a:ext cx="383333" cy="383333"/>
          </a:xfrm>
          <a:prstGeom prst="rect">
            <a:avLst/>
          </a:prstGeom>
          <a:effectLst/>
        </xdr:spPr>
      </xdr:pic>
      <xdr:pic>
        <xdr:nvPicPr>
          <xdr:cNvPr id="17" name="Gráfico 16" descr="Impuestos con relleno sólido">
            <a:hlinkClick xmlns:r="http://schemas.openxmlformats.org/officeDocument/2006/relationships" r:id="rId8" tooltip="IMPUESTOS"/>
            <a:extLst>
              <a:ext uri="{FF2B5EF4-FFF2-40B4-BE49-F238E27FC236}">
                <a16:creationId xmlns:a16="http://schemas.microsoft.com/office/drawing/2014/main" id="{44E50E78-4597-DB34-9BB5-9333CBA990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2400" y="1458502"/>
            <a:ext cx="383333" cy="383333"/>
          </a:xfrm>
          <a:prstGeom prst="rect">
            <a:avLst/>
          </a:prstGeom>
          <a:effectLst/>
        </xdr:spPr>
      </xdr:pic>
      <xdr:pic>
        <xdr:nvPicPr>
          <xdr:cNvPr id="18" name="Gráfico 17" descr="Identificación de empleado con relleno sólido">
            <a:hlinkClick xmlns:r="http://schemas.openxmlformats.org/officeDocument/2006/relationships" r:id="rId11" tooltip="CONDUCTORES"/>
            <a:extLst>
              <a:ext uri="{FF2B5EF4-FFF2-40B4-BE49-F238E27FC236}">
                <a16:creationId xmlns:a16="http://schemas.microsoft.com/office/drawing/2014/main" id="{25F4328B-66FA-A3C3-1D45-61D22226A1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68806" y="1893136"/>
            <a:ext cx="350520" cy="350520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19" name="Gráfico 18" descr="Disco de sierra con relleno sólido">
            <a:hlinkClick xmlns:r="http://schemas.openxmlformats.org/officeDocument/2006/relationships" r:id="rId14" tooltip="TALLERES"/>
            <a:extLst>
              <a:ext uri="{FF2B5EF4-FFF2-40B4-BE49-F238E27FC236}">
                <a16:creationId xmlns:a16="http://schemas.microsoft.com/office/drawing/2014/main" id="{29E749BE-C69E-2E02-1B38-EF067D8548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rcRect/>
          <a:stretch/>
        </xdr:blipFill>
        <xdr:spPr>
          <a:xfrm>
            <a:off x="152400" y="2294957"/>
            <a:ext cx="383333" cy="383333"/>
          </a:xfrm>
          <a:prstGeom prst="rect">
            <a:avLst/>
          </a:prstGeom>
        </xdr:spPr>
      </xdr:pic>
      <xdr:pic>
        <xdr:nvPicPr>
          <xdr:cNvPr id="20" name="Gráfico 19" descr="Lista con relleno sólido">
            <a:hlinkClick xmlns:r="http://schemas.openxmlformats.org/officeDocument/2006/relationships" r:id="rId17" tooltip="OTRAS LISTAS"/>
            <a:extLst>
              <a:ext uri="{FF2B5EF4-FFF2-40B4-BE49-F238E27FC236}">
                <a16:creationId xmlns:a16="http://schemas.microsoft.com/office/drawing/2014/main" id="{9BCB5F01-2763-0484-5CF9-0CAB9BE9DE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9"/>
              </a:ext>
            </a:extLst>
          </a:blip>
          <a:srcRect/>
          <a:stretch/>
        </xdr:blipFill>
        <xdr:spPr>
          <a:xfrm>
            <a:off x="168806" y="2729591"/>
            <a:ext cx="350520" cy="350520"/>
          </a:xfrm>
          <a:prstGeom prst="rect">
            <a:avLst/>
          </a:prstGeom>
        </xdr:spPr>
      </xdr:pic>
      <xdr:pic>
        <xdr:nvPicPr>
          <xdr:cNvPr id="21" name="Gráfico 20" descr="Dirigir dos pines por un camino con relleno sólido">
            <a:hlinkClick xmlns:r="http://schemas.openxmlformats.org/officeDocument/2006/relationships" r:id="rId20" tooltip="RUTAS"/>
            <a:extLst>
              <a:ext uri="{FF2B5EF4-FFF2-40B4-BE49-F238E27FC236}">
                <a16:creationId xmlns:a16="http://schemas.microsoft.com/office/drawing/2014/main" id="{76C8E07F-01E9-77C7-6EEC-D3EF81EEE1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rcRect/>
          <a:stretch/>
        </xdr:blipFill>
        <xdr:spPr>
          <a:xfrm>
            <a:off x="152400" y="3131412"/>
            <a:ext cx="383333" cy="383333"/>
          </a:xfrm>
          <a:prstGeom prst="rect">
            <a:avLst/>
          </a:prstGeom>
        </xdr:spPr>
      </xdr:pic>
      <xdr:pic>
        <xdr:nvPicPr>
          <xdr:cNvPr id="22" name="Gráfico 21" descr="Cuaderno de estrategias con relleno sólido">
            <a:hlinkClick xmlns:r="http://schemas.openxmlformats.org/officeDocument/2006/relationships" r:id="rId23" tooltip="MULTAS"/>
            <a:extLst>
              <a:ext uri="{FF2B5EF4-FFF2-40B4-BE49-F238E27FC236}">
                <a16:creationId xmlns:a16="http://schemas.microsoft.com/office/drawing/2014/main" id="{E031E5F2-A231-AAE4-D1BC-B47AA5611E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5"/>
              </a:ext>
            </a:extLst>
          </a:blip>
          <a:srcRect/>
          <a:stretch/>
        </xdr:blipFill>
        <xdr:spPr>
          <a:xfrm>
            <a:off x="152400" y="3566046"/>
            <a:ext cx="383333" cy="383333"/>
          </a:xfrm>
          <a:prstGeom prst="rect">
            <a:avLst/>
          </a:prstGeom>
        </xdr:spPr>
      </xdr:pic>
      <xdr:pic>
        <xdr:nvPicPr>
          <xdr:cNvPr id="23" name="Gráfico 22" descr="Herramientas con relleno sólido">
            <a:hlinkClick xmlns:r="http://schemas.openxmlformats.org/officeDocument/2006/relationships" r:id="rId26" tooltip="MANTENIMIENTO"/>
            <a:extLst>
              <a:ext uri="{FF2B5EF4-FFF2-40B4-BE49-F238E27FC236}">
                <a16:creationId xmlns:a16="http://schemas.microsoft.com/office/drawing/2014/main" id="{AF05191B-13FC-6053-24C7-B88CD2E731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rcRect/>
          <a:stretch/>
        </xdr:blipFill>
        <xdr:spPr>
          <a:xfrm>
            <a:off x="164066" y="4000680"/>
            <a:ext cx="360000" cy="360000"/>
          </a:xfrm>
          <a:prstGeom prst="rect">
            <a:avLst/>
          </a:prstGeom>
          <a:effectLst/>
        </xdr:spPr>
      </xdr:pic>
      <xdr:pic>
        <xdr:nvPicPr>
          <xdr:cNvPr id="24" name="Gráfico 23" descr="Gráfico de barras con tendencia alcista con relleno sólido">
            <a:hlinkClick xmlns:r="http://schemas.openxmlformats.org/officeDocument/2006/relationships" r:id="rId29" tooltip="REPORTES"/>
            <a:extLst>
              <a:ext uri="{FF2B5EF4-FFF2-40B4-BE49-F238E27FC236}">
                <a16:creationId xmlns:a16="http://schemas.microsoft.com/office/drawing/2014/main" id="{A8F65A11-056E-3EC8-6253-ABDCAA9EB8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rcRect/>
          <a:stretch/>
        </xdr:blipFill>
        <xdr:spPr>
          <a:xfrm>
            <a:off x="152400" y="4411980"/>
            <a:ext cx="383333" cy="38333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232834</xdr:colOff>
      <xdr:row>0</xdr:row>
      <xdr:rowOff>444500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64E8334-1295-4F3E-BA80-35AAB920B20F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66750" y="0"/>
          <a:ext cx="2042584" cy="444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2</xdr:row>
      <xdr:rowOff>16933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CE9473-EB28-4979-8DDF-5735F2692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2</xdr:row>
      <xdr:rowOff>146473</xdr:rowOff>
    </xdr:from>
    <xdr:to>
      <xdr:col>0</xdr:col>
      <xdr:colOff>535733</xdr:colOff>
      <xdr:row>25</xdr:row>
      <xdr:rowOff>34507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0DA2479C-0878-9B23-6DEF-2E1B7ED33D74}"/>
            </a:ext>
          </a:extLst>
        </xdr:cNvPr>
        <xdr:cNvGrpSpPr/>
      </xdr:nvGrpSpPr>
      <xdr:grpSpPr>
        <a:xfrm>
          <a:off x="152400" y="710917"/>
          <a:ext cx="383333" cy="4572923"/>
          <a:chOff x="152400" y="701040"/>
          <a:chExt cx="383333" cy="4094273"/>
        </a:xfrm>
      </xdr:grpSpPr>
      <xdr:pic>
        <xdr:nvPicPr>
          <xdr:cNvPr id="4" name="Gráfico 3" descr="Lavado de autos con relleno sólido">
            <a:hlinkClick xmlns:r="http://schemas.openxmlformats.org/officeDocument/2006/relationships" r:id="rId2" tooltip="FLOTA"/>
            <a:extLst>
              <a:ext uri="{FF2B5EF4-FFF2-40B4-BE49-F238E27FC236}">
                <a16:creationId xmlns:a16="http://schemas.microsoft.com/office/drawing/2014/main" id="{6C8FF414-1533-9881-D624-62D6855AF7B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t="29166"/>
          <a:stretch/>
        </xdr:blipFill>
        <xdr:spPr>
          <a:xfrm>
            <a:off x="152400" y="701040"/>
            <a:ext cx="383332" cy="271527"/>
          </a:xfrm>
          <a:prstGeom prst="rect">
            <a:avLst/>
          </a:prstGeom>
          <a:effectLst/>
        </xdr:spPr>
      </xdr:pic>
      <xdr:pic>
        <xdr:nvPicPr>
          <xdr:cNvPr id="5" name="Gráfico 4" descr="Bloquear con relleno sólido">
            <a:hlinkClick xmlns:r="http://schemas.openxmlformats.org/officeDocument/2006/relationships" r:id="rId5" tooltip="SEGUROS"/>
            <a:extLst>
              <a:ext uri="{FF2B5EF4-FFF2-40B4-BE49-F238E27FC236}">
                <a16:creationId xmlns:a16="http://schemas.microsoft.com/office/drawing/2014/main" id="{20FF65B1-BD1E-5543-EAEC-5A33D06663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2400" y="1023868"/>
            <a:ext cx="383333" cy="383333"/>
          </a:xfrm>
          <a:prstGeom prst="rect">
            <a:avLst/>
          </a:prstGeom>
          <a:effectLst/>
        </xdr:spPr>
      </xdr:pic>
      <xdr:pic>
        <xdr:nvPicPr>
          <xdr:cNvPr id="6" name="Gráfico 5" descr="Impuestos con relleno sólido">
            <a:hlinkClick xmlns:r="http://schemas.openxmlformats.org/officeDocument/2006/relationships" r:id="rId8" tooltip="IMPUESTOS"/>
            <a:extLst>
              <a:ext uri="{FF2B5EF4-FFF2-40B4-BE49-F238E27FC236}">
                <a16:creationId xmlns:a16="http://schemas.microsoft.com/office/drawing/2014/main" id="{CD7E398F-E61E-CCC8-FA1C-A6B33664D0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2400" y="1458502"/>
            <a:ext cx="383333" cy="383333"/>
          </a:xfrm>
          <a:prstGeom prst="rect">
            <a:avLst/>
          </a:prstGeom>
          <a:effectLst/>
        </xdr:spPr>
      </xdr:pic>
      <xdr:pic>
        <xdr:nvPicPr>
          <xdr:cNvPr id="7" name="Gráfico 6" descr="Identificación de empleado con relleno sólido">
            <a:hlinkClick xmlns:r="http://schemas.openxmlformats.org/officeDocument/2006/relationships" r:id="rId11" tooltip="CONDUCTORES"/>
            <a:extLst>
              <a:ext uri="{FF2B5EF4-FFF2-40B4-BE49-F238E27FC236}">
                <a16:creationId xmlns:a16="http://schemas.microsoft.com/office/drawing/2014/main" id="{90741C52-A7F2-0C6D-6934-8CBD7E2360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68806" y="1893136"/>
            <a:ext cx="350520" cy="350520"/>
          </a:xfrm>
          <a:prstGeom prst="rect">
            <a:avLst/>
          </a:prstGeom>
          <a:effectLst/>
        </xdr:spPr>
      </xdr:pic>
      <xdr:pic>
        <xdr:nvPicPr>
          <xdr:cNvPr id="8" name="Gráfico 7" descr="Disco de sierra con relleno sólido">
            <a:hlinkClick xmlns:r="http://schemas.openxmlformats.org/officeDocument/2006/relationships" r:id="rId14" tooltip="TALLERES"/>
            <a:extLst>
              <a:ext uri="{FF2B5EF4-FFF2-40B4-BE49-F238E27FC236}">
                <a16:creationId xmlns:a16="http://schemas.microsoft.com/office/drawing/2014/main" id="{356249AF-90BE-8F3D-8CE0-6DA0829CA6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rcRect/>
          <a:stretch/>
        </xdr:blipFill>
        <xdr:spPr>
          <a:xfrm>
            <a:off x="152400" y="2294957"/>
            <a:ext cx="383333" cy="383333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9" name="Gráfico 8" descr="Lista con relleno sólido">
            <a:hlinkClick xmlns:r="http://schemas.openxmlformats.org/officeDocument/2006/relationships" r:id="rId17" tooltip="OTRAS LISTAS"/>
            <a:extLst>
              <a:ext uri="{FF2B5EF4-FFF2-40B4-BE49-F238E27FC236}">
                <a16:creationId xmlns:a16="http://schemas.microsoft.com/office/drawing/2014/main" id="{1192F197-E733-08A0-94D0-365F6B96B0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9"/>
              </a:ext>
            </a:extLst>
          </a:blip>
          <a:srcRect/>
          <a:stretch/>
        </xdr:blipFill>
        <xdr:spPr>
          <a:xfrm>
            <a:off x="168806" y="2729591"/>
            <a:ext cx="350520" cy="350520"/>
          </a:xfrm>
          <a:prstGeom prst="rect">
            <a:avLst/>
          </a:prstGeom>
        </xdr:spPr>
      </xdr:pic>
      <xdr:pic>
        <xdr:nvPicPr>
          <xdr:cNvPr id="10" name="Gráfico 9" descr="Dirigir dos pines por un camino con relleno sólido">
            <a:hlinkClick xmlns:r="http://schemas.openxmlformats.org/officeDocument/2006/relationships" r:id="rId20" tooltip="RUTAS"/>
            <a:extLst>
              <a:ext uri="{FF2B5EF4-FFF2-40B4-BE49-F238E27FC236}">
                <a16:creationId xmlns:a16="http://schemas.microsoft.com/office/drawing/2014/main" id="{8F95DF09-8DC1-1F3B-77BF-F52414DCDC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rcRect/>
          <a:stretch/>
        </xdr:blipFill>
        <xdr:spPr>
          <a:xfrm>
            <a:off x="152400" y="3131412"/>
            <a:ext cx="383333" cy="383333"/>
          </a:xfrm>
          <a:prstGeom prst="rect">
            <a:avLst/>
          </a:prstGeom>
        </xdr:spPr>
      </xdr:pic>
      <xdr:pic>
        <xdr:nvPicPr>
          <xdr:cNvPr id="11" name="Gráfico 10" descr="Cuaderno de estrategias con relleno sólido">
            <a:hlinkClick xmlns:r="http://schemas.openxmlformats.org/officeDocument/2006/relationships" r:id="rId23" tooltip="MULTAS"/>
            <a:extLst>
              <a:ext uri="{FF2B5EF4-FFF2-40B4-BE49-F238E27FC236}">
                <a16:creationId xmlns:a16="http://schemas.microsoft.com/office/drawing/2014/main" id="{C9E8EF95-613B-5245-BB51-9CF3BAD8C5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5"/>
              </a:ext>
            </a:extLst>
          </a:blip>
          <a:srcRect/>
          <a:stretch/>
        </xdr:blipFill>
        <xdr:spPr>
          <a:xfrm>
            <a:off x="152400" y="3566046"/>
            <a:ext cx="383333" cy="383333"/>
          </a:xfrm>
          <a:prstGeom prst="rect">
            <a:avLst/>
          </a:prstGeom>
        </xdr:spPr>
      </xdr:pic>
      <xdr:pic>
        <xdr:nvPicPr>
          <xdr:cNvPr id="12" name="Gráfico 11" descr="Herramientas con relleno sólido">
            <a:hlinkClick xmlns:r="http://schemas.openxmlformats.org/officeDocument/2006/relationships" r:id="rId26" tooltip="MANTENIMIENTO"/>
            <a:extLst>
              <a:ext uri="{FF2B5EF4-FFF2-40B4-BE49-F238E27FC236}">
                <a16:creationId xmlns:a16="http://schemas.microsoft.com/office/drawing/2014/main" id="{77FB306F-57B2-234E-1313-F9A97C3444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rcRect/>
          <a:stretch/>
        </xdr:blipFill>
        <xdr:spPr>
          <a:xfrm>
            <a:off x="164066" y="4000680"/>
            <a:ext cx="360000" cy="360000"/>
          </a:xfrm>
          <a:prstGeom prst="rect">
            <a:avLst/>
          </a:prstGeom>
          <a:effectLst/>
        </xdr:spPr>
      </xdr:pic>
      <xdr:pic>
        <xdr:nvPicPr>
          <xdr:cNvPr id="13" name="Gráfico 12" descr="Gráfico de barras con tendencia alcista con relleno sólido">
            <a:hlinkClick xmlns:r="http://schemas.openxmlformats.org/officeDocument/2006/relationships" r:id="rId29" tooltip="REPORTES"/>
            <a:extLst>
              <a:ext uri="{FF2B5EF4-FFF2-40B4-BE49-F238E27FC236}">
                <a16:creationId xmlns:a16="http://schemas.microsoft.com/office/drawing/2014/main" id="{77B67AA1-F5ED-C15C-2F9A-2BCD3E9B40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rcRect/>
          <a:stretch/>
        </xdr:blipFill>
        <xdr:spPr>
          <a:xfrm>
            <a:off x="152400" y="4411980"/>
            <a:ext cx="383333" cy="38333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1386417</xdr:colOff>
      <xdr:row>1</xdr:row>
      <xdr:rowOff>10584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307BECB-8860-42AB-98AC-CD7A96BF03EA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66750" y="0"/>
          <a:ext cx="2042584" cy="465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0</xdr:row>
      <xdr:rowOff>567266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DE56C8-2B30-4E8E-B4F1-5296C5AD9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1</xdr:row>
      <xdr:rowOff>53763</xdr:rowOff>
    </xdr:from>
    <xdr:to>
      <xdr:col>0</xdr:col>
      <xdr:colOff>535733</xdr:colOff>
      <xdr:row>24</xdr:row>
      <xdr:rowOff>57789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93CD94A2-7D74-09A9-613A-CF8FE9D5BC31}"/>
            </a:ext>
          </a:extLst>
        </xdr:cNvPr>
        <xdr:cNvGrpSpPr/>
      </xdr:nvGrpSpPr>
      <xdr:grpSpPr>
        <a:xfrm>
          <a:off x="152400" y="702874"/>
          <a:ext cx="383333" cy="4590137"/>
          <a:chOff x="152400" y="701040"/>
          <a:chExt cx="383333" cy="4094273"/>
        </a:xfrm>
      </xdr:grpSpPr>
      <xdr:pic>
        <xdr:nvPicPr>
          <xdr:cNvPr id="4" name="Gráfico 3" descr="Lavado de autos con relleno sólido">
            <a:hlinkClick xmlns:r="http://schemas.openxmlformats.org/officeDocument/2006/relationships" r:id="rId2" tooltip="FLOTA"/>
            <a:extLst>
              <a:ext uri="{FF2B5EF4-FFF2-40B4-BE49-F238E27FC236}">
                <a16:creationId xmlns:a16="http://schemas.microsoft.com/office/drawing/2014/main" id="{6C37AAD1-2ABE-A206-9424-8279C52CC1B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t="29166"/>
          <a:stretch/>
        </xdr:blipFill>
        <xdr:spPr>
          <a:xfrm>
            <a:off x="152400" y="701040"/>
            <a:ext cx="383332" cy="271527"/>
          </a:xfrm>
          <a:prstGeom prst="rect">
            <a:avLst/>
          </a:prstGeom>
          <a:effectLst/>
        </xdr:spPr>
      </xdr:pic>
      <xdr:pic>
        <xdr:nvPicPr>
          <xdr:cNvPr id="5" name="Gráfico 4" descr="Bloquear con relleno sólido">
            <a:hlinkClick xmlns:r="http://schemas.openxmlformats.org/officeDocument/2006/relationships" r:id="rId5" tooltip="SEGUROS"/>
            <a:extLst>
              <a:ext uri="{FF2B5EF4-FFF2-40B4-BE49-F238E27FC236}">
                <a16:creationId xmlns:a16="http://schemas.microsoft.com/office/drawing/2014/main" id="{18FE4981-6853-80FB-386A-F99A7D6630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2400" y="1023868"/>
            <a:ext cx="383333" cy="383333"/>
          </a:xfrm>
          <a:prstGeom prst="rect">
            <a:avLst/>
          </a:prstGeom>
          <a:effectLst/>
        </xdr:spPr>
      </xdr:pic>
      <xdr:pic>
        <xdr:nvPicPr>
          <xdr:cNvPr id="6" name="Gráfico 5" descr="Impuestos con relleno sólido">
            <a:hlinkClick xmlns:r="http://schemas.openxmlformats.org/officeDocument/2006/relationships" r:id="rId8" tooltip="IMPUESTOS"/>
            <a:extLst>
              <a:ext uri="{FF2B5EF4-FFF2-40B4-BE49-F238E27FC236}">
                <a16:creationId xmlns:a16="http://schemas.microsoft.com/office/drawing/2014/main" id="{0065F453-4343-7EBC-7D0B-5A54082200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2400" y="1458502"/>
            <a:ext cx="383333" cy="383333"/>
          </a:xfrm>
          <a:prstGeom prst="rect">
            <a:avLst/>
          </a:prstGeom>
          <a:effectLst/>
        </xdr:spPr>
      </xdr:pic>
      <xdr:pic>
        <xdr:nvPicPr>
          <xdr:cNvPr id="7" name="Gráfico 6" descr="Identificación de empleado con relleno sólido">
            <a:hlinkClick xmlns:r="http://schemas.openxmlformats.org/officeDocument/2006/relationships" r:id="rId11" tooltip="CONDUCTORES"/>
            <a:extLst>
              <a:ext uri="{FF2B5EF4-FFF2-40B4-BE49-F238E27FC236}">
                <a16:creationId xmlns:a16="http://schemas.microsoft.com/office/drawing/2014/main" id="{92680F79-E810-6792-9D3F-C37E8D9B65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68806" y="1893136"/>
            <a:ext cx="350520" cy="350520"/>
          </a:xfrm>
          <a:prstGeom prst="rect">
            <a:avLst/>
          </a:prstGeom>
          <a:effectLst/>
        </xdr:spPr>
      </xdr:pic>
      <xdr:pic>
        <xdr:nvPicPr>
          <xdr:cNvPr id="8" name="Gráfico 7" descr="Disco de sierra con relleno sólido">
            <a:hlinkClick xmlns:r="http://schemas.openxmlformats.org/officeDocument/2006/relationships" r:id="rId14" tooltip="TALLERES"/>
            <a:extLst>
              <a:ext uri="{FF2B5EF4-FFF2-40B4-BE49-F238E27FC236}">
                <a16:creationId xmlns:a16="http://schemas.microsoft.com/office/drawing/2014/main" id="{165820C4-165B-094F-53D7-DC7A8D09F2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rcRect/>
          <a:stretch/>
        </xdr:blipFill>
        <xdr:spPr>
          <a:xfrm>
            <a:off x="152400" y="2294957"/>
            <a:ext cx="383333" cy="383333"/>
          </a:xfrm>
          <a:prstGeom prst="rect">
            <a:avLst/>
          </a:prstGeom>
        </xdr:spPr>
      </xdr:pic>
      <xdr:pic>
        <xdr:nvPicPr>
          <xdr:cNvPr id="9" name="Gráfico 8" descr="Lista con relleno sólido">
            <a:hlinkClick xmlns:r="http://schemas.openxmlformats.org/officeDocument/2006/relationships" r:id="rId17" tooltip="OTRAS LISTAS"/>
            <a:extLst>
              <a:ext uri="{FF2B5EF4-FFF2-40B4-BE49-F238E27FC236}">
                <a16:creationId xmlns:a16="http://schemas.microsoft.com/office/drawing/2014/main" id="{1817D544-5CCC-F13A-CD72-72AA623154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9"/>
              </a:ext>
            </a:extLst>
          </a:blip>
          <a:srcRect/>
          <a:stretch/>
        </xdr:blipFill>
        <xdr:spPr>
          <a:xfrm>
            <a:off x="168806" y="2729591"/>
            <a:ext cx="350520" cy="350520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10" name="Gráfico 9" descr="Dirigir dos pines por un camino con relleno sólido">
            <a:hlinkClick xmlns:r="http://schemas.openxmlformats.org/officeDocument/2006/relationships" r:id="rId20" tooltip="RUTAS"/>
            <a:extLst>
              <a:ext uri="{FF2B5EF4-FFF2-40B4-BE49-F238E27FC236}">
                <a16:creationId xmlns:a16="http://schemas.microsoft.com/office/drawing/2014/main" id="{138DE582-D5ED-B795-93F0-02EE6E61B2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rcRect/>
          <a:stretch/>
        </xdr:blipFill>
        <xdr:spPr>
          <a:xfrm>
            <a:off x="152400" y="3131412"/>
            <a:ext cx="383333" cy="383333"/>
          </a:xfrm>
          <a:prstGeom prst="rect">
            <a:avLst/>
          </a:prstGeom>
        </xdr:spPr>
      </xdr:pic>
      <xdr:pic>
        <xdr:nvPicPr>
          <xdr:cNvPr id="11" name="Gráfico 10" descr="Cuaderno de estrategias con relleno sólido">
            <a:hlinkClick xmlns:r="http://schemas.openxmlformats.org/officeDocument/2006/relationships" r:id="rId23" tooltip="MULTAS"/>
            <a:extLst>
              <a:ext uri="{FF2B5EF4-FFF2-40B4-BE49-F238E27FC236}">
                <a16:creationId xmlns:a16="http://schemas.microsoft.com/office/drawing/2014/main" id="{F1D346FF-C6A3-72CB-4C65-049F5F7206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5"/>
              </a:ext>
            </a:extLst>
          </a:blip>
          <a:srcRect/>
          <a:stretch/>
        </xdr:blipFill>
        <xdr:spPr>
          <a:xfrm>
            <a:off x="152400" y="3566046"/>
            <a:ext cx="383333" cy="383333"/>
          </a:xfrm>
          <a:prstGeom prst="rect">
            <a:avLst/>
          </a:prstGeom>
        </xdr:spPr>
      </xdr:pic>
      <xdr:pic>
        <xdr:nvPicPr>
          <xdr:cNvPr id="12" name="Gráfico 11" descr="Herramientas con relleno sólido">
            <a:hlinkClick xmlns:r="http://schemas.openxmlformats.org/officeDocument/2006/relationships" r:id="rId26" tooltip="MANTENIMIENTO"/>
            <a:extLst>
              <a:ext uri="{FF2B5EF4-FFF2-40B4-BE49-F238E27FC236}">
                <a16:creationId xmlns:a16="http://schemas.microsoft.com/office/drawing/2014/main" id="{B1472F73-8370-759A-A6C2-F6350D7BFF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rcRect/>
          <a:stretch/>
        </xdr:blipFill>
        <xdr:spPr>
          <a:xfrm>
            <a:off x="164066" y="4000680"/>
            <a:ext cx="360000" cy="360000"/>
          </a:xfrm>
          <a:prstGeom prst="rect">
            <a:avLst/>
          </a:prstGeom>
          <a:effectLst/>
        </xdr:spPr>
      </xdr:pic>
      <xdr:pic>
        <xdr:nvPicPr>
          <xdr:cNvPr id="13" name="Gráfico 12" descr="Gráfico de barras con tendencia alcista con relleno sólido">
            <a:hlinkClick xmlns:r="http://schemas.openxmlformats.org/officeDocument/2006/relationships" r:id="rId29" tooltip="REPORTES"/>
            <a:extLst>
              <a:ext uri="{FF2B5EF4-FFF2-40B4-BE49-F238E27FC236}">
                <a16:creationId xmlns:a16="http://schemas.microsoft.com/office/drawing/2014/main" id="{34F5BB1E-F4D8-F3FC-3254-8D6F87FB27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rcRect/>
          <a:stretch/>
        </xdr:blipFill>
        <xdr:spPr>
          <a:xfrm>
            <a:off x="152400" y="4411980"/>
            <a:ext cx="383333" cy="383333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666749</xdr:colOff>
      <xdr:row>0</xdr:row>
      <xdr:rowOff>0</xdr:rowOff>
    </xdr:from>
    <xdr:to>
      <xdr:col>6</xdr:col>
      <xdr:colOff>169334</xdr:colOff>
      <xdr:row>1</xdr:row>
      <xdr:rowOff>10584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B501152-6507-4CAD-9F47-23E6CB352DAB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66749" y="0"/>
          <a:ext cx="2529418" cy="6561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1</xdr:row>
      <xdr:rowOff>6349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9BD22E-2CFC-4A4C-A92E-2730670C0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2</xdr:row>
      <xdr:rowOff>19473</xdr:rowOff>
    </xdr:from>
    <xdr:to>
      <xdr:col>0</xdr:col>
      <xdr:colOff>535733</xdr:colOff>
      <xdr:row>19</xdr:row>
      <xdr:rowOff>45090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BC6AC4E1-E039-702E-DAE4-AA094E7F0F68}"/>
            </a:ext>
          </a:extLst>
        </xdr:cNvPr>
        <xdr:cNvGrpSpPr/>
      </xdr:nvGrpSpPr>
      <xdr:grpSpPr>
        <a:xfrm>
          <a:off x="152400" y="692573"/>
          <a:ext cx="383333" cy="4254717"/>
          <a:chOff x="152400" y="701040"/>
          <a:chExt cx="383333" cy="4094273"/>
        </a:xfrm>
      </xdr:grpSpPr>
      <xdr:pic>
        <xdr:nvPicPr>
          <xdr:cNvPr id="4" name="Gráfico 3" descr="Lavado de autos con relleno sólido">
            <a:hlinkClick xmlns:r="http://schemas.openxmlformats.org/officeDocument/2006/relationships" r:id="rId2" tooltip="FLOTA"/>
            <a:extLst>
              <a:ext uri="{FF2B5EF4-FFF2-40B4-BE49-F238E27FC236}">
                <a16:creationId xmlns:a16="http://schemas.microsoft.com/office/drawing/2014/main" id="{85BA481B-10AE-E112-58FA-255611AA14C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t="29166"/>
          <a:stretch/>
        </xdr:blipFill>
        <xdr:spPr>
          <a:xfrm>
            <a:off x="152400" y="701040"/>
            <a:ext cx="383332" cy="271527"/>
          </a:xfrm>
          <a:prstGeom prst="rect">
            <a:avLst/>
          </a:prstGeom>
          <a:effectLst/>
        </xdr:spPr>
      </xdr:pic>
      <xdr:pic>
        <xdr:nvPicPr>
          <xdr:cNvPr id="5" name="Gráfico 4" descr="Bloquear con relleno sólido">
            <a:hlinkClick xmlns:r="http://schemas.openxmlformats.org/officeDocument/2006/relationships" r:id="rId5" tooltip="SEGUROS"/>
            <a:extLst>
              <a:ext uri="{FF2B5EF4-FFF2-40B4-BE49-F238E27FC236}">
                <a16:creationId xmlns:a16="http://schemas.microsoft.com/office/drawing/2014/main" id="{C77E662D-6DB0-142C-3E72-7791329258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2400" y="1023868"/>
            <a:ext cx="383333" cy="383333"/>
          </a:xfrm>
          <a:prstGeom prst="rect">
            <a:avLst/>
          </a:prstGeom>
          <a:effectLst/>
        </xdr:spPr>
      </xdr:pic>
      <xdr:pic>
        <xdr:nvPicPr>
          <xdr:cNvPr id="6" name="Gráfico 5" descr="Impuestos con relleno sólido">
            <a:hlinkClick xmlns:r="http://schemas.openxmlformats.org/officeDocument/2006/relationships" r:id="rId8" tooltip="IMPUESTOS"/>
            <a:extLst>
              <a:ext uri="{FF2B5EF4-FFF2-40B4-BE49-F238E27FC236}">
                <a16:creationId xmlns:a16="http://schemas.microsoft.com/office/drawing/2014/main" id="{3C1D731F-1B97-04DC-24F5-63AC8CE71C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2400" y="1458502"/>
            <a:ext cx="383333" cy="383333"/>
          </a:xfrm>
          <a:prstGeom prst="rect">
            <a:avLst/>
          </a:prstGeom>
          <a:effectLst/>
        </xdr:spPr>
      </xdr:pic>
      <xdr:pic>
        <xdr:nvPicPr>
          <xdr:cNvPr id="7" name="Gráfico 6" descr="Identificación de empleado con relleno sólido">
            <a:hlinkClick xmlns:r="http://schemas.openxmlformats.org/officeDocument/2006/relationships" r:id="rId11" tooltip="CONDUCTORES"/>
            <a:extLst>
              <a:ext uri="{FF2B5EF4-FFF2-40B4-BE49-F238E27FC236}">
                <a16:creationId xmlns:a16="http://schemas.microsoft.com/office/drawing/2014/main" id="{7C2ABF19-4D76-DAF1-30DD-7E1AC8EFA9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68806" y="1893136"/>
            <a:ext cx="350520" cy="350520"/>
          </a:xfrm>
          <a:prstGeom prst="rect">
            <a:avLst/>
          </a:prstGeom>
          <a:effectLst/>
        </xdr:spPr>
      </xdr:pic>
      <xdr:pic>
        <xdr:nvPicPr>
          <xdr:cNvPr id="8" name="Gráfico 7" descr="Disco de sierra con relleno sólido">
            <a:hlinkClick xmlns:r="http://schemas.openxmlformats.org/officeDocument/2006/relationships" r:id="rId14" tooltip="TALLERES"/>
            <a:extLst>
              <a:ext uri="{FF2B5EF4-FFF2-40B4-BE49-F238E27FC236}">
                <a16:creationId xmlns:a16="http://schemas.microsoft.com/office/drawing/2014/main" id="{F29DF1FE-B316-28F7-76E4-EB97E56374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rcRect/>
          <a:stretch/>
        </xdr:blipFill>
        <xdr:spPr>
          <a:xfrm>
            <a:off x="152400" y="2294957"/>
            <a:ext cx="383333" cy="383333"/>
          </a:xfrm>
          <a:prstGeom prst="rect">
            <a:avLst/>
          </a:prstGeom>
        </xdr:spPr>
      </xdr:pic>
      <xdr:pic>
        <xdr:nvPicPr>
          <xdr:cNvPr id="9" name="Gráfico 8" descr="Lista con relleno sólido">
            <a:hlinkClick xmlns:r="http://schemas.openxmlformats.org/officeDocument/2006/relationships" r:id="rId17" tooltip="OTRAS LISTAS"/>
            <a:extLst>
              <a:ext uri="{FF2B5EF4-FFF2-40B4-BE49-F238E27FC236}">
                <a16:creationId xmlns:a16="http://schemas.microsoft.com/office/drawing/2014/main" id="{2467819B-178C-DD7E-544A-00F07B01B6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9"/>
              </a:ext>
            </a:extLst>
          </a:blip>
          <a:srcRect/>
          <a:stretch/>
        </xdr:blipFill>
        <xdr:spPr>
          <a:xfrm>
            <a:off x="168806" y="2729591"/>
            <a:ext cx="350520" cy="350520"/>
          </a:xfrm>
          <a:prstGeom prst="rect">
            <a:avLst/>
          </a:prstGeom>
        </xdr:spPr>
      </xdr:pic>
      <xdr:pic>
        <xdr:nvPicPr>
          <xdr:cNvPr id="10" name="Gráfico 9" descr="Dirigir dos pines por un camino con relleno sólido">
            <a:hlinkClick xmlns:r="http://schemas.openxmlformats.org/officeDocument/2006/relationships" r:id="rId20" tooltip="RUTAS"/>
            <a:extLst>
              <a:ext uri="{FF2B5EF4-FFF2-40B4-BE49-F238E27FC236}">
                <a16:creationId xmlns:a16="http://schemas.microsoft.com/office/drawing/2014/main" id="{97D45FF7-A7D6-0722-746F-767A0006D6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rcRect/>
          <a:stretch/>
        </xdr:blipFill>
        <xdr:spPr>
          <a:xfrm>
            <a:off x="152400" y="3131412"/>
            <a:ext cx="383333" cy="383333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11" name="Gráfico 10" descr="Cuaderno de estrategias con relleno sólido">
            <a:hlinkClick xmlns:r="http://schemas.openxmlformats.org/officeDocument/2006/relationships" r:id="rId23" tooltip="MULTAS"/>
            <a:extLst>
              <a:ext uri="{FF2B5EF4-FFF2-40B4-BE49-F238E27FC236}">
                <a16:creationId xmlns:a16="http://schemas.microsoft.com/office/drawing/2014/main" id="{14D6C91B-0FF6-B720-8F22-80682EB772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5"/>
              </a:ext>
            </a:extLst>
          </a:blip>
          <a:srcRect/>
          <a:stretch/>
        </xdr:blipFill>
        <xdr:spPr>
          <a:xfrm>
            <a:off x="152400" y="3566046"/>
            <a:ext cx="383333" cy="383333"/>
          </a:xfrm>
          <a:prstGeom prst="rect">
            <a:avLst/>
          </a:prstGeom>
        </xdr:spPr>
      </xdr:pic>
      <xdr:pic>
        <xdr:nvPicPr>
          <xdr:cNvPr id="12" name="Gráfico 11" descr="Herramientas con relleno sólido">
            <a:hlinkClick xmlns:r="http://schemas.openxmlformats.org/officeDocument/2006/relationships" r:id="rId26" tooltip="MANTENIMIENTO"/>
            <a:extLst>
              <a:ext uri="{FF2B5EF4-FFF2-40B4-BE49-F238E27FC236}">
                <a16:creationId xmlns:a16="http://schemas.microsoft.com/office/drawing/2014/main" id="{904B39FC-9D2D-7D82-0015-85EFD87F50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rcRect/>
          <a:stretch/>
        </xdr:blipFill>
        <xdr:spPr>
          <a:xfrm>
            <a:off x="164066" y="4000680"/>
            <a:ext cx="360000" cy="360000"/>
          </a:xfrm>
          <a:prstGeom prst="rect">
            <a:avLst/>
          </a:prstGeom>
          <a:effectLst/>
        </xdr:spPr>
      </xdr:pic>
      <xdr:pic>
        <xdr:nvPicPr>
          <xdr:cNvPr id="13" name="Gráfico 12" descr="Gráfico de barras con tendencia alcista con relleno sólido">
            <a:hlinkClick xmlns:r="http://schemas.openxmlformats.org/officeDocument/2006/relationships" r:id="rId29" tooltip="REPORTES"/>
            <a:extLst>
              <a:ext uri="{FF2B5EF4-FFF2-40B4-BE49-F238E27FC236}">
                <a16:creationId xmlns:a16="http://schemas.microsoft.com/office/drawing/2014/main" id="{54038E2F-506A-53EA-8847-AFD0168691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rcRect/>
          <a:stretch/>
        </xdr:blipFill>
        <xdr:spPr>
          <a:xfrm>
            <a:off x="152400" y="4411980"/>
            <a:ext cx="383333" cy="38333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21169</xdr:colOff>
      <xdr:row>0</xdr:row>
      <xdr:rowOff>0</xdr:rowOff>
    </xdr:from>
    <xdr:to>
      <xdr:col>6</xdr:col>
      <xdr:colOff>169333</xdr:colOff>
      <xdr:row>0</xdr:row>
      <xdr:rowOff>518583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0698A51-2895-4CC0-A7C1-A6940A909A7E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87919" y="0"/>
          <a:ext cx="3767664" cy="5185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2</xdr:row>
      <xdr:rowOff>16933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06CAB0-DAA2-4042-ABA4-9E03312A7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2</xdr:row>
      <xdr:rowOff>146473</xdr:rowOff>
    </xdr:from>
    <xdr:to>
      <xdr:col>0</xdr:col>
      <xdr:colOff>535733</xdr:colOff>
      <xdr:row>24</xdr:row>
      <xdr:rowOff>87423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6DF2F145-2EC9-FAF0-BF37-E882AA1D536A}"/>
            </a:ext>
          </a:extLst>
        </xdr:cNvPr>
        <xdr:cNvGrpSpPr/>
      </xdr:nvGrpSpPr>
      <xdr:grpSpPr>
        <a:xfrm>
          <a:off x="152400" y="710917"/>
          <a:ext cx="383333" cy="4583506"/>
          <a:chOff x="152400" y="701040"/>
          <a:chExt cx="383333" cy="4094273"/>
        </a:xfrm>
      </xdr:grpSpPr>
      <xdr:pic>
        <xdr:nvPicPr>
          <xdr:cNvPr id="5" name="Gráfico 4" descr="Lavado de autos con relleno sólido">
            <a:hlinkClick xmlns:r="http://schemas.openxmlformats.org/officeDocument/2006/relationships" r:id="rId2" tooltip="FLOTA"/>
            <a:extLst>
              <a:ext uri="{FF2B5EF4-FFF2-40B4-BE49-F238E27FC236}">
                <a16:creationId xmlns:a16="http://schemas.microsoft.com/office/drawing/2014/main" id="{BB16CCFD-C271-6672-DF8B-89789FA17BC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t="29166"/>
          <a:stretch/>
        </xdr:blipFill>
        <xdr:spPr>
          <a:xfrm>
            <a:off x="152400" y="701040"/>
            <a:ext cx="383332" cy="271527"/>
          </a:xfrm>
          <a:prstGeom prst="rect">
            <a:avLst/>
          </a:prstGeom>
          <a:effectLst/>
        </xdr:spPr>
      </xdr:pic>
      <xdr:pic>
        <xdr:nvPicPr>
          <xdr:cNvPr id="6" name="Gráfico 5" descr="Bloquear con relleno sólido">
            <a:hlinkClick xmlns:r="http://schemas.openxmlformats.org/officeDocument/2006/relationships" r:id="rId5" tooltip="SEGUROS"/>
            <a:extLst>
              <a:ext uri="{FF2B5EF4-FFF2-40B4-BE49-F238E27FC236}">
                <a16:creationId xmlns:a16="http://schemas.microsoft.com/office/drawing/2014/main" id="{277C1332-B699-CE55-3946-5299198C86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2400" y="1023868"/>
            <a:ext cx="383333" cy="383333"/>
          </a:xfrm>
          <a:prstGeom prst="rect">
            <a:avLst/>
          </a:prstGeom>
          <a:effectLst/>
        </xdr:spPr>
      </xdr:pic>
      <xdr:pic>
        <xdr:nvPicPr>
          <xdr:cNvPr id="7" name="Gráfico 6" descr="Impuestos con relleno sólido">
            <a:hlinkClick xmlns:r="http://schemas.openxmlformats.org/officeDocument/2006/relationships" r:id="rId8" tooltip="IMPUESTOS"/>
            <a:extLst>
              <a:ext uri="{FF2B5EF4-FFF2-40B4-BE49-F238E27FC236}">
                <a16:creationId xmlns:a16="http://schemas.microsoft.com/office/drawing/2014/main" id="{7012DD4E-58B0-1553-9320-7BF2CB1835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2400" y="1458502"/>
            <a:ext cx="383333" cy="383333"/>
          </a:xfrm>
          <a:prstGeom prst="rect">
            <a:avLst/>
          </a:prstGeom>
          <a:effectLst/>
        </xdr:spPr>
      </xdr:pic>
      <xdr:pic>
        <xdr:nvPicPr>
          <xdr:cNvPr id="8" name="Gráfico 7" descr="Identificación de empleado con relleno sólido">
            <a:hlinkClick xmlns:r="http://schemas.openxmlformats.org/officeDocument/2006/relationships" r:id="rId11" tooltip="CONDUCTORES"/>
            <a:extLst>
              <a:ext uri="{FF2B5EF4-FFF2-40B4-BE49-F238E27FC236}">
                <a16:creationId xmlns:a16="http://schemas.microsoft.com/office/drawing/2014/main" id="{9994FAAE-8D08-8231-D2AC-76E87683F7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68806" y="1893136"/>
            <a:ext cx="350520" cy="350520"/>
          </a:xfrm>
          <a:prstGeom prst="rect">
            <a:avLst/>
          </a:prstGeom>
          <a:effectLst/>
        </xdr:spPr>
      </xdr:pic>
      <xdr:pic>
        <xdr:nvPicPr>
          <xdr:cNvPr id="9" name="Gráfico 8" descr="Disco de sierra con relleno sólido">
            <a:hlinkClick xmlns:r="http://schemas.openxmlformats.org/officeDocument/2006/relationships" r:id="rId14" tooltip="TALLERES"/>
            <a:extLst>
              <a:ext uri="{FF2B5EF4-FFF2-40B4-BE49-F238E27FC236}">
                <a16:creationId xmlns:a16="http://schemas.microsoft.com/office/drawing/2014/main" id="{3CA0DB14-C562-0569-3BDB-B54850D1DD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rcRect/>
          <a:stretch/>
        </xdr:blipFill>
        <xdr:spPr>
          <a:xfrm>
            <a:off x="152400" y="2294957"/>
            <a:ext cx="383333" cy="383333"/>
          </a:xfrm>
          <a:prstGeom prst="rect">
            <a:avLst/>
          </a:prstGeom>
        </xdr:spPr>
      </xdr:pic>
      <xdr:pic>
        <xdr:nvPicPr>
          <xdr:cNvPr id="10" name="Gráfico 9" descr="Lista con relleno sólido">
            <a:hlinkClick xmlns:r="http://schemas.openxmlformats.org/officeDocument/2006/relationships" r:id="rId17" tooltip="OTRAS LISTAS"/>
            <a:extLst>
              <a:ext uri="{FF2B5EF4-FFF2-40B4-BE49-F238E27FC236}">
                <a16:creationId xmlns:a16="http://schemas.microsoft.com/office/drawing/2014/main" id="{D4642896-A52B-45A8-FF51-6EA66055E4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9"/>
              </a:ext>
            </a:extLst>
          </a:blip>
          <a:srcRect/>
          <a:stretch/>
        </xdr:blipFill>
        <xdr:spPr>
          <a:xfrm>
            <a:off x="168806" y="2729591"/>
            <a:ext cx="350520" cy="350520"/>
          </a:xfrm>
          <a:prstGeom prst="rect">
            <a:avLst/>
          </a:prstGeom>
          <a:effectLst/>
        </xdr:spPr>
      </xdr:pic>
      <xdr:pic>
        <xdr:nvPicPr>
          <xdr:cNvPr id="11" name="Gráfico 10" descr="Dirigir dos pines por un camino con relleno sólido">
            <a:hlinkClick xmlns:r="http://schemas.openxmlformats.org/officeDocument/2006/relationships" r:id="rId20" tooltip="RUTAS"/>
            <a:extLst>
              <a:ext uri="{FF2B5EF4-FFF2-40B4-BE49-F238E27FC236}">
                <a16:creationId xmlns:a16="http://schemas.microsoft.com/office/drawing/2014/main" id="{312CDDBF-35BE-A68B-598D-759C0ABCD9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rcRect/>
          <a:stretch/>
        </xdr:blipFill>
        <xdr:spPr>
          <a:xfrm>
            <a:off x="152400" y="3131412"/>
            <a:ext cx="383333" cy="383333"/>
          </a:xfrm>
          <a:prstGeom prst="rect">
            <a:avLst/>
          </a:prstGeom>
        </xdr:spPr>
      </xdr:pic>
      <xdr:pic>
        <xdr:nvPicPr>
          <xdr:cNvPr id="12" name="Gráfico 11" descr="Cuaderno de estrategias con relleno sólido">
            <a:hlinkClick xmlns:r="http://schemas.openxmlformats.org/officeDocument/2006/relationships" r:id="rId23" tooltip="MULTAS"/>
            <a:extLst>
              <a:ext uri="{FF2B5EF4-FFF2-40B4-BE49-F238E27FC236}">
                <a16:creationId xmlns:a16="http://schemas.microsoft.com/office/drawing/2014/main" id="{EC605C06-5EAC-7489-A889-C98B43216B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5"/>
              </a:ext>
            </a:extLst>
          </a:blip>
          <a:srcRect/>
          <a:stretch/>
        </xdr:blipFill>
        <xdr:spPr>
          <a:xfrm>
            <a:off x="152400" y="3566046"/>
            <a:ext cx="383333" cy="383333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13" name="Gráfico 12" descr="Herramientas con relleno sólido">
            <a:hlinkClick xmlns:r="http://schemas.openxmlformats.org/officeDocument/2006/relationships" r:id="rId26" tooltip="MANTENIMIENTO"/>
            <a:extLst>
              <a:ext uri="{FF2B5EF4-FFF2-40B4-BE49-F238E27FC236}">
                <a16:creationId xmlns:a16="http://schemas.microsoft.com/office/drawing/2014/main" id="{BF170C94-0CEC-095D-3D81-86DDE81D4A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rcRect/>
          <a:stretch/>
        </xdr:blipFill>
        <xdr:spPr>
          <a:xfrm>
            <a:off x="164066" y="4000680"/>
            <a:ext cx="360000" cy="360000"/>
          </a:xfrm>
          <a:prstGeom prst="rect">
            <a:avLst/>
          </a:prstGeom>
          <a:effectLst/>
        </xdr:spPr>
      </xdr:pic>
      <xdr:pic>
        <xdr:nvPicPr>
          <xdr:cNvPr id="14" name="Gráfico 13" descr="Gráfico de barras con tendencia alcista con relleno sólido">
            <a:hlinkClick xmlns:r="http://schemas.openxmlformats.org/officeDocument/2006/relationships" r:id="rId29" tooltip="REPORTES"/>
            <a:extLst>
              <a:ext uri="{FF2B5EF4-FFF2-40B4-BE49-F238E27FC236}">
                <a16:creationId xmlns:a16="http://schemas.microsoft.com/office/drawing/2014/main" id="{5C107A78-F7E0-77EE-4AD7-E461DB1088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rcRect/>
          <a:stretch/>
        </xdr:blipFill>
        <xdr:spPr>
          <a:xfrm>
            <a:off x="152400" y="4411980"/>
            <a:ext cx="383333" cy="383333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666749</xdr:colOff>
      <xdr:row>0</xdr:row>
      <xdr:rowOff>1</xdr:rowOff>
    </xdr:from>
    <xdr:to>
      <xdr:col>4</xdr:col>
      <xdr:colOff>539749</xdr:colOff>
      <xdr:row>0</xdr:row>
      <xdr:rowOff>444501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5924223-E77A-4EC7-83F6-4B2C70EE305F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66749" y="1"/>
          <a:ext cx="2137833" cy="444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2</xdr:row>
      <xdr:rowOff>6349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F84DA10-CA1B-E23D-383A-C94580DD0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2</xdr:row>
      <xdr:rowOff>135889</xdr:rowOff>
    </xdr:from>
    <xdr:to>
      <xdr:col>0</xdr:col>
      <xdr:colOff>535733</xdr:colOff>
      <xdr:row>20</xdr:row>
      <xdr:rowOff>95810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D08FBA6E-C7AA-0D75-FAC6-FF341A06F462}"/>
            </a:ext>
          </a:extLst>
        </xdr:cNvPr>
        <xdr:cNvGrpSpPr/>
      </xdr:nvGrpSpPr>
      <xdr:grpSpPr>
        <a:xfrm>
          <a:off x="152400" y="693134"/>
          <a:ext cx="383333" cy="4223492"/>
          <a:chOff x="152400" y="701040"/>
          <a:chExt cx="383333" cy="4094273"/>
        </a:xfrm>
      </xdr:grpSpPr>
      <xdr:pic>
        <xdr:nvPicPr>
          <xdr:cNvPr id="4" name="Gráfico 3" descr="Lavado de autos con relleno sólido">
            <a:hlinkClick xmlns:r="http://schemas.openxmlformats.org/officeDocument/2006/relationships" r:id="rId2" tooltip="FLOTA"/>
            <a:extLst>
              <a:ext uri="{FF2B5EF4-FFF2-40B4-BE49-F238E27FC236}">
                <a16:creationId xmlns:a16="http://schemas.microsoft.com/office/drawing/2014/main" id="{B781CAE1-E2BC-E8F1-2ACF-0014FA7D4C4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t="29166"/>
          <a:stretch/>
        </xdr:blipFill>
        <xdr:spPr>
          <a:xfrm>
            <a:off x="152400" y="701040"/>
            <a:ext cx="383332" cy="271527"/>
          </a:xfrm>
          <a:prstGeom prst="rect">
            <a:avLst/>
          </a:prstGeom>
          <a:effectLst/>
        </xdr:spPr>
      </xdr:pic>
      <xdr:pic>
        <xdr:nvPicPr>
          <xdr:cNvPr id="5" name="Gráfico 4" descr="Bloquear con relleno sólido">
            <a:hlinkClick xmlns:r="http://schemas.openxmlformats.org/officeDocument/2006/relationships" r:id="rId5" tooltip="SEGUROS"/>
            <a:extLst>
              <a:ext uri="{FF2B5EF4-FFF2-40B4-BE49-F238E27FC236}">
                <a16:creationId xmlns:a16="http://schemas.microsoft.com/office/drawing/2014/main" id="{FD55E32F-6C3A-5C48-B4C8-377A70CDA3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2400" y="1023868"/>
            <a:ext cx="383333" cy="383333"/>
          </a:xfrm>
          <a:prstGeom prst="rect">
            <a:avLst/>
          </a:prstGeom>
        </xdr:spPr>
      </xdr:pic>
      <xdr:pic>
        <xdr:nvPicPr>
          <xdr:cNvPr id="6" name="Gráfico 5" descr="Impuestos con relleno sólido">
            <a:hlinkClick xmlns:r="http://schemas.openxmlformats.org/officeDocument/2006/relationships" r:id="rId8" tooltip="IMPUESTOS"/>
            <a:extLst>
              <a:ext uri="{FF2B5EF4-FFF2-40B4-BE49-F238E27FC236}">
                <a16:creationId xmlns:a16="http://schemas.microsoft.com/office/drawing/2014/main" id="{C1F3048F-DD3F-9B7A-2FA0-F05F9EE9E9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52400" y="1458502"/>
            <a:ext cx="383333" cy="383333"/>
          </a:xfrm>
          <a:prstGeom prst="rect">
            <a:avLst/>
          </a:prstGeom>
        </xdr:spPr>
      </xdr:pic>
      <xdr:pic>
        <xdr:nvPicPr>
          <xdr:cNvPr id="8" name="Gráfico 7" descr="Identificación de empleado con relleno sólido">
            <a:hlinkClick xmlns:r="http://schemas.openxmlformats.org/officeDocument/2006/relationships" r:id="rId11" tooltip="CONDUCTORES"/>
            <a:extLst>
              <a:ext uri="{FF2B5EF4-FFF2-40B4-BE49-F238E27FC236}">
                <a16:creationId xmlns:a16="http://schemas.microsoft.com/office/drawing/2014/main" id="{3872F388-EBAF-40A2-3658-380CD68032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68806" y="1893136"/>
            <a:ext cx="350520" cy="350520"/>
          </a:xfrm>
          <a:prstGeom prst="rect">
            <a:avLst/>
          </a:prstGeom>
        </xdr:spPr>
      </xdr:pic>
      <xdr:pic>
        <xdr:nvPicPr>
          <xdr:cNvPr id="10" name="Gráfico 9" descr="Disco de sierra con relleno sólido">
            <a:hlinkClick xmlns:r="http://schemas.openxmlformats.org/officeDocument/2006/relationships" r:id="rId14" tooltip="TALLERES"/>
            <a:extLst>
              <a:ext uri="{FF2B5EF4-FFF2-40B4-BE49-F238E27FC236}">
                <a16:creationId xmlns:a16="http://schemas.microsoft.com/office/drawing/2014/main" id="{CC90A996-8811-CF29-80DA-F1DB623F29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rcRect/>
          <a:stretch/>
        </xdr:blipFill>
        <xdr:spPr>
          <a:xfrm>
            <a:off x="152400" y="2294957"/>
            <a:ext cx="383333" cy="383333"/>
          </a:xfrm>
          <a:prstGeom prst="rect">
            <a:avLst/>
          </a:prstGeom>
        </xdr:spPr>
      </xdr:pic>
      <xdr:pic>
        <xdr:nvPicPr>
          <xdr:cNvPr id="12" name="Gráfico 11" descr="Lista con relleno sólido">
            <a:hlinkClick xmlns:r="http://schemas.openxmlformats.org/officeDocument/2006/relationships" r:id="rId17" tooltip="OTRAS LISTAS"/>
            <a:extLst>
              <a:ext uri="{FF2B5EF4-FFF2-40B4-BE49-F238E27FC236}">
                <a16:creationId xmlns:a16="http://schemas.microsoft.com/office/drawing/2014/main" id="{01093F43-615F-D622-D07D-3E284F5D16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9"/>
              </a:ext>
            </a:extLst>
          </a:blip>
          <a:srcRect/>
          <a:stretch/>
        </xdr:blipFill>
        <xdr:spPr>
          <a:xfrm>
            <a:off x="168806" y="2729591"/>
            <a:ext cx="350520" cy="350520"/>
          </a:xfrm>
          <a:prstGeom prst="rect">
            <a:avLst/>
          </a:prstGeom>
        </xdr:spPr>
      </xdr:pic>
      <xdr:pic>
        <xdr:nvPicPr>
          <xdr:cNvPr id="13" name="Gráfico 12" descr="Dirigir dos pines por un camino con relleno sólido">
            <a:hlinkClick xmlns:r="http://schemas.openxmlformats.org/officeDocument/2006/relationships" r:id="rId20" tooltip="RUTAS"/>
            <a:extLst>
              <a:ext uri="{FF2B5EF4-FFF2-40B4-BE49-F238E27FC236}">
                <a16:creationId xmlns:a16="http://schemas.microsoft.com/office/drawing/2014/main" id="{253C5B3E-F5B1-C8E8-3BBD-405D22452D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rcRect/>
          <a:stretch/>
        </xdr:blipFill>
        <xdr:spPr>
          <a:xfrm>
            <a:off x="152400" y="3131412"/>
            <a:ext cx="383333" cy="383333"/>
          </a:xfrm>
          <a:prstGeom prst="rect">
            <a:avLst/>
          </a:prstGeom>
        </xdr:spPr>
      </xdr:pic>
      <xdr:pic>
        <xdr:nvPicPr>
          <xdr:cNvPr id="18" name="Gráfico 17" descr="Cuaderno de estrategias con relleno sólido">
            <a:hlinkClick xmlns:r="http://schemas.openxmlformats.org/officeDocument/2006/relationships" r:id="rId23" tooltip="MULTAS"/>
            <a:extLst>
              <a:ext uri="{FF2B5EF4-FFF2-40B4-BE49-F238E27FC236}">
                <a16:creationId xmlns:a16="http://schemas.microsoft.com/office/drawing/2014/main" id="{79194788-642A-435E-970C-FC9551057B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5"/>
              </a:ext>
            </a:extLst>
          </a:blip>
          <a:srcRect/>
          <a:stretch/>
        </xdr:blipFill>
        <xdr:spPr>
          <a:xfrm>
            <a:off x="152400" y="3566046"/>
            <a:ext cx="383333" cy="383333"/>
          </a:xfrm>
          <a:prstGeom prst="rect">
            <a:avLst/>
          </a:prstGeom>
        </xdr:spPr>
      </xdr:pic>
      <xdr:pic>
        <xdr:nvPicPr>
          <xdr:cNvPr id="19" name="Gráfico 18" descr="Herramientas con relleno sólido">
            <a:hlinkClick xmlns:r="http://schemas.openxmlformats.org/officeDocument/2006/relationships" r:id="rId26" tooltip="MANTENIMIENTO"/>
            <a:extLst>
              <a:ext uri="{FF2B5EF4-FFF2-40B4-BE49-F238E27FC236}">
                <a16:creationId xmlns:a16="http://schemas.microsoft.com/office/drawing/2014/main" id="{FDE45A4F-1D82-4032-FCB3-4EB8C7E541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rcRect/>
          <a:stretch/>
        </xdr:blipFill>
        <xdr:spPr>
          <a:xfrm>
            <a:off x="164066" y="4000680"/>
            <a:ext cx="360000" cy="360000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23" name="Gráfico 22" descr="Gráfico de barras con tendencia alcista con relleno sólido">
            <a:hlinkClick xmlns:r="http://schemas.openxmlformats.org/officeDocument/2006/relationships" r:id="rId29" tooltip="REPORTES"/>
            <a:extLst>
              <a:ext uri="{FF2B5EF4-FFF2-40B4-BE49-F238E27FC236}">
                <a16:creationId xmlns:a16="http://schemas.microsoft.com/office/drawing/2014/main" id="{6CAB6473-84FA-0A87-A739-6F8630828F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rcRect/>
          <a:stretch/>
        </xdr:blipFill>
        <xdr:spPr>
          <a:xfrm>
            <a:off x="152400" y="4411980"/>
            <a:ext cx="383333" cy="383333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4</xdr:row>
      <xdr:rowOff>74084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E0515D3B-5EBE-420F-970B-F887F2F77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150266</xdr:colOff>
      <xdr:row>5</xdr:row>
      <xdr:rowOff>2116</xdr:rowOff>
    </xdr:from>
    <xdr:to>
      <xdr:col>0</xdr:col>
      <xdr:colOff>546266</xdr:colOff>
      <xdr:row>14</xdr:row>
      <xdr:rowOff>52664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5A0DB4FA-61B0-F192-B8C2-72F4D07EE3C4}"/>
            </a:ext>
          </a:extLst>
        </xdr:cNvPr>
        <xdr:cNvGrpSpPr/>
      </xdr:nvGrpSpPr>
      <xdr:grpSpPr>
        <a:xfrm>
          <a:off x="150266" y="662516"/>
          <a:ext cx="396000" cy="1714248"/>
          <a:chOff x="150266" y="677333"/>
          <a:chExt cx="396000" cy="1616881"/>
        </a:xfrm>
      </xdr:grpSpPr>
      <xdr:pic>
        <xdr:nvPicPr>
          <xdr:cNvPr id="2" name="Gráfico 1" descr="Caja registradora con relleno sólido">
            <a:hlinkClick xmlns:r="http://schemas.openxmlformats.org/officeDocument/2006/relationships" r:id="rId2" tooltip="FLUJO DE CAJA"/>
            <a:extLst>
              <a:ext uri="{FF2B5EF4-FFF2-40B4-BE49-F238E27FC236}">
                <a16:creationId xmlns:a16="http://schemas.microsoft.com/office/drawing/2014/main" id="{F39DCDFC-EA96-4FF2-BA17-7C12FB6059C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l="1" t="-7285" r="-5356" b="3914"/>
          <a:stretch/>
        </xdr:blipFill>
        <xdr:spPr>
          <a:xfrm>
            <a:off x="164805" y="677333"/>
            <a:ext cx="366923" cy="364389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3" name="Gráfico 2" descr="Portapapeles con todas las cruces con relleno sólido">
            <a:hlinkClick xmlns:r="http://schemas.openxmlformats.org/officeDocument/2006/relationships" r:id="rId5" tooltip="REPORTE GERENCIAL"/>
            <a:extLst>
              <a:ext uri="{FF2B5EF4-FFF2-40B4-BE49-F238E27FC236}">
                <a16:creationId xmlns:a16="http://schemas.microsoft.com/office/drawing/2014/main" id="{602EC609-08BC-43D4-A282-8D30A563E6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/>
        </xdr:blipFill>
        <xdr:spPr>
          <a:xfrm>
            <a:off x="168266" y="1112535"/>
            <a:ext cx="360000" cy="364389"/>
          </a:xfrm>
          <a:prstGeom prst="rect">
            <a:avLst/>
          </a:prstGeom>
        </xdr:spPr>
      </xdr:pic>
      <xdr:pic>
        <xdr:nvPicPr>
          <xdr:cNvPr id="4" name="Gráfico 3" descr="Colegial con relleno sólido">
            <a:hlinkClick xmlns:r="http://schemas.openxmlformats.org/officeDocument/2006/relationships" r:id="rId8" tooltip="REPORTE DEL CONDUCTOR"/>
            <a:extLst>
              <a:ext uri="{FF2B5EF4-FFF2-40B4-BE49-F238E27FC236}">
                <a16:creationId xmlns:a16="http://schemas.microsoft.com/office/drawing/2014/main" id="{84086BE7-5445-4F7A-BC4A-71EB04F739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/>
        </xdr:blipFill>
        <xdr:spPr>
          <a:xfrm>
            <a:off x="150266" y="1547736"/>
            <a:ext cx="396000" cy="400828"/>
          </a:xfrm>
          <a:prstGeom prst="rect">
            <a:avLst/>
          </a:prstGeom>
        </xdr:spPr>
      </xdr:pic>
      <xdr:pic>
        <xdr:nvPicPr>
          <xdr:cNvPr id="12" name="Gráfico 11" descr="Lavado de autos con relleno sólido">
            <a:hlinkClick xmlns:r="http://schemas.openxmlformats.org/officeDocument/2006/relationships" r:id="rId11" tooltip="FLOTA"/>
            <a:extLst>
              <a:ext uri="{FF2B5EF4-FFF2-40B4-BE49-F238E27FC236}">
                <a16:creationId xmlns:a16="http://schemas.microsoft.com/office/drawing/2014/main" id="{8405B121-498B-4EFD-8307-CCA1A17DA98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 t="29166"/>
          <a:stretch/>
        </xdr:blipFill>
        <xdr:spPr>
          <a:xfrm>
            <a:off x="156600" y="2019377"/>
            <a:ext cx="383332" cy="274837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11430</xdr:colOff>
      <xdr:row>21</xdr:row>
      <xdr:rowOff>144780</xdr:rowOff>
    </xdr:from>
    <xdr:to>
      <xdr:col>16</xdr:col>
      <xdr:colOff>15240</xdr:colOff>
      <xdr:row>39</xdr:row>
      <xdr:rowOff>53340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C7D56F-E3FE-B339-D836-B95083E85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0</xdr:row>
      <xdr:rowOff>567266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CE50B9-4BE5-41AF-974B-AB52F3333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152406</xdr:colOff>
      <xdr:row>0</xdr:row>
      <xdr:rowOff>668864</xdr:rowOff>
    </xdr:from>
    <xdr:to>
      <xdr:col>0</xdr:col>
      <xdr:colOff>548406</xdr:colOff>
      <xdr:row>8</xdr:row>
      <xdr:rowOff>250529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8EC305F4-A2A1-AC3C-6E00-94F6C372556A}"/>
            </a:ext>
          </a:extLst>
        </xdr:cNvPr>
        <xdr:cNvGrpSpPr/>
      </xdr:nvGrpSpPr>
      <xdr:grpSpPr>
        <a:xfrm>
          <a:off x="152406" y="668864"/>
          <a:ext cx="396000" cy="1571332"/>
          <a:chOff x="152406" y="677331"/>
          <a:chExt cx="396000" cy="1616881"/>
        </a:xfrm>
      </xdr:grpSpPr>
      <xdr:pic>
        <xdr:nvPicPr>
          <xdr:cNvPr id="4" name="Gráfico 3" descr="Caja registradora con relleno sólido">
            <a:hlinkClick xmlns:r="http://schemas.openxmlformats.org/officeDocument/2006/relationships" r:id="rId2" tooltip="FLUJO DE CAJA"/>
            <a:extLst>
              <a:ext uri="{FF2B5EF4-FFF2-40B4-BE49-F238E27FC236}">
                <a16:creationId xmlns:a16="http://schemas.microsoft.com/office/drawing/2014/main" id="{3C8BED52-7955-5EFF-FC6C-E7C228E7F16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l="1" t="-7285" r="-5356" b="3914"/>
          <a:stretch/>
        </xdr:blipFill>
        <xdr:spPr>
          <a:xfrm>
            <a:off x="166945" y="677331"/>
            <a:ext cx="366923" cy="364389"/>
          </a:xfrm>
          <a:prstGeom prst="rect">
            <a:avLst/>
          </a:prstGeom>
          <a:effectLst/>
        </xdr:spPr>
      </xdr:pic>
      <xdr:pic>
        <xdr:nvPicPr>
          <xdr:cNvPr id="5" name="Gráfico 4" descr="Portapapeles con todas las cruces con relleno sólido">
            <a:hlinkClick xmlns:r="http://schemas.openxmlformats.org/officeDocument/2006/relationships" r:id="rId5" tooltip="REPORTE GERENCIAL"/>
            <a:extLst>
              <a:ext uri="{FF2B5EF4-FFF2-40B4-BE49-F238E27FC236}">
                <a16:creationId xmlns:a16="http://schemas.microsoft.com/office/drawing/2014/main" id="{B41238E3-4049-19A4-2A54-202BC063D3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/>
        </xdr:blipFill>
        <xdr:spPr>
          <a:xfrm>
            <a:off x="170406" y="1112533"/>
            <a:ext cx="360000" cy="364389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6" name="Gráfico 5" descr="Colegial con relleno sólido">
            <a:hlinkClick xmlns:r="http://schemas.openxmlformats.org/officeDocument/2006/relationships" r:id="rId8" tooltip="REPORTE DEL CONDUCTOR"/>
            <a:extLst>
              <a:ext uri="{FF2B5EF4-FFF2-40B4-BE49-F238E27FC236}">
                <a16:creationId xmlns:a16="http://schemas.microsoft.com/office/drawing/2014/main" id="{1C5BFEFC-2BA1-96EB-2EAD-746E8FF9CC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/>
        </xdr:blipFill>
        <xdr:spPr>
          <a:xfrm>
            <a:off x="152406" y="1547734"/>
            <a:ext cx="396000" cy="400828"/>
          </a:xfrm>
          <a:prstGeom prst="rect">
            <a:avLst/>
          </a:prstGeom>
        </xdr:spPr>
      </xdr:pic>
      <xdr:pic>
        <xdr:nvPicPr>
          <xdr:cNvPr id="7" name="Gráfico 6" descr="Lavado de autos con relleno sólido">
            <a:hlinkClick xmlns:r="http://schemas.openxmlformats.org/officeDocument/2006/relationships" r:id="rId11" tooltip="FLOTA"/>
            <a:extLst>
              <a:ext uri="{FF2B5EF4-FFF2-40B4-BE49-F238E27FC236}">
                <a16:creationId xmlns:a16="http://schemas.microsoft.com/office/drawing/2014/main" id="{1D57B001-424F-721C-C569-C3E4516DCCA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 t="29166"/>
          <a:stretch/>
        </xdr:blipFill>
        <xdr:spPr>
          <a:xfrm>
            <a:off x="158740" y="2019375"/>
            <a:ext cx="383332" cy="274837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0</xdr:row>
      <xdr:rowOff>52916</xdr:rowOff>
    </xdr:from>
    <xdr:to>
      <xdr:col>2</xdr:col>
      <xdr:colOff>1936750</xdr:colOff>
      <xdr:row>0</xdr:row>
      <xdr:rowOff>730249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B84981-DAF9-406E-ABF3-E5E6C1F48416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52916"/>
          <a:ext cx="2074333" cy="677333"/>
        </a:xfrm>
        <a:prstGeom prst="rect">
          <a:avLst/>
        </a:prstGeom>
      </xdr:spPr>
    </xdr:pic>
    <xdr:clientData/>
  </xdr:twoCellAnchor>
  <xdr:twoCellAnchor>
    <xdr:from>
      <xdr:col>1</xdr:col>
      <xdr:colOff>104321</xdr:colOff>
      <xdr:row>195</xdr:row>
      <xdr:rowOff>153276</xdr:rowOff>
    </xdr:from>
    <xdr:to>
      <xdr:col>17</xdr:col>
      <xdr:colOff>864914</xdr:colOff>
      <xdr:row>228</xdr:row>
      <xdr:rowOff>186120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4CDD1E23-1BDB-4BD0-9071-D490980F83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721" y="57519176"/>
              <a:ext cx="19112093" cy="63193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122465</xdr:colOff>
      <xdr:row>230</xdr:row>
      <xdr:rowOff>8906</xdr:rowOff>
    </xdr:from>
    <xdr:to>
      <xdr:col>18</xdr:col>
      <xdr:colOff>40821</xdr:colOff>
      <xdr:row>258</xdr:row>
      <xdr:rowOff>54428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02C6B4A-CEE4-4E8A-9381-336237DA9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119439</xdr:colOff>
      <xdr:row>259</xdr:row>
      <xdr:rowOff>16631</xdr:rowOff>
    </xdr:from>
    <xdr:to>
      <xdr:col>17</xdr:col>
      <xdr:colOff>830035</xdr:colOff>
      <xdr:row>298</xdr:row>
      <xdr:rowOff>108856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AB0CCED-6D95-41BF-AB3C-0324458E4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0</xdr:col>
      <xdr:colOff>594360</xdr:colOff>
      <xdr:row>0</xdr:row>
      <xdr:rowOff>567266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09E202-EB4E-4B3A-AE9A-A11E8C510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820" y="60960"/>
          <a:ext cx="510540" cy="51054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0</xdr:row>
      <xdr:rowOff>668862</xdr:rowOff>
    </xdr:from>
    <xdr:to>
      <xdr:col>0</xdr:col>
      <xdr:colOff>548400</xdr:colOff>
      <xdr:row>8</xdr:row>
      <xdr:rowOff>52660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D29C42E6-122F-1D61-DE7A-4796C83357DE}"/>
            </a:ext>
          </a:extLst>
        </xdr:cNvPr>
        <xdr:cNvGrpSpPr/>
      </xdr:nvGrpSpPr>
      <xdr:grpSpPr>
        <a:xfrm>
          <a:off x="152400" y="668862"/>
          <a:ext cx="396000" cy="1712131"/>
          <a:chOff x="152400" y="677329"/>
          <a:chExt cx="396000" cy="1616881"/>
        </a:xfrm>
      </xdr:grpSpPr>
      <xdr:pic>
        <xdr:nvPicPr>
          <xdr:cNvPr id="4" name="Gráfico 3" descr="Caja registradora con relleno sólido">
            <a:hlinkClick xmlns:r="http://schemas.openxmlformats.org/officeDocument/2006/relationships" r:id="rId2" tooltip="FLUJO DE CAJA"/>
            <a:extLst>
              <a:ext uri="{FF2B5EF4-FFF2-40B4-BE49-F238E27FC236}">
                <a16:creationId xmlns:a16="http://schemas.microsoft.com/office/drawing/2014/main" id="{647E6A38-FE20-2BDF-6A2A-F103C906D18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 l="1" t="-7285" r="-5356" b="3914"/>
          <a:stretch/>
        </xdr:blipFill>
        <xdr:spPr>
          <a:xfrm>
            <a:off x="166939" y="677329"/>
            <a:ext cx="366923" cy="364389"/>
          </a:xfrm>
          <a:prstGeom prst="rect">
            <a:avLst/>
          </a:prstGeom>
          <a:effectLst/>
        </xdr:spPr>
      </xdr:pic>
      <xdr:pic>
        <xdr:nvPicPr>
          <xdr:cNvPr id="5" name="Gráfico 4" descr="Portapapeles con todas las cruces con relleno sólido">
            <a:hlinkClick xmlns:r="http://schemas.openxmlformats.org/officeDocument/2006/relationships" r:id="rId5" tooltip="REPORTE GERENCIAL"/>
            <a:extLst>
              <a:ext uri="{FF2B5EF4-FFF2-40B4-BE49-F238E27FC236}">
                <a16:creationId xmlns:a16="http://schemas.microsoft.com/office/drawing/2014/main" id="{912522BF-DCDC-9FD1-D033-F85B29253B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/>
        </xdr:blipFill>
        <xdr:spPr>
          <a:xfrm>
            <a:off x="170400" y="1112531"/>
            <a:ext cx="360000" cy="364389"/>
          </a:xfrm>
          <a:prstGeom prst="rect">
            <a:avLst/>
          </a:prstGeom>
          <a:effectLst/>
        </xdr:spPr>
      </xdr:pic>
      <xdr:pic>
        <xdr:nvPicPr>
          <xdr:cNvPr id="6" name="Gráfico 5" descr="Colegial con relleno sólido">
            <a:hlinkClick xmlns:r="http://schemas.openxmlformats.org/officeDocument/2006/relationships" r:id="rId8" tooltip="REPORTE DEL CONDUCTOR"/>
            <a:extLst>
              <a:ext uri="{FF2B5EF4-FFF2-40B4-BE49-F238E27FC236}">
                <a16:creationId xmlns:a16="http://schemas.microsoft.com/office/drawing/2014/main" id="{B9432C10-73C6-1752-0269-9352A66B24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/>
        </xdr:blipFill>
        <xdr:spPr>
          <a:xfrm>
            <a:off x="152400" y="1547732"/>
            <a:ext cx="396000" cy="400828"/>
          </a:xfrm>
          <a:prstGeom prst="rect">
            <a:avLst/>
          </a:prstGeom>
          <a:effectLst>
            <a:glow rad="101600">
              <a:schemeClr val="accent2">
                <a:lumMod val="50000"/>
                <a:alpha val="60000"/>
              </a:schemeClr>
            </a:glow>
          </a:effectLst>
        </xdr:spPr>
      </xdr:pic>
      <xdr:pic>
        <xdr:nvPicPr>
          <xdr:cNvPr id="7" name="Gráfico 6" descr="Lavado de autos con relleno sólido">
            <a:hlinkClick xmlns:r="http://schemas.openxmlformats.org/officeDocument/2006/relationships" r:id="rId11" tooltip="FLOTA"/>
            <a:extLst>
              <a:ext uri="{FF2B5EF4-FFF2-40B4-BE49-F238E27FC236}">
                <a16:creationId xmlns:a16="http://schemas.microsoft.com/office/drawing/2014/main" id="{BFB4A705-5065-08CE-AB0F-BDB68F222A1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 t="29166"/>
          <a:stretch/>
        </xdr:blipFill>
        <xdr:spPr>
          <a:xfrm>
            <a:off x="158734" y="2019373"/>
            <a:ext cx="383332" cy="274837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1905001</xdr:colOff>
      <xdr:row>0</xdr:row>
      <xdr:rowOff>793749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5D48FC4-BDA1-4B33-AECD-F9A9429D8578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0"/>
          <a:ext cx="2042584" cy="7937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18</xdr:row>
      <xdr:rowOff>38100</xdr:rowOff>
    </xdr:from>
    <xdr:to>
      <xdr:col>11</xdr:col>
      <xdr:colOff>152400</xdr:colOff>
      <xdr:row>33</xdr:row>
      <xdr:rowOff>38100</xdr:rowOff>
    </xdr:to>
    <xdr:graphicFrame macro="">
      <xdr:nvGraphicFramePr>
        <xdr:cNvPr id="39" name="C1_Km">
          <a:extLst>
            <a:ext uri="{FF2B5EF4-FFF2-40B4-BE49-F238E27FC236}">
              <a16:creationId xmlns:a16="http://schemas.microsoft.com/office/drawing/2014/main" id="{052EECA8-207D-D2D5-18FE-118D1DB7A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482600</xdr:colOff>
      <xdr:row>18</xdr:row>
      <xdr:rowOff>38100</xdr:rowOff>
    </xdr:from>
    <xdr:to>
      <xdr:col>23</xdr:col>
      <xdr:colOff>584200</xdr:colOff>
      <xdr:row>33</xdr:row>
      <xdr:rowOff>38100</xdr:rowOff>
    </xdr:to>
    <xdr:graphicFrame macro="">
      <xdr:nvGraphicFramePr>
        <xdr:cNvPr id="40" name="C2_Gal">
          <a:extLst>
            <a:ext uri="{FF2B5EF4-FFF2-40B4-BE49-F238E27FC236}">
              <a16:creationId xmlns:a16="http://schemas.microsoft.com/office/drawing/2014/main" id="{24283E52-C901-AE90-8739-927AB6948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33</xdr:row>
      <xdr:rowOff>165100</xdr:rowOff>
    </xdr:from>
    <xdr:to>
      <xdr:col>11</xdr:col>
      <xdr:colOff>152400</xdr:colOff>
      <xdr:row>48</xdr:row>
      <xdr:rowOff>165100</xdr:rowOff>
    </xdr:to>
    <xdr:graphicFrame macro="">
      <xdr:nvGraphicFramePr>
        <xdr:cNvPr id="41" name="C3_KmGal">
          <a:extLst>
            <a:ext uri="{FF2B5EF4-FFF2-40B4-BE49-F238E27FC236}">
              <a16:creationId xmlns:a16="http://schemas.microsoft.com/office/drawing/2014/main" id="{7ECC7C17-695B-972D-AEF5-FA5688161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482600</xdr:colOff>
      <xdr:row>33</xdr:row>
      <xdr:rowOff>165100</xdr:rowOff>
    </xdr:from>
    <xdr:to>
      <xdr:col>23</xdr:col>
      <xdr:colOff>584200</xdr:colOff>
      <xdr:row>48</xdr:row>
      <xdr:rowOff>165100</xdr:rowOff>
    </xdr:to>
    <xdr:graphicFrame macro="">
      <xdr:nvGraphicFramePr>
        <xdr:cNvPr id="42" name="C4_KmMnto">
          <a:extLst>
            <a:ext uri="{FF2B5EF4-FFF2-40B4-BE49-F238E27FC236}">
              <a16:creationId xmlns:a16="http://schemas.microsoft.com/office/drawing/2014/main" id="{FC463AC9-EA28-6C7D-8633-9511EA6C5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50800</xdr:colOff>
      <xdr:row>49</xdr:row>
      <xdr:rowOff>76200</xdr:rowOff>
    </xdr:from>
    <xdr:to>
      <xdr:col>11</xdr:col>
      <xdr:colOff>152400</xdr:colOff>
      <xdr:row>64</xdr:row>
      <xdr:rowOff>76200</xdr:rowOff>
    </xdr:to>
    <xdr:graphicFrame macro="">
      <xdr:nvGraphicFramePr>
        <xdr:cNvPr id="43" name="C5_Disp">
          <a:extLst>
            <a:ext uri="{FF2B5EF4-FFF2-40B4-BE49-F238E27FC236}">
              <a16:creationId xmlns:a16="http://schemas.microsoft.com/office/drawing/2014/main" id="{73A05F1B-6D79-0D3B-6263-AF39802C3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482600</xdr:colOff>
      <xdr:row>49</xdr:row>
      <xdr:rowOff>76200</xdr:rowOff>
    </xdr:from>
    <xdr:to>
      <xdr:col>23</xdr:col>
      <xdr:colOff>584200</xdr:colOff>
      <xdr:row>64</xdr:row>
      <xdr:rowOff>76200</xdr:rowOff>
    </xdr:to>
    <xdr:graphicFrame macro="">
      <xdr:nvGraphicFramePr>
        <xdr:cNvPr id="44" name="C6_Prev">
          <a:extLst>
            <a:ext uri="{FF2B5EF4-FFF2-40B4-BE49-F238E27FC236}">
              <a16:creationId xmlns:a16="http://schemas.microsoft.com/office/drawing/2014/main" id="{7B8480BF-66A8-422C-1882-2356CDB24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50800</xdr:colOff>
      <xdr:row>64</xdr:row>
      <xdr:rowOff>203200</xdr:rowOff>
    </xdr:from>
    <xdr:to>
      <xdr:col>11</xdr:col>
      <xdr:colOff>152400</xdr:colOff>
      <xdr:row>79</xdr:row>
      <xdr:rowOff>203200</xdr:rowOff>
    </xdr:to>
    <xdr:graphicFrame macro="">
      <xdr:nvGraphicFramePr>
        <xdr:cNvPr id="45" name="C7_Corr">
          <a:extLst>
            <a:ext uri="{FF2B5EF4-FFF2-40B4-BE49-F238E27FC236}">
              <a16:creationId xmlns:a16="http://schemas.microsoft.com/office/drawing/2014/main" id="{A92F953C-A5DE-EE66-79EC-9D87416F9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558800</xdr:colOff>
      <xdr:row>65</xdr:row>
      <xdr:rowOff>0</xdr:rowOff>
    </xdr:from>
    <xdr:to>
      <xdr:col>23</xdr:col>
      <xdr:colOff>660400</xdr:colOff>
      <xdr:row>80</xdr:row>
      <xdr:rowOff>0</xdr:rowOff>
    </xdr:to>
    <xdr:graphicFrame macro="">
      <xdr:nvGraphicFramePr>
        <xdr:cNvPr id="46" name="C8_Tasa">
          <a:extLst>
            <a:ext uri="{FF2B5EF4-FFF2-40B4-BE49-F238E27FC236}">
              <a16:creationId xmlns:a16="http://schemas.microsoft.com/office/drawing/2014/main" id="{088F9225-C20D-DCA2-FED7-7789275EE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26</xdr:col>
      <xdr:colOff>0</xdr:colOff>
      <xdr:row>22</xdr:row>
      <xdr:rowOff>0</xdr:rowOff>
    </xdr:to>
    <xdr:graphicFrame macro="">
      <xdr:nvGraphicFramePr>
        <xdr:cNvPr id="2" name="KmPorGalon">
          <a:extLst>
            <a:ext uri="{FF2B5EF4-FFF2-40B4-BE49-F238E27FC236}">
              <a16:creationId xmlns:a16="http://schemas.microsoft.com/office/drawing/2014/main" id="{7185227A-A375-36EC-1254-8FBFF1458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3" name="KmsRecorridos">
          <a:extLst>
            <a:ext uri="{FF2B5EF4-FFF2-40B4-BE49-F238E27FC236}">
              <a16:creationId xmlns:a16="http://schemas.microsoft.com/office/drawing/2014/main" id="{16DFCE13-E60D-8FB6-1624-002E81730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26</xdr:col>
      <xdr:colOff>0</xdr:colOff>
      <xdr:row>41</xdr:row>
      <xdr:rowOff>0</xdr:rowOff>
    </xdr:to>
    <xdr:graphicFrame macro="">
      <xdr:nvGraphicFramePr>
        <xdr:cNvPr id="4" name="MantenimientosPreventivos">
          <a:extLst>
            <a:ext uri="{FF2B5EF4-FFF2-40B4-BE49-F238E27FC236}">
              <a16:creationId xmlns:a16="http://schemas.microsoft.com/office/drawing/2014/main" id="{6C105B59-AAE1-286B-0D9C-1DF074B63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5" name="MantenimientosCorrectivos">
          <a:extLst>
            <a:ext uri="{FF2B5EF4-FFF2-40B4-BE49-F238E27FC236}">
              <a16:creationId xmlns:a16="http://schemas.microsoft.com/office/drawing/2014/main" id="{F2CE5770-4356-8461-A90C-91CB4DD87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41</xdr:row>
      <xdr:rowOff>0</xdr:rowOff>
    </xdr:from>
    <xdr:to>
      <xdr:col>26</xdr:col>
      <xdr:colOff>0</xdr:colOff>
      <xdr:row>65</xdr:row>
      <xdr:rowOff>0</xdr:rowOff>
    </xdr:to>
    <xdr:graphicFrame macro="">
      <xdr:nvGraphicFramePr>
        <xdr:cNvPr id="6" name="GalonesCargados">
          <a:extLst>
            <a:ext uri="{FF2B5EF4-FFF2-40B4-BE49-F238E27FC236}">
              <a16:creationId xmlns:a16="http://schemas.microsoft.com/office/drawing/2014/main" id="{954FE009-378D-75C3-70F7-7EECDB23F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5BD61-DB10-427C-85E4-A755B608CE5D}" name="Vehiculos" displayName="Vehiculos" ref="C5:V34" totalsRowShown="0" headerRowDxfId="272" headerRowBorderDxfId="271">
  <autoFilter ref="C5:V34" xr:uid="{7F35BD61-DB10-427C-85E4-A755B608CE5D}"/>
  <tableColumns count="20">
    <tableColumn id="1" xr3:uid="{9D51A146-04C1-4241-9B51-B8172ADA0945}" name="Nro" dataDxfId="270">
      <calculatedColumnFormula>ROW(A1)</calculatedColumnFormula>
    </tableColumn>
    <tableColumn id="20" xr3:uid="{8BDDFFF8-A038-48B0-8CBE-E8C2A3DEAA91}" name="PLACA" dataDxfId="269"/>
    <tableColumn id="2" xr3:uid="{9D84F351-FCFD-4C46-83D6-BD5A6CC10B49}" name="TIPO" dataDxfId="268"/>
    <tableColumn id="3" xr3:uid="{75C291D7-883A-4A56-95A1-B4380D5CAF5D}" name="MARCA" dataDxfId="267"/>
    <tableColumn id="4" xr3:uid="{23462C37-A865-4E7E-A371-50C810B4F372}" name="MODELO" dataDxfId="266"/>
    <tableColumn id="5" xr3:uid="{C31CDD3A-843F-407E-9DC4-F28C367164E1}" name="Placa Vehiculo" dataDxfId="265"/>
    <tableColumn id="6" xr3:uid="{403F175C-71B0-49C1-85BF-252691B9EA0C}" name="NRO DE SERIE" dataDxfId="264"/>
    <tableColumn id="7" xr3:uid="{E7792C89-CEF0-4FE6-8CFE-1EFA9EEC9D5F}" name="COLOR" dataDxfId="263"/>
    <tableColumn id="8" xr3:uid="{868C9021-B9C8-4C6E-991A-E0B8B26FC25D}" name="AÑO" dataDxfId="262"/>
    <tableColumn id="9" xr3:uid="{786F8000-39B3-49EA-97FD-C095AB17B7C5}" name="Toneladas (Tn)" dataDxfId="261" dataCellStyle="Millares"/>
    <tableColumn id="11" xr3:uid="{EA5A620C-6FC6-43E9-B3D2-6C339F69DB40}" name="Estado Vehiculo" dataDxfId="260">
      <calculatedColumnFormula>IF(H6="","",IF(_xlfn.MAXIFS(Mantenimiento[Fecha Salida],Mantenimiento[Placa Vehiculo],H6)&gt;TODAY(),"Mantenimiento",IF(IFERROR(INDEX(Seguros[Estado Poliza],MATCH(H6,Seguros[Placa Vehiculo],0)),"")="Vencido","Seguro Vencido","Disponible")))</calculatedColumnFormula>
    </tableColumn>
    <tableColumn id="10" xr3:uid="{8AE2CC68-2374-4F32-B4CE-526E8CC4A18B}" name="Ciclo para Mnnto Prevent._x000a_Motor_x000a_ (Kms)" dataDxfId="259" dataCellStyle="Millares"/>
    <tableColumn id="18" xr3:uid="{6C002030-89DC-469F-AA57-019F6ED4F8CF}" name="Ciclo para _x000a_Mnnto_x000a_Preventivo_x000a_Caja y Diferencial" dataDxfId="258" dataCellStyle="Millares"/>
    <tableColumn id="12" xr3:uid="{A7BCE8CC-DE9B-4F4D-9D96-C0125C8163A3}" name="Kms Odómetro Inicial" dataDxfId="257" dataCellStyle="Millares"/>
    <tableColumn id="16" xr3:uid="{A781A998-3F5E-4F70-8404-A7988A5E0C9F}" name="Kms _x000a_Último Mnnto. Preventivo_x000a_Motor" dataDxfId="256" dataCellStyle="Millares">
      <calculatedColumnFormula>_xlfn.MAXIFS(Mantenimiento[Kilometraje del Odómetro],Mantenimiento[Placa Vehiculo],H6,Mantenimiento[Tipo],"Preventivo")</calculatedColumnFormula>
    </tableColumn>
    <tableColumn id="17" xr3:uid="{1DCBDBFD-458F-40F4-9579-09D75235DAE0}" name="Kms_x000a_Último Mnnto Preve_x000a_Caja y Diferencial" dataDxfId="255" dataCellStyle="Millares">
      <calculatedColumnFormula>_xlfn.MAXIFS(Mantenimiento[Kilometraje del Odómetro],Mantenimiento[Placa Vehiculo],H6,Mantenimiento[Tipo],"Prev Caja y Corona")</calculatedColumnFormula>
    </tableColumn>
    <tableColumn id="13" xr3:uid="{D9CCF952-0DD6-48A1-82E2-90ED75F3DFF0}" name="Kms Odómetro Actual" dataDxfId="254" dataCellStyle="Millares">
      <calculatedColumnFormula>_xlfn.MAXIFS(Rutas[Kms Final (Odómetro)],Rutas[Placa Vehiculo],H6)</calculatedColumnFormula>
    </tableColumn>
    <tableColumn id="19" xr3:uid="{80ED4A41-82E1-492E-8AB4-87B4F7EB3366}" name="Kms Faltantes Mannto Prev._x000a_Cajas y Diferencial" dataDxfId="253" dataCellStyle="Millares">
      <calculatedColumnFormula>IF(H6="","",O6-(IF(S6=0,P6,S6)-R6))</calculatedColumnFormula>
    </tableColumn>
    <tableColumn id="14" xr3:uid="{42B87BEE-F01C-46EA-96B6-F748DD747BD8}" name="Kms faltantes Mnnto Prev._x000a_Motor_x000a_ (Km)" dataDxfId="252">
      <calculatedColumnFormula>IF(H6="","",N6-(IF(S6=0,P6,S6)-Q6))</calculatedColumnFormula>
    </tableColumn>
    <tableColumn id="15" xr3:uid="{4F35B876-4E9E-413B-82AE-8F38CF351743}" name="Estado Mantenimiento Preventivo" dataDxfId="251" dataCellStyle="Porcentaje">
      <calculatedColumnFormula>IFERROR(IF(OR(M6="Mantenimiento",U6/N6&lt;=5%),"Mantener",IF(U6/N6&lt;=20%,"Falta poco","Aun no")),"")</calculatedColumnFormula>
    </tableColumn>
  </tableColumns>
  <tableStyleInfo name="TableStyleLight10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1D01E3-030B-4641-BA06-36A59E6F0D86}" name="Seguros" displayName="Seguros" ref="C3:K23" totalsRowShown="0" headerRowDxfId="250">
  <autoFilter ref="C3:K23" xr:uid="{4B1D01E3-030B-4641-BA06-36A59E6F0D86}"/>
  <tableColumns count="9">
    <tableColumn id="1" xr3:uid="{ECDF621A-BECB-4AA1-9080-870FC3BB7C9E}" name="Nro" dataDxfId="249">
      <calculatedColumnFormula>ROW(A1)</calculatedColumnFormula>
    </tableColumn>
    <tableColumn id="2" xr3:uid="{34FE7A56-BBD2-476A-8529-CA0A80D37F97}" name="Placa Vehiculo" dataDxfId="248"/>
    <tableColumn id="3" xr3:uid="{A009D6B7-9C45-4460-97C5-31E29164C103}" name="Aseguradora" dataDxfId="247"/>
    <tableColumn id="4" xr3:uid="{DD8BB105-1884-454C-B295-A4CBA0984DE4}" name="Poliza seguro" dataDxfId="246"/>
    <tableColumn id="5" xr3:uid="{EA119D8A-0C4C-4DA7-8982-6EF589BFF7C5}" name="Fecha de inicio" dataDxfId="245"/>
    <tableColumn id="6" xr3:uid="{8C6DD7C1-882A-443E-BA5F-7463CCA3313E}" name="Fecha de Vencimiento" dataDxfId="244"/>
    <tableColumn id="8" xr3:uid="{119E8305-96CB-473E-8DDA-1CDD3BCEB2B3}" name="Importe Pagado ($)" dataDxfId="243" dataCellStyle="Millares"/>
    <tableColumn id="9" xr3:uid="{24CF2C5B-F24E-451C-B4B7-DA684925ED66}" name="Fecha de Pago" dataDxfId="242"/>
    <tableColumn id="7" xr3:uid="{C0969A84-B468-4464-B1B0-8500173D883C}" name="Estado Poliza" dataDxfId="241">
      <calculatedColumnFormula>IF(H4="","",IF(H4&lt;TODAY(),"Vencido","Vigente"))</calculatedColumnFormula>
    </tableColumn>
  </tableColumns>
  <tableStyleInfo name="TableStyleLight10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5E5745-E4E7-4406-BD93-094BAFC5881A}" name="Impuestos" displayName="Impuestos" ref="C3:H23" totalsRowShown="0" headerRowDxfId="240">
  <autoFilter ref="C3:H23" xr:uid="{EC5E5745-E4E7-4406-BD93-094BAFC5881A}"/>
  <tableColumns count="6">
    <tableColumn id="1" xr3:uid="{ED6B667C-E94E-4BC2-AB92-2F5C6C91F788}" name="Nro" dataDxfId="239">
      <calculatedColumnFormula>ROW(A1)</calculatedColumnFormula>
    </tableColumn>
    <tableColumn id="2" xr3:uid="{D1259EA6-4A65-45F5-AB7E-BDC598DFBBF4}" name="Placa Vehiculo" dataDxfId="238"/>
    <tableColumn id="3" xr3:uid="{4DBCC1A0-8D04-4C40-82F4-DA12F1303F57}" name="Tipo Impuesto" dataDxfId="237"/>
    <tableColumn id="4" xr3:uid="{63CB4313-99F9-4C34-8F81-BB17F7523ABF}" name="Año Impuesto" dataDxfId="236"/>
    <tableColumn id="5" xr3:uid="{BA41DC30-D8D4-4095-8629-E71A12C99B42}" name="Impuesto ($)" dataDxfId="235" dataCellStyle="Millares"/>
    <tableColumn id="6" xr3:uid="{C8523C1D-3BD0-48EE-B393-92727EABCC7A}" name="Fecha de pago" dataDxfId="234"/>
  </tableColumns>
  <tableStyleInfo name="TableStyleLight10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F440AD-F35B-479F-80D3-E354C60FB5BD}" name="Conductores" displayName="Conductores" ref="C3:I60" totalsRowCount="1" headerRowDxfId="233" dataDxfId="231" headerRowBorderDxfId="232">
  <autoFilter ref="C3:I59" xr:uid="{CEF440AD-F35B-479F-80D3-E354C60FB5BD}"/>
  <tableColumns count="7">
    <tableColumn id="1" xr3:uid="{77EBCC3A-F851-4821-8E4B-CD7E4E129D30}" name="Nro" totalsRowFunction="custom" dataDxfId="230" totalsRowDxfId="229">
      <calculatedColumnFormula>ROW(A1)</calculatedColumnFormula>
      <totalsRowFormula>ROW(A30)</totalsRowFormula>
    </tableColumn>
    <tableColumn id="2" xr3:uid="{B7FA91F6-E0DF-48E5-8682-DA0D75EE0060}" name="Doc Identidad" dataDxfId="228" totalsRowDxfId="227"/>
    <tableColumn id="3" xr3:uid="{8F74C5A1-22A7-4BC0-AB8D-A5626407F02D}" name="Conductor" dataDxfId="226" totalsRowDxfId="225"/>
    <tableColumn id="5" xr3:uid="{1A33A64F-74FD-4465-90ED-F68EC2915FCA}" name="Nro Licencia" dataDxfId="224" totalsRowDxfId="223"/>
    <tableColumn id="6" xr3:uid="{4BFF2176-2AE6-4372-9F35-4DE8D1C66579}" name="Dirección" dataDxfId="222" totalsRowDxfId="221"/>
    <tableColumn id="7" xr3:uid="{49AAC93B-3F99-43D3-BE0F-799E8BF50C7D}" name="Teléfono/Celular" dataDxfId="220" totalsRowDxfId="219"/>
    <tableColumn id="8" xr3:uid="{BD6FC53D-E696-4B65-8997-BB6E8948D539}" name="Calificación" dataDxfId="218" totalsRowDxfId="217"/>
  </tableColumns>
  <tableStyleInfo name="TableStyleLight10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2DED59-36C5-419B-BCE3-28730AAD8849}" name="Talleres" displayName="Talleres" ref="C3:H23" totalsRowShown="0" headerRowDxfId="216" headerRowBorderDxfId="215" tableBorderDxfId="214">
  <autoFilter ref="C3:H23" xr:uid="{6B2DED59-36C5-419B-BCE3-28730AAD8849}"/>
  <tableColumns count="6">
    <tableColumn id="1" xr3:uid="{56C01C57-565D-4419-88F5-14F70C2F99B7}" name="Nro" dataDxfId="213">
      <calculatedColumnFormula>ROW(A1)</calculatedColumnFormula>
    </tableColumn>
    <tableColumn id="2" xr3:uid="{EBA52C05-6314-4155-B9FC-8D5B40FC7B42}" name="Nombre del Taller" dataDxfId="212"/>
    <tableColumn id="3" xr3:uid="{58E51B09-CB6D-4AC1-B16F-49FF6FF11AE3}" name="Dirección" dataDxfId="211"/>
    <tableColumn id="4" xr3:uid="{6C0D2E1C-E8CA-4396-BAB8-B0CDA0C0416F}" name="Teléfono/Celular" dataDxfId="210"/>
    <tableColumn id="5" xr3:uid="{549C7582-B0F2-4E20-89A2-4CE8473DB7D2}" name="Correo" dataDxfId="209"/>
    <tableColumn id="6" xr3:uid="{A7F089CC-CEFC-4F82-8007-F7B4C4862992}" name="Contacto Principal" dataDxfId="208"/>
  </tableColumns>
  <tableStyleInfo name="TableStyleLight10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F17706-848E-47FA-B157-DA68B060ED12}" name="Tipo_Vehiculo" displayName="Tipo_Vehiculo" ref="C5:C9" totalsRowShown="0" headerRowDxfId="207" dataDxfId="206">
  <autoFilter ref="C5:C9" xr:uid="{E0F17706-848E-47FA-B157-DA68B060ED12}"/>
  <sortState xmlns:xlrd2="http://schemas.microsoft.com/office/spreadsheetml/2017/richdata2" ref="C6:C8">
    <sortCondition ref="C5:C8"/>
  </sortState>
  <tableColumns count="1">
    <tableColumn id="1" xr3:uid="{18B951AB-45CF-4A2A-BE29-95852C6BF8DC}" name="Tipo Vehiculo" dataDxfId="205"/>
  </tableColumns>
  <tableStyleInfo name="TableStyleLight10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004B5A-1BC9-4E77-9754-22C0DC46207F}" name="Modelos" displayName="Modelos" ref="G5:H35" totalsRowShown="0" headerRowDxfId="204" dataDxfId="203">
  <autoFilter ref="G5:H35" xr:uid="{C6004B5A-1BC9-4E77-9754-22C0DC46207F}"/>
  <sortState xmlns:xlrd2="http://schemas.microsoft.com/office/spreadsheetml/2017/richdata2" ref="G6:H35">
    <sortCondition ref="G6:G35"/>
    <sortCondition ref="H6:H35"/>
  </sortState>
  <tableColumns count="2">
    <tableColumn id="1" xr3:uid="{720E7A76-5A09-45BE-B6E0-A595FBB4FFA2}" name="Marcas" dataDxfId="202"/>
    <tableColumn id="2" xr3:uid="{412672FB-02C6-4DF7-95F4-6112AB906E6B}" name="Modelo" dataDxfId="201"/>
  </tableColumns>
  <tableStyleInfo name="TableStyleLight10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96F633-F47F-454C-BEBA-FBEC51E66ABC}" name="Marcas" displayName="Marcas" ref="E5:E14" totalsRowShown="0" headerRowDxfId="200" dataDxfId="199">
  <autoFilter ref="E5:E14" xr:uid="{0C96F633-F47F-454C-BEBA-FBEC51E66ABC}"/>
  <sortState xmlns:xlrd2="http://schemas.microsoft.com/office/spreadsheetml/2017/richdata2" ref="E6:E14">
    <sortCondition ref="E5:E14"/>
  </sortState>
  <tableColumns count="1">
    <tableColumn id="1" xr3:uid="{F5FD51A8-C652-4915-8BE8-15443DA8EAD8}" name="Marcas" dataDxfId="198"/>
  </tableColumns>
  <tableStyleInfo name="TableStyleLight10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43F293-6B07-4624-8BD3-47D7A8F6BF33}" name="Estaciones" displayName="Estaciones" ref="J5:J13" totalsRowShown="0" headerRowDxfId="197" dataDxfId="196">
  <autoFilter ref="J5:J13" xr:uid="{CF43F293-6B07-4624-8BD3-47D7A8F6BF33}"/>
  <sortState xmlns:xlrd2="http://schemas.microsoft.com/office/spreadsheetml/2017/richdata2" ref="J6:J12">
    <sortCondition ref="J5:J12"/>
  </sortState>
  <tableColumns count="1">
    <tableColumn id="1" xr3:uid="{91F345D1-0555-4CE8-87C9-C416F0023430}" name="Estación de Combustible" dataDxfId="195"/>
  </tableColumns>
  <tableStyleInfo name="TableStyleLight12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CE9771-B765-4EE1-8DEA-3672FFD52B6E}" name="Calificacion" displayName="Calificacion" ref="W5:W10" totalsRowShown="0" headerRowDxfId="194" dataDxfId="193">
  <autoFilter ref="W5:W10" xr:uid="{6ECE9771-B765-4EE1-8DEA-3672FFD52B6E}"/>
  <tableColumns count="1">
    <tableColumn id="1" xr3:uid="{7A397E6B-EA3F-4F6F-8EF7-5B308323A92C}" name="Calificación" dataDxfId="192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6D556A-1813-4A93-9C5B-FEF661633173}" name="Combustible" displayName="Combustible" ref="L5:L10" totalsRowShown="0" headerRowDxfId="191" dataDxfId="190">
  <autoFilter ref="L5:L10" xr:uid="{346D556A-1813-4A93-9C5B-FEF661633173}"/>
  <sortState xmlns:xlrd2="http://schemas.microsoft.com/office/spreadsheetml/2017/richdata2" ref="L6:L10">
    <sortCondition ref="L5:L10"/>
  </sortState>
  <tableColumns count="1">
    <tableColumn id="1" xr3:uid="{D73E549C-7E36-412E-B517-D63E12C7E233}" name="Tipo de Combustible" dataDxfId="189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F98DA3C-8AD9-48AF-A6CA-A83032BDD97E}" name="Servicios" displayName="Servicios" ref="R5:S28" totalsRowShown="0" headerRowDxfId="188" dataDxfId="187">
  <autoFilter ref="R5:S28" xr:uid="{5F98DA3C-8AD9-48AF-A6CA-A83032BDD97E}"/>
  <sortState xmlns:xlrd2="http://schemas.microsoft.com/office/spreadsheetml/2017/richdata2" ref="S6:S25">
    <sortCondition ref="S5:S25"/>
  </sortState>
  <tableColumns count="2">
    <tableColumn id="2" xr3:uid="{70C8EAF7-98F2-4E73-83A0-3A20E9CCFE7B}" name="Paquete de Mantenimiento" dataDxfId="186"/>
    <tableColumn id="1" xr3:uid="{93F3268F-3F31-4B86-8866-541C9DBAFB4B}" name="Servicios de Mantenimiento" dataDxfId="185"/>
  </tableColumns>
  <tableStyleInfo name="TableStyleLight13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B0F311-0915-425D-B30F-7C4CE4BF7223}" name="Infraccion" displayName="Infraccion" ref="U5:U11" totalsRowShown="0" headerRowDxfId="184" dataDxfId="183">
  <autoFilter ref="U5:U11" xr:uid="{49B0F311-0915-425D-B30F-7C4CE4BF7223}"/>
  <sortState xmlns:xlrd2="http://schemas.microsoft.com/office/spreadsheetml/2017/richdata2" ref="U6:U11">
    <sortCondition ref="U5:U11"/>
  </sortState>
  <tableColumns count="1">
    <tableColumn id="1" xr3:uid="{4C2177EF-AEB1-4848-9525-A95E412D4749}" name="Infracción" dataDxfId="182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4464675-C41C-437D-A913-55F75B351161}" name="TipoMnnto" displayName="TipoMnnto" ref="N5:N8" totalsRowShown="0" headerRowDxfId="181" dataDxfId="180">
  <autoFilter ref="N5:N8" xr:uid="{D4464675-C41C-437D-A913-55F75B351161}"/>
  <tableColumns count="1">
    <tableColumn id="1" xr3:uid="{48DA7FA4-BE6F-4788-9F46-AF2AF785B239}" name="Tipo Mantenimiento" dataDxfId="179"/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A5A32DD-4B6C-4A52-8774-99C368539CE6}" name="PaqueteMnnto" displayName="PaqueteMnnto" ref="P5:P28" totalsRowShown="0" headerRowDxfId="178" dataDxfId="177">
  <autoFilter ref="P5:P28" xr:uid="{8A5A32DD-4B6C-4A52-8774-99C368539CE6}"/>
  <sortState xmlns:xlrd2="http://schemas.microsoft.com/office/spreadsheetml/2017/richdata2" ref="P6:P20">
    <sortCondition ref="P5:P20"/>
  </sortState>
  <tableColumns count="1">
    <tableColumn id="1" xr3:uid="{C9A9DDA9-71CC-4B2B-9136-42662BC775F7}" name="Paquete de Mantenimiento" dataDxfId="176"/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BCAC9D3-D539-4DD6-ABCE-64E840ECC62D}" name="Rutas" displayName="Rutas" ref="C3:AD1944" totalsRowShown="0" headerRowDxfId="175" headerRowBorderDxfId="174">
  <autoFilter ref="C3:AD1944" xr:uid="{2BCAC9D3-D539-4DD6-ABCE-64E840ECC62D}"/>
  <tableColumns count="28">
    <tableColumn id="1" xr3:uid="{1329C183-168C-411E-8B6D-D96DE234C5D1}" name="Nro" dataDxfId="173">
      <calculatedColumnFormula>ROW(A1)</calculatedColumnFormula>
    </tableColumn>
    <tableColumn id="25" xr3:uid="{0F30B3DB-6C73-4C4B-B7CE-C49CAD42A017}" name="Fecha de Salida" dataDxfId="172"/>
    <tableColumn id="2" xr3:uid="{E6CFF5F6-6003-4183-B735-BA5076262B05}" name="Fecha de Llegada" dataDxfId="171"/>
    <tableColumn id="3" xr3:uid="{7B29CF7D-EDE0-450C-B38D-F4E29ABB4243}" name="Placa Vehiculo" dataDxfId="170"/>
    <tableColumn id="4" xr3:uid="{77CB4468-086F-4C75-B3A3-C0C6DD051242}" name="Estado Vehículo" dataDxfId="169">
      <calculatedColumnFormula>IF(AND(E4&lt;&gt;"",E4&lt;TODAY()),"Disponible",IFERROR(INDEX(Vehiculos[Estado Vehiculo],MATCH(F4,Vehiculos[Placa Vehiculo],0)),""))</calculatedColumnFormula>
    </tableColumn>
    <tableColumn id="5" xr3:uid="{F14EC1F5-9238-41DD-833B-BA83CBAF910B}" name="Conductor" dataDxfId="168"/>
    <tableColumn id="6" xr3:uid="{B5A38779-0996-4D63-BC61-5141B55B770D}" name="Origen" dataDxfId="167"/>
    <tableColumn id="7" xr3:uid="{B64EA8A0-9B75-4D02-9A42-59A1FE8EA29D}" name="Destino" dataDxfId="166"/>
    <tableColumn id="8" xr3:uid="{D17B72D4-C8DF-41E1-963D-BAD0ED14D8E8}" name="Kms Inicial (Odómetro)" dataDxfId="165" dataCellStyle="Millares"/>
    <tableColumn id="9" xr3:uid="{57E7567F-7630-408A-A4FA-187C595460C6}" name="Kms Final (Odómetro)" dataDxfId="164" dataCellStyle="Millares"/>
    <tableColumn id="10" xr3:uid="{910B2FCE-F35B-4795-A2AC-2CBBC96A60C0}" name="Kms Recorridos" dataDxfId="163" dataCellStyle="Millares">
      <calculatedColumnFormula>L4-K4</calculatedColumnFormula>
    </tableColumn>
    <tableColumn id="27" xr3:uid="{4E3A5C85-FC9E-43E9-B7E3-B502B7662336}" name="Horas trabjadas" dataDxfId="162" dataCellStyle="Millares"/>
    <tableColumn id="11" xr3:uid="{B7D4DDB0-A556-49B4-B10F-0591CDF9FD7E}" name="Peso de carga (BLS)" dataDxfId="161" dataCellStyle="Millares"/>
    <tableColumn id="12" xr3:uid="{99783F75-704D-4A93-BDEE-44D3F344E736}" name="Costo por Km de carga ($/Km)" dataDxfId="160" dataCellStyle="Millares"/>
    <tableColumn id="13" xr3:uid="{78B4981B-76E5-433A-B3DA-63D7CED59218}" name="Ingreso Total ($)" dataDxfId="159" dataCellStyle="Millares">
      <calculatedColumnFormula>M4*P4</calculatedColumnFormula>
    </tableColumn>
    <tableColumn id="14" xr3:uid="{ECCE613A-353C-4D88-9631-CEDB007970CC}" name="Estación de Combustible" dataDxfId="158"/>
    <tableColumn id="15" xr3:uid="{014F6288-77FB-4589-A0EA-B7A004D131AA}" name="Tipo de Combustible" dataDxfId="157"/>
    <tableColumn id="16" xr3:uid="{FF066B23-F7BE-4E16-8CAF-B714CBBA01D2}" name="Precio x Galón ($/gal)" dataDxfId="156" dataCellStyle="Millares"/>
    <tableColumn id="17" xr3:uid="{85AA0D4A-C1EC-4B0F-973E-1ADDD698AFF6}" name="Total Combustible ($)" dataDxfId="155" dataCellStyle="Millares"/>
    <tableColumn id="19" xr3:uid="{96A291A7-B9FA-4221-A7EC-F8D91DAB4DE6}" name="Gasto peajes ($)" dataDxfId="154" dataCellStyle="Millares"/>
    <tableColumn id="20" xr3:uid="{EFC64091-07E7-474D-A8A1-5E5681DC4C25}" name="Gasto comidas ($)" dataDxfId="153" dataCellStyle="Millares"/>
    <tableColumn id="21" xr3:uid="{E35C579D-D6A6-4EB6-BC62-9AADCBBD7663}" name="Otros Gastos ($)" dataDxfId="152" dataCellStyle="Millares"/>
    <tableColumn id="24" xr3:uid="{90FA7DA3-ED32-4F6D-9446-0060B503309A}" name="Gasto Total ($)" dataDxfId="151" dataCellStyle="Millares">
      <calculatedColumnFormula>U4+SUM(V4:X4)</calculatedColumnFormula>
    </tableColumn>
    <tableColumn id="28" xr3:uid="{9B38D921-3128-49E5-BADB-1690457FDAEF}" name="TICKET" dataDxfId="150" dataCellStyle="Millares"/>
    <tableColumn id="18" xr3:uid="{DD94A281-447E-4C99-AEC2-0C27E30B33B2}" name="Volumen de Combustible (gal)" dataDxfId="149" dataCellStyle="Millares">
      <calculatedColumnFormula>IFERROR(U4/T4,0)</calculatedColumnFormula>
    </tableColumn>
    <tableColumn id="22" xr3:uid="{40D17DEB-DD57-4693-A8E7-734CC7A1F405}" name="Recorrido por und. de comb. (Km/gal)" dataDxfId="148" dataCellStyle="Millares">
      <calculatedColumnFormula>IFERROR(M4/AA4,0)</calculatedColumnFormula>
    </tableColumn>
    <tableColumn id="23" xr3:uid="{593EFB4C-C0AD-425D-B24B-4DD331D755BF}" name="Ingreso por Kms de recorrido ($/Km)" dataDxfId="147" dataCellStyle="Millares">
      <calculatedColumnFormula>IFERROR(Q4/M4,0)</calculatedColumnFormula>
    </tableColumn>
    <tableColumn id="26" xr3:uid="{0BD31EBB-44F1-449D-9871-4FD6FD24F211}" name="Observaciones" dataDxfId="146"/>
  </tableColumns>
  <tableStyleInfo name="TableStyleLight10" showFirstColumn="0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E2A102A-6BE0-43AF-8E80-9BC1DBF56ACC}" name="Multas" displayName="Multas" ref="C3:M23" totalsRowShown="0" headerRowDxfId="145" headerRowBorderDxfId="144">
  <autoFilter ref="C3:M23" xr:uid="{AE2A102A-6BE0-43AF-8E80-9BC1DBF56ACC}"/>
  <tableColumns count="11">
    <tableColumn id="1" xr3:uid="{5DAF0864-E21E-45AC-BE88-9A1A962B9AA7}" name="Nro" dataDxfId="143">
      <calculatedColumnFormula>ROW(A1)</calculatedColumnFormula>
    </tableColumn>
    <tableColumn id="2" xr3:uid="{5D54B571-D782-4D23-8D66-3B309DB31C3C}" name="Fecha" dataDxfId="142"/>
    <tableColumn id="3" xr3:uid="{AADE31C0-DF8B-4592-8EE7-C7ED651F8191}" name="Nro Viaje" dataDxfId="141"/>
    <tableColumn id="9" xr3:uid="{AE0366DA-B4E7-4F74-BBA4-93E06404E1C5}" name="Placa Vehículo" dataDxfId="140">
      <calculatedColumnFormula>IFERROR(VLOOKUP($E4,Rutas[],4,FALSE),"")</calculatedColumnFormula>
    </tableColumn>
    <tableColumn id="10" xr3:uid="{07B578AD-B659-472F-9E07-28C61D839203}" name="Conductor" dataDxfId="139">
      <calculatedColumnFormula>IFERROR(VLOOKUP($E4,Rutas[],6,FALSE),"")</calculatedColumnFormula>
    </tableColumn>
    <tableColumn id="4" xr3:uid="{603221E6-8866-45D1-AD53-B7F567BA178F}" name="Infracción" dataDxfId="138"/>
    <tableColumn id="5" xr3:uid="{6DD6F372-26E5-4BDC-92C8-6FAF4922DDDB}" name="Importe multa ($)" dataDxfId="137" dataCellStyle="Millares"/>
    <tableColumn id="6" xr3:uid="{80D6FA87-6362-4C5A-861E-278F7DA3DF42}" name="Importe pagado ($)" dataDxfId="136" dataCellStyle="Millares"/>
    <tableColumn id="11" xr3:uid="{287E5AC6-525A-4AE5-A99C-0E08045F4F91}" name="Debe ($)" dataDxfId="135" dataCellStyle="Millares">
      <calculatedColumnFormula>I4-J4</calculatedColumnFormula>
    </tableColumn>
    <tableColumn id="7" xr3:uid="{34BDB6E7-D922-4B5A-9DC5-41D6C9ED3CB4}" name="Estado Pago" dataDxfId="134">
      <calculatedColumnFormula>IF(I4=0,"",IF(K4=0,"Abierto","Cerrado"))</calculatedColumnFormula>
    </tableColumn>
    <tableColumn id="8" xr3:uid="{BF4AF3C9-5D54-42DB-8F88-6C689CC047E9}" name="Observaciones" dataDxfId="133"/>
  </tableColumns>
  <tableStyleInfo name="TableStyleLight10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9B5F9-F257-463C-A1F2-CD27B68E350A}" name="Mantenimiento" displayName="Mantenimiento" ref="C3:R457" totalsRowShown="0" headerRowDxfId="290" headerRowBorderDxfId="289">
  <autoFilter ref="C3:R457" xr:uid="{F8D9B5F9-F257-463C-A1F2-CD27B68E350A}"/>
  <tableColumns count="16">
    <tableColumn id="1" xr3:uid="{AE0BE57B-34FE-4225-8FA1-1814018252DA}" name="Nro" dataDxfId="288">
      <calculatedColumnFormula>ROW(A1)</calculatedColumnFormula>
    </tableColumn>
    <tableColumn id="2" xr3:uid="{A96414A7-D0FE-43DF-B2AD-01ABD389DF5D}" name="Placa Vehiculo" dataDxfId="287"/>
    <tableColumn id="3" xr3:uid="{F5CDE027-2C99-4FE1-8C10-1DCCC5975A65}" name="Taller" dataDxfId="286"/>
    <tableColumn id="4" xr3:uid="{7D6F5D3A-D512-4317-B2DF-A889D9289221}" name="Fecha Entrada" dataDxfId="285"/>
    <tableColumn id="5" xr3:uid="{DEA505F1-BB86-4F59-B5D6-DCF955B51CA4}" name="Fecha Salida" dataDxfId="284"/>
    <tableColumn id="6" xr3:uid="{5074DF22-DAB2-45D1-86D1-C9A60931E090}" name="Tipo" dataDxfId="283"/>
    <tableColumn id="12" xr3:uid="{31BF819D-C6DE-44EE-946A-87FAA4F52EE8}" name="Kilometraje del Odómetro" dataDxfId="282" dataCellStyle="Millares"/>
    <tableColumn id="13" xr3:uid="{4237DA29-72D6-4C02-A6AF-34D9FABF71D7}" name="KM Entre MTO" dataDxfId="281" dataCellStyle="Millares">
      <calculatedColumnFormula>Mantenimiento[[#This Row],[Kilometraje del Odómetro]]-I3</calculatedColumnFormula>
    </tableColumn>
    <tableColumn id="14" xr3:uid="{D2287EDA-9331-4747-94AD-695E03ACBED7}" name="Tiempo MTO CRTVO" dataDxfId="280" dataCellStyle="Millares"/>
    <tableColumn id="15" xr3:uid="{4045FD43-8906-4E54-B8D0-3202FEFE7520}" name="Tiempo MTO PTVO" dataDxfId="279" dataCellStyle="Millares"/>
    <tableColumn id="7" xr3:uid="{E13659BB-AE7A-41FC-9811-5FBE7B2572E6}" name="Paquete de Mantenimiento" dataDxfId="278"/>
    <tableColumn id="16" xr3:uid="{9BBE349E-85EF-4A67-B112-29C059540657}" name="N° de Orden" dataDxfId="277"/>
    <tableColumn id="8" xr3:uid="{830CD82D-27EB-488E-946C-7B0B20F07027}" name="Causas del Mantenimiento" dataDxfId="276"/>
    <tableColumn id="10" xr3:uid="{319A9BA3-ED31-4FB4-AF1E-80A5509A824B}" name="Costo Total ($)" dataDxfId="275" dataCellStyle="Millares"/>
    <tableColumn id="11" xr3:uid="{D221D04B-A45D-468C-A450-DB7327422EFD}" name="Fecha de Pago" dataDxfId="274" dataCellStyle="Millares"/>
    <tableColumn id="9" xr3:uid="{CB7AAD7A-CC94-4EB0-9395-E17DA7E88F5D}" name="Observaciones" dataDxfId="273"/>
  </tableColumns>
  <tableStyleInfo name="TableStyleLight10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6C60513-C8D9-4AD2-8E38-C0DFFC650838}" name="Egresos_varios" displayName="Egresos_varios" ref="R8:U32" totalsRowShown="0" headerRowDxfId="132" dataDxfId="131">
  <autoFilter ref="R8:U32" xr:uid="{46C60513-C8D9-4AD2-8E38-C0DFFC650838}"/>
  <tableColumns count="4">
    <tableColumn id="1" xr3:uid="{41155679-2B89-4FDC-B000-E8F21C1242A3}" name="Año" dataDxfId="130"/>
    <tableColumn id="2" xr3:uid="{0FFB927B-1F8F-4105-9BF5-3FDC84C7F3AA}" name="Mes" dataDxfId="129"/>
    <tableColumn id="3" xr3:uid="{95AD3EFB-27DE-493B-9A65-CB8DE367F1CD}" name="Gastos Personal" dataDxfId="128" dataCellStyle="Millares"/>
    <tableColumn id="4" xr3:uid="{C2A822F0-4158-4ECC-80C4-A7FB614D1AAD}" name="Otros Egresos" dataDxfId="127" dataCellStyle="Millares"/>
  </tableColumns>
  <tableStyleInfo name="TableStyleLight10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F0F64CC-F76F-4905-A2EA-F12F60BE34C9}" name="kms_recorridos" displayName="kms_recorridos" ref="C78:R103" totalsRowShown="0" headerRowDxfId="126" dataDxfId="125" dataCellStyle="Millares">
  <autoFilter ref="C78:R103" xr:uid="{EF0F64CC-F76F-4905-A2EA-F12F60BE34C9}"/>
  <tableColumns count="16">
    <tableColumn id="1" xr3:uid="{8A468C19-BE0B-42E1-8B8F-3AF7544147EA}" name="Equipo" dataDxfId="124">
      <calculatedColumnFormula>CONCATENATE(VLOOKUP(D79,Vehiculos[[PLACA]:[MODELO]],3,0)," ",VLOOKUP(D79,Vehiculos[[PLACA]:[MODELO]],4,0)," ",VLOOKUP(D79,Vehiculos[[PLACA]:[MODELO]],3,0))</calculatedColumnFormula>
    </tableColumn>
    <tableColumn id="2" xr3:uid="{0CD16E97-BF3B-4FE5-964D-AEDCF83CA886}" name="Unidad" dataDxfId="123"/>
    <tableColumn id="3" xr3:uid="{1E3F2EB6-FD99-4C64-9FAA-04797D9B685C}" name="Gráfica" dataDxfId="122"/>
    <tableColumn id="4" xr3:uid="{CCEC9238-1F3B-48FF-9E62-B5C705AA1E43}" name="Enero" dataDxfId="121" dataCellStyle="Millares">
      <calculatedColumnFormula>SUMIFS(Rutas[Kms Recorridos],Rutas[Placa Vehiculo],IF($D79="","*",$D79),Rutas[Fecha de Llegada],"&gt;="&amp;F$3,Rutas[Fecha de Llegada],"&lt;="&amp;F$4)</calculatedColumnFormula>
    </tableColumn>
    <tableColumn id="5" xr3:uid="{16253FFF-D9B6-44BD-8252-1E995B33D9A7}" name="Febrero" dataDxfId="120" dataCellStyle="Millares">
      <calculatedColumnFormula>SUMIFS(Rutas[Kms Recorridos],Rutas[Placa Vehiculo],IF($D79="","*",$D79),Rutas[Fecha de Llegada],"&gt;="&amp;G$3,Rutas[Fecha de Llegada],"&lt;="&amp;G$4)</calculatedColumnFormula>
    </tableColumn>
    <tableColumn id="6" xr3:uid="{394BEC86-0AC0-43DE-AC12-083790CA1902}" name="Marzo" dataDxfId="119" dataCellStyle="Millares">
      <calculatedColumnFormula>SUMIFS(Rutas[Kms Recorridos],Rutas[Placa Vehiculo],IF($D79="","*",$D79),Rutas[Fecha de Llegada],"&gt;="&amp;H$3,Rutas[Fecha de Llegada],"&lt;="&amp;H$4)</calculatedColumnFormula>
    </tableColumn>
    <tableColumn id="7" xr3:uid="{3BE49668-7AFE-4DC6-89CA-3C1E0FAA3FFC}" name="Abril" dataDxfId="118" dataCellStyle="Millares">
      <calculatedColumnFormula>SUMIFS(Rutas[Kms Recorridos],Rutas[Placa Vehiculo],IF($D79="","*",$D79),Rutas[Fecha de Llegada],"&gt;="&amp;I$3,Rutas[Fecha de Llegada],"&lt;="&amp;I$4)</calculatedColumnFormula>
    </tableColumn>
    <tableColumn id="8" xr3:uid="{307E2D96-55AB-485C-B46E-5E72D06E9D3A}" name="Mayo" dataDxfId="117" dataCellStyle="Millares">
      <calculatedColumnFormula>SUMIFS(Rutas[Kms Recorridos],Rutas[Placa Vehiculo],IF($D79="","*",$D79),Rutas[Fecha de Llegada],"&gt;="&amp;J$3,Rutas[Fecha de Llegada],"&lt;="&amp;J$4)</calculatedColumnFormula>
    </tableColumn>
    <tableColumn id="9" xr3:uid="{0EFDB132-DF15-4602-B740-7A55896F9A6E}" name="Junio" dataDxfId="116" dataCellStyle="Millares">
      <calculatedColumnFormula>SUMIFS(Rutas[Kms Recorridos],Rutas[Placa Vehiculo],IF($D79="","*",$D79),Rutas[Fecha de Llegada],"&gt;="&amp;K$3,Rutas[Fecha de Llegada],"&lt;="&amp;K$4)</calculatedColumnFormula>
    </tableColumn>
    <tableColumn id="10" xr3:uid="{73C63229-DE75-485D-A320-6C15C780C019}" name="Julio" dataDxfId="115" dataCellStyle="Millares">
      <calculatedColumnFormula>SUMIFS(Rutas[Kms Recorridos],Rutas[Placa Vehiculo],IF($D79="","*",$D79),Rutas[Fecha de Llegada],"&gt;="&amp;L$3,Rutas[Fecha de Llegada],"&lt;="&amp;L$4)</calculatedColumnFormula>
    </tableColumn>
    <tableColumn id="11" xr3:uid="{0F648414-AF52-4E52-8C40-A1B3B92CC0E0}" name="Agosto" dataDxfId="114" dataCellStyle="Millares">
      <calculatedColumnFormula>SUMIFS(Rutas[Kms Recorridos],Rutas[Placa Vehiculo],IF($D79="","*",$D79),Rutas[Fecha de Llegada],"&gt;="&amp;M$3,Rutas[Fecha de Llegada],"&lt;="&amp;M$4)</calculatedColumnFormula>
    </tableColumn>
    <tableColumn id="12" xr3:uid="{596F487A-98A8-4B8C-ACB2-5552EE89D2C1}" name="Septiembre" dataDxfId="113" dataCellStyle="Millares">
      <calculatedColumnFormula>SUMIFS(Rutas[Kms Recorridos],Rutas[Placa Vehiculo],IF($D79="","*",$D79),Rutas[Fecha de Llegada],"&gt;="&amp;N$3,Rutas[Fecha de Llegada],"&lt;="&amp;N$4)</calculatedColumnFormula>
    </tableColumn>
    <tableColumn id="13" xr3:uid="{2F5C04AE-5389-4F9E-A4A6-D1DADF9A7DB6}" name="Octubre" dataDxfId="112" dataCellStyle="Millares">
      <calculatedColumnFormula>SUMIFS(Rutas[Kms Recorridos],Rutas[Placa Vehiculo],IF($D79="","*",$D79),Rutas[Fecha de Llegada],"&gt;="&amp;O$3,Rutas[Fecha de Llegada],"&lt;="&amp;O$4)</calculatedColumnFormula>
    </tableColumn>
    <tableColumn id="14" xr3:uid="{6A08176C-4EDD-429E-82E0-F129D2D689F2}" name="Noviembre" dataDxfId="111" dataCellStyle="Millares">
      <calculatedColumnFormula>SUMIFS(Rutas[Kms Recorridos],Rutas[Placa Vehiculo],IF($D79="","*",$D79),Rutas[Fecha de Llegada],"&gt;="&amp;P$3,Rutas[Fecha de Llegada],"&lt;="&amp;P$4)</calculatedColumnFormula>
    </tableColumn>
    <tableColumn id="15" xr3:uid="{3620FA66-76BE-4231-83A1-6D37C7F07FAF}" name="Diciembre" dataDxfId="110" dataCellStyle="Millares">
      <calculatedColumnFormula>SUMIFS(Rutas[Kms Recorridos],Rutas[Placa Vehiculo],IF($D79="","*",$D79),Rutas[Fecha de Llegada],"&gt;="&amp;Q$3,Rutas[Fecha de Llegada],"&lt;="&amp;Q$4)</calculatedColumnFormula>
    </tableColumn>
    <tableColumn id="16" xr3:uid="{39F63072-BE9F-4503-923F-2C0B45979BF4}" name="Total" dataDxfId="109" dataCellStyle="Millares">
      <calculatedColumnFormula>SUM(F79:Q79)</calculatedColumnFormula>
    </tableColumn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DEA528D-E27E-4DA7-88DB-2B678BC10295}" name="mant_ejecutados" displayName="mant_ejecutados" ref="C109:R136" totalsRowShown="0" headerRowDxfId="108" dataDxfId="106" headerRowBorderDxfId="107" tableBorderDxfId="105" totalsRowBorderDxfId="104" dataCellStyle="Millares">
  <autoFilter ref="C109:R136" xr:uid="{5DEA528D-E27E-4DA7-88DB-2B678BC10295}"/>
  <tableColumns count="16">
    <tableColumn id="1" xr3:uid="{971BEA6E-CB47-41FA-88CC-C9C6D099C0D1}" name="Equipo" dataDxfId="103"/>
    <tableColumn id="2" xr3:uid="{C13ACE17-096F-437F-B47D-AB7E1786A50B}" name="Unidad" dataDxfId="102"/>
    <tableColumn id="3" xr3:uid="{F43AD9EA-F49F-43A6-8F81-AEFB9F9C1F3D}" name="Gráfica" dataDxfId="101"/>
    <tableColumn id="4" xr3:uid="{9F0EA17C-0744-4253-AFAB-7B2CB907C7F3}" name="Enero" dataDxfId="100" dataCellStyle="Millares"/>
    <tableColumn id="5" xr3:uid="{EAD25B33-B3DF-494F-98B0-BD9E14772EE5}" name="Febrero" dataDxfId="99" dataCellStyle="Millares"/>
    <tableColumn id="6" xr3:uid="{3DF659CE-D8B5-4F67-A67A-346AF1769EFB}" name="Marzo" dataDxfId="98" dataCellStyle="Millares"/>
    <tableColumn id="7" xr3:uid="{C04F492D-4677-4442-A39D-9CC484431020}" name="Abril" dataDxfId="97" dataCellStyle="Millares"/>
    <tableColumn id="8" xr3:uid="{2FF902FD-352A-4DAD-A334-3DEB36ADA149}" name="Mayo" dataDxfId="96" dataCellStyle="Millares"/>
    <tableColumn id="9" xr3:uid="{D58B37C9-556F-443F-95CF-22EC96D3F49E}" name="Junio" dataDxfId="95" dataCellStyle="Millares"/>
    <tableColumn id="10" xr3:uid="{F3BD3B0C-3A25-4E59-B04E-73FA73F54169}" name="Julio" dataDxfId="94" dataCellStyle="Millares"/>
    <tableColumn id="11" xr3:uid="{A8D7D6FF-3B1C-44ED-8499-9C50D0F8DFFC}" name="Agosto" dataDxfId="93" dataCellStyle="Millares"/>
    <tableColumn id="12" xr3:uid="{210E67D9-0CEF-4643-8DEE-4D57CFB85DE1}" name="Septiembre" dataDxfId="92" dataCellStyle="Millares"/>
    <tableColumn id="13" xr3:uid="{483B845E-F47A-4E6E-8A38-23835326FADC}" name="Octubre" dataDxfId="91" dataCellStyle="Millares"/>
    <tableColumn id="14" xr3:uid="{0D42BD4D-A755-4D26-9632-2411CBDB7C58}" name="Noviembre" dataDxfId="90" dataCellStyle="Millares"/>
    <tableColumn id="15" xr3:uid="{424F8B64-EE09-41F7-91BD-7148298DAC66}" name="Diciembre" dataDxfId="89" dataCellStyle="Millares"/>
    <tableColumn id="16" xr3:uid="{E59BEBA3-546D-4767-A121-E0711207672B}" name="Total" dataDxfId="88" dataCellStyle="Millares"/>
  </tableColumns>
  <tableStyleInfo name="TableStyleLight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1C1B82-13FE-4D48-BB39-71900E10350E}" name="Consumo_combustible" displayName="Consumo_combustible" ref="C170:R195" totalsRowShown="0" headerRowDxfId="87" dataDxfId="85" headerRowBorderDxfId="86" tableBorderDxfId="84" totalsRowBorderDxfId="83" dataCellStyle="Millares">
  <autoFilter ref="C170:R195" xr:uid="{B51C1B82-13FE-4D48-BB39-71900E10350E}"/>
  <tableColumns count="16">
    <tableColumn id="1" xr3:uid="{62E4E868-B43A-4FF9-A350-292D652BB6CF}" name="Equipo" dataDxfId="82"/>
    <tableColumn id="2" xr3:uid="{F4396C1F-6048-4B07-BCF8-7D4E87214B06}" name="Unidad" dataDxfId="81"/>
    <tableColumn id="3" xr3:uid="{38E47A74-4A92-4D2B-86A6-002941CD90B1}" name="Gráfica" dataDxfId="80"/>
    <tableColumn id="4" xr3:uid="{CD73BC1A-CF0D-4A38-9C8B-C020F8B3E9BB}" name="Enero" dataDxfId="79" dataCellStyle="Millares"/>
    <tableColumn id="5" xr3:uid="{EE48183C-1061-49AD-BCD8-A09151CD3630}" name="Febrero" dataDxfId="78" dataCellStyle="Millares"/>
    <tableColumn id="6" xr3:uid="{15D10ABC-DF3D-477E-86CC-5878EC6B4548}" name="Marzo" dataDxfId="77" dataCellStyle="Millares"/>
    <tableColumn id="7" xr3:uid="{3C16010C-4323-4982-824D-6A4D7AA72B27}" name="Abril" dataDxfId="76" dataCellStyle="Millares"/>
    <tableColumn id="8" xr3:uid="{37979D53-9B64-4800-949E-731A29B5F45F}" name="Mayo" dataDxfId="75" dataCellStyle="Millares"/>
    <tableColumn id="9" xr3:uid="{94F0DAFF-0D5A-4E66-9959-FA4CCC372023}" name="Junio" dataDxfId="74" dataCellStyle="Millares"/>
    <tableColumn id="10" xr3:uid="{0FA9B4A1-C377-4FFC-A4EC-01F9FDAD1D6C}" name="Julio" dataDxfId="73" dataCellStyle="Millares"/>
    <tableColumn id="11" xr3:uid="{046F80C3-23D4-4520-9158-3AF594A4A3CF}" name="Agosto" dataDxfId="72" dataCellStyle="Millares"/>
    <tableColumn id="12" xr3:uid="{05BB27AA-6C34-4955-87E6-58BFC4F06A54}" name="Septiembre" dataDxfId="71" dataCellStyle="Millares"/>
    <tableColumn id="13" xr3:uid="{1359CBE6-2711-4E2E-AB85-93BD632E4F6F}" name="Octubre" dataDxfId="70" dataCellStyle="Millares"/>
    <tableColumn id="14" xr3:uid="{560429C3-2FBF-434E-BE81-42020DC87D19}" name="Noviembre" dataDxfId="69" dataCellStyle="Millares"/>
    <tableColumn id="15" xr3:uid="{314FD17B-E072-4241-BBDC-CE06F3BD9B61}" name="Diciembre" dataDxfId="68" dataCellStyle="Millares"/>
    <tableColumn id="16" xr3:uid="{454A18E5-79A9-4CAE-9BAD-9CAAA090DE47}" name="Total" dataDxfId="67" dataCellStyle="Millares"/>
  </tableColumns>
  <tableStyleInfo name="TableStyleLight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743B15A-2415-4362-AE7B-8EE82963A64A}" name="ResumenPreventivos" displayName="ResumenPreventivos" ref="V108:X120" totalsRowShown="0">
  <autoFilter ref="V108:X120" xr:uid="{4743B15A-2415-4362-AE7B-8EE82963A64A}"/>
  <tableColumns count="3">
    <tableColumn id="1" xr3:uid="{D35715F3-5FF6-451E-8A6D-FFAF195F487B}" name="MES"/>
    <tableColumn id="2" xr3:uid="{FD39A906-1639-4D0E-BD79-6AAC85075B17}" name="Ejecutados" dataDxfId="66">
      <calculatedColumnFormula>F$137</calculatedColumnFormula>
    </tableColumn>
    <tableColumn id="3" xr3:uid="{B006C624-2D75-47F3-A16A-6900692B85EA}" name="Programados" dataDxfId="65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602E949-419A-4805-9B09-76C2C445637E}" name="kms_recorridos26" displayName="kms_recorridos26" ref="C49:R74" totalsRowShown="0" headerRowDxfId="64" dataDxfId="63" dataCellStyle="Millares">
  <autoFilter ref="C49:R74" xr:uid="{E602E949-419A-4805-9B09-76C2C445637E}"/>
  <tableColumns count="16">
    <tableColumn id="1" xr3:uid="{3D8ED60A-3ACB-4844-B4E7-DE10B5A9F860}" name="Equipo" dataDxfId="62">
      <calculatedColumnFormula>CONCATENATE(VLOOKUP(D50,Vehiculos[[PLACA]:[MODELO]],3,0)," ",VLOOKUP(D50,Vehiculos[[PLACA]:[MODELO]],4,0)," ",VLOOKUP(D50,Vehiculos[[PLACA]:[MODELO]],3,0))</calculatedColumnFormula>
    </tableColumn>
    <tableColumn id="2" xr3:uid="{D8E47938-898A-4740-8615-2467843E22A7}" name="Unidad" dataDxfId="61"/>
    <tableColumn id="3" xr3:uid="{E45EB4EF-18E7-4FF7-867C-F95177DA0693}" name="Gráfica" dataDxfId="60"/>
    <tableColumn id="4" xr3:uid="{85C165E2-F566-4126-B4CA-19A4B4D1FBA5}" name="Enero" dataDxfId="59" dataCellStyle="Millares">
      <calculatedColumnFormula>IFERROR(F79/F171,0)</calculatedColumnFormula>
    </tableColumn>
    <tableColumn id="5" xr3:uid="{CE1D4292-DD7A-4B44-B7AD-A87913642EA6}" name="Febrero" dataDxfId="58" dataCellStyle="Millares">
      <calculatedColumnFormula>IFERROR(G79/G171,0)</calculatedColumnFormula>
    </tableColumn>
    <tableColumn id="6" xr3:uid="{5B422DCD-914D-4756-8EB2-A7AD45302FB2}" name="Marzo" dataDxfId="57" dataCellStyle="Millares">
      <calculatedColumnFormula>IFERROR(H79/H171,0)</calculatedColumnFormula>
    </tableColumn>
    <tableColumn id="7" xr3:uid="{C25A0DD6-99BC-4F21-A583-2FC498C4C744}" name="Abril" dataDxfId="56" dataCellStyle="Millares">
      <calculatedColumnFormula>IFERROR(I79/I171,0)</calculatedColumnFormula>
    </tableColumn>
    <tableColumn id="8" xr3:uid="{D328D6DF-C77B-4E85-9210-9C602F141D9C}" name="Mayo" dataDxfId="55" dataCellStyle="Millares"/>
    <tableColumn id="9" xr3:uid="{678C756C-D403-4203-9DCE-962369B063E0}" name="Junio" dataDxfId="54" dataCellStyle="Millares">
      <calculatedColumnFormula>IFERROR(K79/K171,0)</calculatedColumnFormula>
    </tableColumn>
    <tableColumn id="10" xr3:uid="{09D7B4DD-802C-4D19-8D02-D4C83016751B}" name="Julio" dataDxfId="53" dataCellStyle="Millares">
      <calculatedColumnFormula>IFERROR(L79/L171,0)</calculatedColumnFormula>
    </tableColumn>
    <tableColumn id="11" xr3:uid="{4FA64A37-5A30-46C2-B6DC-91C4EC7A5CC8}" name="Agosto" dataDxfId="52" dataCellStyle="Millares"/>
    <tableColumn id="12" xr3:uid="{AF6B1D65-DDF9-4245-8D62-3BDB58C30336}" name="Septiembre" dataDxfId="51" dataCellStyle="Millares">
      <calculatedColumnFormula>IFERROR(N79/N171,0)</calculatedColumnFormula>
    </tableColumn>
    <tableColumn id="13" xr3:uid="{3671E98B-D339-4E4C-A430-53D64A581395}" name="Octubre" dataDxfId="50" dataCellStyle="Millares"/>
    <tableColumn id="14" xr3:uid="{8344536F-41C3-49E4-9349-DBA529D39987}" name="Noviembre" dataDxfId="49" dataCellStyle="Millares"/>
    <tableColumn id="15" xr3:uid="{7BBC93D5-75EB-4349-8666-9E60D54FF277}" name="Diciembre" dataDxfId="48" dataCellStyle="Millares">
      <calculatedColumnFormula>IFERROR(Q79/Q171,0)</calculatedColumnFormula>
    </tableColumn>
    <tableColumn id="16" xr3:uid="{5F94FB4A-3960-4A1C-9E07-57AEB98FCD28}" name="Total" dataDxfId="47" dataCellStyle="Millares">
      <calculatedColumnFormula>SUM(F50:Q50)</calculatedColumnFormula>
    </tableColumn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B8B1208-2CDF-42AE-BF74-B489B888FCEC}" name="mant_Correctivos." displayName="mant_Correctivos." ref="C140:R165" totalsRowShown="0" headerRowDxfId="46" dataDxfId="44" headerRowBorderDxfId="45" tableBorderDxfId="43" totalsRowBorderDxfId="42" dataCellStyle="Millares">
  <autoFilter ref="C140:R165" xr:uid="{3B8B1208-2CDF-42AE-BF74-B489B888FCEC}"/>
  <tableColumns count="16">
    <tableColumn id="1" xr3:uid="{9D3CC016-9537-45BC-959F-E761FC762CCD}" name="Equipo" dataDxfId="41"/>
    <tableColumn id="2" xr3:uid="{39BAE7E2-D881-4245-ACE4-50B80E3BC3A1}" name="Unidad" dataDxfId="40"/>
    <tableColumn id="3" xr3:uid="{88149E7A-F80A-4D50-8BBA-D2C384269515}" name="Gráfica" dataDxfId="39"/>
    <tableColumn id="4" xr3:uid="{D5EA626F-3EBB-4877-964F-DE4E1AC6BDB1}" name="Enero" dataDxfId="38" dataCellStyle="Millares"/>
    <tableColumn id="5" xr3:uid="{8AD705D6-68E2-4963-8CAF-B7EA6D94CCCE}" name="Febrero" dataDxfId="37" dataCellStyle="Millares"/>
    <tableColumn id="6" xr3:uid="{F2823FB6-4427-4C39-90BF-715812123C95}" name="Marzo" dataDxfId="36" dataCellStyle="Millares"/>
    <tableColumn id="7" xr3:uid="{B7F892EF-D1D4-45E8-97F4-8C062E943DE9}" name="Abril" dataDxfId="35" dataCellStyle="Millares"/>
    <tableColumn id="8" xr3:uid="{266AF4A7-1529-418B-9DCA-8D2F58AF0577}" name="Mayo" dataDxfId="34" dataCellStyle="Millares"/>
    <tableColumn id="9" xr3:uid="{5C048751-3F69-4250-BF6B-7EF46D18D264}" name="Junio" dataDxfId="33" dataCellStyle="Millares"/>
    <tableColumn id="10" xr3:uid="{AE1F5021-41AF-4258-A987-34DE5C98BD5B}" name="Julio" dataDxfId="32" dataCellStyle="Millares"/>
    <tableColumn id="11" xr3:uid="{DCC58B7F-D3CF-4FC3-82D9-34112A38A79D}" name="Agosto" dataDxfId="31" dataCellStyle="Millares"/>
    <tableColumn id="12" xr3:uid="{19DD628F-7763-43EE-9506-B82C9238C743}" name="Septiembre" dataDxfId="30" dataCellStyle="Millares"/>
    <tableColumn id="13" xr3:uid="{1B079B20-2688-4694-825E-28A09AA4854A}" name="Octubre" dataDxfId="29" dataCellStyle="Millares"/>
    <tableColumn id="14" xr3:uid="{B6FCE433-6E2D-4DF5-8581-22EF984BD6CA}" name="Noviembre" dataDxfId="28" dataCellStyle="Millares"/>
    <tableColumn id="15" xr3:uid="{7510DB5E-D824-4429-B330-9831C65EF2CC}" name="Diciembre" dataDxfId="27" dataCellStyle="Millares"/>
    <tableColumn id="16" xr3:uid="{26FEAD62-0A0A-4BFA-87F7-CB5F654C08B3}" name="Total" dataDxfId="26" dataCellStyle="Millares"/>
  </tableColumns>
  <tableStyleInfo name="TableStyleLight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7267910-5A54-4A23-B3A8-13F1CDDB9B73}" name="Indicad_Conductor" displayName="Indicad_Conductor" ref="C5:N45" totalsRowShown="0" headerRowDxfId="25" headerRowBorderDxfId="24">
  <autoFilter ref="C5:N45" xr:uid="{47267910-5A54-4A23-B3A8-13F1CDDB9B73}"/>
  <tableColumns count="12">
    <tableColumn id="1" xr3:uid="{79B093DA-AD33-4938-9BDE-18317206F26D}" name="Conductor" dataDxfId="23">
      <calculatedColumnFormula>IF('Conductores'!E4=0,"",'Conductores'!E4)</calculatedColumnFormula>
    </tableColumn>
    <tableColumn id="2" xr3:uid="{2AA88A2C-C620-4E7C-9935-0A5DA1F3D816}" name="Nro de Viajes" dataDxfId="22">
      <calculatedColumnFormula>COUNTIFS(Rutas[Conductor],$C6,Rutas[Fecha de Llegada],"&gt;="&amp;'Reporte Conductor'!$I$3,Rutas[Fecha de Llegada],"&lt;="&amp;'Reporte Conductor'!$J$3)</calculatedColumnFormula>
    </tableColumn>
    <tableColumn id="3" xr3:uid="{D13F0664-BC6D-48D9-A997-9EBA75F2C507}" name="Kms Recorridos" dataDxfId="21">
      <calculatedColumnFormula>SUMIFS(Rutas[Kms Recorridos],Rutas[Conductor],$C6,Rutas[Fecha de Llegada],"&gt;="&amp;'Reporte Conductor'!$I$3,Rutas[Fecha de Llegada],"&lt;="&amp;'Reporte Conductor'!$J$3)</calculatedColumnFormula>
    </tableColumn>
    <tableColumn id="4" xr3:uid="{D53A0922-E2E0-41B0-8E4E-450EA0B32CEE}" name="Km/viaje" dataDxfId="20">
      <calculatedColumnFormula>IFERROR(E6/D6,0)</calculatedColumnFormula>
    </tableColumn>
    <tableColumn id="5" xr3:uid="{937851F7-E257-47C8-A892-37A25D926D58}" name="Carga Transportada" dataDxfId="19">
      <calculatedColumnFormula>SUMIFS(Rutas[Peso de carga (BLS)],Rutas[Conductor],$C6,Rutas[Fecha de Llegada],"&gt;="&amp;'Reporte Conductor'!$I$3,Rutas[Fecha de Llegada],"&lt;="&amp;'Reporte Conductor'!$J$3)</calculatedColumnFormula>
    </tableColumn>
    <tableColumn id="6" xr3:uid="{1F693332-80DF-42B0-889A-D4FB151784D2}" name="Carga/Km" dataDxfId="18">
      <calculatedColumnFormula>IFERROR(G6/E6,0)</calculatedColumnFormula>
    </tableColumn>
    <tableColumn id="7" xr3:uid="{1E6F470A-65CC-4971-B6B8-86D823435D3B}" name="Carga/Viaje" dataDxfId="17">
      <calculatedColumnFormula>IFERROR(G6/D6,0)</calculatedColumnFormula>
    </tableColumn>
    <tableColumn id="8" xr3:uid="{F76CF536-3C81-4C33-9337-F43A9A25DEFE}" name="Ingresos" dataDxfId="16">
      <calculatedColumnFormula>SUMIFS(Rutas[Ingreso Total ($)],Rutas[Conductor],$C6,Rutas[Fecha de Llegada],"&gt;="&amp;'Reporte Conductor'!$I$3,Rutas[Fecha de Llegada],"&lt;="&amp;'Reporte Conductor'!$J$3)</calculatedColumnFormula>
    </tableColumn>
    <tableColumn id="9" xr3:uid="{DC24D181-5870-4A78-873F-A41E9EF190EE}" name="Ingresos/Km" dataDxfId="15">
      <calculatedColumnFormula>IFERROR(J6/E6,0)</calculatedColumnFormula>
    </tableColumn>
    <tableColumn id="10" xr3:uid="{804153E2-9ABD-4529-BE20-BAA16EBC28D2}" name="Ingresos/Viaje" dataDxfId="14">
      <calculatedColumnFormula>IFERROR(J6/D6,0)</calculatedColumnFormula>
    </tableColumn>
    <tableColumn id="11" xr3:uid="{894EBF75-4420-445F-A0AF-D1940B05738E}" name="Nro multas" dataDxfId="13">
      <calculatedColumnFormula>COUNTIFS(Multas[Conductor],$C6,Multas[Fecha],"&gt;="&amp;$I$3,Multas[Fecha],"&lt;="&amp;$J$3)</calculatedColumnFormula>
    </tableColumn>
    <tableColumn id="12" xr3:uid="{B7FAD1AF-6C68-436B-B46E-307A18D7EB18}" name="Gastos por Multas" dataDxfId="12">
      <calculatedColumnFormula>SUMIFS(Multas[Importe pagado ($)],Multas[Conductor],$C6,Multas[Fecha],"&gt;="&amp;$I$3,Multas[Fecha],"&lt;="&amp;$J$3)</calculatedColumnFormula>
    </tableColumn>
  </tableColumns>
  <tableStyleInfo name="TableStyleLight10" showFirstColumn="0" showLastColumn="0" showRowStripes="1" showColumnStripes="1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86E9CB-F05F-E748-B297-3841751DC0A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6ec3a8a-ae7c-486e-965f-ff8f57c5a9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jorgerodriguez64@gmail.com" TargetMode="External"/><Relationship Id="rId1" Type="http://schemas.openxmlformats.org/officeDocument/2006/relationships/hyperlink" Target="mailto:mecanica-orientoil@hotmail.com" TargetMode="External"/><Relationship Id="rId5" Type="http://schemas.openxmlformats.org/officeDocument/2006/relationships/table" Target="../tables/table5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4.xml"/><Relationship Id="rId3" Type="http://schemas.openxmlformats.org/officeDocument/2006/relationships/vmlDrawing" Target="../drawings/vmlDrawing3.vml"/><Relationship Id="rId7" Type="http://schemas.openxmlformats.org/officeDocument/2006/relationships/table" Target="../tables/table23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10" Type="http://schemas.openxmlformats.org/officeDocument/2006/relationships/comments" Target="../comments3.xml"/><Relationship Id="rId4" Type="http://schemas.openxmlformats.org/officeDocument/2006/relationships/table" Target="../tables/table20.xml"/><Relationship Id="rId9" Type="http://schemas.openxmlformats.org/officeDocument/2006/relationships/table" Target="../tables/table2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941F-5D30-4C85-A65A-AB4612212C9C}">
  <sheetPr codeName="Hoja1">
    <tabColor theme="5"/>
  </sheetPr>
  <dimension ref="A1:BJ192"/>
  <sheetViews>
    <sheetView showGridLines="0" view="pageBreakPreview" topLeftCell="A5" zoomScaleNormal="70" zoomScaleSheetLayoutView="100" workbookViewId="0">
      <selection activeCell="I23" sqref="I23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4.33203125" customWidth="1"/>
    <col min="4" max="4" width="15" customWidth="1"/>
    <col min="5" max="5" width="14.83203125" customWidth="1"/>
    <col min="6" max="6" width="12.83203125" customWidth="1"/>
    <col min="7" max="7" width="14.1640625" customWidth="1"/>
    <col min="8" max="8" width="17" customWidth="1"/>
    <col min="9" max="9" width="20.6640625" customWidth="1"/>
    <col min="10" max="10" width="14.6640625" customWidth="1"/>
    <col min="11" max="11" width="8.83203125" customWidth="1"/>
    <col min="12" max="12" width="10.6640625" customWidth="1"/>
    <col min="13" max="13" width="11.5" customWidth="1"/>
    <col min="14" max="14" width="11.6640625" customWidth="1"/>
    <col min="15" max="15" width="12.5" customWidth="1"/>
    <col min="16" max="16" width="12" customWidth="1"/>
    <col min="17" max="19" width="13.6640625" customWidth="1"/>
    <col min="20" max="20" width="14.6640625" customWidth="1"/>
    <col min="21" max="21" width="14.1640625" customWidth="1"/>
    <col min="22" max="22" width="14.6640625" customWidth="1"/>
  </cols>
  <sheetData>
    <row r="1" spans="1:62" s="3" customFormat="1" ht="95.25" customHeight="1" thickBot="1" x14ac:dyDescent="0.25">
      <c r="A1" s="47"/>
      <c r="B1" s="665" t="s">
        <v>275</v>
      </c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</row>
    <row r="2" spans="1:62" ht="8" customHeight="1" thickBot="1" x14ac:dyDescent="0.25">
      <c r="A2" s="47"/>
    </row>
    <row r="3" spans="1:62" ht="30" customHeight="1" thickBot="1" x14ac:dyDescent="0.25">
      <c r="A3" s="47"/>
      <c r="C3" s="660" t="s">
        <v>187</v>
      </c>
      <c r="D3" s="661"/>
      <c r="E3" s="661"/>
      <c r="F3" s="661"/>
      <c r="G3" s="661"/>
      <c r="H3" s="661"/>
      <c r="I3" s="661"/>
      <c r="J3" s="661"/>
      <c r="K3" s="661"/>
      <c r="L3" s="661"/>
      <c r="M3" s="662"/>
      <c r="N3" s="663" t="s">
        <v>186</v>
      </c>
      <c r="O3" s="663"/>
      <c r="P3" s="663"/>
      <c r="Q3" s="663"/>
      <c r="R3" s="663"/>
      <c r="S3" s="663"/>
      <c r="T3" s="663"/>
      <c r="U3" s="663"/>
      <c r="V3" s="664"/>
    </row>
    <row r="4" spans="1:62" ht="8" customHeight="1" thickBot="1" x14ac:dyDescent="0.25">
      <c r="A4" s="47"/>
    </row>
    <row r="5" spans="1:62" ht="96" thickBot="1" x14ac:dyDescent="0.25">
      <c r="A5" s="47"/>
      <c r="C5" s="99" t="s">
        <v>19</v>
      </c>
      <c r="D5" s="99" t="s">
        <v>366</v>
      </c>
      <c r="E5" s="100" t="s">
        <v>367</v>
      </c>
      <c r="F5" s="100" t="s">
        <v>368</v>
      </c>
      <c r="G5" s="101" t="s">
        <v>369</v>
      </c>
      <c r="H5" s="100" t="s">
        <v>24</v>
      </c>
      <c r="I5" s="100" t="s">
        <v>370</v>
      </c>
      <c r="J5" s="101" t="s">
        <v>371</v>
      </c>
      <c r="K5" s="100" t="s">
        <v>372</v>
      </c>
      <c r="L5" s="101" t="s">
        <v>206</v>
      </c>
      <c r="M5" s="102" t="s">
        <v>7</v>
      </c>
      <c r="N5" s="103" t="s">
        <v>346</v>
      </c>
      <c r="O5" s="103" t="s">
        <v>345</v>
      </c>
      <c r="P5" s="104" t="s">
        <v>184</v>
      </c>
      <c r="Q5" s="105" t="s">
        <v>342</v>
      </c>
      <c r="R5" s="403" t="s">
        <v>344</v>
      </c>
      <c r="S5" s="105" t="s">
        <v>183</v>
      </c>
      <c r="T5" s="404" t="s">
        <v>343</v>
      </c>
      <c r="U5" s="105" t="s">
        <v>341</v>
      </c>
      <c r="V5" s="403" t="s">
        <v>185</v>
      </c>
    </row>
    <row r="6" spans="1:62" ht="22.5" customHeight="1" x14ac:dyDescent="0.2">
      <c r="A6" s="47"/>
      <c r="C6" s="10">
        <f>ROW(A1)</f>
        <v>1</v>
      </c>
      <c r="D6" s="65" t="s">
        <v>204</v>
      </c>
      <c r="E6" s="126" t="s">
        <v>203</v>
      </c>
      <c r="F6" s="126" t="s">
        <v>200</v>
      </c>
      <c r="G6" s="126" t="s">
        <v>196</v>
      </c>
      <c r="H6" s="435" t="s">
        <v>204</v>
      </c>
      <c r="I6" s="66">
        <v>71126425</v>
      </c>
      <c r="J6" s="126" t="s">
        <v>205</v>
      </c>
      <c r="K6" s="66">
        <v>2025</v>
      </c>
      <c r="L6" s="127">
        <v>25</v>
      </c>
      <c r="M6" s="128" t="str">
        <f ca="1">IF(H6="","",IF(_xlfn.MAXIFS(Mantenimiento[Fecha Salida],Mantenimiento[Placa Vehiculo],H6)&gt;TODAY(),"Mantenimiento",IF(IFERROR(INDEX(Seguros[Estado Poliza],MATCH(H6,Seguros[Placa Vehiculo],0)),"")="Vencido","Seguro Vencido","Disponible")))</f>
        <v>Disponible</v>
      </c>
      <c r="N6" s="129">
        <v>8000</v>
      </c>
      <c r="O6" s="129">
        <v>60000</v>
      </c>
      <c r="P6" s="129">
        <v>200</v>
      </c>
      <c r="Q6" s="433">
        <f>_xlfn.MAXIFS(Mantenimiento[Kilometraje del Odómetro],Mantenimiento[Placa Vehiculo],H6,Mantenimiento[Tipo],"Preventivo")</f>
        <v>38310</v>
      </c>
      <c r="R6" s="130">
        <f>_xlfn.MAXIFS(Mantenimiento[Kilometraje del Odómetro],Mantenimiento[Placa Vehiculo],H6,Mantenimiento[Tipo],"Prev Caja y Corona")</f>
        <v>0</v>
      </c>
      <c r="S6" s="432">
        <f>_xlfn.MAXIFS(Rutas[Kms Final (Odómetro)],Rutas[Placa Vehiculo],H6)</f>
        <v>44777</v>
      </c>
      <c r="T6" s="130">
        <f t="shared" ref="T6:T16" si="0">IF(H6="","",O6-(IF(S6=0,P6,S6)-R6))</f>
        <v>15223</v>
      </c>
      <c r="U6" s="421">
        <f t="shared" ref="U6:U30" si="1">IF(H6="","",N6-(IF(S6=0,P6,S6)-Q6))</f>
        <v>1533</v>
      </c>
      <c r="V6" s="405" t="str">
        <f t="shared" ref="V6:V34" ca="1" si="2">IFERROR(IF(OR(M6="Mantenimiento",U6/N6&lt;=5%),"Mantener",IF(U6/N6&lt;=20%,"Falta poco","Aun no")),"")</f>
        <v>Falta poco</v>
      </c>
    </row>
    <row r="7" spans="1:62" ht="22.5" customHeight="1" x14ac:dyDescent="0.2">
      <c r="A7" s="47"/>
      <c r="C7" s="10">
        <f>ROW(A2)</f>
        <v>2</v>
      </c>
      <c r="D7" s="65" t="s">
        <v>207</v>
      </c>
      <c r="E7" s="126" t="s">
        <v>203</v>
      </c>
      <c r="F7" s="126" t="s">
        <v>200</v>
      </c>
      <c r="G7" s="126" t="s">
        <v>196</v>
      </c>
      <c r="H7" s="435" t="s">
        <v>207</v>
      </c>
      <c r="I7" s="66">
        <v>71122862</v>
      </c>
      <c r="J7" s="126" t="s">
        <v>205</v>
      </c>
      <c r="K7" s="66">
        <v>2024</v>
      </c>
      <c r="L7" s="129">
        <v>25</v>
      </c>
      <c r="M7" s="128" t="str">
        <f ca="1">IF(H7="","",IF(_xlfn.MAXIFS(Mantenimiento[Fecha Salida],Mantenimiento[Placa Vehiculo],H7)&gt;TODAY(),"Mantenimiento",IF(IFERROR(INDEX(Seguros[Estado Poliza],MATCH(H7,Seguros[Placa Vehiculo],0)),"")="Vencido","Seguro Vencido","Disponible")))</f>
        <v>Disponible</v>
      </c>
      <c r="N7" s="129">
        <v>8000</v>
      </c>
      <c r="O7" s="129">
        <v>60000</v>
      </c>
      <c r="P7" s="129">
        <v>200</v>
      </c>
      <c r="Q7" s="433">
        <f>_xlfn.MAXIFS(Mantenimiento[Kilometraje del Odómetro],Mantenimiento[Placa Vehiculo],H7,Mantenimiento[Tipo],"Preventivo")</f>
        <v>52969</v>
      </c>
      <c r="R7" s="130">
        <f>_xlfn.MAXIFS(Mantenimiento[Kilometraje del Odómetro],Mantenimiento[Placa Vehiculo],H7,Mantenimiento[Tipo],"Prev Caja y Corona")</f>
        <v>0</v>
      </c>
      <c r="S7" s="432">
        <f>_xlfn.MAXIFS(Rutas[Kms Final (Odómetro)],Rutas[Placa Vehiculo],H7)</f>
        <v>59247</v>
      </c>
      <c r="T7" s="130">
        <f t="shared" si="0"/>
        <v>753</v>
      </c>
      <c r="U7" s="421">
        <f t="shared" si="1"/>
        <v>1722</v>
      </c>
      <c r="V7" s="405" t="str">
        <f t="shared" ca="1" si="2"/>
        <v>Aun no</v>
      </c>
    </row>
    <row r="8" spans="1:62" ht="22.5" customHeight="1" x14ac:dyDescent="0.2">
      <c r="A8" s="47"/>
      <c r="C8" s="10">
        <v>3</v>
      </c>
      <c r="D8" s="65" t="s">
        <v>208</v>
      </c>
      <c r="E8" s="126" t="s">
        <v>203</v>
      </c>
      <c r="F8" s="126" t="s">
        <v>198</v>
      </c>
      <c r="G8" s="126" t="s">
        <v>196</v>
      </c>
      <c r="H8" s="435" t="s">
        <v>208</v>
      </c>
      <c r="I8" s="659" t="s">
        <v>214</v>
      </c>
      <c r="J8" s="126" t="s">
        <v>215</v>
      </c>
      <c r="K8" s="66">
        <v>2023</v>
      </c>
      <c r="L8" s="129">
        <v>40</v>
      </c>
      <c r="M8" s="128" t="str">
        <f ca="1">IF(H8="","",IF(_xlfn.MAXIFS(Mantenimiento[Fecha Salida],Mantenimiento[Placa Vehiculo],H8)&gt;TODAY(),"Mantenimiento",IF(IFERROR(INDEX(Seguros[Estado Poliza],MATCH(H8,Seguros[Placa Vehiculo],0)),"")="Vencido","Seguro Vencido","Disponible")))</f>
        <v>Disponible</v>
      </c>
      <c r="N8" s="129">
        <v>8000</v>
      </c>
      <c r="O8" s="129">
        <v>60000</v>
      </c>
      <c r="P8" s="129">
        <v>200</v>
      </c>
      <c r="Q8" s="433">
        <f>_xlfn.MAXIFS(Mantenimiento[Kilometraje del Odómetro],Mantenimiento[Placa Vehiculo],H8,Mantenimiento[Tipo],"Preventivo")</f>
        <v>124870</v>
      </c>
      <c r="R8" s="130">
        <f>_xlfn.MAXIFS(Mantenimiento[Kilometraje del Odómetro],Mantenimiento[Placa Vehiculo],H8,Mantenimiento[Tipo],"Prev Caja y Corona")</f>
        <v>82764</v>
      </c>
      <c r="S8" s="432">
        <f>_xlfn.MAXIFS(Rutas[Kms Final (Odómetro)],Rutas[Placa Vehiculo],H8)</f>
        <v>131338</v>
      </c>
      <c r="T8" s="130">
        <f t="shared" si="0"/>
        <v>11426</v>
      </c>
      <c r="U8" s="421">
        <f t="shared" si="1"/>
        <v>1532</v>
      </c>
      <c r="V8" s="405" t="str">
        <f t="shared" ca="1" si="2"/>
        <v>Falta poco</v>
      </c>
    </row>
    <row r="9" spans="1:62" ht="22.5" customHeight="1" x14ac:dyDescent="0.2">
      <c r="A9" s="47"/>
      <c r="C9" s="10">
        <v>4</v>
      </c>
      <c r="D9" s="65" t="s">
        <v>209</v>
      </c>
      <c r="E9" s="126" t="s">
        <v>203</v>
      </c>
      <c r="F9" s="126" t="s">
        <v>198</v>
      </c>
      <c r="G9" s="126" t="s">
        <v>196</v>
      </c>
      <c r="H9" s="435" t="s">
        <v>209</v>
      </c>
      <c r="I9" s="649" t="s">
        <v>216</v>
      </c>
      <c r="J9" s="126" t="s">
        <v>205</v>
      </c>
      <c r="K9" s="66">
        <v>2023</v>
      </c>
      <c r="L9" s="129">
        <v>40</v>
      </c>
      <c r="M9" s="128" t="str">
        <f ca="1">IF(H9="","",IF(_xlfn.MAXIFS(Mantenimiento[Fecha Salida],Mantenimiento[Placa Vehiculo],H9)&gt;TODAY(),"Mantenimiento",IF(IFERROR(INDEX(Seguros[Estado Poliza],MATCH(H9,Seguros[Placa Vehiculo],0)),"")="Vencido","Seguro Vencido","Disponible")))</f>
        <v>Disponible</v>
      </c>
      <c r="N9" s="129">
        <v>8000</v>
      </c>
      <c r="O9" s="129">
        <v>60000</v>
      </c>
      <c r="P9" s="129">
        <v>200</v>
      </c>
      <c r="Q9" s="433">
        <f>_xlfn.MAXIFS(Mantenimiento[Kilometraje del Odómetro],Mantenimiento[Placa Vehiculo],H9,Mantenimiento[Tipo],"Preventivo")</f>
        <v>127486</v>
      </c>
      <c r="R9" s="130">
        <f>_xlfn.MAXIFS(Mantenimiento[Kilometraje del Odómetro],Mantenimiento[Placa Vehiculo],H9,Mantenimiento[Tipo],"Prev Caja y Corona")</f>
        <v>82494</v>
      </c>
      <c r="S9" s="432">
        <f>_xlfn.MAXIFS(Rutas[Kms Final (Odómetro)],Rutas[Placa Vehiculo],H9)</f>
        <v>130806</v>
      </c>
      <c r="T9" s="130">
        <f t="shared" si="0"/>
        <v>11688</v>
      </c>
      <c r="U9" s="421">
        <f t="shared" si="1"/>
        <v>4680</v>
      </c>
      <c r="V9" s="405" t="str">
        <f t="shared" ca="1" si="2"/>
        <v>Aun no</v>
      </c>
    </row>
    <row r="10" spans="1:62" ht="22.5" customHeight="1" x14ac:dyDescent="0.2">
      <c r="A10" s="47"/>
      <c r="C10" s="10">
        <v>5</v>
      </c>
      <c r="D10" s="65" t="s">
        <v>210</v>
      </c>
      <c r="E10" s="126" t="s">
        <v>203</v>
      </c>
      <c r="F10" s="126" t="s">
        <v>198</v>
      </c>
      <c r="G10" s="126" t="s">
        <v>196</v>
      </c>
      <c r="H10" s="435" t="s">
        <v>210</v>
      </c>
      <c r="I10" s="659" t="s">
        <v>217</v>
      </c>
      <c r="J10" s="126" t="s">
        <v>215</v>
      </c>
      <c r="K10" s="66">
        <v>2023</v>
      </c>
      <c r="L10" s="129">
        <v>40</v>
      </c>
      <c r="M10" s="128" t="str">
        <f ca="1">IF(H10="","",IF(_xlfn.MAXIFS(Mantenimiento[Fecha Salida],Mantenimiento[Placa Vehiculo],H10)&gt;TODAY(),"Mantenimiento",IF(IFERROR(INDEX(Seguros[Estado Poliza],MATCH(H10,Seguros[Placa Vehiculo],0)),"")="Vencido","Seguro Vencido","Disponible")))</f>
        <v>Disponible</v>
      </c>
      <c r="N10" s="129">
        <v>8000</v>
      </c>
      <c r="O10" s="129">
        <v>60000</v>
      </c>
      <c r="P10" s="129">
        <v>200</v>
      </c>
      <c r="Q10" s="433">
        <f>_xlfn.MAXIFS(Mantenimiento[Kilometraje del Odómetro],Mantenimiento[Placa Vehiculo],H10,Mantenimiento[Tipo],"Preventivo")</f>
        <v>112441</v>
      </c>
      <c r="R10" s="130">
        <f>_xlfn.MAXIFS(Mantenimiento[Kilometraje del Odómetro],Mantenimiento[Placa Vehiculo],H10,Mantenimiento[Tipo],"Prev Caja y Corona")</f>
        <v>91080</v>
      </c>
      <c r="S10" s="432">
        <f>_xlfn.MAXIFS(Rutas[Kms Final (Odómetro)],Rutas[Placa Vehiculo],H10)</f>
        <v>118200</v>
      </c>
      <c r="T10" s="130">
        <f t="shared" si="0"/>
        <v>32880</v>
      </c>
      <c r="U10" s="421">
        <f t="shared" si="1"/>
        <v>2241</v>
      </c>
      <c r="V10" s="405" t="str">
        <f t="shared" ca="1" si="2"/>
        <v>Aun no</v>
      </c>
    </row>
    <row r="11" spans="1:62" ht="22.5" customHeight="1" x14ac:dyDescent="0.2">
      <c r="A11" s="47"/>
      <c r="C11" s="10">
        <v>6</v>
      </c>
      <c r="D11" s="65" t="s">
        <v>365</v>
      </c>
      <c r="E11" s="126" t="s">
        <v>197</v>
      </c>
      <c r="F11" s="126" t="s">
        <v>199</v>
      </c>
      <c r="G11" s="126" t="s">
        <v>202</v>
      </c>
      <c r="H11" s="435" t="s">
        <v>365</v>
      </c>
      <c r="I11" s="66" t="s">
        <v>227</v>
      </c>
      <c r="J11" s="126" t="s">
        <v>205</v>
      </c>
      <c r="K11" s="66">
        <v>2021</v>
      </c>
      <c r="L11" s="129">
        <v>6</v>
      </c>
      <c r="M11" s="128" t="str">
        <f ca="1">IF(H11="","",IF(_xlfn.MAXIFS(Mantenimiento[Fecha Salida],Mantenimiento[Placa Vehiculo],H11)&gt;TODAY(),"Mantenimiento",IF(IFERROR(INDEX(Seguros[Estado Poliza],MATCH(H11,Seguros[Placa Vehiculo],0)),"")="Vencido","Seguro Vencido","Disponible")))</f>
        <v>Disponible</v>
      </c>
      <c r="N11" s="129">
        <v>8000</v>
      </c>
      <c r="O11" s="129">
        <v>60000</v>
      </c>
      <c r="P11" s="129">
        <v>150000</v>
      </c>
      <c r="Q11" s="433">
        <f>_xlfn.MAXIFS(Mantenimiento[Kilometraje del Odómetro],Mantenimiento[Placa Vehiculo],H11,Mantenimiento[Tipo],"Preventivo")</f>
        <v>365806</v>
      </c>
      <c r="R11" s="130">
        <f>_xlfn.MAXIFS(Mantenimiento[Kilometraje del Odómetro],Mantenimiento[Placa Vehiculo],H11,Mantenimiento[Tipo],"Prev Caja y Corona")</f>
        <v>358316</v>
      </c>
      <c r="S11" s="432">
        <f>_xlfn.MAXIFS(Rutas[Kms Final (Odómetro)],Rutas[Placa Vehiculo],H11)</f>
        <v>370695</v>
      </c>
      <c r="T11" s="130">
        <f t="shared" si="0"/>
        <v>47621</v>
      </c>
      <c r="U11" s="421">
        <f t="shared" si="1"/>
        <v>3111</v>
      </c>
      <c r="V11" s="405" t="str">
        <f t="shared" ca="1" si="2"/>
        <v>Aun no</v>
      </c>
    </row>
    <row r="12" spans="1:62" ht="22.5" customHeight="1" x14ac:dyDescent="0.2">
      <c r="A12" s="47"/>
      <c r="C12" s="10">
        <v>7</v>
      </c>
      <c r="D12" s="65" t="s">
        <v>211</v>
      </c>
      <c r="E12" s="126" t="s">
        <v>203</v>
      </c>
      <c r="F12" s="126" t="s">
        <v>200</v>
      </c>
      <c r="G12" s="126" t="s">
        <v>196</v>
      </c>
      <c r="H12" s="435" t="s">
        <v>211</v>
      </c>
      <c r="I12" s="66">
        <v>71126426</v>
      </c>
      <c r="J12" s="126" t="s">
        <v>205</v>
      </c>
      <c r="K12" s="66">
        <v>2024</v>
      </c>
      <c r="L12" s="129">
        <v>25</v>
      </c>
      <c r="M12" s="128" t="str">
        <f ca="1">IF(H12="","",IF(_xlfn.MAXIFS(Mantenimiento[Fecha Salida],Mantenimiento[Placa Vehiculo],H12)&gt;TODAY(),"Mantenimiento",IF(IFERROR(INDEX(Seguros[Estado Poliza],MATCH(H12,Seguros[Placa Vehiculo],0)),"")="Vencido","Seguro Vencido","Disponible")))</f>
        <v>Disponible</v>
      </c>
      <c r="N12" s="129">
        <v>8000</v>
      </c>
      <c r="O12" s="129">
        <v>60000</v>
      </c>
      <c r="P12" s="129">
        <v>200</v>
      </c>
      <c r="Q12" s="433">
        <f>_xlfn.MAXIFS(Mantenimiento[Kilometraje del Odómetro],Mantenimiento[Placa Vehiculo],H12,Mantenimiento[Tipo],"Preventivo")</f>
        <v>63543</v>
      </c>
      <c r="R12" s="130">
        <f>_xlfn.MAXIFS(Mantenimiento[Kilometraje del Odómetro],Mantenimiento[Placa Vehiculo],H12,Mantenimiento[Tipo],"Prev Caja y Corona")</f>
        <v>63543</v>
      </c>
      <c r="S12" s="432">
        <f>_xlfn.MAXIFS(Rutas[Kms Final (Odómetro)],Rutas[Placa Vehiculo],H12)</f>
        <v>65856</v>
      </c>
      <c r="T12" s="130">
        <f t="shared" si="0"/>
        <v>57687</v>
      </c>
      <c r="U12" s="421">
        <f t="shared" si="1"/>
        <v>5687</v>
      </c>
      <c r="V12" s="405" t="str">
        <f t="shared" ca="1" si="2"/>
        <v>Aun no</v>
      </c>
    </row>
    <row r="13" spans="1:62" ht="22.5" customHeight="1" x14ac:dyDescent="0.2">
      <c r="A13" s="47"/>
      <c r="C13" s="10">
        <v>8</v>
      </c>
      <c r="D13" s="65" t="s">
        <v>212</v>
      </c>
      <c r="E13" s="126" t="s">
        <v>203</v>
      </c>
      <c r="F13" s="126" t="s">
        <v>199</v>
      </c>
      <c r="G13" s="126" t="s">
        <v>196</v>
      </c>
      <c r="H13" s="435" t="s">
        <v>212</v>
      </c>
      <c r="I13" s="659" t="s">
        <v>228</v>
      </c>
      <c r="J13" s="126" t="s">
        <v>205</v>
      </c>
      <c r="K13" s="66">
        <v>2023</v>
      </c>
      <c r="L13" s="129">
        <v>27</v>
      </c>
      <c r="M13" s="128" t="str">
        <f ca="1">IF(H13="","",IF(_xlfn.MAXIFS(Mantenimiento[Fecha Salida],Mantenimiento[Placa Vehiculo],H13)&gt;TODAY(),"Mantenimiento",IF(IFERROR(INDEX(Seguros[Estado Poliza],MATCH(H13,Seguros[Placa Vehiculo],0)),"")="Vencido","Seguro Vencido","Disponible")))</f>
        <v>Disponible</v>
      </c>
      <c r="N13" s="129">
        <v>6000</v>
      </c>
      <c r="O13" s="129">
        <v>60000</v>
      </c>
      <c r="P13" s="129">
        <v>150000</v>
      </c>
      <c r="Q13" s="433">
        <f>_xlfn.MAXIFS(Mantenimiento[Kilometraje del Odómetro],Mantenimiento[Placa Vehiculo],H13,Mantenimiento[Tipo],"Preventivo")</f>
        <v>275504</v>
      </c>
      <c r="R13" s="130">
        <f>_xlfn.MAXIFS(Mantenimiento[Kilometraje del Odómetro],Mantenimiento[Placa Vehiculo],H13,Mantenimiento[Tipo],"Prev Caja y Corona")</f>
        <v>268934</v>
      </c>
      <c r="S13" s="432">
        <f>_xlfn.MAXIFS(Rutas[Kms Final (Odómetro)],Rutas[Placa Vehiculo],H13)</f>
        <v>274819</v>
      </c>
      <c r="T13" s="130">
        <f t="shared" si="0"/>
        <v>54115</v>
      </c>
      <c r="U13" s="421">
        <f t="shared" si="1"/>
        <v>6685</v>
      </c>
      <c r="V13" s="405" t="str">
        <f t="shared" ca="1" si="2"/>
        <v>Aun no</v>
      </c>
    </row>
    <row r="14" spans="1:62" ht="22.5" customHeight="1" x14ac:dyDescent="0.2">
      <c r="A14" s="47"/>
      <c r="C14" s="10">
        <v>9</v>
      </c>
      <c r="D14" s="65" t="s">
        <v>213</v>
      </c>
      <c r="E14" s="126" t="s">
        <v>197</v>
      </c>
      <c r="F14" s="126" t="s">
        <v>199</v>
      </c>
      <c r="G14" s="126" t="s">
        <v>202</v>
      </c>
      <c r="H14" s="435" t="s">
        <v>213</v>
      </c>
      <c r="I14" s="66" t="s">
        <v>218</v>
      </c>
      <c r="J14" s="126" t="s">
        <v>205</v>
      </c>
      <c r="K14" s="66">
        <v>2022</v>
      </c>
      <c r="L14" s="129">
        <v>18.87</v>
      </c>
      <c r="M14" s="128" t="str">
        <f ca="1">IF(H14="","",IF(_xlfn.MAXIFS(Mantenimiento[Fecha Salida],Mantenimiento[Placa Vehiculo],H14)&gt;TODAY(),"Mantenimiento",IF(IFERROR(INDEX(Seguros[Estado Poliza],MATCH(H14,Seguros[Placa Vehiculo],0)),"")="Vencido","Seguro Vencido","Disponible")))</f>
        <v>Disponible</v>
      </c>
      <c r="N14" s="129">
        <v>5000</v>
      </c>
      <c r="O14" s="129">
        <v>60000</v>
      </c>
      <c r="P14" s="129">
        <v>160000</v>
      </c>
      <c r="Q14" s="433">
        <f>_xlfn.MAXIFS(Mantenimiento[Kilometraje del Odómetro],Mantenimiento[Placa Vehiculo],H14,Mantenimiento[Tipo],"Preventivo")</f>
        <v>430325</v>
      </c>
      <c r="R14" s="130">
        <f>_xlfn.MAXIFS(Mantenimiento[Kilometraje del Odómetro],Mantenimiento[Placa Vehiculo],H14,Mantenimiento[Tipo],"Prev Caja y Corona")</f>
        <v>402043</v>
      </c>
      <c r="S14" s="432">
        <f>_xlfn.MAXIFS(Rutas[Kms Final (Odómetro)],Rutas[Placa Vehiculo],H14)</f>
        <v>431668</v>
      </c>
      <c r="T14" s="130">
        <f t="shared" si="0"/>
        <v>30375</v>
      </c>
      <c r="U14" s="421">
        <f t="shared" si="1"/>
        <v>3657</v>
      </c>
      <c r="V14" s="405" t="str">
        <f t="shared" ca="1" si="2"/>
        <v>Aun no</v>
      </c>
    </row>
    <row r="15" spans="1:62" ht="22.5" customHeight="1" x14ac:dyDescent="0.2">
      <c r="A15" s="47"/>
      <c r="C15" s="10">
        <v>10</v>
      </c>
      <c r="D15" s="65" t="s">
        <v>280</v>
      </c>
      <c r="E15" s="126" t="s">
        <v>203</v>
      </c>
      <c r="F15" s="126" t="s">
        <v>200</v>
      </c>
      <c r="G15" s="126" t="s">
        <v>196</v>
      </c>
      <c r="H15" s="435" t="s">
        <v>280</v>
      </c>
      <c r="I15" s="66">
        <v>71130145</v>
      </c>
      <c r="J15" s="126" t="s">
        <v>281</v>
      </c>
      <c r="K15" s="66">
        <v>2025</v>
      </c>
      <c r="L15" s="129">
        <v>25</v>
      </c>
      <c r="M15" s="128" t="str">
        <f ca="1">IF(H15="","",IF(_xlfn.MAXIFS(Mantenimiento[Fecha Salida],Mantenimiento[Placa Vehiculo],H15)&gt;TODAY(),"Mantenimiento",IF(IFERROR(INDEX(Seguros[Estado Poliza],MATCH(H15,Seguros[Placa Vehiculo],0)),"")="Vencido","Seguro Vencido","Disponible")))</f>
        <v>Disponible</v>
      </c>
      <c r="N15" s="129">
        <v>6000</v>
      </c>
      <c r="O15" s="129">
        <v>60000</v>
      </c>
      <c r="P15" s="129">
        <v>300</v>
      </c>
      <c r="Q15" s="433">
        <f>_xlfn.MAXIFS(Mantenimiento[Kilometraje del Odómetro],Mantenimiento[Placa Vehiculo],H15,Mantenimiento[Tipo],"Preventivo")</f>
        <v>18278</v>
      </c>
      <c r="R15" s="130">
        <f>_xlfn.MAXIFS(Mantenimiento[Kilometraje del Odómetro],Mantenimiento[Placa Vehiculo],H15,Mantenimiento[Tipo],"Prev Caja y Corona")</f>
        <v>0</v>
      </c>
      <c r="S15" s="432">
        <f>_xlfn.MAXIFS(Rutas[Kms Final (Odómetro)],Rutas[Placa Vehiculo],H15)</f>
        <v>14931</v>
      </c>
      <c r="T15" s="130">
        <f t="shared" si="0"/>
        <v>45069</v>
      </c>
      <c r="U15" s="421">
        <f t="shared" si="1"/>
        <v>9347</v>
      </c>
      <c r="V15" s="405" t="str">
        <f t="shared" ca="1" si="2"/>
        <v>Aun no</v>
      </c>
    </row>
    <row r="16" spans="1:62" ht="22.5" customHeight="1" x14ac:dyDescent="0.2">
      <c r="A16" s="47"/>
      <c r="C16" s="10">
        <v>11</v>
      </c>
      <c r="D16" s="65" t="s">
        <v>286</v>
      </c>
      <c r="E16" s="126" t="s">
        <v>283</v>
      </c>
      <c r="F16" s="126" t="s">
        <v>284</v>
      </c>
      <c r="G16" s="126" t="s">
        <v>285</v>
      </c>
      <c r="H16" s="435" t="s">
        <v>286</v>
      </c>
      <c r="I16" s="66" t="s">
        <v>287</v>
      </c>
      <c r="J16" s="126" t="s">
        <v>205</v>
      </c>
      <c r="K16" s="66">
        <v>2024</v>
      </c>
      <c r="L16" s="129">
        <v>1</v>
      </c>
      <c r="M16" s="128" t="str">
        <f ca="1">IF(H16="","",IF(_xlfn.MAXIFS(Mantenimiento[Fecha Salida],Mantenimiento[Placa Vehiculo],H16)&gt;TODAY(),"Mantenimiento",IF(IFERROR(INDEX(Seguros[Estado Poliza],MATCH(H16,Seguros[Placa Vehiculo],0)),"")="Vencido","Seguro Vencido","Disponible")))</f>
        <v>Disponible</v>
      </c>
      <c r="N16" s="129">
        <v>6000</v>
      </c>
      <c r="O16" s="129">
        <v>40000</v>
      </c>
      <c r="P16" s="129">
        <v>300</v>
      </c>
      <c r="Q16" s="433">
        <f>_xlfn.MAXIFS(Mantenimiento[Kilometraje del Odómetro],Mantenimiento[Placa Vehiculo],H16,Mantenimiento[Tipo],"Preventivo")</f>
        <v>111097</v>
      </c>
      <c r="R16" s="130">
        <f>_xlfn.MAXIFS(Mantenimiento[Kilometraje del Odómetro],Mantenimiento[Placa Vehiculo],H16,Mantenimiento[Tipo],"Prev Caja y Corona")</f>
        <v>85960</v>
      </c>
      <c r="S16" s="432">
        <f>_xlfn.MAXIFS(Rutas[Kms Final (Odómetro)],Rutas[Placa Vehiculo],H16)</f>
        <v>115045</v>
      </c>
      <c r="T16" s="130">
        <f t="shared" si="0"/>
        <v>10915</v>
      </c>
      <c r="U16" s="421">
        <f t="shared" si="1"/>
        <v>2052</v>
      </c>
      <c r="V16" s="405" t="str">
        <f t="shared" ca="1" si="2"/>
        <v>Aun no</v>
      </c>
    </row>
    <row r="17" spans="1:22" ht="22.5" customHeight="1" x14ac:dyDescent="0.2">
      <c r="A17" s="47"/>
      <c r="C17" s="10">
        <f>ROW(A12)</f>
        <v>12</v>
      </c>
      <c r="D17" s="65" t="s">
        <v>473</v>
      </c>
      <c r="E17" s="126" t="s">
        <v>203</v>
      </c>
      <c r="F17" s="126" t="s">
        <v>198</v>
      </c>
      <c r="G17" s="126" t="s">
        <v>196</v>
      </c>
      <c r="H17" s="435" t="s">
        <v>473</v>
      </c>
      <c r="I17" s="66" t="s">
        <v>474</v>
      </c>
      <c r="J17" s="126" t="s">
        <v>215</v>
      </c>
      <c r="K17" s="66">
        <v>2024</v>
      </c>
      <c r="L17" s="129">
        <v>26</v>
      </c>
      <c r="M17" s="128" t="str">
        <f ca="1">IF(H17="","",IF(_xlfn.MAXIFS(Mantenimiento[Fecha Salida],Mantenimiento[Placa Vehiculo],H17)&gt;TODAY(),"Mantenimiento",IF(IFERROR(INDEX(Seguros[Estado Poliza],MATCH(H17,Seguros[Placa Vehiculo],0)),"")="Vencido","Seguro Vencido","Disponible")))</f>
        <v>Disponible</v>
      </c>
      <c r="N17" s="408">
        <v>8000</v>
      </c>
      <c r="O17" s="129">
        <v>60000</v>
      </c>
      <c r="P17" s="39">
        <v>200</v>
      </c>
      <c r="Q17" s="434">
        <f>_xlfn.MAXIFS(Mantenimiento[Kilometraje del Odómetro],Mantenimiento[Placa Vehiculo],H17,Mantenimiento[Tipo],"Preventivo")</f>
        <v>28686</v>
      </c>
      <c r="R17" s="130">
        <f>_xlfn.MAXIFS(Mantenimiento[Kilometraje del Odómetro],Mantenimiento[Placa Vehiculo],H17,Mantenimiento[Tipo],"Prev Caja y Corona")</f>
        <v>0</v>
      </c>
      <c r="S17" s="432">
        <f>_xlfn.MAXIFS(Rutas[Kms Final (Odómetro)],Rutas[Placa Vehiculo],H17)</f>
        <v>33139</v>
      </c>
      <c r="T17" s="431">
        <f>IF(H17="","",O17-(IF(S17=0,P17,S17)-R17))</f>
        <v>26861</v>
      </c>
      <c r="U17" s="574">
        <f>IF(H17="","",N17-(IF(S17=0,P17,S17)-Q17))</f>
        <v>3547</v>
      </c>
      <c r="V17" s="405" t="str">
        <f ca="1">IFERROR(IF(OR(M17="Mantenimiento",U17/N17&lt;=5%),"Mantener",IF(U17/N17&lt;=20%,"Falta poco","Aun no")),"")</f>
        <v>Aun no</v>
      </c>
    </row>
    <row r="18" spans="1:22" ht="22.5" customHeight="1" x14ac:dyDescent="0.2">
      <c r="A18" s="47"/>
      <c r="C18" s="10">
        <v>13</v>
      </c>
      <c r="D18" s="65" t="s">
        <v>350</v>
      </c>
      <c r="E18" s="126" t="s">
        <v>203</v>
      </c>
      <c r="F18" s="126" t="s">
        <v>198</v>
      </c>
      <c r="G18" s="126" t="s">
        <v>196</v>
      </c>
      <c r="H18" s="435" t="s">
        <v>350</v>
      </c>
      <c r="I18" s="66" t="s">
        <v>351</v>
      </c>
      <c r="J18" s="126" t="s">
        <v>215</v>
      </c>
      <c r="K18" s="66">
        <v>2024</v>
      </c>
      <c r="L18" s="129">
        <v>26</v>
      </c>
      <c r="M18" s="128" t="str">
        <f ca="1">IF(H18="","",IF(_xlfn.MAXIFS(Mantenimiento[Fecha Salida],Mantenimiento[Placa Vehiculo],H18)&gt;TODAY(),"Mantenimiento",IF(IFERROR(INDEX(Seguros[Estado Poliza],MATCH(H18,Seguros[Placa Vehiculo],0)),"")="Vencido","Seguro Vencido","Disponible")))</f>
        <v>Disponible</v>
      </c>
      <c r="N18" s="408">
        <v>8000</v>
      </c>
      <c r="O18" s="129">
        <v>60000</v>
      </c>
      <c r="P18" s="39">
        <v>3000</v>
      </c>
      <c r="Q18" s="434">
        <f>_xlfn.MAXIFS(Mantenimiento[Kilometraje del Odómetro],Mantenimiento[Placa Vehiculo],H18,Mantenimiento[Tipo],"Preventivo")</f>
        <v>54068</v>
      </c>
      <c r="R18" s="130">
        <f>_xlfn.MAXIFS(Mantenimiento[Kilometraje del Odómetro],Mantenimiento[Placa Vehiculo],H18,Mantenimiento[Tipo],"Prev Caja y Corona")</f>
        <v>0</v>
      </c>
      <c r="S18" s="432">
        <f>_xlfn.MAXIFS(Rutas[Kms Final (Odómetro)],Rutas[Placa Vehiculo],H18)</f>
        <v>57649</v>
      </c>
      <c r="T18" s="130">
        <f>IF(H18="","",O18-(IF(S18=0,P18,S18)-R18))</f>
        <v>2351</v>
      </c>
      <c r="U18" s="421">
        <f>IF(H18="","",N18-(IF(S18=0,P18,S18)-Q18))</f>
        <v>4419</v>
      </c>
      <c r="V18" s="405" t="str">
        <f ca="1">IFERROR(IF(OR(M18="Mantenimiento",U18/N18&lt;=5%),"Mantener",IF(U18/N18&lt;=20%,"Falta poco","Aun no")),"")</f>
        <v>Aun no</v>
      </c>
    </row>
    <row r="19" spans="1:22" ht="22.5" customHeight="1" x14ac:dyDescent="0.2">
      <c r="A19" s="47"/>
      <c r="C19" s="10">
        <v>14</v>
      </c>
      <c r="D19" s="65" t="s">
        <v>509</v>
      </c>
      <c r="E19" s="126" t="s">
        <v>203</v>
      </c>
      <c r="F19" s="126" t="s">
        <v>198</v>
      </c>
      <c r="G19" s="126" t="s">
        <v>196</v>
      </c>
      <c r="H19" s="435" t="s">
        <v>509</v>
      </c>
      <c r="I19" s="66" t="s">
        <v>510</v>
      </c>
      <c r="J19" s="126" t="s">
        <v>215</v>
      </c>
      <c r="K19" s="66">
        <v>2026</v>
      </c>
      <c r="L19" s="129">
        <v>26</v>
      </c>
      <c r="M19" s="128" t="str">
        <f ca="1">IF(H19="","",IF(_xlfn.MAXIFS(Mantenimiento[Fecha Salida],Mantenimiento[Placa Vehiculo],H19)&gt;TODAY(),"Mantenimiento",IF(IFERROR(INDEX(Seguros[Estado Poliza],MATCH(H19,Seguros[Placa Vehiculo],0)),"")="Vencido","Seguro Vencido","Disponible")))</f>
        <v>Disponible</v>
      </c>
      <c r="N19" s="408">
        <v>8000</v>
      </c>
      <c r="O19" s="129">
        <v>60000</v>
      </c>
      <c r="P19" s="39">
        <v>300</v>
      </c>
      <c r="Q19" s="434">
        <f>_xlfn.MAXIFS(Mantenimiento[Kilometraje del Odómetro],Mantenimiento[Placa Vehiculo],H19,Mantenimiento[Tipo],"Preventivo")</f>
        <v>0</v>
      </c>
      <c r="R19" s="130">
        <f>_xlfn.MAXIFS(Mantenimiento[Kilometraje del Odómetro],Mantenimiento[Placa Vehiculo],H19,Mantenimiento[Tipo],"Prev Caja y Corona")</f>
        <v>0</v>
      </c>
      <c r="S19" s="432">
        <f>_xlfn.MAXIFS(Rutas[Kms Final (Odómetro)],Rutas[Placa Vehiculo],H19)</f>
        <v>6798</v>
      </c>
      <c r="T19" s="431">
        <f>IF(H19="","",O19-(IF(S19=0,P19,S19)-R19))</f>
        <v>53202</v>
      </c>
      <c r="U19" s="574">
        <f>IF(H19="","",N19-(IF(S19=0,P19,S19)-Q19))</f>
        <v>1202</v>
      </c>
      <c r="V19" s="405" t="str">
        <f ca="1">IFERROR(IF(OR(M19="Mantenimiento",U19/N19&lt;=5%),"Mantener",IF(U19/N19&lt;=20%,"Falta poco","Aun no")),"")</f>
        <v>Falta poco</v>
      </c>
    </row>
    <row r="20" spans="1:22" ht="22.5" customHeight="1" x14ac:dyDescent="0.2">
      <c r="A20" s="47"/>
      <c r="C20" s="10">
        <v>15</v>
      </c>
      <c r="D20" s="168" t="s">
        <v>376</v>
      </c>
      <c r="E20" s="126" t="s">
        <v>203</v>
      </c>
      <c r="F20" s="126" t="s">
        <v>199</v>
      </c>
      <c r="G20" s="126" t="s">
        <v>196</v>
      </c>
      <c r="H20" s="435" t="s">
        <v>376</v>
      </c>
      <c r="I20" s="66" t="s">
        <v>377</v>
      </c>
      <c r="J20" s="126" t="s">
        <v>205</v>
      </c>
      <c r="K20" s="66">
        <v>2018</v>
      </c>
      <c r="L20" s="129">
        <v>17</v>
      </c>
      <c r="M20" s="128" t="str">
        <f ca="1">IF(H20="","",IF(_xlfn.MAXIFS(Mantenimiento[Fecha Salida],Mantenimiento[Placa Vehiculo],H20)&gt;TODAY(),"Mantenimiento",IF(IFERROR(INDEX(Seguros[Estado Poliza],MATCH(H20,Seguros[Placa Vehiculo],0)),"")="Vencido","Seguro Vencido","Disponible")))</f>
        <v>Disponible</v>
      </c>
      <c r="N20" s="408">
        <v>6000</v>
      </c>
      <c r="O20" s="129">
        <v>80000</v>
      </c>
      <c r="P20" s="39">
        <v>1500</v>
      </c>
      <c r="Q20" s="434">
        <f>_xlfn.MAXIFS(Mantenimiento[Kilometraje del Odómetro],Mantenimiento[Placa Vehiculo],H20,Mantenimiento[Tipo],"Preventivo")</f>
        <v>228659</v>
      </c>
      <c r="R20" s="130">
        <f>_xlfn.MAXIFS(Mantenimiento[Kilometraje del Odómetro],Mantenimiento[Placa Vehiculo],H20,Mantenimiento[Tipo],"Prev Caja y Corona")</f>
        <v>203550</v>
      </c>
      <c r="S20" s="432">
        <f>_xlfn.MAXIFS(Rutas[Kms Final (Odómetro)],Rutas[Placa Vehiculo],H20)</f>
        <v>230044</v>
      </c>
      <c r="T20" s="519">
        <f>IF(H20="","",O20-(IF(S20=0,P20,S20)-R20))</f>
        <v>53506</v>
      </c>
      <c r="U20" s="421">
        <f>IF(H20="","",N20-(IF(S20=0,P20,S20)-Q20))</f>
        <v>4615</v>
      </c>
      <c r="V20" s="405" t="str">
        <f ca="1">IFERROR(IF(OR(M20="Mantenimiento",U20/N20&lt;=5%),"Mantener",IF(U20/N20&lt;=20%,"Falta poco","Aun no")),"")</f>
        <v>Aun no</v>
      </c>
    </row>
    <row r="21" spans="1:22" ht="22.5" customHeight="1" x14ac:dyDescent="0.2">
      <c r="A21" s="47"/>
      <c r="C21" s="10">
        <v>16</v>
      </c>
      <c r="D21" s="168" t="s">
        <v>403</v>
      </c>
      <c r="E21" s="126" t="s">
        <v>203</v>
      </c>
      <c r="F21" s="126" t="s">
        <v>404</v>
      </c>
      <c r="G21" s="126" t="s">
        <v>196</v>
      </c>
      <c r="H21" s="435" t="s">
        <v>403</v>
      </c>
      <c r="I21" s="66" t="s">
        <v>405</v>
      </c>
      <c r="J21" s="126" t="s">
        <v>205</v>
      </c>
      <c r="K21" s="66">
        <v>2024</v>
      </c>
      <c r="L21" s="129">
        <v>20</v>
      </c>
      <c r="M21" s="128" t="str">
        <f ca="1">IF(H21="","",IF(_xlfn.MAXIFS(Mantenimiento[Fecha Salida],Mantenimiento[Placa Vehiculo],H21)&gt;TODAY(),"Mantenimiento",IF(IFERROR(INDEX(Seguros[Estado Poliza],MATCH(H21,Seguros[Placa Vehiculo],0)),"")="Vencido","Seguro Vencido","Disponible")))</f>
        <v>Disponible</v>
      </c>
      <c r="N21" s="408">
        <v>10000</v>
      </c>
      <c r="O21" s="129">
        <v>60000</v>
      </c>
      <c r="P21" s="39">
        <v>150000</v>
      </c>
      <c r="Q21" s="434">
        <f>_xlfn.MAXIFS(Mantenimiento[Kilometraje del Odómetro],Mantenimiento[Placa Vehiculo],H21,Mantenimiento[Tipo],"Preventivo")</f>
        <v>210065</v>
      </c>
      <c r="R21" s="130">
        <f>_xlfn.MAXIFS(Mantenimiento[Kilometraje del Odómetro],Mantenimiento[Placa Vehiculo],H21,Mantenimiento[Tipo],"Prev Caja y Corona")</f>
        <v>191408</v>
      </c>
      <c r="S21" s="432">
        <f>_xlfn.MAXIFS(Rutas[Kms Final (Odómetro)],Rutas[Placa Vehiculo],H21)</f>
        <v>214526</v>
      </c>
      <c r="T21" s="519">
        <f>IF(H21="","",O21-(IF(S21=0,P21,S21)-R21))</f>
        <v>36882</v>
      </c>
      <c r="U21" s="421">
        <f>IF(H21="","",N21-(IF(S21=0,P21,S21)-Q21))</f>
        <v>5539</v>
      </c>
      <c r="V21" s="405" t="str">
        <f ca="1">IFERROR(IF(OR(M21="Mantenimiento",U21/N21&lt;=5%),"Mantener",IF(U21/N21&lt;=20%,"Falta poco","Aun no")),"")</f>
        <v>Aun no</v>
      </c>
    </row>
    <row r="22" spans="1:22" ht="22.5" customHeight="1" x14ac:dyDescent="0.2">
      <c r="A22" s="47"/>
      <c r="C22" s="10">
        <v>17</v>
      </c>
      <c r="D22" s="65" t="s">
        <v>306</v>
      </c>
      <c r="E22" s="126" t="s">
        <v>195</v>
      </c>
      <c r="F22" s="126" t="s">
        <v>201</v>
      </c>
      <c r="G22" s="126" t="s">
        <v>297</v>
      </c>
      <c r="H22" s="435" t="s">
        <v>306</v>
      </c>
      <c r="I22" s="66" t="s">
        <v>294</v>
      </c>
      <c r="J22" s="126" t="s">
        <v>295</v>
      </c>
      <c r="K22" s="66">
        <v>2011</v>
      </c>
      <c r="L22" s="129">
        <v>5</v>
      </c>
      <c r="M22" s="128" t="str">
        <f ca="1">IF(H22="","",IF(_xlfn.MAXIFS(Mantenimiento[Fecha Salida],Mantenimiento[Placa Vehiculo],H22)&gt;TODAY(),"Mantenimiento",IF(IFERROR(INDEX(Seguros[Estado Poliza],MATCH(H22,Seguros[Placa Vehiculo],0)),"")="Vencido","Seguro Vencido","Disponible")))</f>
        <v>Disponible</v>
      </c>
      <c r="N22" s="129">
        <v>250</v>
      </c>
      <c r="O22" s="129"/>
      <c r="P22" s="129">
        <v>2</v>
      </c>
      <c r="Q22" s="433">
        <f>_xlfn.MAXIFS(Mantenimiento[Kilometraje del Odómetro],Mantenimiento[Placa Vehiculo],H22,Mantenimiento[Tipo],"Preventivo")</f>
        <v>2165</v>
      </c>
      <c r="R22" s="130">
        <f>_xlfn.MAXIFS(Mantenimiento[Kilometraje del Odómetro],Mantenimiento[Placa Vehiculo],H22,Mantenimiento[Tipo],"Prev Caja y Corona")</f>
        <v>0</v>
      </c>
      <c r="S22" s="432">
        <f>_xlfn.MAXIFS(Rutas[Kms Final (Odómetro)],Rutas[Placa Vehiculo],H22)</f>
        <v>2316</v>
      </c>
      <c r="T22" s="130"/>
      <c r="U22" s="421">
        <f t="shared" si="1"/>
        <v>99</v>
      </c>
      <c r="V22" s="405" t="str">
        <f t="shared" ca="1" si="2"/>
        <v>Aun no</v>
      </c>
    </row>
    <row r="23" spans="1:22" ht="22.5" customHeight="1" x14ac:dyDescent="0.2">
      <c r="A23" s="47"/>
      <c r="C23" s="10">
        <v>18</v>
      </c>
      <c r="D23" s="65" t="s">
        <v>307</v>
      </c>
      <c r="E23" s="126" t="s">
        <v>195</v>
      </c>
      <c r="F23" s="126" t="s">
        <v>201</v>
      </c>
      <c r="G23" s="126" t="s">
        <v>297</v>
      </c>
      <c r="H23" s="435" t="s">
        <v>307</v>
      </c>
      <c r="I23" s="66" t="s">
        <v>299</v>
      </c>
      <c r="J23" s="126" t="s">
        <v>295</v>
      </c>
      <c r="K23" s="66">
        <v>2009</v>
      </c>
      <c r="L23" s="129">
        <v>5</v>
      </c>
      <c r="M23" s="128" t="str">
        <f ca="1">IF(H23="","",IF(_xlfn.MAXIFS(Mantenimiento[Fecha Salida],Mantenimiento[Placa Vehiculo],H23)&gt;TODAY(),"Mantenimiento",IF(IFERROR(INDEX(Seguros[Estado Poliza],MATCH(H23,Seguros[Placa Vehiculo],0)),"")="Vencido","Seguro Vencido","Disponible")))</f>
        <v>Disponible</v>
      </c>
      <c r="N23" s="129">
        <v>250</v>
      </c>
      <c r="O23" s="129"/>
      <c r="P23" s="129">
        <v>1000</v>
      </c>
      <c r="Q23" s="433">
        <f>_xlfn.MAXIFS(Mantenimiento[Kilometraje del Odómetro],Mantenimiento[Placa Vehiculo],H23,Mantenimiento[Tipo],"Preventivo")</f>
        <v>4896</v>
      </c>
      <c r="R23" s="130">
        <f>_xlfn.MAXIFS(Mantenimiento[Kilometraje del Odómetro],Mantenimiento[Placa Vehiculo],H23,Mantenimiento[Tipo],"Prev Caja y Corona")</f>
        <v>0</v>
      </c>
      <c r="S23" s="432">
        <f>_xlfn.MAXIFS(Rutas[Kms Final (Odómetro)],Rutas[Placa Vehiculo],H23)</f>
        <v>4986</v>
      </c>
      <c r="T23" s="130"/>
      <c r="U23" s="421">
        <f t="shared" si="1"/>
        <v>160</v>
      </c>
      <c r="V23" s="405" t="str">
        <f t="shared" ca="1" si="2"/>
        <v>Aun no</v>
      </c>
    </row>
    <row r="24" spans="1:22" ht="22.5" customHeight="1" x14ac:dyDescent="0.2">
      <c r="A24" s="47"/>
      <c r="C24" s="10">
        <v>19</v>
      </c>
      <c r="D24" s="65" t="s">
        <v>308</v>
      </c>
      <c r="E24" s="126" t="s">
        <v>195</v>
      </c>
      <c r="F24" s="126" t="s">
        <v>201</v>
      </c>
      <c r="G24" s="126" t="s">
        <v>298</v>
      </c>
      <c r="H24" s="435" t="s">
        <v>308</v>
      </c>
      <c r="I24" s="66" t="s">
        <v>300</v>
      </c>
      <c r="J24" s="126" t="s">
        <v>295</v>
      </c>
      <c r="K24" s="66">
        <v>2017</v>
      </c>
      <c r="L24" s="129">
        <v>5</v>
      </c>
      <c r="M24" s="128" t="str">
        <f ca="1">IF(H24="","",IF(_xlfn.MAXIFS(Mantenimiento[Fecha Salida],Mantenimiento[Placa Vehiculo],H24)&gt;TODAY(),"Mantenimiento",IF(IFERROR(INDEX(Seguros[Estado Poliza],MATCH(H24,Seguros[Placa Vehiculo],0)),"")="Vencido","Seguro Vencido","Disponible")))</f>
        <v>Disponible</v>
      </c>
      <c r="N24" s="129">
        <v>250</v>
      </c>
      <c r="O24" s="129"/>
      <c r="P24" s="129">
        <v>1</v>
      </c>
      <c r="Q24" s="433">
        <f>_xlfn.MAXIFS(Mantenimiento[Kilometraje del Odómetro],Mantenimiento[Placa Vehiculo],H24,Mantenimiento[Tipo],"Preventivo")</f>
        <v>2060</v>
      </c>
      <c r="R24" s="130">
        <f>_xlfn.MAXIFS(Mantenimiento[Kilometraje del Odómetro],Mantenimiento[Placa Vehiculo],H24,Mantenimiento[Tipo],"Prev Caja y Corona")</f>
        <v>0</v>
      </c>
      <c r="S24" s="432">
        <f>_xlfn.MAXIFS(Rutas[Kms Final (Odómetro)],Rutas[Placa Vehiculo],H24)</f>
        <v>2154</v>
      </c>
      <c r="T24" s="130"/>
      <c r="U24" s="421">
        <f t="shared" si="1"/>
        <v>156</v>
      </c>
      <c r="V24" s="405" t="str">
        <f t="shared" ca="1" si="2"/>
        <v>Aun no</v>
      </c>
    </row>
    <row r="25" spans="1:22" ht="22.5" customHeight="1" x14ac:dyDescent="0.2">
      <c r="A25" s="47"/>
      <c r="C25" s="10">
        <v>20</v>
      </c>
      <c r="D25" s="65" t="s">
        <v>310</v>
      </c>
      <c r="E25" s="126" t="s">
        <v>195</v>
      </c>
      <c r="F25" s="126" t="s">
        <v>201</v>
      </c>
      <c r="G25" s="126" t="s">
        <v>297</v>
      </c>
      <c r="H25" s="435" t="s">
        <v>310</v>
      </c>
      <c r="I25" s="66" t="s">
        <v>301</v>
      </c>
      <c r="J25" s="126" t="s">
        <v>295</v>
      </c>
      <c r="K25" s="66">
        <v>2009</v>
      </c>
      <c r="L25" s="129">
        <v>5</v>
      </c>
      <c r="M25" s="128" t="str">
        <f ca="1">IF(H25="","",IF(_xlfn.MAXIFS(Mantenimiento[Fecha Salida],Mantenimiento[Placa Vehiculo],H25)&gt;TODAY(),"Mantenimiento",IF(IFERROR(INDEX(Seguros[Estado Poliza],MATCH(H25,Seguros[Placa Vehiculo],0)),"")="Vencido","Seguro Vencido","Disponible")))</f>
        <v>Disponible</v>
      </c>
      <c r="N25" s="129">
        <v>250</v>
      </c>
      <c r="O25" s="129"/>
      <c r="P25" s="129">
        <v>2000</v>
      </c>
      <c r="Q25" s="433">
        <f>_xlfn.MAXIFS(Mantenimiento[Kilometraje del Odómetro],Mantenimiento[Placa Vehiculo],H25,Mantenimiento[Tipo],"Preventivo")</f>
        <v>3007</v>
      </c>
      <c r="R25" s="130">
        <f>_xlfn.MAXIFS(Mantenimiento[Kilometraje del Odómetro],Mantenimiento[Placa Vehiculo],H25,Mantenimiento[Tipo],"Prev Caja y Corona")</f>
        <v>0</v>
      </c>
      <c r="S25" s="432">
        <f>_xlfn.MAXIFS(Rutas[Kms Final (Odómetro)],Rutas[Placa Vehiculo],H25)</f>
        <v>3000</v>
      </c>
      <c r="T25" s="130"/>
      <c r="U25" s="421">
        <f t="shared" si="1"/>
        <v>257</v>
      </c>
      <c r="V25" s="405" t="str">
        <f t="shared" ca="1" si="2"/>
        <v>Aun no</v>
      </c>
    </row>
    <row r="26" spans="1:22" ht="22.5" hidden="1" customHeight="1" x14ac:dyDescent="0.2">
      <c r="A26" s="47"/>
      <c r="C26" s="10">
        <v>19</v>
      </c>
      <c r="D26" s="65" t="s">
        <v>311</v>
      </c>
      <c r="E26" s="126" t="s">
        <v>195</v>
      </c>
      <c r="F26" s="126" t="s">
        <v>201</v>
      </c>
      <c r="G26" s="126" t="s">
        <v>297</v>
      </c>
      <c r="H26" s="435" t="s">
        <v>311</v>
      </c>
      <c r="I26" s="66" t="s">
        <v>302</v>
      </c>
      <c r="J26" s="126" t="s">
        <v>295</v>
      </c>
      <c r="K26" s="66">
        <v>2009</v>
      </c>
      <c r="L26" s="129">
        <v>5</v>
      </c>
      <c r="M26" s="128" t="str">
        <f ca="1">IF(H26="","",IF(_xlfn.MAXIFS(Mantenimiento[Fecha Salida],Mantenimiento[Placa Vehiculo],H26)&gt;TODAY(),"Mantenimiento",IF(IFERROR(INDEX(Seguros[Estado Poliza],MATCH(H26,Seguros[Placa Vehiculo],0)),"")="Vencido","Seguro Vencido","Disponible")))</f>
        <v>Disponible</v>
      </c>
      <c r="N26" s="129">
        <v>250</v>
      </c>
      <c r="O26" s="129"/>
      <c r="P26" s="129">
        <v>1000</v>
      </c>
      <c r="Q26" s="433">
        <f>_xlfn.MAXIFS(Mantenimiento[Kilometraje del Odómetro],Mantenimiento[Placa Vehiculo],H26,Mantenimiento[Tipo],"Preventivo")</f>
        <v>2272</v>
      </c>
      <c r="R26" s="130">
        <f>_xlfn.MAXIFS(Mantenimiento[Kilometraje del Odómetro],Mantenimiento[Placa Vehiculo],H26,Mantenimiento[Tipo],"Prev Caja y Corona")</f>
        <v>0</v>
      </c>
      <c r="S26" s="432">
        <f>_xlfn.MAXIFS(Rutas[Kms Final (Odómetro)],Rutas[Placa Vehiculo],H26)</f>
        <v>2544</v>
      </c>
      <c r="T26" s="130"/>
      <c r="U26" s="421">
        <f t="shared" si="1"/>
        <v>-22</v>
      </c>
      <c r="V26" s="405" t="str">
        <f t="shared" ca="1" si="2"/>
        <v>Mantener</v>
      </c>
    </row>
    <row r="27" spans="1:22" ht="22.5" customHeight="1" x14ac:dyDescent="0.2">
      <c r="A27" s="47"/>
      <c r="C27" s="10">
        <v>21</v>
      </c>
      <c r="D27" s="65" t="s">
        <v>312</v>
      </c>
      <c r="E27" s="126" t="s">
        <v>195</v>
      </c>
      <c r="F27" s="126" t="s">
        <v>201</v>
      </c>
      <c r="G27" s="126" t="s">
        <v>297</v>
      </c>
      <c r="H27" s="435" t="s">
        <v>312</v>
      </c>
      <c r="I27" s="66" t="s">
        <v>303</v>
      </c>
      <c r="J27" s="126" t="s">
        <v>295</v>
      </c>
      <c r="K27" s="66">
        <v>2009</v>
      </c>
      <c r="L27" s="129">
        <v>5</v>
      </c>
      <c r="M27" s="128" t="str">
        <f ca="1">IF(H27="","",IF(_xlfn.MAXIFS(Mantenimiento[Fecha Salida],Mantenimiento[Placa Vehiculo],H27)&gt;TODAY(),"Mantenimiento",IF(IFERROR(INDEX(Seguros[Estado Poliza],MATCH(H27,Seguros[Placa Vehiculo],0)),"")="Vencido","Seguro Vencido","Disponible")))</f>
        <v>Disponible</v>
      </c>
      <c r="N27" s="129">
        <v>250</v>
      </c>
      <c r="O27" s="129"/>
      <c r="P27" s="129">
        <v>1500</v>
      </c>
      <c r="Q27" s="433">
        <f>_xlfn.MAXIFS(Mantenimiento[Kilometraje del Odómetro],Mantenimiento[Placa Vehiculo],H27,Mantenimiento[Tipo],"Preventivo")</f>
        <v>3359</v>
      </c>
      <c r="R27" s="130">
        <f>_xlfn.MAXIFS(Mantenimiento[Kilometraje del Odómetro],Mantenimiento[Placa Vehiculo],H27,Mantenimiento[Tipo],"Prev Caja y Corona")</f>
        <v>0</v>
      </c>
      <c r="S27" s="432">
        <f>_xlfn.MAXIFS(Rutas[Kms Final (Odómetro)],Rutas[Placa Vehiculo],H27)</f>
        <v>3358</v>
      </c>
      <c r="T27" s="130"/>
      <c r="U27" s="421">
        <f t="shared" si="1"/>
        <v>251</v>
      </c>
      <c r="V27" s="405" t="str">
        <f t="shared" ca="1" si="2"/>
        <v>Aun no</v>
      </c>
    </row>
    <row r="28" spans="1:22" ht="22.5" hidden="1" customHeight="1" x14ac:dyDescent="0.2">
      <c r="A28" s="47"/>
      <c r="C28" s="10">
        <v>21</v>
      </c>
      <c r="D28" s="65" t="s">
        <v>313</v>
      </c>
      <c r="E28" s="126" t="s">
        <v>195</v>
      </c>
      <c r="F28" s="126" t="s">
        <v>201</v>
      </c>
      <c r="G28" s="126" t="s">
        <v>297</v>
      </c>
      <c r="H28" s="435" t="s">
        <v>313</v>
      </c>
      <c r="I28" s="66" t="s">
        <v>304</v>
      </c>
      <c r="J28" s="126" t="s">
        <v>295</v>
      </c>
      <c r="K28" s="66">
        <v>2009</v>
      </c>
      <c r="L28" s="129">
        <v>5</v>
      </c>
      <c r="M28" s="128" t="str">
        <f ca="1">IF(H28="","",IF(_xlfn.MAXIFS(Mantenimiento[Fecha Salida],Mantenimiento[Placa Vehiculo],H28)&gt;TODAY(),"Mantenimiento",IF(IFERROR(INDEX(Seguros[Estado Poliza],MATCH(H28,Seguros[Placa Vehiculo],0)),"")="Vencido","Seguro Vencido","Disponible")))</f>
        <v>Disponible</v>
      </c>
      <c r="N28" s="129">
        <v>250</v>
      </c>
      <c r="O28" s="129"/>
      <c r="P28" s="129">
        <v>2000</v>
      </c>
      <c r="Q28" s="433">
        <f>_xlfn.MAXIFS(Mantenimiento[Kilometraje del Odómetro],Mantenimiento[Placa Vehiculo],H28,Mantenimiento[Tipo],"Preventivo")</f>
        <v>2438</v>
      </c>
      <c r="R28" s="130">
        <f>_xlfn.MAXIFS(Mantenimiento[Kilometraje del Odómetro],Mantenimiento[Placa Vehiculo],H28,Mantenimiento[Tipo],"Prev Caja y Corona")</f>
        <v>0</v>
      </c>
      <c r="S28" s="432">
        <f>_xlfn.MAXIFS(Rutas[Kms Final (Odómetro)],Rutas[Placa Vehiculo],H28)</f>
        <v>2695</v>
      </c>
      <c r="T28" s="130"/>
      <c r="U28" s="421">
        <f t="shared" si="1"/>
        <v>-7</v>
      </c>
      <c r="V28" s="405" t="str">
        <f t="shared" ca="1" si="2"/>
        <v>Mantener</v>
      </c>
    </row>
    <row r="29" spans="1:22" ht="22.5" customHeight="1" x14ac:dyDescent="0.2">
      <c r="A29" s="47"/>
      <c r="C29" s="10">
        <v>22</v>
      </c>
      <c r="D29" s="65" t="s">
        <v>318</v>
      </c>
      <c r="E29" s="126" t="s">
        <v>195</v>
      </c>
      <c r="F29" s="126" t="s">
        <v>201</v>
      </c>
      <c r="G29" s="126" t="s">
        <v>297</v>
      </c>
      <c r="H29" s="435" t="s">
        <v>318</v>
      </c>
      <c r="I29" s="66" t="s">
        <v>319</v>
      </c>
      <c r="J29" s="126" t="s">
        <v>295</v>
      </c>
      <c r="K29" s="66">
        <v>2011</v>
      </c>
      <c r="L29" s="129">
        <v>5</v>
      </c>
      <c r="M29" s="128" t="str">
        <f ca="1">IF(H29="","",IF(_xlfn.MAXIFS(Mantenimiento[Fecha Salida],Mantenimiento[Placa Vehiculo],H29)&gt;TODAY(),"Mantenimiento",IF(IFERROR(INDEX(Seguros[Estado Poliza],MATCH(H29,Seguros[Placa Vehiculo],0)),"")="Vencido","Seguro Vencido","Disponible")))</f>
        <v>Disponible</v>
      </c>
      <c r="N29" s="129">
        <v>250</v>
      </c>
      <c r="O29" s="129"/>
      <c r="P29" s="129">
        <v>2</v>
      </c>
      <c r="Q29" s="433">
        <f>_xlfn.MAXIFS(Mantenimiento[Kilometraje del Odómetro],Mantenimiento[Placa Vehiculo],H29,Mantenimiento[Tipo],"Preventivo")</f>
        <v>1364</v>
      </c>
      <c r="R29" s="130">
        <f>_xlfn.MAXIFS(Mantenimiento[Kilometraje del Odómetro],Mantenimiento[Placa Vehiculo],H29,Mantenimiento[Tipo],"Prev Caja y Corona")</f>
        <v>0</v>
      </c>
      <c r="S29" s="432">
        <f>_xlfn.MAXIFS(Rutas[Kms Final (Odómetro)],Rutas[Placa Vehiculo],H29)</f>
        <v>1418</v>
      </c>
      <c r="T29" s="130"/>
      <c r="U29" s="421">
        <f t="shared" si="1"/>
        <v>196</v>
      </c>
      <c r="V29" s="405" t="str">
        <f t="shared" ca="1" si="2"/>
        <v>Aun no</v>
      </c>
    </row>
    <row r="30" spans="1:22" ht="22.5" customHeight="1" x14ac:dyDescent="0.2">
      <c r="A30" s="47"/>
      <c r="C30" s="10">
        <v>23</v>
      </c>
      <c r="D30" s="65" t="s">
        <v>320</v>
      </c>
      <c r="E30" s="126" t="s">
        <v>195</v>
      </c>
      <c r="F30" s="126" t="s">
        <v>201</v>
      </c>
      <c r="G30" s="126" t="s">
        <v>297</v>
      </c>
      <c r="H30" s="435" t="s">
        <v>320</v>
      </c>
      <c r="I30" s="66" t="s">
        <v>321</v>
      </c>
      <c r="J30" s="126" t="s">
        <v>295</v>
      </c>
      <c r="K30" s="66">
        <v>2011</v>
      </c>
      <c r="L30" s="129">
        <v>5</v>
      </c>
      <c r="M30" s="128" t="str">
        <f ca="1">IF(H30="","",IF(_xlfn.MAXIFS(Mantenimiento[Fecha Salida],Mantenimiento[Placa Vehiculo],H30)&gt;TODAY(),"Mantenimiento",IF(IFERROR(INDEX(Seguros[Estado Poliza],MATCH(H30,Seguros[Placa Vehiculo],0)),"")="Vencido","Seguro Vencido","Disponible")))</f>
        <v>Disponible</v>
      </c>
      <c r="N30" s="129">
        <v>250</v>
      </c>
      <c r="O30" s="129"/>
      <c r="P30" s="129">
        <v>30</v>
      </c>
      <c r="Q30" s="433">
        <f>_xlfn.MAXIFS(Mantenimiento[Kilometraje del Odómetro],Mantenimiento[Placa Vehiculo],H30,Mantenimiento[Tipo],"Preventivo")</f>
        <v>4061</v>
      </c>
      <c r="R30" s="130">
        <f>_xlfn.MAXIFS(Mantenimiento[Kilometraje del Odómetro],Mantenimiento[Placa Vehiculo],H30,Mantenimiento[Tipo],"Prev Caja y Corona")</f>
        <v>0</v>
      </c>
      <c r="S30" s="432">
        <f>_xlfn.MAXIFS(Rutas[Kms Final (Odómetro)],Rutas[Placa Vehiculo],H30)</f>
        <v>4113</v>
      </c>
      <c r="T30" s="130"/>
      <c r="U30" s="421">
        <f t="shared" si="1"/>
        <v>198</v>
      </c>
      <c r="V30" s="405" t="str">
        <f t="shared" ca="1" si="2"/>
        <v>Aun no</v>
      </c>
    </row>
    <row r="31" spans="1:22" ht="22.5" customHeight="1" x14ac:dyDescent="0.2">
      <c r="A31" s="47"/>
      <c r="C31" s="10">
        <v>24</v>
      </c>
      <c r="D31" s="65" t="s">
        <v>352</v>
      </c>
      <c r="E31" s="126" t="s">
        <v>195</v>
      </c>
      <c r="F31" s="126" t="s">
        <v>201</v>
      </c>
      <c r="G31" s="34" t="s">
        <v>297</v>
      </c>
      <c r="H31" s="435" t="s">
        <v>352</v>
      </c>
      <c r="I31" s="66" t="s">
        <v>353</v>
      </c>
      <c r="J31" s="34" t="s">
        <v>295</v>
      </c>
      <c r="K31" s="35">
        <v>2011</v>
      </c>
      <c r="L31" s="39">
        <v>5</v>
      </c>
      <c r="M31" s="10" t="str">
        <f ca="1">IF(H31="","",IF(_xlfn.MAXIFS(Mantenimiento[Fecha Salida],Mantenimiento[Placa Vehiculo],H31)&gt;TODAY(),"Mantenimiento",IF(IFERROR(INDEX(Seguros[Estado Poliza],MATCH(H31,Seguros[Placa Vehiculo],0)),"")="Vencido","Seguro Vencido","Disponible")))</f>
        <v>Disponible</v>
      </c>
      <c r="N31" s="408">
        <v>250</v>
      </c>
      <c r="O31" s="400"/>
      <c r="P31" s="39">
        <v>30</v>
      </c>
      <c r="Q31" s="434">
        <f>_xlfn.MAXIFS(Mantenimiento[Kilometraje del Odómetro],Mantenimiento[Placa Vehiculo],H31,Mantenimiento[Tipo],"Preventivo")</f>
        <v>2258</v>
      </c>
      <c r="R31" s="378">
        <f>_xlfn.MAXIFS(Mantenimiento[Kilometraje del Odómetro],Mantenimiento[Placa Vehiculo],H31,Mantenimiento[Tipo],"Prev Caja y Corona")</f>
        <v>0</v>
      </c>
      <c r="S31" s="432">
        <f>_xlfn.MAXIFS(Rutas[Kms Final (Odómetro)],Rutas[Placa Vehiculo],H31)</f>
        <v>2266</v>
      </c>
      <c r="T31" s="378"/>
      <c r="U31" s="421">
        <f>IF(H31="","",N31-(IF(S31=0,P31,S31)-Q31))</f>
        <v>242</v>
      </c>
      <c r="V31" s="405" t="str">
        <f t="shared" ca="1" si="2"/>
        <v>Aun no</v>
      </c>
    </row>
    <row r="32" spans="1:22" ht="22.5" customHeight="1" x14ac:dyDescent="0.2">
      <c r="A32" s="47"/>
      <c r="C32" s="10">
        <v>25</v>
      </c>
      <c r="D32" s="513" t="s">
        <v>414</v>
      </c>
      <c r="E32" s="126" t="s">
        <v>195</v>
      </c>
      <c r="F32" s="126" t="s">
        <v>201</v>
      </c>
      <c r="G32" s="34" t="s">
        <v>298</v>
      </c>
      <c r="H32" s="435" t="s">
        <v>414</v>
      </c>
      <c r="I32" s="66" t="s">
        <v>415</v>
      </c>
      <c r="J32" s="34" t="s">
        <v>295</v>
      </c>
      <c r="K32" s="35">
        <v>2025</v>
      </c>
      <c r="L32" s="39">
        <v>5</v>
      </c>
      <c r="M32" s="10" t="str">
        <f ca="1">IF(H32="","",IF(_xlfn.MAXIFS(Mantenimiento[Fecha Salida],Mantenimiento[Placa Vehiculo],H32)&gt;TODAY(),"Mantenimiento",IF(IFERROR(INDEX(Seguros[Estado Poliza],MATCH(H32,Seguros[Placa Vehiculo],0)),"")="Vencido","Seguro Vencido","Disponible")))</f>
        <v>Disponible</v>
      </c>
      <c r="N32" s="408">
        <v>250</v>
      </c>
      <c r="O32" s="400"/>
      <c r="P32" s="39">
        <v>20</v>
      </c>
      <c r="Q32" s="434">
        <f>_xlfn.MAXIFS(Mantenimiento[Kilometraje del Odómetro],Mantenimiento[Placa Vehiculo],H32,Mantenimiento[Tipo],"Preventivo")</f>
        <v>200</v>
      </c>
      <c r="R32" s="378">
        <f>_xlfn.MAXIFS(Mantenimiento[Kilometraje del Odómetro],Mantenimiento[Placa Vehiculo],H32,Mantenimiento[Tipo],"Prev Caja y Corona")</f>
        <v>0</v>
      </c>
      <c r="S32" s="432">
        <f>_xlfn.MAXIFS(Rutas[Kms Final (Odómetro)],Rutas[Placa Vehiculo],H32)</f>
        <v>366</v>
      </c>
      <c r="T32" s="378"/>
      <c r="U32" s="421">
        <f>IF(H32="","",N32-(IF(S32=0,P32,S32)-Q32))</f>
        <v>84</v>
      </c>
      <c r="V32" s="405" t="str">
        <f t="shared" ca="1" si="2"/>
        <v>Aun no</v>
      </c>
    </row>
    <row r="33" spans="1:22" ht="22.5" customHeight="1" x14ac:dyDescent="0.2">
      <c r="A33" s="47"/>
      <c r="C33" s="10">
        <v>26</v>
      </c>
      <c r="D33" s="513" t="s">
        <v>407</v>
      </c>
      <c r="E33" s="126" t="s">
        <v>195</v>
      </c>
      <c r="F33" s="126" t="s">
        <v>201</v>
      </c>
      <c r="G33" s="34" t="s">
        <v>298</v>
      </c>
      <c r="H33" s="435" t="s">
        <v>406</v>
      </c>
      <c r="I33" s="66" t="s">
        <v>408</v>
      </c>
      <c r="J33" s="34" t="s">
        <v>295</v>
      </c>
      <c r="K33" s="35">
        <v>2017</v>
      </c>
      <c r="L33" s="39">
        <v>5</v>
      </c>
      <c r="M33" s="10" t="str">
        <f ca="1">IF(H33="","",IF(_xlfn.MAXIFS(Mantenimiento[Fecha Salida],Mantenimiento[Placa Vehiculo],H33)&gt;TODAY(),"Mantenimiento",IF(IFERROR(INDEX(Seguros[Estado Poliza],MATCH(H33,Seguros[Placa Vehiculo],0)),"")="Vencido","Seguro Vencido","Disponible")))</f>
        <v>Disponible</v>
      </c>
      <c r="N33" s="408">
        <v>250</v>
      </c>
      <c r="O33" s="129"/>
      <c r="P33" s="39">
        <v>1000</v>
      </c>
      <c r="Q33" s="434">
        <f>_xlfn.MAXIFS(Mantenimiento[Kilometraje del Odómetro],Mantenimiento[Placa Vehiculo],H33,Mantenimiento[Tipo],"Preventivo")</f>
        <v>7290</v>
      </c>
      <c r="R33" s="130">
        <f>_xlfn.MAXIFS(Mantenimiento[Kilometraje del Odómetro],Mantenimiento[Placa Vehiculo],H33,Mantenimiento[Tipo],"Prev Caja y Corona")</f>
        <v>0</v>
      </c>
      <c r="S33" s="432">
        <f>_xlfn.MAXIFS(Rutas[Kms Final (Odómetro)],Rutas[Placa Vehiculo],H33)</f>
        <v>7290</v>
      </c>
      <c r="T33" s="431"/>
      <c r="U33" s="421">
        <f>IF(H33="","",N33-(IF(S33=0,P33,S33)-Q33))</f>
        <v>250</v>
      </c>
      <c r="V33" s="405" t="str">
        <f t="shared" ca="1" si="2"/>
        <v>Aun no</v>
      </c>
    </row>
    <row r="34" spans="1:22" ht="17" x14ac:dyDescent="0.2">
      <c r="A34" s="47"/>
      <c r="C34" s="10">
        <v>27</v>
      </c>
      <c r="D34" s="513" t="s">
        <v>524</v>
      </c>
      <c r="E34" s="34" t="s">
        <v>195</v>
      </c>
      <c r="F34" s="34" t="s">
        <v>201</v>
      </c>
      <c r="G34" s="34" t="s">
        <v>298</v>
      </c>
      <c r="H34" s="435" t="s">
        <v>524</v>
      </c>
      <c r="I34" s="35" t="s">
        <v>525</v>
      </c>
      <c r="J34" s="34" t="s">
        <v>295</v>
      </c>
      <c r="K34" s="35">
        <v>2025</v>
      </c>
      <c r="L34" s="39">
        <v>5</v>
      </c>
      <c r="M34" s="10" t="str">
        <f ca="1">IF(H34="","",IF(_xlfn.MAXIFS(Mantenimiento[Fecha Salida],Mantenimiento[Placa Vehiculo],H34)&gt;TODAY(),"Mantenimiento",IF(IFERROR(INDEX(Seguros[Estado Poliza],MATCH(H34,Seguros[Placa Vehiculo],0)),"")="Vencido","Seguro Vencido","Disponible")))</f>
        <v>Disponible</v>
      </c>
      <c r="N34" s="408">
        <v>250</v>
      </c>
      <c r="O34" s="129"/>
      <c r="P34" s="39">
        <v>50</v>
      </c>
      <c r="Q34" s="434">
        <f>_xlfn.MAXIFS(Mantenimiento[Kilometraje del Odómetro],Mantenimiento[Placa Vehiculo],H34,Mantenimiento[Tipo],"Preventivo")</f>
        <v>704</v>
      </c>
      <c r="R34" s="130">
        <f>_xlfn.MAXIFS(Mantenimiento[Kilometraje del Odómetro],Mantenimiento[Placa Vehiculo],H34,Mantenimiento[Tipo],"Prev Caja y Corona")</f>
        <v>0</v>
      </c>
      <c r="S34" s="432">
        <f>_xlfn.MAXIFS(Rutas[Kms Final (Odómetro)],Rutas[Placa Vehiculo],H34)</f>
        <v>770</v>
      </c>
      <c r="T34" s="431"/>
      <c r="U34" s="574">
        <f t="shared" ref="U34" si="3">IF(H34="","",N34-(IF(S34=0,P34,S34)-Q34))</f>
        <v>184</v>
      </c>
      <c r="V34" s="405" t="str">
        <f t="shared" ca="1" si="2"/>
        <v>Aun no</v>
      </c>
    </row>
    <row r="35" spans="1:22" x14ac:dyDescent="0.2">
      <c r="A35" s="47"/>
    </row>
    <row r="36" spans="1:22" x14ac:dyDescent="0.2">
      <c r="A36" s="47"/>
    </row>
    <row r="37" spans="1:22" x14ac:dyDescent="0.2">
      <c r="A37" s="47"/>
    </row>
    <row r="38" spans="1:22" x14ac:dyDescent="0.2">
      <c r="A38" s="47"/>
    </row>
    <row r="39" spans="1:22" x14ac:dyDescent="0.2">
      <c r="A39" s="47"/>
    </row>
    <row r="40" spans="1:22" x14ac:dyDescent="0.2">
      <c r="A40" s="47"/>
    </row>
    <row r="41" spans="1:22" x14ac:dyDescent="0.2">
      <c r="A41" s="47"/>
    </row>
    <row r="42" spans="1:22" x14ac:dyDescent="0.2">
      <c r="A42" s="47"/>
    </row>
    <row r="43" spans="1:22" x14ac:dyDescent="0.2">
      <c r="A43" s="47"/>
    </row>
    <row r="44" spans="1:22" x14ac:dyDescent="0.2">
      <c r="A44" s="47"/>
    </row>
    <row r="45" spans="1:22" x14ac:dyDescent="0.2">
      <c r="A45" s="47"/>
    </row>
    <row r="46" spans="1:22" x14ac:dyDescent="0.2">
      <c r="A46" s="47"/>
    </row>
    <row r="47" spans="1:22" x14ac:dyDescent="0.2">
      <c r="A47" s="47"/>
    </row>
    <row r="48" spans="1:22" x14ac:dyDescent="0.2">
      <c r="A48" s="47"/>
    </row>
    <row r="49" spans="1:1" x14ac:dyDescent="0.2">
      <c r="A49" s="47"/>
    </row>
    <row r="50" spans="1:1" x14ac:dyDescent="0.2">
      <c r="A50" s="47"/>
    </row>
    <row r="51" spans="1:1" x14ac:dyDescent="0.2">
      <c r="A51" s="47"/>
    </row>
    <row r="52" spans="1:1" x14ac:dyDescent="0.2">
      <c r="A52" s="47"/>
    </row>
    <row r="53" spans="1:1" x14ac:dyDescent="0.2">
      <c r="A53" s="47"/>
    </row>
    <row r="54" spans="1:1" x14ac:dyDescent="0.2">
      <c r="A54" s="47"/>
    </row>
    <row r="55" spans="1:1" x14ac:dyDescent="0.2">
      <c r="A55" s="47"/>
    </row>
    <row r="56" spans="1:1" x14ac:dyDescent="0.2">
      <c r="A56" s="47"/>
    </row>
    <row r="57" spans="1:1" x14ac:dyDescent="0.2">
      <c r="A57" s="47"/>
    </row>
    <row r="58" spans="1:1" x14ac:dyDescent="0.2">
      <c r="A58" s="47"/>
    </row>
    <row r="59" spans="1:1" x14ac:dyDescent="0.2">
      <c r="A59" s="47"/>
    </row>
    <row r="60" spans="1:1" x14ac:dyDescent="0.2">
      <c r="A60" s="47"/>
    </row>
    <row r="61" spans="1:1" x14ac:dyDescent="0.2">
      <c r="A61" s="47"/>
    </row>
    <row r="62" spans="1:1" x14ac:dyDescent="0.2">
      <c r="A62" s="47"/>
    </row>
    <row r="63" spans="1:1" x14ac:dyDescent="0.2">
      <c r="A63" s="47"/>
    </row>
    <row r="64" spans="1:1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  <row r="69" spans="1:1" x14ac:dyDescent="0.2">
      <c r="A69" s="47"/>
    </row>
    <row r="70" spans="1:1" x14ac:dyDescent="0.2">
      <c r="A70" s="47"/>
    </row>
    <row r="71" spans="1:1" x14ac:dyDescent="0.2">
      <c r="A71" s="47"/>
    </row>
    <row r="72" spans="1:1" x14ac:dyDescent="0.2">
      <c r="A72" s="47"/>
    </row>
    <row r="73" spans="1:1" x14ac:dyDescent="0.2">
      <c r="A73" s="47"/>
    </row>
    <row r="74" spans="1:1" x14ac:dyDescent="0.2">
      <c r="A74" s="47"/>
    </row>
    <row r="75" spans="1:1" x14ac:dyDescent="0.2">
      <c r="A75" s="47"/>
    </row>
    <row r="76" spans="1:1" x14ac:dyDescent="0.2">
      <c r="A76" s="47"/>
    </row>
    <row r="77" spans="1:1" x14ac:dyDescent="0.2">
      <c r="A77" s="47"/>
    </row>
    <row r="78" spans="1:1" x14ac:dyDescent="0.2">
      <c r="A78" s="47"/>
    </row>
    <row r="79" spans="1:1" x14ac:dyDescent="0.2">
      <c r="A79" s="47"/>
    </row>
    <row r="80" spans="1:1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  <row r="103" spans="1:1" x14ac:dyDescent="0.2">
      <c r="A103" s="47"/>
    </row>
    <row r="104" spans="1:1" x14ac:dyDescent="0.2">
      <c r="A104" s="47"/>
    </row>
    <row r="105" spans="1:1" x14ac:dyDescent="0.2">
      <c r="A105" s="47"/>
    </row>
    <row r="106" spans="1:1" x14ac:dyDescent="0.2">
      <c r="A106" s="47"/>
    </row>
    <row r="107" spans="1:1" x14ac:dyDescent="0.2">
      <c r="A107" s="47"/>
    </row>
    <row r="108" spans="1:1" x14ac:dyDescent="0.2">
      <c r="A108" s="47"/>
    </row>
    <row r="109" spans="1:1" x14ac:dyDescent="0.2">
      <c r="A109" s="47"/>
    </row>
    <row r="110" spans="1:1" x14ac:dyDescent="0.2">
      <c r="A110" s="47"/>
    </row>
    <row r="111" spans="1:1" x14ac:dyDescent="0.2">
      <c r="A111" s="47"/>
    </row>
    <row r="112" spans="1:1" x14ac:dyDescent="0.2">
      <c r="A112" s="47"/>
    </row>
    <row r="113" spans="1:1" x14ac:dyDescent="0.2">
      <c r="A113" s="47"/>
    </row>
    <row r="114" spans="1:1" x14ac:dyDescent="0.2">
      <c r="A114" s="47"/>
    </row>
    <row r="115" spans="1:1" x14ac:dyDescent="0.2">
      <c r="A115" s="47"/>
    </row>
    <row r="116" spans="1:1" x14ac:dyDescent="0.2">
      <c r="A116" s="47"/>
    </row>
    <row r="117" spans="1:1" x14ac:dyDescent="0.2">
      <c r="A117" s="47"/>
    </row>
    <row r="118" spans="1:1" x14ac:dyDescent="0.2">
      <c r="A118" s="47"/>
    </row>
    <row r="119" spans="1:1" x14ac:dyDescent="0.2">
      <c r="A119" s="47"/>
    </row>
    <row r="120" spans="1:1" x14ac:dyDescent="0.2">
      <c r="A120" s="47"/>
    </row>
    <row r="121" spans="1:1" x14ac:dyDescent="0.2">
      <c r="A121" s="47"/>
    </row>
    <row r="122" spans="1:1" x14ac:dyDescent="0.2">
      <c r="A122" s="47"/>
    </row>
    <row r="123" spans="1:1" x14ac:dyDescent="0.2">
      <c r="A123" s="47"/>
    </row>
    <row r="124" spans="1:1" x14ac:dyDescent="0.2">
      <c r="A124" s="47"/>
    </row>
    <row r="125" spans="1:1" x14ac:dyDescent="0.2">
      <c r="A125" s="47"/>
    </row>
    <row r="126" spans="1:1" x14ac:dyDescent="0.2">
      <c r="A126" s="47"/>
    </row>
    <row r="127" spans="1:1" x14ac:dyDescent="0.2">
      <c r="A127" s="47"/>
    </row>
    <row r="128" spans="1:1" x14ac:dyDescent="0.2">
      <c r="A128" s="47"/>
    </row>
    <row r="129" spans="1:1" x14ac:dyDescent="0.2">
      <c r="A129" s="47"/>
    </row>
    <row r="130" spans="1:1" x14ac:dyDescent="0.2">
      <c r="A130" s="47"/>
    </row>
    <row r="131" spans="1:1" x14ac:dyDescent="0.2">
      <c r="A131" s="47"/>
    </row>
    <row r="132" spans="1:1" x14ac:dyDescent="0.2">
      <c r="A132" s="47"/>
    </row>
    <row r="133" spans="1:1" x14ac:dyDescent="0.2">
      <c r="A133" s="47"/>
    </row>
    <row r="134" spans="1:1" x14ac:dyDescent="0.2">
      <c r="A134" s="47"/>
    </row>
    <row r="135" spans="1:1" x14ac:dyDescent="0.2">
      <c r="A135" s="47"/>
    </row>
    <row r="136" spans="1:1" x14ac:dyDescent="0.2">
      <c r="A136" s="47"/>
    </row>
    <row r="137" spans="1:1" x14ac:dyDescent="0.2">
      <c r="A137" s="47"/>
    </row>
    <row r="138" spans="1:1" x14ac:dyDescent="0.2">
      <c r="A138" s="47"/>
    </row>
    <row r="139" spans="1:1" x14ac:dyDescent="0.2">
      <c r="A139" s="47"/>
    </row>
    <row r="140" spans="1:1" x14ac:dyDescent="0.2">
      <c r="A140" s="47"/>
    </row>
    <row r="141" spans="1:1" x14ac:dyDescent="0.2">
      <c r="A141" s="47"/>
    </row>
    <row r="142" spans="1:1" x14ac:dyDescent="0.2">
      <c r="A142" s="47"/>
    </row>
    <row r="143" spans="1:1" x14ac:dyDescent="0.2">
      <c r="A143" s="47"/>
    </row>
    <row r="144" spans="1:1" x14ac:dyDescent="0.2">
      <c r="A144" s="47"/>
    </row>
    <row r="145" spans="1:1" x14ac:dyDescent="0.2">
      <c r="A145" s="47"/>
    </row>
    <row r="146" spans="1:1" x14ac:dyDescent="0.2">
      <c r="A146" s="47"/>
    </row>
    <row r="147" spans="1:1" x14ac:dyDescent="0.2">
      <c r="A147" s="47"/>
    </row>
    <row r="148" spans="1:1" x14ac:dyDescent="0.2">
      <c r="A148" s="47"/>
    </row>
    <row r="149" spans="1:1" x14ac:dyDescent="0.2">
      <c r="A149" s="47"/>
    </row>
    <row r="150" spans="1:1" x14ac:dyDescent="0.2">
      <c r="A150" s="47"/>
    </row>
    <row r="151" spans="1:1" x14ac:dyDescent="0.2">
      <c r="A151" s="47"/>
    </row>
    <row r="152" spans="1:1" x14ac:dyDescent="0.2">
      <c r="A152" s="47"/>
    </row>
    <row r="153" spans="1:1" x14ac:dyDescent="0.2">
      <c r="A153" s="47"/>
    </row>
    <row r="154" spans="1:1" x14ac:dyDescent="0.2">
      <c r="A154" s="47"/>
    </row>
    <row r="155" spans="1:1" x14ac:dyDescent="0.2">
      <c r="A155" s="47"/>
    </row>
    <row r="156" spans="1:1" x14ac:dyDescent="0.2">
      <c r="A156" s="47"/>
    </row>
    <row r="157" spans="1:1" x14ac:dyDescent="0.2">
      <c r="A157" s="47"/>
    </row>
    <row r="158" spans="1:1" x14ac:dyDescent="0.2">
      <c r="A158" s="47"/>
    </row>
    <row r="159" spans="1:1" x14ac:dyDescent="0.2">
      <c r="A159" s="47"/>
    </row>
    <row r="160" spans="1:1" x14ac:dyDescent="0.2">
      <c r="A160" s="47"/>
    </row>
    <row r="161" spans="1:1" x14ac:dyDescent="0.2">
      <c r="A161" s="47"/>
    </row>
    <row r="162" spans="1:1" x14ac:dyDescent="0.2">
      <c r="A162" s="47"/>
    </row>
    <row r="163" spans="1:1" x14ac:dyDescent="0.2">
      <c r="A163" s="47"/>
    </row>
    <row r="164" spans="1:1" x14ac:dyDescent="0.2">
      <c r="A164" s="47"/>
    </row>
    <row r="165" spans="1:1" x14ac:dyDescent="0.2">
      <c r="A165" s="47"/>
    </row>
    <row r="166" spans="1:1" x14ac:dyDescent="0.2">
      <c r="A166" s="47"/>
    </row>
    <row r="167" spans="1:1" x14ac:dyDescent="0.2">
      <c r="A167" s="47"/>
    </row>
    <row r="168" spans="1:1" x14ac:dyDescent="0.2">
      <c r="A168" s="47"/>
    </row>
    <row r="169" spans="1:1" x14ac:dyDescent="0.2">
      <c r="A169" s="47"/>
    </row>
    <row r="170" spans="1:1" x14ac:dyDescent="0.2">
      <c r="A170" s="47"/>
    </row>
    <row r="171" spans="1:1" x14ac:dyDescent="0.2">
      <c r="A171" s="47"/>
    </row>
    <row r="172" spans="1:1" x14ac:dyDescent="0.2">
      <c r="A172" s="47"/>
    </row>
    <row r="173" spans="1:1" x14ac:dyDescent="0.2">
      <c r="A173" s="47"/>
    </row>
    <row r="174" spans="1:1" x14ac:dyDescent="0.2">
      <c r="A174" s="47"/>
    </row>
    <row r="175" spans="1:1" x14ac:dyDescent="0.2">
      <c r="A175" s="47"/>
    </row>
    <row r="176" spans="1:1" x14ac:dyDescent="0.2">
      <c r="A176" s="47"/>
    </row>
    <row r="177" spans="1:1" x14ac:dyDescent="0.2">
      <c r="A177" s="47"/>
    </row>
    <row r="178" spans="1:1" x14ac:dyDescent="0.2">
      <c r="A178" s="47"/>
    </row>
    <row r="179" spans="1:1" x14ac:dyDescent="0.2">
      <c r="A179" s="47"/>
    </row>
    <row r="180" spans="1:1" x14ac:dyDescent="0.2">
      <c r="A180" s="47"/>
    </row>
    <row r="181" spans="1:1" x14ac:dyDescent="0.2">
      <c r="A181" s="47"/>
    </row>
    <row r="182" spans="1:1" x14ac:dyDescent="0.2">
      <c r="A182" s="47"/>
    </row>
    <row r="183" spans="1:1" x14ac:dyDescent="0.2">
      <c r="A183" s="47"/>
    </row>
    <row r="184" spans="1:1" x14ac:dyDescent="0.2">
      <c r="A184" s="47"/>
    </row>
    <row r="185" spans="1:1" x14ac:dyDescent="0.2">
      <c r="A185" s="47"/>
    </row>
    <row r="186" spans="1:1" x14ac:dyDescent="0.2">
      <c r="A186" s="47"/>
    </row>
    <row r="187" spans="1:1" x14ac:dyDescent="0.2">
      <c r="A187" s="47"/>
    </row>
    <row r="188" spans="1:1" x14ac:dyDescent="0.2">
      <c r="A188" s="47"/>
    </row>
    <row r="189" spans="1:1" x14ac:dyDescent="0.2">
      <c r="A189" s="47"/>
    </row>
    <row r="190" spans="1:1" x14ac:dyDescent="0.2">
      <c r="A190" s="47"/>
    </row>
    <row r="191" spans="1:1" x14ac:dyDescent="0.2">
      <c r="A191" s="47"/>
    </row>
    <row r="192" spans="1:1" x14ac:dyDescent="0.2">
      <c r="A192" s="47"/>
    </row>
  </sheetData>
  <sheetProtection selectLockedCells="1"/>
  <mergeCells count="3">
    <mergeCell ref="C3:M3"/>
    <mergeCell ref="N3:V3"/>
    <mergeCell ref="B1:V1"/>
  </mergeCells>
  <conditionalFormatting sqref="C6:V34">
    <cfRule type="expression" dxfId="11" priority="3">
      <formula>$V6="Mantener"</formula>
    </cfRule>
    <cfRule type="expression" dxfId="10" priority="4">
      <formula>$V6="Falta poco"</formula>
    </cfRule>
    <cfRule type="expression" dxfId="9" priority="8">
      <formula>OR($M6="Mantenimiento",$M6="Seguro Vencido")</formula>
    </cfRule>
  </conditionalFormatting>
  <conditionalFormatting sqref="T6:T34">
    <cfRule type="cellIs" dxfId="8" priority="2" operator="lessThan">
      <formula>0</formula>
    </cfRule>
  </conditionalFormatting>
  <dataValidations count="3">
    <dataValidation type="list" allowBlank="1" showInputMessage="1" showErrorMessage="1" sqref="G6:G34" xr:uid="{A9FD07AF-6979-4AD5-B9E2-948515FE93A1}">
      <formula1>Lista_Modelos</formula1>
    </dataValidation>
    <dataValidation type="list" allowBlank="1" showInputMessage="1" showErrorMessage="1" sqref="F6:F34" xr:uid="{592B4022-D4CA-4269-89EA-B9FFE5C0530F}">
      <formula1>Lista_Marcas</formula1>
    </dataValidation>
    <dataValidation type="list" allowBlank="1" showInputMessage="1" showErrorMessage="1" sqref="E6:E34" xr:uid="{BB3283CC-34D5-4657-9A0A-CAB7E8D66345}">
      <formula1>Lista_Tipo_Vehiculo</formula1>
    </dataValidation>
  </dataValidations>
  <pageMargins left="0.51181102362204722" right="0.51181102362204722" top="0.74803149606299213" bottom="0.74803149606299213" header="0.31496062992125984" footer="0.31496062992125984"/>
  <pageSetup scale="42" orientation="landscape" r:id="rId1"/>
  <colBreaks count="1" manualBreakCount="1">
    <brk id="22" max="1048575" man="1"/>
  </colBreaks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C286-09DC-42D3-ABE9-414D993FFFA5}">
  <sheetPr codeName="Hoja2">
    <tabColor theme="5"/>
  </sheetPr>
  <dimension ref="A1:BR133"/>
  <sheetViews>
    <sheetView showGridLines="0" showRowColHeaders="0" zoomScale="90" zoomScaleNormal="90" workbookViewId="0">
      <selection activeCell="G11" sqref="G11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6.6640625" customWidth="1"/>
    <col min="4" max="4" width="10.6640625" customWidth="1"/>
    <col min="5" max="5" width="21.6640625" customWidth="1"/>
    <col min="6" max="6" width="13.6640625" customWidth="1"/>
    <col min="7" max="7" width="11.33203125" customWidth="1"/>
    <col min="8" max="8" width="14.83203125" customWidth="1"/>
    <col min="9" max="9" width="11.33203125" customWidth="1"/>
    <col min="10" max="10" width="12.1640625" customWidth="1"/>
    <col min="11" max="11" width="10.5" customWidth="1"/>
  </cols>
  <sheetData>
    <row r="1" spans="1:70" s="3" customFormat="1" ht="37" thickBot="1" x14ac:dyDescent="0.25">
      <c r="A1" s="47"/>
      <c r="B1" s="53"/>
      <c r="C1" s="58" t="s">
        <v>90</v>
      </c>
      <c r="D1" s="59"/>
      <c r="E1" s="59"/>
      <c r="F1" s="53"/>
      <c r="G1" s="53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</row>
    <row r="2" spans="1:70" ht="8" customHeight="1" x14ac:dyDescent="0.2">
      <c r="A2" s="47"/>
    </row>
    <row r="3" spans="1:70" ht="57" x14ac:dyDescent="0.2">
      <c r="A3" s="47"/>
      <c r="C3" s="373" t="s">
        <v>19</v>
      </c>
      <c r="D3" s="373" t="s">
        <v>24</v>
      </c>
      <c r="E3" s="373" t="s">
        <v>12</v>
      </c>
      <c r="F3" s="374" t="s">
        <v>5</v>
      </c>
      <c r="G3" s="373" t="s">
        <v>147</v>
      </c>
      <c r="H3" s="373" t="s">
        <v>148</v>
      </c>
      <c r="I3" s="373" t="s">
        <v>150</v>
      </c>
      <c r="J3" s="373" t="s">
        <v>142</v>
      </c>
      <c r="K3" s="373" t="s">
        <v>6</v>
      </c>
    </row>
    <row r="4" spans="1:70" x14ac:dyDescent="0.2">
      <c r="A4" s="47"/>
      <c r="C4" s="10">
        <f t="shared" ref="C4:C14" si="0">ROW(A1)</f>
        <v>1</v>
      </c>
      <c r="D4" s="35"/>
      <c r="E4" s="34"/>
      <c r="F4" s="35"/>
      <c r="G4" s="37"/>
      <c r="H4" s="37"/>
      <c r="I4" s="40"/>
      <c r="J4" s="37"/>
      <c r="K4" s="10" t="str">
        <f t="shared" ref="K4:K23" ca="1" si="1">IF(H4="","",IF(H4&lt;TODAY(),"Vencido","Vigente"))</f>
        <v/>
      </c>
    </row>
    <row r="5" spans="1:70" x14ac:dyDescent="0.2">
      <c r="A5" s="47"/>
      <c r="C5" s="10">
        <f t="shared" si="0"/>
        <v>2</v>
      </c>
      <c r="D5" s="35"/>
      <c r="E5" s="34"/>
      <c r="F5" s="35"/>
      <c r="G5" s="37"/>
      <c r="H5" s="37"/>
      <c r="I5" s="40"/>
      <c r="J5" s="37"/>
      <c r="K5" s="10" t="str">
        <f t="shared" ca="1" si="1"/>
        <v/>
      </c>
    </row>
    <row r="6" spans="1:70" x14ac:dyDescent="0.2">
      <c r="A6" s="47"/>
      <c r="C6" s="10">
        <f t="shared" si="0"/>
        <v>3</v>
      </c>
      <c r="D6" s="35"/>
      <c r="E6" s="34"/>
      <c r="F6" s="35"/>
      <c r="G6" s="37"/>
      <c r="H6" s="37"/>
      <c r="I6" s="40"/>
      <c r="J6" s="37"/>
      <c r="K6" s="10" t="str">
        <f t="shared" ca="1" si="1"/>
        <v/>
      </c>
    </row>
    <row r="7" spans="1:70" x14ac:dyDescent="0.2">
      <c r="A7" s="47"/>
      <c r="C7" s="10">
        <f t="shared" si="0"/>
        <v>4</v>
      </c>
      <c r="D7" s="35"/>
      <c r="E7" s="34"/>
      <c r="F7" s="35"/>
      <c r="G7" s="37"/>
      <c r="H7" s="37"/>
      <c r="I7" s="40"/>
      <c r="J7" s="37"/>
      <c r="K7" s="10" t="str">
        <f t="shared" ca="1" si="1"/>
        <v/>
      </c>
    </row>
    <row r="8" spans="1:70" x14ac:dyDescent="0.2">
      <c r="A8" s="47"/>
      <c r="C8" s="10">
        <f t="shared" si="0"/>
        <v>5</v>
      </c>
      <c r="D8" s="35"/>
      <c r="E8" s="34"/>
      <c r="F8" s="35"/>
      <c r="G8" s="37"/>
      <c r="H8" s="37"/>
      <c r="I8" s="40"/>
      <c r="J8" s="37"/>
      <c r="K8" s="10" t="str">
        <f t="shared" ca="1" si="1"/>
        <v/>
      </c>
    </row>
    <row r="9" spans="1:70" x14ac:dyDescent="0.2">
      <c r="A9" s="47"/>
      <c r="C9" s="10">
        <f t="shared" si="0"/>
        <v>6</v>
      </c>
      <c r="D9" s="35"/>
      <c r="E9" s="34"/>
      <c r="F9" s="35"/>
      <c r="G9" s="37"/>
      <c r="H9" s="37"/>
      <c r="I9" s="40"/>
      <c r="J9" s="37"/>
      <c r="K9" s="10" t="str">
        <f t="shared" ca="1" si="1"/>
        <v/>
      </c>
    </row>
    <row r="10" spans="1:70" x14ac:dyDescent="0.2">
      <c r="A10" s="47"/>
      <c r="C10" s="10">
        <f t="shared" si="0"/>
        <v>7</v>
      </c>
      <c r="D10" s="35"/>
      <c r="E10" s="34"/>
      <c r="F10" s="35"/>
      <c r="G10" s="37"/>
      <c r="H10" s="37"/>
      <c r="I10" s="40"/>
      <c r="J10" s="37"/>
      <c r="K10" s="10" t="str">
        <f t="shared" ca="1" si="1"/>
        <v/>
      </c>
    </row>
    <row r="11" spans="1:70" x14ac:dyDescent="0.2">
      <c r="A11" s="47"/>
      <c r="C11" s="10">
        <f t="shared" si="0"/>
        <v>8</v>
      </c>
      <c r="D11" s="35"/>
      <c r="E11" s="34"/>
      <c r="F11" s="35"/>
      <c r="G11" s="37"/>
      <c r="H11" s="37"/>
      <c r="I11" s="40"/>
      <c r="J11" s="37"/>
      <c r="K11" s="10" t="str">
        <f t="shared" ca="1" si="1"/>
        <v/>
      </c>
    </row>
    <row r="12" spans="1:70" x14ac:dyDescent="0.2">
      <c r="A12" s="47"/>
      <c r="C12" s="10">
        <f t="shared" si="0"/>
        <v>9</v>
      </c>
      <c r="D12" s="35"/>
      <c r="E12" s="34"/>
      <c r="F12" s="35"/>
      <c r="G12" s="37"/>
      <c r="H12" s="37"/>
      <c r="I12" s="40"/>
      <c r="J12" s="37"/>
      <c r="K12" s="10" t="str">
        <f t="shared" ca="1" si="1"/>
        <v/>
      </c>
    </row>
    <row r="13" spans="1:70" x14ac:dyDescent="0.2">
      <c r="A13" s="47"/>
      <c r="C13" s="10">
        <f t="shared" si="0"/>
        <v>10</v>
      </c>
      <c r="D13" s="35"/>
      <c r="E13" s="34"/>
      <c r="F13" s="35"/>
      <c r="G13" s="37"/>
      <c r="H13" s="37"/>
      <c r="I13" s="40"/>
      <c r="J13" s="37"/>
      <c r="K13" s="10" t="str">
        <f t="shared" ca="1" si="1"/>
        <v/>
      </c>
    </row>
    <row r="14" spans="1:70" x14ac:dyDescent="0.2">
      <c r="A14" s="47"/>
      <c r="C14" s="10">
        <f t="shared" si="0"/>
        <v>11</v>
      </c>
      <c r="D14" s="35"/>
      <c r="E14" s="34"/>
      <c r="F14" s="35"/>
      <c r="G14" s="37"/>
      <c r="H14" s="37"/>
      <c r="I14" s="40"/>
      <c r="J14" s="37"/>
      <c r="K14" s="10" t="str">
        <f t="shared" ca="1" si="1"/>
        <v/>
      </c>
    </row>
    <row r="15" spans="1:70" x14ac:dyDescent="0.2">
      <c r="A15" s="47"/>
      <c r="C15" s="10">
        <f t="shared" ref="C15:C23" si="2">ROW(A12)</f>
        <v>12</v>
      </c>
      <c r="D15" s="35"/>
      <c r="E15" s="34"/>
      <c r="F15" s="35"/>
      <c r="G15" s="37"/>
      <c r="H15" s="37"/>
      <c r="I15" s="40"/>
      <c r="J15" s="37"/>
      <c r="K15" s="10" t="str">
        <f t="shared" ca="1" si="1"/>
        <v/>
      </c>
    </row>
    <row r="16" spans="1:70" x14ac:dyDescent="0.2">
      <c r="A16" s="47"/>
      <c r="C16" s="10">
        <f t="shared" si="2"/>
        <v>13</v>
      </c>
      <c r="D16" s="35"/>
      <c r="E16" s="34"/>
      <c r="F16" s="35"/>
      <c r="G16" s="37"/>
      <c r="H16" s="37"/>
      <c r="I16" s="40"/>
      <c r="J16" s="37"/>
      <c r="K16" s="10" t="str">
        <f t="shared" ca="1" si="1"/>
        <v/>
      </c>
    </row>
    <row r="17" spans="1:11" x14ac:dyDescent="0.2">
      <c r="A17" s="47"/>
      <c r="C17" s="10">
        <f t="shared" si="2"/>
        <v>14</v>
      </c>
      <c r="D17" s="35"/>
      <c r="E17" s="34"/>
      <c r="F17" s="35"/>
      <c r="G17" s="37"/>
      <c r="H17" s="37"/>
      <c r="I17" s="40"/>
      <c r="J17" s="37"/>
      <c r="K17" s="10" t="str">
        <f t="shared" ca="1" si="1"/>
        <v/>
      </c>
    </row>
    <row r="18" spans="1:11" x14ac:dyDescent="0.2">
      <c r="A18" s="47"/>
      <c r="C18" s="10">
        <f t="shared" si="2"/>
        <v>15</v>
      </c>
      <c r="D18" s="35"/>
      <c r="E18" s="34"/>
      <c r="F18" s="35"/>
      <c r="G18" s="37"/>
      <c r="H18" s="37"/>
      <c r="I18" s="40"/>
      <c r="J18" s="37"/>
      <c r="K18" s="10" t="str">
        <f t="shared" ca="1" si="1"/>
        <v/>
      </c>
    </row>
    <row r="19" spans="1:11" x14ac:dyDescent="0.2">
      <c r="A19" s="47"/>
      <c r="C19" s="10">
        <f t="shared" si="2"/>
        <v>16</v>
      </c>
      <c r="D19" s="35"/>
      <c r="E19" s="34"/>
      <c r="F19" s="35"/>
      <c r="G19" s="37"/>
      <c r="H19" s="37"/>
      <c r="I19" s="40"/>
      <c r="J19" s="37"/>
      <c r="K19" s="10" t="str">
        <f t="shared" ca="1" si="1"/>
        <v/>
      </c>
    </row>
    <row r="20" spans="1:11" x14ac:dyDescent="0.2">
      <c r="A20" s="47"/>
      <c r="C20" s="10">
        <f t="shared" si="2"/>
        <v>17</v>
      </c>
      <c r="D20" s="35"/>
      <c r="E20" s="34"/>
      <c r="F20" s="35"/>
      <c r="G20" s="37"/>
      <c r="H20" s="37"/>
      <c r="I20" s="40"/>
      <c r="J20" s="37"/>
      <c r="K20" s="10" t="str">
        <f t="shared" ca="1" si="1"/>
        <v/>
      </c>
    </row>
    <row r="21" spans="1:11" x14ac:dyDescent="0.2">
      <c r="A21" s="47"/>
      <c r="C21" s="10">
        <f t="shared" si="2"/>
        <v>18</v>
      </c>
      <c r="D21" s="35"/>
      <c r="E21" s="34"/>
      <c r="F21" s="35"/>
      <c r="G21" s="37"/>
      <c r="H21" s="37"/>
      <c r="I21" s="40"/>
      <c r="J21" s="37"/>
      <c r="K21" s="10" t="str">
        <f t="shared" ca="1" si="1"/>
        <v/>
      </c>
    </row>
    <row r="22" spans="1:11" x14ac:dyDescent="0.2">
      <c r="A22" s="47"/>
      <c r="C22" s="10">
        <f t="shared" si="2"/>
        <v>19</v>
      </c>
      <c r="D22" s="35"/>
      <c r="E22" s="34"/>
      <c r="F22" s="35"/>
      <c r="G22" s="37"/>
      <c r="H22" s="37"/>
      <c r="I22" s="40"/>
      <c r="J22" s="37"/>
      <c r="K22" s="10" t="str">
        <f t="shared" ca="1" si="1"/>
        <v/>
      </c>
    </row>
    <row r="23" spans="1:11" x14ac:dyDescent="0.2">
      <c r="A23" s="47"/>
      <c r="C23" s="10">
        <f t="shared" si="2"/>
        <v>20</v>
      </c>
      <c r="D23" s="35"/>
      <c r="E23" s="34"/>
      <c r="F23" s="35"/>
      <c r="G23" s="37"/>
      <c r="H23" s="37"/>
      <c r="I23" s="40"/>
      <c r="J23" s="37"/>
      <c r="K23" s="10" t="str">
        <f t="shared" ca="1" si="1"/>
        <v/>
      </c>
    </row>
    <row r="24" spans="1:11" x14ac:dyDescent="0.2">
      <c r="A24" s="47"/>
    </row>
    <row r="25" spans="1:11" x14ac:dyDescent="0.2">
      <c r="A25" s="47"/>
    </row>
    <row r="26" spans="1:11" x14ac:dyDescent="0.2">
      <c r="A26" s="47"/>
    </row>
    <row r="27" spans="1:11" x14ac:dyDescent="0.2">
      <c r="A27" s="47"/>
    </row>
    <row r="28" spans="1:11" x14ac:dyDescent="0.2">
      <c r="A28" s="47"/>
    </row>
    <row r="29" spans="1:11" x14ac:dyDescent="0.2">
      <c r="A29" s="47"/>
    </row>
    <row r="30" spans="1:11" x14ac:dyDescent="0.2">
      <c r="A30" s="47"/>
    </row>
    <row r="31" spans="1:11" x14ac:dyDescent="0.2">
      <c r="A31" s="47"/>
    </row>
    <row r="32" spans="1:11" x14ac:dyDescent="0.2">
      <c r="A32" s="47"/>
    </row>
    <row r="33" spans="1:1" x14ac:dyDescent="0.2">
      <c r="A33" s="47"/>
    </row>
    <row r="34" spans="1:1" x14ac:dyDescent="0.2">
      <c r="A34" s="47"/>
    </row>
    <row r="35" spans="1:1" x14ac:dyDescent="0.2">
      <c r="A35" s="47"/>
    </row>
    <row r="36" spans="1:1" x14ac:dyDescent="0.2">
      <c r="A36" s="47"/>
    </row>
    <row r="37" spans="1:1" x14ac:dyDescent="0.2">
      <c r="A37" s="47"/>
    </row>
    <row r="38" spans="1:1" x14ac:dyDescent="0.2">
      <c r="A38" s="47"/>
    </row>
    <row r="39" spans="1:1" x14ac:dyDescent="0.2">
      <c r="A39" s="47"/>
    </row>
    <row r="40" spans="1:1" x14ac:dyDescent="0.2">
      <c r="A40" s="47"/>
    </row>
    <row r="41" spans="1:1" x14ac:dyDescent="0.2">
      <c r="A41" s="47"/>
    </row>
    <row r="42" spans="1:1" x14ac:dyDescent="0.2">
      <c r="A42" s="47"/>
    </row>
    <row r="43" spans="1:1" x14ac:dyDescent="0.2">
      <c r="A43" s="47"/>
    </row>
    <row r="44" spans="1:1" x14ac:dyDescent="0.2">
      <c r="A44" s="47"/>
    </row>
    <row r="45" spans="1:1" x14ac:dyDescent="0.2">
      <c r="A45" s="47"/>
    </row>
    <row r="46" spans="1:1" x14ac:dyDescent="0.2">
      <c r="A46" s="47"/>
    </row>
    <row r="47" spans="1:1" x14ac:dyDescent="0.2">
      <c r="A47" s="47"/>
    </row>
    <row r="48" spans="1:1" x14ac:dyDescent="0.2">
      <c r="A48" s="47"/>
    </row>
    <row r="49" spans="1:1" x14ac:dyDescent="0.2">
      <c r="A49" s="47"/>
    </row>
    <row r="50" spans="1:1" x14ac:dyDescent="0.2">
      <c r="A50" s="47"/>
    </row>
    <row r="51" spans="1:1" x14ac:dyDescent="0.2">
      <c r="A51" s="47"/>
    </row>
    <row r="52" spans="1:1" x14ac:dyDescent="0.2">
      <c r="A52" s="47"/>
    </row>
    <row r="53" spans="1:1" x14ac:dyDescent="0.2">
      <c r="A53" s="47"/>
    </row>
    <row r="54" spans="1:1" x14ac:dyDescent="0.2">
      <c r="A54" s="47"/>
    </row>
    <row r="55" spans="1:1" x14ac:dyDescent="0.2">
      <c r="A55" s="47"/>
    </row>
    <row r="56" spans="1:1" x14ac:dyDescent="0.2">
      <c r="A56" s="47"/>
    </row>
    <row r="57" spans="1:1" x14ac:dyDescent="0.2">
      <c r="A57" s="47"/>
    </row>
    <row r="58" spans="1:1" x14ac:dyDescent="0.2">
      <c r="A58" s="47"/>
    </row>
    <row r="59" spans="1:1" x14ac:dyDescent="0.2">
      <c r="A59" s="47"/>
    </row>
    <row r="60" spans="1:1" x14ac:dyDescent="0.2">
      <c r="A60" s="47"/>
    </row>
    <row r="61" spans="1:1" x14ac:dyDescent="0.2">
      <c r="A61" s="47"/>
    </row>
    <row r="62" spans="1:1" x14ac:dyDescent="0.2">
      <c r="A62" s="47"/>
    </row>
    <row r="63" spans="1:1" x14ac:dyDescent="0.2">
      <c r="A63" s="47"/>
    </row>
    <row r="64" spans="1:1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  <row r="69" spans="1:1" x14ac:dyDescent="0.2">
      <c r="A69" s="47"/>
    </row>
    <row r="70" spans="1:1" x14ac:dyDescent="0.2">
      <c r="A70" s="47"/>
    </row>
    <row r="71" spans="1:1" x14ac:dyDescent="0.2">
      <c r="A71" s="47"/>
    </row>
    <row r="72" spans="1:1" x14ac:dyDescent="0.2">
      <c r="A72" s="47"/>
    </row>
    <row r="73" spans="1:1" x14ac:dyDescent="0.2">
      <c r="A73" s="47"/>
    </row>
    <row r="74" spans="1:1" x14ac:dyDescent="0.2">
      <c r="A74" s="47"/>
    </row>
    <row r="75" spans="1:1" x14ac:dyDescent="0.2">
      <c r="A75" s="47"/>
    </row>
    <row r="76" spans="1:1" x14ac:dyDescent="0.2">
      <c r="A76" s="47"/>
    </row>
    <row r="77" spans="1:1" x14ac:dyDescent="0.2">
      <c r="A77" s="47"/>
    </row>
    <row r="78" spans="1:1" x14ac:dyDescent="0.2">
      <c r="A78" s="47"/>
    </row>
    <row r="79" spans="1:1" x14ac:dyDescent="0.2">
      <c r="A79" s="47"/>
    </row>
    <row r="80" spans="1:1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  <row r="103" spans="1:1" x14ac:dyDescent="0.2">
      <c r="A103" s="47"/>
    </row>
    <row r="104" spans="1:1" x14ac:dyDescent="0.2">
      <c r="A104" s="47"/>
    </row>
    <row r="105" spans="1:1" x14ac:dyDescent="0.2">
      <c r="A105" s="47"/>
    </row>
    <row r="106" spans="1:1" x14ac:dyDescent="0.2">
      <c r="A106" s="47"/>
    </row>
    <row r="107" spans="1:1" x14ac:dyDescent="0.2">
      <c r="A107" s="47"/>
    </row>
    <row r="108" spans="1:1" x14ac:dyDescent="0.2">
      <c r="A108" s="47"/>
    </row>
    <row r="109" spans="1:1" x14ac:dyDescent="0.2">
      <c r="A109" s="47"/>
    </row>
    <row r="110" spans="1:1" x14ac:dyDescent="0.2">
      <c r="A110" s="47"/>
    </row>
    <row r="111" spans="1:1" x14ac:dyDescent="0.2">
      <c r="A111" s="47"/>
    </row>
    <row r="112" spans="1:1" x14ac:dyDescent="0.2">
      <c r="A112" s="47"/>
    </row>
    <row r="113" spans="1:1" x14ac:dyDescent="0.2">
      <c r="A113" s="47"/>
    </row>
    <row r="114" spans="1:1" x14ac:dyDescent="0.2">
      <c r="A114" s="47"/>
    </row>
    <row r="115" spans="1:1" x14ac:dyDescent="0.2">
      <c r="A115" s="47"/>
    </row>
    <row r="116" spans="1:1" x14ac:dyDescent="0.2">
      <c r="A116" s="47"/>
    </row>
    <row r="117" spans="1:1" x14ac:dyDescent="0.2">
      <c r="A117" s="47"/>
    </row>
    <row r="118" spans="1:1" x14ac:dyDescent="0.2">
      <c r="A118" s="47"/>
    </row>
    <row r="119" spans="1:1" x14ac:dyDescent="0.2">
      <c r="A119" s="47"/>
    </row>
    <row r="120" spans="1:1" x14ac:dyDescent="0.2">
      <c r="A120" s="47"/>
    </row>
    <row r="121" spans="1:1" x14ac:dyDescent="0.2">
      <c r="A121" s="47"/>
    </row>
    <row r="122" spans="1:1" x14ac:dyDescent="0.2">
      <c r="A122" s="47"/>
    </row>
    <row r="123" spans="1:1" x14ac:dyDescent="0.2">
      <c r="A123" s="47"/>
    </row>
    <row r="124" spans="1:1" x14ac:dyDescent="0.2">
      <c r="A124" s="47"/>
    </row>
    <row r="125" spans="1:1" x14ac:dyDescent="0.2">
      <c r="A125" s="47"/>
    </row>
    <row r="126" spans="1:1" x14ac:dyDescent="0.2">
      <c r="A126" s="47"/>
    </row>
    <row r="127" spans="1:1" x14ac:dyDescent="0.2">
      <c r="A127" s="47"/>
    </row>
    <row r="128" spans="1:1" x14ac:dyDescent="0.2">
      <c r="A128" s="47"/>
    </row>
    <row r="129" spans="1:1" x14ac:dyDescent="0.2">
      <c r="A129" s="47"/>
    </row>
    <row r="130" spans="1:1" x14ac:dyDescent="0.2">
      <c r="A130" s="47"/>
    </row>
    <row r="131" spans="1:1" x14ac:dyDescent="0.2">
      <c r="A131" s="47"/>
    </row>
    <row r="132" spans="1:1" x14ac:dyDescent="0.2">
      <c r="A132" s="47"/>
    </row>
    <row r="133" spans="1:1" x14ac:dyDescent="0.2">
      <c r="A133" s="47"/>
    </row>
  </sheetData>
  <sheetProtection selectLockedCells="1"/>
  <phoneticPr fontId="4" type="noConversion"/>
  <conditionalFormatting sqref="C4:K23">
    <cfRule type="expression" dxfId="7" priority="1">
      <formula>$K4="Vencido"</formula>
    </cfRule>
  </conditionalFormatting>
  <dataValidations count="1">
    <dataValidation type="list" allowBlank="1" showInputMessage="1" showErrorMessage="1" sqref="D4:D23" xr:uid="{5BB24609-74AC-4FDF-95EB-71E073E2D428}">
      <formula1>Lista_Placas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DC45-3AAF-4DEE-97B2-1BCB4D38EA6F}">
  <sheetPr codeName="Hoja3">
    <tabColor theme="5"/>
  </sheetPr>
  <dimension ref="A1:H156"/>
  <sheetViews>
    <sheetView showGridLines="0" showRowColHeaders="0" zoomScale="90" zoomScaleNormal="90" workbookViewId="0">
      <selection activeCell="E5" sqref="E5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6.6640625" customWidth="1"/>
    <col min="4" max="4" width="9.6640625" customWidth="1"/>
    <col min="5" max="5" width="15" customWidth="1"/>
    <col min="6" max="6" width="10.6640625" customWidth="1"/>
    <col min="7" max="7" width="9.33203125" customWidth="1"/>
  </cols>
  <sheetData>
    <row r="1" spans="1:8" s="3" customFormat="1" ht="37" thickBot="1" x14ac:dyDescent="0.25">
      <c r="A1" s="47"/>
      <c r="B1" s="48"/>
      <c r="C1" s="49" t="s">
        <v>91</v>
      </c>
      <c r="D1" s="50"/>
      <c r="E1" s="50"/>
      <c r="F1" s="48"/>
      <c r="G1" s="48"/>
      <c r="H1" s="48"/>
    </row>
    <row r="2" spans="1:8" ht="8" customHeight="1" x14ac:dyDescent="0.2">
      <c r="A2" s="47"/>
    </row>
    <row r="3" spans="1:8" ht="32" x14ac:dyDescent="0.2">
      <c r="A3" s="47"/>
      <c r="C3" s="1" t="s">
        <v>19</v>
      </c>
      <c r="D3" s="1" t="s">
        <v>24</v>
      </c>
      <c r="E3" s="1" t="s">
        <v>26</v>
      </c>
      <c r="F3" s="1" t="s">
        <v>25</v>
      </c>
      <c r="G3" s="1" t="s">
        <v>149</v>
      </c>
      <c r="H3" s="1" t="s">
        <v>146</v>
      </c>
    </row>
    <row r="4" spans="1:8" x14ac:dyDescent="0.2">
      <c r="A4" s="47"/>
      <c r="C4" s="10">
        <f t="shared" ref="C4:C23" si="0">ROW(A1)</f>
        <v>1</v>
      </c>
      <c r="D4" s="35"/>
      <c r="E4" s="34"/>
      <c r="F4" s="35"/>
      <c r="G4" s="36"/>
      <c r="H4" s="37"/>
    </row>
    <row r="5" spans="1:8" x14ac:dyDescent="0.2">
      <c r="A5" s="47"/>
      <c r="C5" s="10">
        <f t="shared" si="0"/>
        <v>2</v>
      </c>
      <c r="D5" s="35"/>
      <c r="E5" s="34"/>
      <c r="F5" s="35"/>
      <c r="G5" s="36"/>
      <c r="H5" s="37"/>
    </row>
    <row r="6" spans="1:8" x14ac:dyDescent="0.2">
      <c r="A6" s="47"/>
      <c r="C6" s="10">
        <f t="shared" si="0"/>
        <v>3</v>
      </c>
      <c r="D6" s="35"/>
      <c r="E6" s="34"/>
      <c r="F6" s="35"/>
      <c r="G6" s="36"/>
      <c r="H6" s="37"/>
    </row>
    <row r="7" spans="1:8" x14ac:dyDescent="0.2">
      <c r="A7" s="47"/>
      <c r="C7" s="10">
        <f t="shared" si="0"/>
        <v>4</v>
      </c>
      <c r="D7" s="35"/>
      <c r="E7" s="34"/>
      <c r="F7" s="35"/>
      <c r="G7" s="36"/>
      <c r="H7" s="37"/>
    </row>
    <row r="8" spans="1:8" x14ac:dyDescent="0.2">
      <c r="A8" s="47"/>
      <c r="C8" s="10">
        <f t="shared" si="0"/>
        <v>5</v>
      </c>
      <c r="D8" s="35"/>
      <c r="E8" s="34"/>
      <c r="F8" s="35"/>
      <c r="G8" s="36"/>
      <c r="H8" s="37"/>
    </row>
    <row r="9" spans="1:8" x14ac:dyDescent="0.2">
      <c r="A9" s="47"/>
      <c r="C9" s="10">
        <f t="shared" si="0"/>
        <v>6</v>
      </c>
      <c r="D9" s="35"/>
      <c r="E9" s="34"/>
      <c r="F9" s="35"/>
      <c r="G9" s="36"/>
      <c r="H9" s="37"/>
    </row>
    <row r="10" spans="1:8" x14ac:dyDescent="0.2">
      <c r="A10" s="47"/>
      <c r="C10" s="10">
        <f t="shared" si="0"/>
        <v>7</v>
      </c>
      <c r="D10" s="35"/>
      <c r="E10" s="34"/>
      <c r="F10" s="35"/>
      <c r="G10" s="36"/>
      <c r="H10" s="37"/>
    </row>
    <row r="11" spans="1:8" x14ac:dyDescent="0.2">
      <c r="A11" s="47"/>
      <c r="C11" s="10">
        <f t="shared" si="0"/>
        <v>8</v>
      </c>
      <c r="D11" s="35"/>
      <c r="E11" s="34"/>
      <c r="F11" s="35"/>
      <c r="G11" s="36"/>
      <c r="H11" s="37"/>
    </row>
    <row r="12" spans="1:8" x14ac:dyDescent="0.2">
      <c r="A12" s="47"/>
      <c r="C12" s="10">
        <f t="shared" si="0"/>
        <v>9</v>
      </c>
      <c r="D12" s="35"/>
      <c r="E12" s="34"/>
      <c r="F12" s="35"/>
      <c r="G12" s="36"/>
      <c r="H12" s="37"/>
    </row>
    <row r="13" spans="1:8" x14ac:dyDescent="0.2">
      <c r="A13" s="47"/>
      <c r="C13" s="10">
        <f t="shared" si="0"/>
        <v>10</v>
      </c>
      <c r="D13" s="35"/>
      <c r="E13" s="34"/>
      <c r="F13" s="35"/>
      <c r="G13" s="36"/>
      <c r="H13" s="37"/>
    </row>
    <row r="14" spans="1:8" x14ac:dyDescent="0.2">
      <c r="A14" s="47"/>
      <c r="C14" s="10">
        <f t="shared" si="0"/>
        <v>11</v>
      </c>
      <c r="D14" s="35"/>
      <c r="E14" s="34"/>
      <c r="F14" s="35"/>
      <c r="G14" s="36"/>
      <c r="H14" s="37"/>
    </row>
    <row r="15" spans="1:8" x14ac:dyDescent="0.2">
      <c r="A15" s="47"/>
      <c r="C15" s="10">
        <f t="shared" si="0"/>
        <v>12</v>
      </c>
      <c r="D15" s="35"/>
      <c r="E15" s="34"/>
      <c r="F15" s="35"/>
      <c r="G15" s="36"/>
      <c r="H15" s="37"/>
    </row>
    <row r="16" spans="1:8" x14ac:dyDescent="0.2">
      <c r="A16" s="47"/>
      <c r="C16" s="10">
        <f t="shared" si="0"/>
        <v>13</v>
      </c>
      <c r="D16" s="35"/>
      <c r="E16" s="34"/>
      <c r="F16" s="35"/>
      <c r="G16" s="36"/>
      <c r="H16" s="37"/>
    </row>
    <row r="17" spans="1:8" x14ac:dyDescent="0.2">
      <c r="A17" s="47"/>
      <c r="C17" s="10">
        <f t="shared" si="0"/>
        <v>14</v>
      </c>
      <c r="D17" s="35"/>
      <c r="E17" s="34"/>
      <c r="F17" s="35"/>
      <c r="G17" s="36"/>
      <c r="H17" s="37"/>
    </row>
    <row r="18" spans="1:8" x14ac:dyDescent="0.2">
      <c r="A18" s="47"/>
      <c r="C18" s="10">
        <f t="shared" si="0"/>
        <v>15</v>
      </c>
      <c r="D18" s="35"/>
      <c r="E18" s="34"/>
      <c r="F18" s="35"/>
      <c r="G18" s="36"/>
      <c r="H18" s="37"/>
    </row>
    <row r="19" spans="1:8" x14ac:dyDescent="0.2">
      <c r="A19" s="47"/>
      <c r="C19" s="10">
        <f t="shared" si="0"/>
        <v>16</v>
      </c>
      <c r="D19" s="35"/>
      <c r="E19" s="34"/>
      <c r="F19" s="35"/>
      <c r="G19" s="36"/>
      <c r="H19" s="37"/>
    </row>
    <row r="20" spans="1:8" x14ac:dyDescent="0.2">
      <c r="A20" s="47"/>
      <c r="C20" s="10">
        <f t="shared" si="0"/>
        <v>17</v>
      </c>
      <c r="D20" s="35"/>
      <c r="E20" s="34"/>
      <c r="F20" s="35"/>
      <c r="G20" s="36"/>
      <c r="H20" s="37"/>
    </row>
    <row r="21" spans="1:8" x14ac:dyDescent="0.2">
      <c r="A21" s="47"/>
      <c r="C21" s="10">
        <f t="shared" si="0"/>
        <v>18</v>
      </c>
      <c r="D21" s="35"/>
      <c r="E21" s="34"/>
      <c r="F21" s="35"/>
      <c r="G21" s="36"/>
      <c r="H21" s="37"/>
    </row>
    <row r="22" spans="1:8" x14ac:dyDescent="0.2">
      <c r="A22" s="47"/>
      <c r="C22" s="10">
        <f t="shared" si="0"/>
        <v>19</v>
      </c>
      <c r="D22" s="35"/>
      <c r="E22" s="34"/>
      <c r="F22" s="35"/>
      <c r="G22" s="36"/>
      <c r="H22" s="37"/>
    </row>
    <row r="23" spans="1:8" x14ac:dyDescent="0.2">
      <c r="A23" s="47"/>
      <c r="C23" s="10">
        <f t="shared" si="0"/>
        <v>20</v>
      </c>
      <c r="D23" s="35"/>
      <c r="E23" s="34"/>
      <c r="F23" s="35"/>
      <c r="G23" s="36"/>
      <c r="H23" s="37"/>
    </row>
    <row r="24" spans="1:8" x14ac:dyDescent="0.2">
      <c r="A24" s="47"/>
    </row>
    <row r="25" spans="1:8" x14ac:dyDescent="0.2">
      <c r="A25" s="47"/>
    </row>
    <row r="26" spans="1:8" x14ac:dyDescent="0.2">
      <c r="A26" s="47"/>
    </row>
    <row r="27" spans="1:8" x14ac:dyDescent="0.2">
      <c r="A27" s="47"/>
    </row>
    <row r="28" spans="1:8" x14ac:dyDescent="0.2">
      <c r="A28" s="47"/>
    </row>
    <row r="29" spans="1:8" x14ac:dyDescent="0.2">
      <c r="A29" s="47"/>
    </row>
    <row r="30" spans="1:8" x14ac:dyDescent="0.2">
      <c r="A30" s="47"/>
    </row>
    <row r="31" spans="1:8" x14ac:dyDescent="0.2">
      <c r="A31" s="47"/>
    </row>
    <row r="32" spans="1:8" x14ac:dyDescent="0.2">
      <c r="A32" s="47"/>
    </row>
    <row r="33" spans="1:1" x14ac:dyDescent="0.2">
      <c r="A33" s="47"/>
    </row>
    <row r="34" spans="1:1" x14ac:dyDescent="0.2">
      <c r="A34" s="47"/>
    </row>
    <row r="35" spans="1:1" x14ac:dyDescent="0.2">
      <c r="A35" s="47"/>
    </row>
    <row r="36" spans="1:1" x14ac:dyDescent="0.2">
      <c r="A36" s="47"/>
    </row>
    <row r="37" spans="1:1" x14ac:dyDescent="0.2">
      <c r="A37" s="47"/>
    </row>
    <row r="38" spans="1:1" x14ac:dyDescent="0.2">
      <c r="A38" s="47"/>
    </row>
    <row r="39" spans="1:1" x14ac:dyDescent="0.2">
      <c r="A39" s="47"/>
    </row>
    <row r="40" spans="1:1" x14ac:dyDescent="0.2">
      <c r="A40" s="47"/>
    </row>
    <row r="41" spans="1:1" x14ac:dyDescent="0.2">
      <c r="A41" s="47"/>
    </row>
    <row r="42" spans="1:1" x14ac:dyDescent="0.2">
      <c r="A42" s="47"/>
    </row>
    <row r="43" spans="1:1" x14ac:dyDescent="0.2">
      <c r="A43" s="47"/>
    </row>
    <row r="44" spans="1:1" x14ac:dyDescent="0.2">
      <c r="A44" s="47"/>
    </row>
    <row r="45" spans="1:1" x14ac:dyDescent="0.2">
      <c r="A45" s="47"/>
    </row>
    <row r="46" spans="1:1" x14ac:dyDescent="0.2">
      <c r="A46" s="47"/>
    </row>
    <row r="47" spans="1:1" x14ac:dyDescent="0.2">
      <c r="A47" s="47"/>
    </row>
    <row r="48" spans="1:1" x14ac:dyDescent="0.2">
      <c r="A48" s="47"/>
    </row>
    <row r="49" spans="1:1" x14ac:dyDescent="0.2">
      <c r="A49" s="47"/>
    </row>
    <row r="50" spans="1:1" x14ac:dyDescent="0.2">
      <c r="A50" s="47"/>
    </row>
    <row r="51" spans="1:1" x14ac:dyDescent="0.2">
      <c r="A51" s="47"/>
    </row>
    <row r="52" spans="1:1" x14ac:dyDescent="0.2">
      <c r="A52" s="47"/>
    </row>
    <row r="53" spans="1:1" x14ac:dyDescent="0.2">
      <c r="A53" s="47"/>
    </row>
    <row r="54" spans="1:1" x14ac:dyDescent="0.2">
      <c r="A54" s="47"/>
    </row>
    <row r="55" spans="1:1" x14ac:dyDescent="0.2">
      <c r="A55" s="47"/>
    </row>
    <row r="56" spans="1:1" x14ac:dyDescent="0.2">
      <c r="A56" s="47"/>
    </row>
    <row r="57" spans="1:1" x14ac:dyDescent="0.2">
      <c r="A57" s="47"/>
    </row>
    <row r="58" spans="1:1" x14ac:dyDescent="0.2">
      <c r="A58" s="47"/>
    </row>
    <row r="59" spans="1:1" x14ac:dyDescent="0.2">
      <c r="A59" s="47"/>
    </row>
    <row r="60" spans="1:1" x14ac:dyDescent="0.2">
      <c r="A60" s="47"/>
    </row>
    <row r="61" spans="1:1" x14ac:dyDescent="0.2">
      <c r="A61" s="47"/>
    </row>
    <row r="62" spans="1:1" x14ac:dyDescent="0.2">
      <c r="A62" s="47"/>
    </row>
    <row r="63" spans="1:1" x14ac:dyDescent="0.2">
      <c r="A63" s="47"/>
    </row>
    <row r="64" spans="1:1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  <row r="69" spans="1:1" x14ac:dyDescent="0.2">
      <c r="A69" s="47"/>
    </row>
    <row r="70" spans="1:1" x14ac:dyDescent="0.2">
      <c r="A70" s="47"/>
    </row>
    <row r="71" spans="1:1" x14ac:dyDescent="0.2">
      <c r="A71" s="47"/>
    </row>
    <row r="72" spans="1:1" x14ac:dyDescent="0.2">
      <c r="A72" s="47"/>
    </row>
    <row r="73" spans="1:1" x14ac:dyDescent="0.2">
      <c r="A73" s="47"/>
    </row>
    <row r="74" spans="1:1" x14ac:dyDescent="0.2">
      <c r="A74" s="47"/>
    </row>
    <row r="75" spans="1:1" x14ac:dyDescent="0.2">
      <c r="A75" s="47"/>
    </row>
    <row r="76" spans="1:1" x14ac:dyDescent="0.2">
      <c r="A76" s="47"/>
    </row>
    <row r="77" spans="1:1" x14ac:dyDescent="0.2">
      <c r="A77" s="47"/>
    </row>
    <row r="78" spans="1:1" x14ac:dyDescent="0.2">
      <c r="A78" s="47"/>
    </row>
    <row r="79" spans="1:1" x14ac:dyDescent="0.2">
      <c r="A79" s="47"/>
    </row>
    <row r="80" spans="1:1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  <row r="103" spans="1:1" x14ac:dyDescent="0.2">
      <c r="A103" s="47"/>
    </row>
    <row r="104" spans="1:1" x14ac:dyDescent="0.2">
      <c r="A104" s="47"/>
    </row>
    <row r="105" spans="1:1" x14ac:dyDescent="0.2">
      <c r="A105" s="47"/>
    </row>
    <row r="106" spans="1:1" x14ac:dyDescent="0.2">
      <c r="A106" s="47"/>
    </row>
    <row r="107" spans="1:1" x14ac:dyDescent="0.2">
      <c r="A107" s="47"/>
    </row>
    <row r="108" spans="1:1" x14ac:dyDescent="0.2">
      <c r="A108" s="47"/>
    </row>
    <row r="109" spans="1:1" x14ac:dyDescent="0.2">
      <c r="A109" s="47"/>
    </row>
    <row r="110" spans="1:1" x14ac:dyDescent="0.2">
      <c r="A110" s="47"/>
    </row>
    <row r="111" spans="1:1" x14ac:dyDescent="0.2">
      <c r="A111" s="47"/>
    </row>
    <row r="112" spans="1:1" x14ac:dyDescent="0.2">
      <c r="A112" s="47"/>
    </row>
    <row r="113" spans="1:1" x14ac:dyDescent="0.2">
      <c r="A113" s="47"/>
    </row>
    <row r="114" spans="1:1" x14ac:dyDescent="0.2">
      <c r="A114" s="47"/>
    </row>
    <row r="115" spans="1:1" x14ac:dyDescent="0.2">
      <c r="A115" s="47"/>
    </row>
    <row r="116" spans="1:1" x14ac:dyDescent="0.2">
      <c r="A116" s="47"/>
    </row>
    <row r="117" spans="1:1" x14ac:dyDescent="0.2">
      <c r="A117" s="47"/>
    </row>
    <row r="118" spans="1:1" x14ac:dyDescent="0.2">
      <c r="A118" s="47"/>
    </row>
    <row r="119" spans="1:1" x14ac:dyDescent="0.2">
      <c r="A119" s="47"/>
    </row>
    <row r="120" spans="1:1" x14ac:dyDescent="0.2">
      <c r="A120" s="47"/>
    </row>
    <row r="121" spans="1:1" x14ac:dyDescent="0.2">
      <c r="A121" s="47"/>
    </row>
    <row r="122" spans="1:1" x14ac:dyDescent="0.2">
      <c r="A122" s="47"/>
    </row>
    <row r="123" spans="1:1" x14ac:dyDescent="0.2">
      <c r="A123" s="47"/>
    </row>
    <row r="124" spans="1:1" x14ac:dyDescent="0.2">
      <c r="A124" s="47"/>
    </row>
    <row r="125" spans="1:1" x14ac:dyDescent="0.2">
      <c r="A125" s="47"/>
    </row>
    <row r="126" spans="1:1" x14ac:dyDescent="0.2">
      <c r="A126" s="47"/>
    </row>
    <row r="127" spans="1:1" x14ac:dyDescent="0.2">
      <c r="A127" s="47"/>
    </row>
    <row r="128" spans="1:1" x14ac:dyDescent="0.2">
      <c r="A128" s="47"/>
    </row>
    <row r="129" spans="1:1" x14ac:dyDescent="0.2">
      <c r="A129" s="47"/>
    </row>
    <row r="130" spans="1:1" x14ac:dyDescent="0.2">
      <c r="A130" s="47"/>
    </row>
    <row r="131" spans="1:1" x14ac:dyDescent="0.2">
      <c r="A131" s="47"/>
    </row>
    <row r="132" spans="1:1" x14ac:dyDescent="0.2">
      <c r="A132" s="47"/>
    </row>
    <row r="133" spans="1:1" x14ac:dyDescent="0.2">
      <c r="A133" s="47"/>
    </row>
    <row r="134" spans="1:1" x14ac:dyDescent="0.2">
      <c r="A134" s="47"/>
    </row>
    <row r="135" spans="1:1" x14ac:dyDescent="0.2">
      <c r="A135" s="47"/>
    </row>
    <row r="136" spans="1:1" x14ac:dyDescent="0.2">
      <c r="A136" s="47"/>
    </row>
    <row r="137" spans="1:1" x14ac:dyDescent="0.2">
      <c r="A137" s="47"/>
    </row>
    <row r="138" spans="1:1" x14ac:dyDescent="0.2">
      <c r="A138" s="47"/>
    </row>
    <row r="139" spans="1:1" x14ac:dyDescent="0.2">
      <c r="A139" s="47"/>
    </row>
    <row r="140" spans="1:1" x14ac:dyDescent="0.2">
      <c r="A140" s="47"/>
    </row>
    <row r="141" spans="1:1" x14ac:dyDescent="0.2">
      <c r="A141" s="47"/>
    </row>
    <row r="142" spans="1:1" x14ac:dyDescent="0.2">
      <c r="A142" s="47"/>
    </row>
    <row r="143" spans="1:1" x14ac:dyDescent="0.2">
      <c r="A143" s="47"/>
    </row>
    <row r="144" spans="1:1" x14ac:dyDescent="0.2">
      <c r="A144" s="47"/>
    </row>
    <row r="145" spans="1:1" x14ac:dyDescent="0.2">
      <c r="A145" s="47"/>
    </row>
    <row r="146" spans="1:1" x14ac:dyDescent="0.2">
      <c r="A146" s="47"/>
    </row>
    <row r="147" spans="1:1" x14ac:dyDescent="0.2">
      <c r="A147" s="47"/>
    </row>
    <row r="148" spans="1:1" x14ac:dyDescent="0.2">
      <c r="A148" s="47"/>
    </row>
    <row r="149" spans="1:1" x14ac:dyDescent="0.2">
      <c r="A149" s="47"/>
    </row>
    <row r="150" spans="1:1" x14ac:dyDescent="0.2">
      <c r="A150" s="47"/>
    </row>
    <row r="151" spans="1:1" x14ac:dyDescent="0.2">
      <c r="A151" s="47"/>
    </row>
    <row r="152" spans="1:1" x14ac:dyDescent="0.2">
      <c r="A152" s="47"/>
    </row>
    <row r="153" spans="1:1" x14ac:dyDescent="0.2">
      <c r="A153" s="47"/>
    </row>
    <row r="154" spans="1:1" x14ac:dyDescent="0.2">
      <c r="A154" s="47"/>
    </row>
    <row r="155" spans="1:1" x14ac:dyDescent="0.2">
      <c r="A155" s="47"/>
    </row>
    <row r="156" spans="1:1" x14ac:dyDescent="0.2">
      <c r="A156" s="47"/>
    </row>
  </sheetData>
  <sheetProtection selectLockedCells="1"/>
  <dataValidations count="1">
    <dataValidation type="list" allowBlank="1" showInputMessage="1" showErrorMessage="1" sqref="D4:D23" xr:uid="{0CFD4563-3317-418A-9CB7-9734A8C4775B}">
      <formula1>Lista_Placas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D75C-B0DC-4257-A4B8-7434F51D8055}">
  <sheetPr codeName="Hoja4">
    <tabColor theme="5"/>
  </sheetPr>
  <dimension ref="A1:I177"/>
  <sheetViews>
    <sheetView showGridLines="0" topLeftCell="A16" zoomScale="90" zoomScaleNormal="90" workbookViewId="0">
      <selection activeCell="D55" sqref="D55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6.6640625" customWidth="1"/>
    <col min="4" max="4" width="15.1640625" customWidth="1"/>
    <col min="5" max="5" width="39" customWidth="1"/>
    <col min="6" max="6" width="13.6640625" customWidth="1"/>
    <col min="7" max="7" width="32.5" customWidth="1"/>
    <col min="8" max="8" width="18.6640625" customWidth="1"/>
    <col min="9" max="9" width="12.6640625" customWidth="1"/>
  </cols>
  <sheetData>
    <row r="1" spans="1:9" s="3" customFormat="1" ht="37" thickBot="1" x14ac:dyDescent="0.25">
      <c r="A1" s="47"/>
      <c r="B1" s="666" t="s">
        <v>92</v>
      </c>
      <c r="C1" s="666"/>
      <c r="D1" s="666"/>
      <c r="E1" s="666"/>
      <c r="F1" s="666"/>
      <c r="G1" s="666"/>
      <c r="H1" s="666"/>
      <c r="I1" s="666"/>
    </row>
    <row r="2" spans="1:9" ht="8" customHeight="1" thickBot="1" x14ac:dyDescent="0.25">
      <c r="A2" s="47"/>
    </row>
    <row r="3" spans="1:9" ht="27.5" customHeight="1" thickBot="1" x14ac:dyDescent="0.25">
      <c r="A3" s="47"/>
      <c r="C3" s="108" t="s">
        <v>19</v>
      </c>
      <c r="D3" s="106" t="s">
        <v>10</v>
      </c>
      <c r="E3" s="106" t="s">
        <v>36</v>
      </c>
      <c r="F3" s="107" t="s">
        <v>13</v>
      </c>
      <c r="G3" s="106" t="s">
        <v>9</v>
      </c>
      <c r="H3" s="107" t="s">
        <v>15</v>
      </c>
      <c r="I3" s="106" t="s">
        <v>11</v>
      </c>
    </row>
    <row r="4" spans="1:9" x14ac:dyDescent="0.2">
      <c r="A4" s="47"/>
      <c r="C4" s="10">
        <f>ROW(A1)</f>
        <v>1</v>
      </c>
      <c r="D4" s="35">
        <v>1716252901</v>
      </c>
      <c r="E4" s="34" t="s">
        <v>229</v>
      </c>
      <c r="F4" s="35">
        <v>1716252901</v>
      </c>
      <c r="G4" s="34" t="s">
        <v>271</v>
      </c>
      <c r="H4" s="35"/>
      <c r="I4" s="38" t="s">
        <v>98</v>
      </c>
    </row>
    <row r="5" spans="1:9" x14ac:dyDescent="0.2">
      <c r="A5" s="47"/>
      <c r="C5" s="10">
        <f t="shared" ref="C5:C15" si="0">ROW(A2)</f>
        <v>2</v>
      </c>
      <c r="D5" s="61" t="s">
        <v>230</v>
      </c>
      <c r="E5" s="34" t="s">
        <v>231</v>
      </c>
      <c r="F5" s="35" t="s">
        <v>272</v>
      </c>
      <c r="G5" s="34" t="s">
        <v>271</v>
      </c>
      <c r="H5" s="35">
        <v>990941137</v>
      </c>
      <c r="I5" s="38"/>
    </row>
    <row r="6" spans="1:9" x14ac:dyDescent="0.2">
      <c r="A6" s="47"/>
      <c r="C6" s="10">
        <f t="shared" si="0"/>
        <v>3</v>
      </c>
      <c r="D6" s="35">
        <v>2100042452</v>
      </c>
      <c r="E6" s="34" t="s">
        <v>232</v>
      </c>
      <c r="F6" s="35">
        <v>2100042452</v>
      </c>
      <c r="G6" s="34" t="s">
        <v>271</v>
      </c>
      <c r="H6" s="35"/>
      <c r="I6" s="38"/>
    </row>
    <row r="7" spans="1:9" x14ac:dyDescent="0.2">
      <c r="A7" s="47"/>
      <c r="C7" s="10">
        <f t="shared" si="0"/>
        <v>4</v>
      </c>
      <c r="D7" s="35">
        <v>1723808927</v>
      </c>
      <c r="E7" s="34" t="s">
        <v>233</v>
      </c>
      <c r="F7" s="35">
        <v>1723808927</v>
      </c>
      <c r="G7" s="34" t="s">
        <v>271</v>
      </c>
      <c r="H7" s="35"/>
      <c r="I7" s="38"/>
    </row>
    <row r="8" spans="1:9" x14ac:dyDescent="0.2">
      <c r="A8" s="47"/>
      <c r="C8" s="10">
        <f t="shared" si="0"/>
        <v>5</v>
      </c>
      <c r="D8" s="35">
        <v>2200112569</v>
      </c>
      <c r="E8" s="34" t="s">
        <v>234</v>
      </c>
      <c r="F8" s="35">
        <v>2200112569</v>
      </c>
      <c r="G8" s="34" t="s">
        <v>271</v>
      </c>
      <c r="H8" s="35"/>
      <c r="I8" s="38"/>
    </row>
    <row r="9" spans="1:9" x14ac:dyDescent="0.2">
      <c r="A9" s="47"/>
      <c r="C9" s="10">
        <f t="shared" si="0"/>
        <v>6</v>
      </c>
      <c r="D9" s="35">
        <v>2200019152</v>
      </c>
      <c r="E9" s="34" t="s">
        <v>235</v>
      </c>
      <c r="F9" s="35">
        <v>2200019152</v>
      </c>
      <c r="G9" s="34" t="s">
        <v>271</v>
      </c>
      <c r="H9" s="35"/>
      <c r="I9" s="38"/>
    </row>
    <row r="10" spans="1:9" x14ac:dyDescent="0.2">
      <c r="A10" s="47"/>
      <c r="C10" s="10">
        <f t="shared" si="0"/>
        <v>7</v>
      </c>
      <c r="D10" s="35">
        <v>2200523484</v>
      </c>
      <c r="E10" s="34" t="s">
        <v>236</v>
      </c>
      <c r="F10" s="35">
        <v>2200523484</v>
      </c>
      <c r="G10" s="34" t="s">
        <v>271</v>
      </c>
      <c r="H10" s="35"/>
      <c r="I10" s="38"/>
    </row>
    <row r="11" spans="1:9" x14ac:dyDescent="0.2">
      <c r="A11" s="47"/>
      <c r="C11" s="10">
        <f t="shared" si="0"/>
        <v>8</v>
      </c>
      <c r="D11" s="35">
        <v>2100768163</v>
      </c>
      <c r="E11" s="34" t="s">
        <v>237</v>
      </c>
      <c r="F11" s="35">
        <v>2100768163</v>
      </c>
      <c r="G11" s="34" t="s">
        <v>271</v>
      </c>
      <c r="H11" s="35"/>
      <c r="I11" s="38"/>
    </row>
    <row r="12" spans="1:9" x14ac:dyDescent="0.2">
      <c r="A12" s="47"/>
      <c r="C12" s="10">
        <f t="shared" si="0"/>
        <v>9</v>
      </c>
      <c r="D12" s="35">
        <v>2200300065</v>
      </c>
      <c r="E12" s="34" t="s">
        <v>238</v>
      </c>
      <c r="F12" s="35">
        <v>2200300065</v>
      </c>
      <c r="G12" s="34" t="s">
        <v>271</v>
      </c>
      <c r="H12" s="35"/>
      <c r="I12" s="38"/>
    </row>
    <row r="13" spans="1:9" x14ac:dyDescent="0.2">
      <c r="A13" s="47"/>
      <c r="C13" s="10">
        <f t="shared" si="0"/>
        <v>10</v>
      </c>
      <c r="D13" s="35">
        <v>1714847884</v>
      </c>
      <c r="E13" s="34" t="s">
        <v>239</v>
      </c>
      <c r="F13" s="35">
        <v>1714847884</v>
      </c>
      <c r="G13" s="34" t="s">
        <v>271</v>
      </c>
      <c r="H13" s="35"/>
      <c r="I13" s="38"/>
    </row>
    <row r="14" spans="1:9" x14ac:dyDescent="0.2">
      <c r="A14" s="47"/>
      <c r="C14" s="10">
        <f t="shared" si="0"/>
        <v>11</v>
      </c>
      <c r="D14" s="35">
        <v>1720613981</v>
      </c>
      <c r="E14" s="34" t="s">
        <v>240</v>
      </c>
      <c r="F14" s="35">
        <v>1720613981</v>
      </c>
      <c r="G14" s="34" t="s">
        <v>271</v>
      </c>
      <c r="H14" s="35"/>
      <c r="I14" s="38"/>
    </row>
    <row r="15" spans="1:9" x14ac:dyDescent="0.2">
      <c r="A15" s="47"/>
      <c r="C15" s="10">
        <f t="shared" si="0"/>
        <v>12</v>
      </c>
      <c r="D15" s="35">
        <v>1803398831</v>
      </c>
      <c r="E15" s="34" t="s">
        <v>241</v>
      </c>
      <c r="F15" s="35">
        <v>1803398831</v>
      </c>
      <c r="G15" s="34" t="s">
        <v>271</v>
      </c>
      <c r="H15" s="35"/>
      <c r="I15" s="38"/>
    </row>
    <row r="16" spans="1:9" x14ac:dyDescent="0.2">
      <c r="A16" s="47"/>
      <c r="C16" s="10">
        <f t="shared" ref="C16:C23" si="1">ROW(A13)</f>
        <v>13</v>
      </c>
      <c r="D16" s="35">
        <v>2200401434</v>
      </c>
      <c r="E16" s="34" t="s">
        <v>242</v>
      </c>
      <c r="F16" s="35">
        <v>2200401434</v>
      </c>
      <c r="G16" s="34" t="s">
        <v>271</v>
      </c>
      <c r="H16" s="35"/>
      <c r="I16" s="38"/>
    </row>
    <row r="17" spans="1:9" x14ac:dyDescent="0.2">
      <c r="A17" s="47"/>
      <c r="C17" s="10">
        <f t="shared" si="1"/>
        <v>14</v>
      </c>
      <c r="D17" s="61" t="s">
        <v>243</v>
      </c>
      <c r="E17" s="34" t="s">
        <v>244</v>
      </c>
      <c r="F17" s="61" t="s">
        <v>243</v>
      </c>
      <c r="G17" s="34" t="s">
        <v>271</v>
      </c>
      <c r="H17" s="35"/>
      <c r="I17" s="38"/>
    </row>
    <row r="18" spans="1:9" x14ac:dyDescent="0.2">
      <c r="A18" s="47"/>
      <c r="C18" s="10">
        <f t="shared" si="1"/>
        <v>15</v>
      </c>
      <c r="D18" s="35">
        <v>1500330251</v>
      </c>
      <c r="E18" s="34" t="s">
        <v>245</v>
      </c>
      <c r="F18" s="35">
        <v>1500330251</v>
      </c>
      <c r="G18" s="34" t="s">
        <v>271</v>
      </c>
      <c r="H18" s="35"/>
      <c r="I18" s="38"/>
    </row>
    <row r="19" spans="1:9" x14ac:dyDescent="0.2">
      <c r="A19" s="47"/>
      <c r="C19" s="10">
        <f t="shared" si="1"/>
        <v>16</v>
      </c>
      <c r="D19" s="35">
        <v>2250130446</v>
      </c>
      <c r="E19" s="34" t="s">
        <v>246</v>
      </c>
      <c r="F19" s="35">
        <v>2250130446</v>
      </c>
      <c r="G19" s="34" t="s">
        <v>271</v>
      </c>
      <c r="H19" s="35"/>
      <c r="I19" s="38"/>
    </row>
    <row r="20" spans="1:9" x14ac:dyDescent="0.2">
      <c r="A20" s="47"/>
      <c r="C20" s="10">
        <f t="shared" si="1"/>
        <v>17</v>
      </c>
      <c r="D20" s="35">
        <v>1306109628</v>
      </c>
      <c r="E20" s="34" t="s">
        <v>247</v>
      </c>
      <c r="F20" s="35">
        <v>1306109628</v>
      </c>
      <c r="G20" s="34" t="s">
        <v>271</v>
      </c>
      <c r="H20" s="35"/>
      <c r="I20" s="38"/>
    </row>
    <row r="21" spans="1:9" x14ac:dyDescent="0.2">
      <c r="A21" s="47"/>
      <c r="C21" s="10">
        <f t="shared" si="1"/>
        <v>18</v>
      </c>
      <c r="D21" s="35">
        <v>2200002521</v>
      </c>
      <c r="E21" s="34" t="s">
        <v>248</v>
      </c>
      <c r="F21" s="35">
        <v>2200002521</v>
      </c>
      <c r="G21" s="34" t="s">
        <v>271</v>
      </c>
      <c r="H21" s="35"/>
      <c r="I21" s="38"/>
    </row>
    <row r="22" spans="1:9" x14ac:dyDescent="0.2">
      <c r="A22" s="47"/>
      <c r="C22" s="10">
        <f t="shared" si="1"/>
        <v>19</v>
      </c>
      <c r="D22" s="61" t="s">
        <v>249</v>
      </c>
      <c r="E22" s="34" t="s">
        <v>250</v>
      </c>
      <c r="F22" s="61" t="s">
        <v>249</v>
      </c>
      <c r="G22" s="34" t="s">
        <v>271</v>
      </c>
      <c r="H22" s="35"/>
      <c r="I22" s="38"/>
    </row>
    <row r="23" spans="1:9" x14ac:dyDescent="0.2">
      <c r="A23" s="47"/>
      <c r="C23" s="10">
        <f t="shared" si="1"/>
        <v>20</v>
      </c>
      <c r="D23" s="64" t="s">
        <v>251</v>
      </c>
      <c r="E23" s="34" t="s">
        <v>252</v>
      </c>
      <c r="F23" s="64" t="s">
        <v>251</v>
      </c>
      <c r="G23" s="34" t="s">
        <v>271</v>
      </c>
      <c r="H23" s="35"/>
      <c r="I23" s="38"/>
    </row>
    <row r="24" spans="1:9" x14ac:dyDescent="0.2">
      <c r="A24" s="47"/>
      <c r="C24" s="10">
        <f t="shared" ref="C24:C32" si="2">ROW(A21)</f>
        <v>21</v>
      </c>
      <c r="D24" s="35">
        <v>1250713219</v>
      </c>
      <c r="E24" s="34" t="s">
        <v>253</v>
      </c>
      <c r="F24" s="35">
        <v>1250713219</v>
      </c>
      <c r="G24" s="34" t="s">
        <v>271</v>
      </c>
      <c r="H24" s="35"/>
      <c r="I24" s="38"/>
    </row>
    <row r="25" spans="1:9" x14ac:dyDescent="0.2">
      <c r="A25" s="47"/>
      <c r="C25" s="10">
        <f t="shared" si="2"/>
        <v>22</v>
      </c>
      <c r="D25" s="35">
        <v>2200383160</v>
      </c>
      <c r="E25" s="34" t="s">
        <v>254</v>
      </c>
      <c r="F25" s="35">
        <v>2200383160</v>
      </c>
      <c r="G25" s="34" t="s">
        <v>271</v>
      </c>
      <c r="H25" s="35"/>
      <c r="I25" s="38"/>
    </row>
    <row r="26" spans="1:9" x14ac:dyDescent="0.2">
      <c r="A26" s="47"/>
      <c r="C26" s="10">
        <f t="shared" si="2"/>
        <v>23</v>
      </c>
      <c r="D26" s="35">
        <v>2200313860</v>
      </c>
      <c r="E26" s="34" t="s">
        <v>255</v>
      </c>
      <c r="F26" s="35">
        <v>2200313860</v>
      </c>
      <c r="G26" s="34" t="s">
        <v>271</v>
      </c>
      <c r="H26" s="35"/>
      <c r="I26" s="38"/>
    </row>
    <row r="27" spans="1:9" x14ac:dyDescent="0.2">
      <c r="A27" s="47"/>
      <c r="C27" s="10">
        <f t="shared" si="2"/>
        <v>24</v>
      </c>
      <c r="D27" s="35">
        <v>2100274360</v>
      </c>
      <c r="E27" s="34" t="s">
        <v>256</v>
      </c>
      <c r="F27" s="35">
        <v>2100274360</v>
      </c>
      <c r="G27" s="34" t="s">
        <v>271</v>
      </c>
      <c r="H27" s="35"/>
      <c r="I27" s="38"/>
    </row>
    <row r="28" spans="1:9" x14ac:dyDescent="0.2">
      <c r="A28" s="47"/>
      <c r="C28" s="10">
        <f t="shared" si="2"/>
        <v>25</v>
      </c>
      <c r="D28" s="35">
        <v>2101148886</v>
      </c>
      <c r="E28" s="34" t="s">
        <v>257</v>
      </c>
      <c r="F28" s="35">
        <v>2101148886</v>
      </c>
      <c r="G28" s="34" t="s">
        <v>271</v>
      </c>
      <c r="H28" s="35"/>
      <c r="I28" s="38"/>
    </row>
    <row r="29" spans="1:9" x14ac:dyDescent="0.2">
      <c r="A29" s="47"/>
      <c r="C29" s="10">
        <f t="shared" si="2"/>
        <v>26</v>
      </c>
      <c r="D29" s="35">
        <v>1103796205</v>
      </c>
      <c r="E29" s="34" t="s">
        <v>258</v>
      </c>
      <c r="F29" s="35">
        <v>1103796205</v>
      </c>
      <c r="G29" s="34" t="s">
        <v>271</v>
      </c>
      <c r="H29" s="35"/>
      <c r="I29" s="38"/>
    </row>
    <row r="30" spans="1:9" x14ac:dyDescent="0.2">
      <c r="A30" s="47"/>
      <c r="C30" s="10">
        <f t="shared" si="2"/>
        <v>27</v>
      </c>
      <c r="D30" s="35">
        <v>2100573563</v>
      </c>
      <c r="E30" s="34" t="s">
        <v>259</v>
      </c>
      <c r="F30" s="35">
        <v>2100573563</v>
      </c>
      <c r="G30" s="34" t="s">
        <v>271</v>
      </c>
      <c r="H30" s="35"/>
      <c r="I30" s="38"/>
    </row>
    <row r="31" spans="1:9" x14ac:dyDescent="0.2">
      <c r="A31" s="47"/>
      <c r="C31" s="10">
        <f t="shared" si="2"/>
        <v>28</v>
      </c>
      <c r="D31" s="35">
        <v>2200644355</v>
      </c>
      <c r="E31" s="34" t="s">
        <v>260</v>
      </c>
      <c r="F31" s="35">
        <v>2200644355</v>
      </c>
      <c r="G31" s="34" t="s">
        <v>271</v>
      </c>
      <c r="H31" s="35"/>
      <c r="I31" s="38"/>
    </row>
    <row r="32" spans="1:9" x14ac:dyDescent="0.2">
      <c r="A32" s="47"/>
      <c r="C32" s="10">
        <f t="shared" si="2"/>
        <v>29</v>
      </c>
      <c r="D32" s="35">
        <v>2200310676</v>
      </c>
      <c r="E32" s="34" t="s">
        <v>261</v>
      </c>
      <c r="F32" s="35">
        <v>2200310676</v>
      </c>
      <c r="G32" s="34" t="s">
        <v>271</v>
      </c>
      <c r="H32" s="35"/>
      <c r="I32" s="38"/>
    </row>
    <row r="33" spans="1:9" x14ac:dyDescent="0.2">
      <c r="A33" s="47"/>
      <c r="C33" s="63">
        <f t="shared" ref="C33:C39" si="3">ROW(A31)</f>
        <v>31</v>
      </c>
      <c r="D33" s="45">
        <v>2200247951</v>
      </c>
      <c r="E33" s="62" t="s">
        <v>262</v>
      </c>
      <c r="F33" s="45">
        <v>2200247951</v>
      </c>
      <c r="G33" s="62" t="s">
        <v>271</v>
      </c>
      <c r="H33" s="45"/>
      <c r="I33" s="46"/>
    </row>
    <row r="34" spans="1:9" x14ac:dyDescent="0.2">
      <c r="A34" s="47"/>
      <c r="C34" s="63">
        <f t="shared" si="3"/>
        <v>32</v>
      </c>
      <c r="D34" s="148" t="s">
        <v>263</v>
      </c>
      <c r="E34" s="62" t="s">
        <v>264</v>
      </c>
      <c r="F34" s="148" t="s">
        <v>263</v>
      </c>
      <c r="G34" s="62" t="s">
        <v>271</v>
      </c>
      <c r="H34" s="45"/>
      <c r="I34" s="46"/>
    </row>
    <row r="35" spans="1:9" x14ac:dyDescent="0.2">
      <c r="A35" s="47"/>
      <c r="C35" s="63">
        <f t="shared" si="3"/>
        <v>33</v>
      </c>
      <c r="D35" s="45">
        <v>2100152798</v>
      </c>
      <c r="E35" s="62" t="s">
        <v>265</v>
      </c>
      <c r="F35" s="45">
        <v>2100152798</v>
      </c>
      <c r="G35" s="62" t="s">
        <v>271</v>
      </c>
      <c r="H35" s="45"/>
      <c r="I35" s="46"/>
    </row>
    <row r="36" spans="1:9" x14ac:dyDescent="0.2">
      <c r="A36" s="47"/>
      <c r="C36" s="63">
        <f t="shared" si="3"/>
        <v>34</v>
      </c>
      <c r="D36" s="148" t="s">
        <v>266</v>
      </c>
      <c r="E36" s="62" t="s">
        <v>267</v>
      </c>
      <c r="F36" s="148" t="s">
        <v>266</v>
      </c>
      <c r="G36" s="62" t="s">
        <v>271</v>
      </c>
      <c r="H36" s="45"/>
      <c r="I36" s="46"/>
    </row>
    <row r="37" spans="1:9" x14ac:dyDescent="0.2">
      <c r="A37" s="47"/>
      <c r="C37" s="63">
        <f t="shared" si="3"/>
        <v>35</v>
      </c>
      <c r="D37" s="45">
        <v>1105424103</v>
      </c>
      <c r="E37" s="62" t="s">
        <v>268</v>
      </c>
      <c r="F37" s="45">
        <v>1105424103</v>
      </c>
      <c r="G37" s="62" t="s">
        <v>271</v>
      </c>
      <c r="H37" s="45"/>
      <c r="I37" s="46"/>
    </row>
    <row r="38" spans="1:9" x14ac:dyDescent="0.2">
      <c r="A38" s="47"/>
      <c r="C38" s="63">
        <f t="shared" si="3"/>
        <v>36</v>
      </c>
      <c r="D38" s="45">
        <v>2100606256</v>
      </c>
      <c r="E38" s="62" t="s">
        <v>269</v>
      </c>
      <c r="F38" s="45">
        <v>2100606256</v>
      </c>
      <c r="G38" s="62" t="s">
        <v>271</v>
      </c>
      <c r="H38" s="45"/>
      <c r="I38" s="46"/>
    </row>
    <row r="39" spans="1:9" x14ac:dyDescent="0.2">
      <c r="A39" s="47"/>
      <c r="C39" s="147">
        <f t="shared" si="3"/>
        <v>37</v>
      </c>
      <c r="D39" s="149"/>
      <c r="E39" s="150" t="s">
        <v>288</v>
      </c>
      <c r="F39" s="149"/>
      <c r="G39" s="150" t="s">
        <v>271</v>
      </c>
      <c r="H39" s="149"/>
      <c r="I39" s="151"/>
    </row>
    <row r="40" spans="1:9" x14ac:dyDescent="0.2">
      <c r="A40" s="47"/>
      <c r="C40" s="152">
        <v>38</v>
      </c>
      <c r="D40" s="153"/>
      <c r="E40" s="154" t="s">
        <v>289</v>
      </c>
      <c r="F40" s="153"/>
      <c r="G40" s="154" t="s">
        <v>271</v>
      </c>
      <c r="H40" s="153"/>
      <c r="I40" s="155"/>
    </row>
    <row r="41" spans="1:9" x14ac:dyDescent="0.2">
      <c r="A41" s="47"/>
      <c r="C41" s="10">
        <f t="shared" ref="C41:C50" si="4">ROW(A38)</f>
        <v>38</v>
      </c>
      <c r="D41" s="35"/>
      <c r="E41" s="34" t="s">
        <v>305</v>
      </c>
      <c r="F41" s="35"/>
      <c r="G41" s="34" t="s">
        <v>271</v>
      </c>
      <c r="H41" s="35"/>
      <c r="I41" s="38"/>
    </row>
    <row r="42" spans="1:9" x14ac:dyDescent="0.2">
      <c r="A42" s="47"/>
      <c r="C42" s="10">
        <f t="shared" si="4"/>
        <v>39</v>
      </c>
      <c r="D42" s="35"/>
      <c r="E42" s="34" t="s">
        <v>409</v>
      </c>
      <c r="F42" s="35"/>
      <c r="G42" s="34" t="s">
        <v>271</v>
      </c>
      <c r="H42" s="35"/>
      <c r="I42" s="38"/>
    </row>
    <row r="43" spans="1:9" x14ac:dyDescent="0.2">
      <c r="A43" s="47"/>
      <c r="C43" s="10">
        <f t="shared" si="4"/>
        <v>40</v>
      </c>
      <c r="D43" s="35"/>
      <c r="E43" s="34" t="s">
        <v>411</v>
      </c>
      <c r="F43" s="35"/>
      <c r="G43" s="34" t="s">
        <v>271</v>
      </c>
      <c r="H43" s="35"/>
      <c r="I43" s="38"/>
    </row>
    <row r="44" spans="1:9" x14ac:dyDescent="0.2">
      <c r="A44" s="47"/>
      <c r="C44" s="10">
        <f t="shared" si="4"/>
        <v>41</v>
      </c>
      <c r="D44" s="35"/>
      <c r="E44" s="34" t="s">
        <v>416</v>
      </c>
      <c r="F44" s="35"/>
      <c r="G44" s="34" t="s">
        <v>271</v>
      </c>
      <c r="H44" s="35"/>
      <c r="I44" s="38"/>
    </row>
    <row r="45" spans="1:9" x14ac:dyDescent="0.2">
      <c r="A45" s="47"/>
      <c r="C45" s="10">
        <f t="shared" si="4"/>
        <v>42</v>
      </c>
      <c r="D45" s="35"/>
      <c r="E45" s="34" t="s">
        <v>417</v>
      </c>
      <c r="F45" s="35"/>
      <c r="G45" s="34" t="s">
        <v>271</v>
      </c>
      <c r="H45" s="35"/>
      <c r="I45" s="38"/>
    </row>
    <row r="46" spans="1:9" x14ac:dyDescent="0.2">
      <c r="A46" s="47"/>
      <c r="C46" s="10">
        <f t="shared" si="4"/>
        <v>43</v>
      </c>
      <c r="D46" s="35"/>
      <c r="E46" s="34" t="s">
        <v>418</v>
      </c>
      <c r="F46" s="35"/>
      <c r="G46" s="34" t="s">
        <v>271</v>
      </c>
      <c r="H46" s="35"/>
      <c r="I46" s="38"/>
    </row>
    <row r="47" spans="1:9" x14ac:dyDescent="0.2">
      <c r="A47" s="47"/>
      <c r="C47" s="10">
        <f t="shared" si="4"/>
        <v>44</v>
      </c>
      <c r="D47" s="35"/>
      <c r="E47" s="34" t="s">
        <v>419</v>
      </c>
      <c r="F47" s="35"/>
      <c r="G47" s="34" t="s">
        <v>271</v>
      </c>
      <c r="H47" s="35"/>
      <c r="I47" s="38"/>
    </row>
    <row r="48" spans="1:9" x14ac:dyDescent="0.2">
      <c r="A48" s="47"/>
      <c r="C48" s="10">
        <f t="shared" si="4"/>
        <v>45</v>
      </c>
      <c r="D48" s="35"/>
      <c r="E48" s="34" t="s">
        <v>421</v>
      </c>
      <c r="F48" s="35"/>
      <c r="G48" s="34" t="s">
        <v>271</v>
      </c>
      <c r="H48" s="35"/>
      <c r="I48" s="38"/>
    </row>
    <row r="49" spans="1:9" x14ac:dyDescent="0.2">
      <c r="A49" s="47"/>
      <c r="C49" s="10">
        <f t="shared" si="4"/>
        <v>46</v>
      </c>
      <c r="D49" s="35"/>
      <c r="E49" s="34" t="s">
        <v>422</v>
      </c>
      <c r="F49" s="35"/>
      <c r="G49" s="34" t="s">
        <v>271</v>
      </c>
      <c r="H49" s="35"/>
      <c r="I49" s="38"/>
    </row>
    <row r="50" spans="1:9" x14ac:dyDescent="0.2">
      <c r="A50" s="47"/>
      <c r="C50" s="10">
        <f t="shared" si="4"/>
        <v>47</v>
      </c>
      <c r="D50" s="35"/>
      <c r="E50" s="34" t="s">
        <v>425</v>
      </c>
      <c r="F50" s="35"/>
      <c r="G50" s="34"/>
      <c r="H50" s="35"/>
      <c r="I50" s="38"/>
    </row>
    <row r="51" spans="1:9" x14ac:dyDescent="0.2">
      <c r="A51" s="47"/>
      <c r="C51" s="10">
        <f>ROW(A48)</f>
        <v>48</v>
      </c>
      <c r="D51" s="35"/>
      <c r="E51" s="34" t="s">
        <v>426</v>
      </c>
      <c r="F51" s="35"/>
      <c r="G51" s="34"/>
      <c r="H51" s="35"/>
      <c r="I51" s="38"/>
    </row>
    <row r="52" spans="1:9" x14ac:dyDescent="0.2">
      <c r="A52" s="47"/>
      <c r="C52" s="10">
        <f>ROW(A49)</f>
        <v>49</v>
      </c>
      <c r="D52" s="35"/>
      <c r="E52" s="34" t="s">
        <v>427</v>
      </c>
      <c r="F52" s="35"/>
      <c r="G52" s="34"/>
      <c r="H52" s="35"/>
      <c r="I52" s="38"/>
    </row>
    <row r="53" spans="1:9" x14ac:dyDescent="0.2">
      <c r="A53" s="47"/>
      <c r="C53" s="10">
        <f t="shared" ref="C53:C59" si="5">ROW(A50)</f>
        <v>50</v>
      </c>
      <c r="D53" s="35"/>
      <c r="E53" s="34" t="s">
        <v>260</v>
      </c>
      <c r="F53" s="35"/>
      <c r="G53" s="34"/>
      <c r="H53" s="35"/>
      <c r="I53" s="38"/>
    </row>
    <row r="54" spans="1:9" x14ac:dyDescent="0.2">
      <c r="A54" s="47"/>
      <c r="C54" s="10">
        <f t="shared" si="5"/>
        <v>51</v>
      </c>
      <c r="D54" s="35"/>
      <c r="E54" s="34" t="s">
        <v>529</v>
      </c>
      <c r="F54" s="35"/>
      <c r="G54" s="34"/>
      <c r="H54" s="35"/>
      <c r="I54" s="38"/>
    </row>
    <row r="55" spans="1:9" x14ac:dyDescent="0.2">
      <c r="A55" s="47"/>
      <c r="C55" s="10">
        <f t="shared" si="5"/>
        <v>52</v>
      </c>
      <c r="D55" s="35"/>
      <c r="E55" s="34" t="s">
        <v>530</v>
      </c>
      <c r="F55" s="35"/>
      <c r="G55" s="34"/>
      <c r="H55" s="35"/>
      <c r="I55" s="38"/>
    </row>
    <row r="56" spans="1:9" x14ac:dyDescent="0.2">
      <c r="A56" s="47"/>
      <c r="C56" s="10">
        <f t="shared" si="5"/>
        <v>53</v>
      </c>
      <c r="D56" s="35"/>
      <c r="E56" s="34"/>
      <c r="F56" s="35"/>
      <c r="G56" s="34"/>
      <c r="H56" s="35"/>
      <c r="I56" s="38"/>
    </row>
    <row r="57" spans="1:9" x14ac:dyDescent="0.2">
      <c r="A57" s="47"/>
      <c r="C57" s="10">
        <f t="shared" si="5"/>
        <v>54</v>
      </c>
      <c r="D57" s="35"/>
      <c r="E57" s="34"/>
      <c r="F57" s="35"/>
      <c r="G57" s="34"/>
      <c r="H57" s="35"/>
      <c r="I57" s="38"/>
    </row>
    <row r="58" spans="1:9" x14ac:dyDescent="0.2">
      <c r="A58" s="47"/>
      <c r="C58" s="10">
        <f t="shared" si="5"/>
        <v>55</v>
      </c>
      <c r="D58" s="35"/>
      <c r="E58" s="34"/>
      <c r="F58" s="35"/>
      <c r="G58" s="34"/>
      <c r="H58" s="35"/>
      <c r="I58" s="38"/>
    </row>
    <row r="59" spans="1:9" x14ac:dyDescent="0.2">
      <c r="A59" s="47"/>
      <c r="C59" s="10">
        <f t="shared" si="5"/>
        <v>56</v>
      </c>
      <c r="D59" s="35"/>
      <c r="E59" s="34"/>
      <c r="F59" s="35"/>
      <c r="G59" s="34"/>
      <c r="H59" s="35"/>
      <c r="I59" s="38"/>
    </row>
    <row r="60" spans="1:9" x14ac:dyDescent="0.2">
      <c r="A60" s="47"/>
      <c r="C60" s="10">
        <f>ROW(A30)</f>
        <v>30</v>
      </c>
      <c r="D60" s="35"/>
      <c r="E60" s="34"/>
      <c r="F60" s="35"/>
      <c r="G60" s="34"/>
      <c r="H60" s="35"/>
      <c r="I60" s="38"/>
    </row>
    <row r="61" spans="1:9" x14ac:dyDescent="0.2">
      <c r="A61" s="47"/>
    </row>
    <row r="62" spans="1:9" x14ac:dyDescent="0.2">
      <c r="A62" s="47"/>
    </row>
    <row r="63" spans="1:9" x14ac:dyDescent="0.2">
      <c r="A63" s="47"/>
    </row>
    <row r="64" spans="1:9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  <row r="69" spans="1:1" x14ac:dyDescent="0.2">
      <c r="A69" s="47"/>
    </row>
    <row r="70" spans="1:1" x14ac:dyDescent="0.2">
      <c r="A70" s="47"/>
    </row>
    <row r="71" spans="1:1" x14ac:dyDescent="0.2">
      <c r="A71" s="47"/>
    </row>
    <row r="72" spans="1:1" x14ac:dyDescent="0.2">
      <c r="A72" s="47"/>
    </row>
    <row r="73" spans="1:1" x14ac:dyDescent="0.2">
      <c r="A73" s="47"/>
    </row>
    <row r="74" spans="1:1" x14ac:dyDescent="0.2">
      <c r="A74" s="47"/>
    </row>
    <row r="75" spans="1:1" x14ac:dyDescent="0.2">
      <c r="A75" s="47"/>
    </row>
    <row r="76" spans="1:1" x14ac:dyDescent="0.2">
      <c r="A76" s="47"/>
    </row>
    <row r="77" spans="1:1" x14ac:dyDescent="0.2">
      <c r="A77" s="47"/>
    </row>
    <row r="78" spans="1:1" x14ac:dyDescent="0.2">
      <c r="A78" s="47"/>
    </row>
    <row r="79" spans="1:1" x14ac:dyDescent="0.2">
      <c r="A79" s="47"/>
    </row>
    <row r="80" spans="1:1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  <row r="103" spans="1:1" x14ac:dyDescent="0.2">
      <c r="A103" s="47"/>
    </row>
    <row r="104" spans="1:1" x14ac:dyDescent="0.2">
      <c r="A104" s="47"/>
    </row>
    <row r="105" spans="1:1" x14ac:dyDescent="0.2">
      <c r="A105" s="47"/>
    </row>
    <row r="106" spans="1:1" x14ac:dyDescent="0.2">
      <c r="A106" s="47"/>
    </row>
    <row r="107" spans="1:1" x14ac:dyDescent="0.2">
      <c r="A107" s="47"/>
    </row>
    <row r="108" spans="1:1" x14ac:dyDescent="0.2">
      <c r="A108" s="47"/>
    </row>
    <row r="109" spans="1:1" x14ac:dyDescent="0.2">
      <c r="A109" s="47"/>
    </row>
    <row r="110" spans="1:1" x14ac:dyDescent="0.2">
      <c r="A110" s="47"/>
    </row>
    <row r="111" spans="1:1" x14ac:dyDescent="0.2">
      <c r="A111" s="47"/>
    </row>
    <row r="112" spans="1:1" x14ac:dyDescent="0.2">
      <c r="A112" s="47"/>
    </row>
    <row r="113" spans="1:1" x14ac:dyDescent="0.2">
      <c r="A113" s="47"/>
    </row>
    <row r="114" spans="1:1" x14ac:dyDescent="0.2">
      <c r="A114" s="47"/>
    </row>
    <row r="115" spans="1:1" x14ac:dyDescent="0.2">
      <c r="A115" s="47"/>
    </row>
    <row r="116" spans="1:1" x14ac:dyDescent="0.2">
      <c r="A116" s="47"/>
    </row>
    <row r="117" spans="1:1" x14ac:dyDescent="0.2">
      <c r="A117" s="47"/>
    </row>
    <row r="118" spans="1:1" x14ac:dyDescent="0.2">
      <c r="A118" s="47"/>
    </row>
    <row r="119" spans="1:1" x14ac:dyDescent="0.2">
      <c r="A119" s="47"/>
    </row>
    <row r="120" spans="1:1" x14ac:dyDescent="0.2">
      <c r="A120" s="47"/>
    </row>
    <row r="121" spans="1:1" x14ac:dyDescent="0.2">
      <c r="A121" s="47"/>
    </row>
    <row r="122" spans="1:1" x14ac:dyDescent="0.2">
      <c r="A122" s="47"/>
    </row>
    <row r="123" spans="1:1" x14ac:dyDescent="0.2">
      <c r="A123" s="47"/>
    </row>
    <row r="124" spans="1:1" x14ac:dyDescent="0.2">
      <c r="A124" s="47"/>
    </row>
    <row r="125" spans="1:1" x14ac:dyDescent="0.2">
      <c r="A125" s="47"/>
    </row>
    <row r="126" spans="1:1" x14ac:dyDescent="0.2">
      <c r="A126" s="47"/>
    </row>
    <row r="127" spans="1:1" x14ac:dyDescent="0.2">
      <c r="A127" s="47"/>
    </row>
    <row r="128" spans="1:1" x14ac:dyDescent="0.2">
      <c r="A128" s="47"/>
    </row>
    <row r="129" spans="1:1" x14ac:dyDescent="0.2">
      <c r="A129" s="47"/>
    </row>
    <row r="130" spans="1:1" x14ac:dyDescent="0.2">
      <c r="A130" s="47"/>
    </row>
    <row r="131" spans="1:1" x14ac:dyDescent="0.2">
      <c r="A131" s="47"/>
    </row>
    <row r="132" spans="1:1" x14ac:dyDescent="0.2">
      <c r="A132" s="47"/>
    </row>
    <row r="133" spans="1:1" x14ac:dyDescent="0.2">
      <c r="A133" s="47"/>
    </row>
    <row r="134" spans="1:1" x14ac:dyDescent="0.2">
      <c r="A134" s="47"/>
    </row>
    <row r="135" spans="1:1" x14ac:dyDescent="0.2">
      <c r="A135" s="47"/>
    </row>
    <row r="136" spans="1:1" x14ac:dyDescent="0.2">
      <c r="A136" s="47"/>
    </row>
    <row r="137" spans="1:1" x14ac:dyDescent="0.2">
      <c r="A137" s="47"/>
    </row>
    <row r="138" spans="1:1" x14ac:dyDescent="0.2">
      <c r="A138" s="47"/>
    </row>
    <row r="139" spans="1:1" x14ac:dyDescent="0.2">
      <c r="A139" s="47"/>
    </row>
    <row r="140" spans="1:1" x14ac:dyDescent="0.2">
      <c r="A140" s="47"/>
    </row>
    <row r="141" spans="1:1" x14ac:dyDescent="0.2">
      <c r="A141" s="47"/>
    </row>
    <row r="142" spans="1:1" x14ac:dyDescent="0.2">
      <c r="A142" s="47"/>
    </row>
    <row r="143" spans="1:1" x14ac:dyDescent="0.2">
      <c r="A143" s="47"/>
    </row>
    <row r="144" spans="1:1" x14ac:dyDescent="0.2">
      <c r="A144" s="47"/>
    </row>
    <row r="145" spans="1:1" x14ac:dyDescent="0.2">
      <c r="A145" s="47"/>
    </row>
    <row r="146" spans="1:1" x14ac:dyDescent="0.2">
      <c r="A146" s="47"/>
    </row>
    <row r="147" spans="1:1" x14ac:dyDescent="0.2">
      <c r="A147" s="47"/>
    </row>
    <row r="148" spans="1:1" x14ac:dyDescent="0.2">
      <c r="A148" s="47"/>
    </row>
    <row r="149" spans="1:1" x14ac:dyDescent="0.2">
      <c r="A149" s="47"/>
    </row>
    <row r="150" spans="1:1" x14ac:dyDescent="0.2">
      <c r="A150" s="47"/>
    </row>
    <row r="151" spans="1:1" x14ac:dyDescent="0.2">
      <c r="A151" s="47"/>
    </row>
    <row r="152" spans="1:1" x14ac:dyDescent="0.2">
      <c r="A152" s="47"/>
    </row>
    <row r="153" spans="1:1" x14ac:dyDescent="0.2">
      <c r="A153" s="47"/>
    </row>
    <row r="154" spans="1:1" x14ac:dyDescent="0.2">
      <c r="A154" s="47"/>
    </row>
    <row r="155" spans="1:1" x14ac:dyDescent="0.2">
      <c r="A155" s="47"/>
    </row>
    <row r="156" spans="1:1" x14ac:dyDescent="0.2">
      <c r="A156" s="47"/>
    </row>
    <row r="157" spans="1:1" x14ac:dyDescent="0.2">
      <c r="A157" s="47"/>
    </row>
    <row r="158" spans="1:1" x14ac:dyDescent="0.2">
      <c r="A158" s="47"/>
    </row>
    <row r="159" spans="1:1" x14ac:dyDescent="0.2">
      <c r="A159" s="47"/>
    </row>
    <row r="160" spans="1:1" x14ac:dyDescent="0.2">
      <c r="A160" s="47"/>
    </row>
    <row r="161" spans="1:1" x14ac:dyDescent="0.2">
      <c r="A161" s="47"/>
    </row>
    <row r="162" spans="1:1" x14ac:dyDescent="0.2">
      <c r="A162" s="47"/>
    </row>
    <row r="163" spans="1:1" x14ac:dyDescent="0.2">
      <c r="A163" s="47"/>
    </row>
    <row r="164" spans="1:1" x14ac:dyDescent="0.2">
      <c r="A164" s="47"/>
    </row>
    <row r="165" spans="1:1" x14ac:dyDescent="0.2">
      <c r="A165" s="47"/>
    </row>
    <row r="166" spans="1:1" x14ac:dyDescent="0.2">
      <c r="A166" s="47"/>
    </row>
    <row r="167" spans="1:1" x14ac:dyDescent="0.2">
      <c r="A167" s="47"/>
    </row>
    <row r="168" spans="1:1" x14ac:dyDescent="0.2">
      <c r="A168" s="47"/>
    </row>
    <row r="169" spans="1:1" x14ac:dyDescent="0.2">
      <c r="A169" s="47"/>
    </row>
    <row r="170" spans="1:1" x14ac:dyDescent="0.2">
      <c r="A170" s="47"/>
    </row>
    <row r="171" spans="1:1" x14ac:dyDescent="0.2">
      <c r="A171" s="47"/>
    </row>
    <row r="172" spans="1:1" x14ac:dyDescent="0.2">
      <c r="A172" s="47"/>
    </row>
    <row r="173" spans="1:1" x14ac:dyDescent="0.2">
      <c r="A173" s="47"/>
    </row>
    <row r="174" spans="1:1" x14ac:dyDescent="0.2">
      <c r="A174" s="47"/>
    </row>
    <row r="175" spans="1:1" x14ac:dyDescent="0.2">
      <c r="A175" s="47"/>
    </row>
    <row r="176" spans="1:1" x14ac:dyDescent="0.2">
      <c r="A176" s="47"/>
    </row>
    <row r="177" spans="1:1" x14ac:dyDescent="0.2">
      <c r="A177" s="47"/>
    </row>
  </sheetData>
  <sheetProtection selectLockedCells="1"/>
  <mergeCells count="1">
    <mergeCell ref="B1:I1"/>
  </mergeCells>
  <dataValidations count="1">
    <dataValidation type="list" allowBlank="1" showInputMessage="1" showErrorMessage="1" sqref="I4:I59" xr:uid="{29222B0F-6B75-4994-8B92-82536460BEE5}">
      <formula1>Lista_Calificacion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45F9-9279-4115-A56A-68C118BF090F}">
  <sheetPr codeName="Hoja5">
    <tabColor theme="5"/>
  </sheetPr>
  <dimension ref="A1:S219"/>
  <sheetViews>
    <sheetView showGridLines="0" showRowColHeaders="0" topLeftCell="B1" zoomScale="90" zoomScaleNormal="90" workbookViewId="0">
      <selection activeCell="D7" sqref="D7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6.6640625" customWidth="1"/>
    <col min="4" max="4" width="29" customWidth="1"/>
    <col min="5" max="5" width="31.1640625" customWidth="1"/>
    <col min="6" max="6" width="19" customWidth="1"/>
    <col min="7" max="7" width="25.6640625" customWidth="1"/>
    <col min="8" max="8" width="23.1640625" customWidth="1"/>
  </cols>
  <sheetData>
    <row r="1" spans="1:19" s="3" customFormat="1" ht="37" thickBot="1" x14ac:dyDescent="0.25">
      <c r="A1" s="47"/>
      <c r="B1" s="666" t="s">
        <v>93</v>
      </c>
      <c r="C1" s="666"/>
      <c r="D1" s="666"/>
      <c r="E1" s="666"/>
      <c r="F1" s="666"/>
      <c r="G1" s="666"/>
      <c r="H1" s="666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ht="8" customHeight="1" x14ac:dyDescent="0.2">
      <c r="A2" s="47"/>
    </row>
    <row r="3" spans="1:19" ht="27.5" customHeight="1" thickBot="1" x14ac:dyDescent="0.25">
      <c r="A3" s="47"/>
      <c r="C3" s="109" t="s">
        <v>19</v>
      </c>
      <c r="D3" s="110" t="s">
        <v>14</v>
      </c>
      <c r="E3" s="110" t="s">
        <v>9</v>
      </c>
      <c r="F3" s="109" t="s">
        <v>15</v>
      </c>
      <c r="G3" s="110" t="s">
        <v>16</v>
      </c>
      <c r="H3" s="109" t="s">
        <v>17</v>
      </c>
    </row>
    <row r="4" spans="1:19" x14ac:dyDescent="0.2">
      <c r="A4" s="47"/>
      <c r="C4" s="10">
        <f>ROW(A1)</f>
        <v>1</v>
      </c>
      <c r="D4" s="284" t="s">
        <v>219</v>
      </c>
      <c r="E4" s="34" t="s">
        <v>220</v>
      </c>
      <c r="F4" s="35"/>
      <c r="G4" s="111" t="s">
        <v>221</v>
      </c>
      <c r="H4" s="34" t="s">
        <v>270</v>
      </c>
    </row>
    <row r="5" spans="1:19" x14ac:dyDescent="0.2">
      <c r="A5" s="47"/>
      <c r="C5" s="10">
        <f t="shared" ref="C5:C13" si="0">ROW(A2)</f>
        <v>2</v>
      </c>
      <c r="D5" s="284" t="s">
        <v>223</v>
      </c>
      <c r="E5" s="34" t="s">
        <v>224</v>
      </c>
      <c r="F5" s="35">
        <v>968331684</v>
      </c>
      <c r="G5" s="111" t="s">
        <v>225</v>
      </c>
      <c r="H5" s="34" t="s">
        <v>226</v>
      </c>
    </row>
    <row r="6" spans="1:19" x14ac:dyDescent="0.2">
      <c r="A6" s="47"/>
      <c r="C6" s="10">
        <f t="shared" si="0"/>
        <v>3</v>
      </c>
      <c r="D6" s="284" t="s">
        <v>291</v>
      </c>
      <c r="E6" s="34" t="s">
        <v>292</v>
      </c>
      <c r="F6" s="35">
        <v>995441360</v>
      </c>
      <c r="G6" s="34"/>
      <c r="H6" s="34" t="s">
        <v>293</v>
      </c>
    </row>
    <row r="7" spans="1:19" x14ac:dyDescent="0.2">
      <c r="A7" s="47"/>
      <c r="C7" s="10">
        <f t="shared" si="0"/>
        <v>4</v>
      </c>
      <c r="D7" s="284" t="s">
        <v>335</v>
      </c>
      <c r="E7" s="34" t="s">
        <v>336</v>
      </c>
      <c r="F7" s="35">
        <v>993880324</v>
      </c>
      <c r="G7" s="34"/>
      <c r="H7" s="34" t="s">
        <v>337</v>
      </c>
    </row>
    <row r="8" spans="1:19" x14ac:dyDescent="0.2">
      <c r="A8" s="47"/>
      <c r="C8" s="10">
        <f t="shared" si="0"/>
        <v>5</v>
      </c>
      <c r="D8" s="34"/>
      <c r="E8" s="34"/>
      <c r="F8" s="35"/>
      <c r="G8" s="34"/>
      <c r="H8" s="34"/>
    </row>
    <row r="9" spans="1:19" x14ac:dyDescent="0.2">
      <c r="A9" s="47"/>
      <c r="C9" s="10">
        <f t="shared" si="0"/>
        <v>6</v>
      </c>
      <c r="D9" s="34"/>
      <c r="E9" s="34"/>
      <c r="F9" s="35"/>
      <c r="G9" s="34"/>
      <c r="H9" s="34"/>
    </row>
    <row r="10" spans="1:19" x14ac:dyDescent="0.2">
      <c r="A10" s="47"/>
      <c r="C10" s="10">
        <f t="shared" si="0"/>
        <v>7</v>
      </c>
      <c r="D10" s="34"/>
      <c r="E10" s="34"/>
      <c r="F10" s="35"/>
      <c r="G10" s="34"/>
      <c r="H10" s="34"/>
    </row>
    <row r="11" spans="1:19" x14ac:dyDescent="0.2">
      <c r="A11" s="47"/>
      <c r="C11" s="10">
        <f t="shared" si="0"/>
        <v>8</v>
      </c>
      <c r="D11" s="34"/>
      <c r="E11" s="34"/>
      <c r="F11" s="35"/>
      <c r="G11" s="34"/>
      <c r="H11" s="34"/>
    </row>
    <row r="12" spans="1:19" x14ac:dyDescent="0.2">
      <c r="A12" s="47"/>
      <c r="C12" s="10">
        <f t="shared" si="0"/>
        <v>9</v>
      </c>
      <c r="D12" s="34"/>
      <c r="E12" s="34"/>
      <c r="F12" s="35"/>
      <c r="G12" s="34"/>
      <c r="H12" s="34"/>
    </row>
    <row r="13" spans="1:19" x14ac:dyDescent="0.2">
      <c r="A13" s="47"/>
      <c r="C13" s="10">
        <f t="shared" si="0"/>
        <v>10</v>
      </c>
      <c r="D13" s="34"/>
      <c r="E13" s="34"/>
      <c r="F13" s="35"/>
      <c r="G13" s="34"/>
      <c r="H13" s="34"/>
    </row>
    <row r="14" spans="1:19" x14ac:dyDescent="0.2">
      <c r="A14" s="47"/>
      <c r="C14" s="10">
        <f t="shared" ref="C14:C23" si="1">ROW(A11)</f>
        <v>11</v>
      </c>
      <c r="D14" s="34"/>
      <c r="E14" s="34"/>
      <c r="F14" s="35"/>
      <c r="G14" s="34"/>
      <c r="H14" s="34"/>
    </row>
    <row r="15" spans="1:19" x14ac:dyDescent="0.2">
      <c r="A15" s="47"/>
      <c r="C15" s="10">
        <f t="shared" si="1"/>
        <v>12</v>
      </c>
      <c r="D15" s="34"/>
      <c r="E15" s="34"/>
      <c r="F15" s="35"/>
      <c r="G15" s="34"/>
      <c r="H15" s="34"/>
    </row>
    <row r="16" spans="1:19" x14ac:dyDescent="0.2">
      <c r="A16" s="47"/>
      <c r="C16" s="10">
        <f t="shared" si="1"/>
        <v>13</v>
      </c>
      <c r="D16" s="34"/>
      <c r="E16" s="34"/>
      <c r="F16" s="35"/>
      <c r="G16" s="34"/>
      <c r="H16" s="34"/>
    </row>
    <row r="17" spans="1:8" x14ac:dyDescent="0.2">
      <c r="A17" s="47"/>
      <c r="C17" s="10">
        <f t="shared" si="1"/>
        <v>14</v>
      </c>
      <c r="D17" s="34"/>
      <c r="E17" s="34"/>
      <c r="F17" s="35"/>
      <c r="G17" s="34"/>
      <c r="H17" s="34"/>
    </row>
    <row r="18" spans="1:8" x14ac:dyDescent="0.2">
      <c r="A18" s="47"/>
      <c r="C18" s="10">
        <f t="shared" si="1"/>
        <v>15</v>
      </c>
      <c r="D18" s="34"/>
      <c r="E18" s="34"/>
      <c r="F18" s="35"/>
      <c r="G18" s="34"/>
      <c r="H18" s="34"/>
    </row>
    <row r="19" spans="1:8" x14ac:dyDescent="0.2">
      <c r="A19" s="47"/>
      <c r="C19" s="10">
        <f t="shared" si="1"/>
        <v>16</v>
      </c>
      <c r="D19" s="34"/>
      <c r="E19" s="34"/>
      <c r="F19" s="35"/>
      <c r="G19" s="34"/>
      <c r="H19" s="34"/>
    </row>
    <row r="20" spans="1:8" x14ac:dyDescent="0.2">
      <c r="A20" s="47"/>
      <c r="C20" s="10">
        <f t="shared" si="1"/>
        <v>17</v>
      </c>
      <c r="D20" s="34"/>
      <c r="E20" s="34"/>
      <c r="F20" s="35"/>
      <c r="G20" s="34"/>
      <c r="H20" s="34"/>
    </row>
    <row r="21" spans="1:8" x14ac:dyDescent="0.2">
      <c r="A21" s="47"/>
      <c r="C21" s="10">
        <f t="shared" si="1"/>
        <v>18</v>
      </c>
      <c r="D21" s="34"/>
      <c r="E21" s="34"/>
      <c r="F21" s="35"/>
      <c r="G21" s="34"/>
      <c r="H21" s="34"/>
    </row>
    <row r="22" spans="1:8" x14ac:dyDescent="0.2">
      <c r="A22" s="47"/>
      <c r="C22" s="10">
        <f t="shared" si="1"/>
        <v>19</v>
      </c>
      <c r="D22" s="34"/>
      <c r="E22" s="34"/>
      <c r="F22" s="35"/>
      <c r="G22" s="34"/>
      <c r="H22" s="34"/>
    </row>
    <row r="23" spans="1:8" x14ac:dyDescent="0.2">
      <c r="A23" s="47"/>
      <c r="C23" s="10">
        <f t="shared" si="1"/>
        <v>20</v>
      </c>
      <c r="D23" s="34"/>
      <c r="E23" s="34"/>
      <c r="F23" s="35"/>
      <c r="G23" s="34"/>
      <c r="H23" s="34"/>
    </row>
    <row r="24" spans="1:8" x14ac:dyDescent="0.2">
      <c r="A24" s="47"/>
    </row>
    <row r="25" spans="1:8" x14ac:dyDescent="0.2">
      <c r="A25" s="47"/>
    </row>
    <row r="26" spans="1:8" x14ac:dyDescent="0.2">
      <c r="A26" s="47"/>
    </row>
    <row r="27" spans="1:8" x14ac:dyDescent="0.2">
      <c r="A27" s="47"/>
    </row>
    <row r="28" spans="1:8" x14ac:dyDescent="0.2">
      <c r="A28" s="47"/>
    </row>
    <row r="29" spans="1:8" x14ac:dyDescent="0.2">
      <c r="A29" s="47"/>
    </row>
    <row r="30" spans="1:8" x14ac:dyDescent="0.2">
      <c r="A30" s="47"/>
    </row>
    <row r="31" spans="1:8" x14ac:dyDescent="0.2">
      <c r="A31" s="47"/>
    </row>
    <row r="32" spans="1:8" x14ac:dyDescent="0.2">
      <c r="A32" s="47"/>
    </row>
    <row r="33" spans="1:1" x14ac:dyDescent="0.2">
      <c r="A33" s="47"/>
    </row>
    <row r="34" spans="1:1" x14ac:dyDescent="0.2">
      <c r="A34" s="47"/>
    </row>
    <row r="35" spans="1:1" x14ac:dyDescent="0.2">
      <c r="A35" s="47"/>
    </row>
    <row r="36" spans="1:1" x14ac:dyDescent="0.2">
      <c r="A36" s="47"/>
    </row>
    <row r="37" spans="1:1" x14ac:dyDescent="0.2">
      <c r="A37" s="47"/>
    </row>
    <row r="38" spans="1:1" x14ac:dyDescent="0.2">
      <c r="A38" s="47"/>
    </row>
    <row r="39" spans="1:1" x14ac:dyDescent="0.2">
      <c r="A39" s="47"/>
    </row>
    <row r="40" spans="1:1" x14ac:dyDescent="0.2">
      <c r="A40" s="47"/>
    </row>
    <row r="41" spans="1:1" x14ac:dyDescent="0.2">
      <c r="A41" s="47"/>
    </row>
    <row r="42" spans="1:1" x14ac:dyDescent="0.2">
      <c r="A42" s="47"/>
    </row>
    <row r="43" spans="1:1" x14ac:dyDescent="0.2">
      <c r="A43" s="47"/>
    </row>
    <row r="44" spans="1:1" x14ac:dyDescent="0.2">
      <c r="A44" s="47"/>
    </row>
    <row r="45" spans="1:1" x14ac:dyDescent="0.2">
      <c r="A45" s="47"/>
    </row>
    <row r="46" spans="1:1" x14ac:dyDescent="0.2">
      <c r="A46" s="47"/>
    </row>
    <row r="47" spans="1:1" x14ac:dyDescent="0.2">
      <c r="A47" s="47"/>
    </row>
    <row r="48" spans="1:1" x14ac:dyDescent="0.2">
      <c r="A48" s="47"/>
    </row>
    <row r="49" spans="1:1" x14ac:dyDescent="0.2">
      <c r="A49" s="47"/>
    </row>
    <row r="50" spans="1:1" x14ac:dyDescent="0.2">
      <c r="A50" s="47"/>
    </row>
    <row r="51" spans="1:1" x14ac:dyDescent="0.2">
      <c r="A51" s="47"/>
    </row>
    <row r="52" spans="1:1" x14ac:dyDescent="0.2">
      <c r="A52" s="47"/>
    </row>
    <row r="53" spans="1:1" x14ac:dyDescent="0.2">
      <c r="A53" s="47"/>
    </row>
    <row r="54" spans="1:1" x14ac:dyDescent="0.2">
      <c r="A54" s="47"/>
    </row>
    <row r="55" spans="1:1" x14ac:dyDescent="0.2">
      <c r="A55" s="47"/>
    </row>
    <row r="56" spans="1:1" x14ac:dyDescent="0.2">
      <c r="A56" s="47"/>
    </row>
    <row r="57" spans="1:1" x14ac:dyDescent="0.2">
      <c r="A57" s="47"/>
    </row>
    <row r="58" spans="1:1" x14ac:dyDescent="0.2">
      <c r="A58" s="47"/>
    </row>
    <row r="59" spans="1:1" x14ac:dyDescent="0.2">
      <c r="A59" s="47"/>
    </row>
    <row r="60" spans="1:1" x14ac:dyDescent="0.2">
      <c r="A60" s="47"/>
    </row>
    <row r="61" spans="1:1" x14ac:dyDescent="0.2">
      <c r="A61" s="47"/>
    </row>
    <row r="62" spans="1:1" x14ac:dyDescent="0.2">
      <c r="A62" s="47"/>
    </row>
    <row r="63" spans="1:1" x14ac:dyDescent="0.2">
      <c r="A63" s="47"/>
    </row>
    <row r="64" spans="1:1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  <row r="69" spans="1:1" x14ac:dyDescent="0.2">
      <c r="A69" s="47"/>
    </row>
    <row r="70" spans="1:1" x14ac:dyDescent="0.2">
      <c r="A70" s="47"/>
    </row>
    <row r="71" spans="1:1" x14ac:dyDescent="0.2">
      <c r="A71" s="47"/>
    </row>
    <row r="72" spans="1:1" x14ac:dyDescent="0.2">
      <c r="A72" s="47"/>
    </row>
    <row r="73" spans="1:1" x14ac:dyDescent="0.2">
      <c r="A73" s="47"/>
    </row>
    <row r="74" spans="1:1" x14ac:dyDescent="0.2">
      <c r="A74" s="47"/>
    </row>
    <row r="75" spans="1:1" x14ac:dyDescent="0.2">
      <c r="A75" s="47"/>
    </row>
    <row r="76" spans="1:1" x14ac:dyDescent="0.2">
      <c r="A76" s="47"/>
    </row>
    <row r="77" spans="1:1" x14ac:dyDescent="0.2">
      <c r="A77" s="47"/>
    </row>
    <row r="78" spans="1:1" x14ac:dyDescent="0.2">
      <c r="A78" s="47"/>
    </row>
    <row r="79" spans="1:1" x14ac:dyDescent="0.2">
      <c r="A79" s="47"/>
    </row>
    <row r="80" spans="1:1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  <row r="103" spans="1:1" x14ac:dyDescent="0.2">
      <c r="A103" s="47"/>
    </row>
    <row r="104" spans="1:1" x14ac:dyDescent="0.2">
      <c r="A104" s="47"/>
    </row>
    <row r="105" spans="1:1" x14ac:dyDescent="0.2">
      <c r="A105" s="47"/>
    </row>
    <row r="106" spans="1:1" x14ac:dyDescent="0.2">
      <c r="A106" s="47"/>
    </row>
    <row r="107" spans="1:1" x14ac:dyDescent="0.2">
      <c r="A107" s="47"/>
    </row>
    <row r="108" spans="1:1" x14ac:dyDescent="0.2">
      <c r="A108" s="47"/>
    </row>
    <row r="109" spans="1:1" x14ac:dyDescent="0.2">
      <c r="A109" s="47"/>
    </row>
    <row r="110" spans="1:1" x14ac:dyDescent="0.2">
      <c r="A110" s="47"/>
    </row>
    <row r="111" spans="1:1" x14ac:dyDescent="0.2">
      <c r="A111" s="47"/>
    </row>
    <row r="112" spans="1:1" x14ac:dyDescent="0.2">
      <c r="A112" s="47"/>
    </row>
    <row r="113" spans="1:1" x14ac:dyDescent="0.2">
      <c r="A113" s="47"/>
    </row>
    <row r="114" spans="1:1" x14ac:dyDescent="0.2">
      <c r="A114" s="47"/>
    </row>
    <row r="115" spans="1:1" x14ac:dyDescent="0.2">
      <c r="A115" s="47"/>
    </row>
    <row r="116" spans="1:1" x14ac:dyDescent="0.2">
      <c r="A116" s="47"/>
    </row>
    <row r="117" spans="1:1" x14ac:dyDescent="0.2">
      <c r="A117" s="47"/>
    </row>
    <row r="118" spans="1:1" x14ac:dyDescent="0.2">
      <c r="A118" s="47"/>
    </row>
    <row r="119" spans="1:1" x14ac:dyDescent="0.2">
      <c r="A119" s="47"/>
    </row>
    <row r="120" spans="1:1" x14ac:dyDescent="0.2">
      <c r="A120" s="47"/>
    </row>
    <row r="121" spans="1:1" x14ac:dyDescent="0.2">
      <c r="A121" s="47"/>
    </row>
    <row r="122" spans="1:1" x14ac:dyDescent="0.2">
      <c r="A122" s="47"/>
    </row>
    <row r="123" spans="1:1" x14ac:dyDescent="0.2">
      <c r="A123" s="47"/>
    </row>
    <row r="124" spans="1:1" x14ac:dyDescent="0.2">
      <c r="A124" s="47"/>
    </row>
    <row r="125" spans="1:1" x14ac:dyDescent="0.2">
      <c r="A125" s="47"/>
    </row>
    <row r="126" spans="1:1" x14ac:dyDescent="0.2">
      <c r="A126" s="47"/>
    </row>
    <row r="127" spans="1:1" x14ac:dyDescent="0.2">
      <c r="A127" s="47"/>
    </row>
    <row r="128" spans="1:1" x14ac:dyDescent="0.2">
      <c r="A128" s="47"/>
    </row>
    <row r="129" spans="1:1" x14ac:dyDescent="0.2">
      <c r="A129" s="47"/>
    </row>
    <row r="130" spans="1:1" x14ac:dyDescent="0.2">
      <c r="A130" s="47"/>
    </row>
    <row r="131" spans="1:1" x14ac:dyDescent="0.2">
      <c r="A131" s="47"/>
    </row>
    <row r="132" spans="1:1" x14ac:dyDescent="0.2">
      <c r="A132" s="47"/>
    </row>
    <row r="133" spans="1:1" x14ac:dyDescent="0.2">
      <c r="A133" s="47"/>
    </row>
    <row r="134" spans="1:1" x14ac:dyDescent="0.2">
      <c r="A134" s="47"/>
    </row>
    <row r="135" spans="1:1" x14ac:dyDescent="0.2">
      <c r="A135" s="47"/>
    </row>
    <row r="136" spans="1:1" x14ac:dyDescent="0.2">
      <c r="A136" s="47"/>
    </row>
    <row r="137" spans="1:1" x14ac:dyDescent="0.2">
      <c r="A137" s="47"/>
    </row>
    <row r="138" spans="1:1" x14ac:dyDescent="0.2">
      <c r="A138" s="47"/>
    </row>
    <row r="139" spans="1:1" x14ac:dyDescent="0.2">
      <c r="A139" s="47"/>
    </row>
    <row r="140" spans="1:1" x14ac:dyDescent="0.2">
      <c r="A140" s="47"/>
    </row>
    <row r="141" spans="1:1" x14ac:dyDescent="0.2">
      <c r="A141" s="47"/>
    </row>
    <row r="142" spans="1:1" x14ac:dyDescent="0.2">
      <c r="A142" s="47"/>
    </row>
    <row r="143" spans="1:1" x14ac:dyDescent="0.2">
      <c r="A143" s="47"/>
    </row>
    <row r="144" spans="1:1" x14ac:dyDescent="0.2">
      <c r="A144" s="47"/>
    </row>
    <row r="145" spans="1:1" x14ac:dyDescent="0.2">
      <c r="A145" s="47"/>
    </row>
    <row r="146" spans="1:1" x14ac:dyDescent="0.2">
      <c r="A146" s="47"/>
    </row>
    <row r="147" spans="1:1" x14ac:dyDescent="0.2">
      <c r="A147" s="47"/>
    </row>
    <row r="148" spans="1:1" x14ac:dyDescent="0.2">
      <c r="A148" s="47"/>
    </row>
    <row r="149" spans="1:1" x14ac:dyDescent="0.2">
      <c r="A149" s="47"/>
    </row>
    <row r="150" spans="1:1" x14ac:dyDescent="0.2">
      <c r="A150" s="47"/>
    </row>
    <row r="151" spans="1:1" x14ac:dyDescent="0.2">
      <c r="A151" s="47"/>
    </row>
    <row r="152" spans="1:1" x14ac:dyDescent="0.2">
      <c r="A152" s="47"/>
    </row>
    <row r="153" spans="1:1" x14ac:dyDescent="0.2">
      <c r="A153" s="47"/>
    </row>
    <row r="154" spans="1:1" x14ac:dyDescent="0.2">
      <c r="A154" s="47"/>
    </row>
    <row r="155" spans="1:1" x14ac:dyDescent="0.2">
      <c r="A155" s="47"/>
    </row>
    <row r="156" spans="1:1" x14ac:dyDescent="0.2">
      <c r="A156" s="47"/>
    </row>
    <row r="157" spans="1:1" x14ac:dyDescent="0.2">
      <c r="A157" s="47"/>
    </row>
    <row r="158" spans="1:1" x14ac:dyDescent="0.2">
      <c r="A158" s="47"/>
    </row>
    <row r="159" spans="1:1" x14ac:dyDescent="0.2">
      <c r="A159" s="47"/>
    </row>
    <row r="160" spans="1:1" x14ac:dyDescent="0.2">
      <c r="A160" s="47"/>
    </row>
    <row r="161" spans="1:1" x14ac:dyDescent="0.2">
      <c r="A161" s="47"/>
    </row>
    <row r="162" spans="1:1" x14ac:dyDescent="0.2">
      <c r="A162" s="47"/>
    </row>
    <row r="163" spans="1:1" x14ac:dyDescent="0.2">
      <c r="A163" s="47"/>
    </row>
    <row r="164" spans="1:1" x14ac:dyDescent="0.2">
      <c r="A164" s="47"/>
    </row>
    <row r="165" spans="1:1" x14ac:dyDescent="0.2">
      <c r="A165" s="47"/>
    </row>
    <row r="166" spans="1:1" x14ac:dyDescent="0.2">
      <c r="A166" s="47"/>
    </row>
    <row r="167" spans="1:1" x14ac:dyDescent="0.2">
      <c r="A167" s="47"/>
    </row>
    <row r="168" spans="1:1" x14ac:dyDescent="0.2">
      <c r="A168" s="47"/>
    </row>
    <row r="169" spans="1:1" x14ac:dyDescent="0.2">
      <c r="A169" s="47"/>
    </row>
    <row r="170" spans="1:1" x14ac:dyDescent="0.2">
      <c r="A170" s="47"/>
    </row>
    <row r="171" spans="1:1" x14ac:dyDescent="0.2">
      <c r="A171" s="47"/>
    </row>
    <row r="172" spans="1:1" x14ac:dyDescent="0.2">
      <c r="A172" s="47"/>
    </row>
    <row r="173" spans="1:1" x14ac:dyDescent="0.2">
      <c r="A173" s="47"/>
    </row>
    <row r="174" spans="1:1" x14ac:dyDescent="0.2">
      <c r="A174" s="47"/>
    </row>
    <row r="175" spans="1:1" x14ac:dyDescent="0.2">
      <c r="A175" s="47"/>
    </row>
    <row r="176" spans="1:1" x14ac:dyDescent="0.2">
      <c r="A176" s="47"/>
    </row>
    <row r="177" spans="1:1" x14ac:dyDescent="0.2">
      <c r="A177" s="47"/>
    </row>
    <row r="178" spans="1:1" x14ac:dyDescent="0.2">
      <c r="A178" s="47"/>
    </row>
    <row r="179" spans="1:1" x14ac:dyDescent="0.2">
      <c r="A179" s="47"/>
    </row>
    <row r="180" spans="1:1" x14ac:dyDescent="0.2">
      <c r="A180" s="47"/>
    </row>
    <row r="181" spans="1:1" x14ac:dyDescent="0.2">
      <c r="A181" s="47"/>
    </row>
    <row r="182" spans="1:1" x14ac:dyDescent="0.2">
      <c r="A182" s="47"/>
    </row>
    <row r="183" spans="1:1" x14ac:dyDescent="0.2">
      <c r="A183" s="47"/>
    </row>
    <row r="184" spans="1:1" x14ac:dyDescent="0.2">
      <c r="A184" s="47"/>
    </row>
    <row r="185" spans="1:1" x14ac:dyDescent="0.2">
      <c r="A185" s="47"/>
    </row>
    <row r="186" spans="1:1" x14ac:dyDescent="0.2">
      <c r="A186" s="47"/>
    </row>
    <row r="187" spans="1:1" x14ac:dyDescent="0.2">
      <c r="A187" s="47"/>
    </row>
    <row r="188" spans="1:1" x14ac:dyDescent="0.2">
      <c r="A188" s="47"/>
    </row>
    <row r="189" spans="1:1" x14ac:dyDescent="0.2">
      <c r="A189" s="47"/>
    </row>
    <row r="190" spans="1:1" x14ac:dyDescent="0.2">
      <c r="A190" s="47"/>
    </row>
    <row r="191" spans="1:1" x14ac:dyDescent="0.2">
      <c r="A191" s="47"/>
    </row>
    <row r="192" spans="1:1" x14ac:dyDescent="0.2">
      <c r="A192" s="47"/>
    </row>
    <row r="193" spans="1:1" x14ac:dyDescent="0.2">
      <c r="A193" s="47"/>
    </row>
    <row r="194" spans="1:1" x14ac:dyDescent="0.2">
      <c r="A194" s="47"/>
    </row>
    <row r="195" spans="1:1" x14ac:dyDescent="0.2">
      <c r="A195" s="47"/>
    </row>
    <row r="196" spans="1:1" x14ac:dyDescent="0.2">
      <c r="A196" s="47"/>
    </row>
    <row r="197" spans="1:1" x14ac:dyDescent="0.2">
      <c r="A197" s="47"/>
    </row>
    <row r="198" spans="1:1" x14ac:dyDescent="0.2">
      <c r="A198" s="47"/>
    </row>
    <row r="199" spans="1:1" x14ac:dyDescent="0.2">
      <c r="A199" s="47"/>
    </row>
    <row r="200" spans="1:1" x14ac:dyDescent="0.2">
      <c r="A200" s="47"/>
    </row>
    <row r="201" spans="1:1" x14ac:dyDescent="0.2">
      <c r="A201" s="47"/>
    </row>
    <row r="202" spans="1:1" x14ac:dyDescent="0.2">
      <c r="A202" s="47"/>
    </row>
    <row r="203" spans="1:1" x14ac:dyDescent="0.2">
      <c r="A203" s="47"/>
    </row>
    <row r="204" spans="1:1" x14ac:dyDescent="0.2">
      <c r="A204" s="47"/>
    </row>
    <row r="205" spans="1:1" x14ac:dyDescent="0.2">
      <c r="A205" s="47"/>
    </row>
    <row r="206" spans="1:1" x14ac:dyDescent="0.2">
      <c r="A206" s="47"/>
    </row>
    <row r="207" spans="1:1" x14ac:dyDescent="0.2">
      <c r="A207" s="47"/>
    </row>
    <row r="208" spans="1:1" x14ac:dyDescent="0.2">
      <c r="A208" s="47"/>
    </row>
    <row r="209" spans="1:1" x14ac:dyDescent="0.2">
      <c r="A209" s="47"/>
    </row>
    <row r="210" spans="1:1" x14ac:dyDescent="0.2">
      <c r="A210" s="47"/>
    </row>
    <row r="211" spans="1:1" x14ac:dyDescent="0.2">
      <c r="A211" s="47"/>
    </row>
    <row r="212" spans="1:1" x14ac:dyDescent="0.2">
      <c r="A212" s="47"/>
    </row>
    <row r="213" spans="1:1" x14ac:dyDescent="0.2">
      <c r="A213" s="47"/>
    </row>
    <row r="214" spans="1:1" x14ac:dyDescent="0.2">
      <c r="A214" s="47"/>
    </row>
    <row r="215" spans="1:1" x14ac:dyDescent="0.2">
      <c r="A215" s="47"/>
    </row>
    <row r="216" spans="1:1" x14ac:dyDescent="0.2">
      <c r="A216" s="47"/>
    </row>
    <row r="217" spans="1:1" x14ac:dyDescent="0.2">
      <c r="A217" s="47"/>
    </row>
    <row r="218" spans="1:1" x14ac:dyDescent="0.2">
      <c r="A218" s="47"/>
    </row>
    <row r="219" spans="1:1" x14ac:dyDescent="0.2">
      <c r="A219" s="47"/>
    </row>
  </sheetData>
  <sheetProtection selectLockedCells="1"/>
  <mergeCells count="1">
    <mergeCell ref="B1:H1"/>
  </mergeCells>
  <hyperlinks>
    <hyperlink ref="G4" r:id="rId1" xr:uid="{4711A5BC-7D0B-4BDD-B135-A6926CFD28A4}"/>
    <hyperlink ref="G5" r:id="rId2" xr:uid="{FD664B07-E1CE-4D3E-9D24-D0CD1E8DD266}"/>
  </hyperlinks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CB42-B65F-4386-91CF-3F52571E2A6D}">
  <sheetPr codeName="Hoja6">
    <tabColor theme="5"/>
  </sheetPr>
  <dimension ref="A1:W189"/>
  <sheetViews>
    <sheetView showGridLines="0" showRowColHeaders="0" zoomScale="90" zoomScaleNormal="90" workbookViewId="0">
      <selection activeCell="L14" sqref="L14"/>
    </sheetView>
  </sheetViews>
  <sheetFormatPr baseColWidth="10" defaultRowHeight="15" x14ac:dyDescent="0.2"/>
  <cols>
    <col min="1" max="1" width="8.6640625" style="2" customWidth="1"/>
    <col min="2" max="2" width="1.6640625" style="34" customWidth="1"/>
    <col min="3" max="3" width="11.1640625" style="34" customWidth="1"/>
    <col min="4" max="4" width="1.6640625" style="34" customWidth="1"/>
    <col min="5" max="5" width="14.1640625" style="34" customWidth="1"/>
    <col min="6" max="6" width="1.6640625" style="34" customWidth="1"/>
    <col min="7" max="7" width="12.6640625" style="34" customWidth="1"/>
    <col min="8" max="8" width="13.33203125" style="34" customWidth="1"/>
    <col min="9" max="9" width="3.6640625" style="34" customWidth="1"/>
    <col min="10" max="10" width="19.6640625" style="34" customWidth="1"/>
    <col min="11" max="11" width="1.6640625" style="34" customWidth="1"/>
    <col min="12" max="12" width="13" style="34" customWidth="1"/>
    <col min="13" max="13" width="3.6640625" style="34" customWidth="1"/>
    <col min="14" max="14" width="15.83203125" style="34" customWidth="1"/>
    <col min="15" max="15" width="1.6640625" style="34" customWidth="1"/>
    <col min="16" max="16" width="15.83203125" style="34" customWidth="1"/>
    <col min="17" max="17" width="1.6640625" style="34" customWidth="1"/>
    <col min="18" max="18" width="18.1640625" style="34" customWidth="1"/>
    <col min="19" max="19" width="44.1640625" style="34" bestFit="1" customWidth="1"/>
    <col min="20" max="20" width="3.6640625" style="34" customWidth="1"/>
    <col min="21" max="21" width="19.6640625" style="34" customWidth="1"/>
    <col min="22" max="22" width="1.6640625" style="34" customWidth="1"/>
    <col min="23" max="23" width="11.1640625" style="34"/>
  </cols>
  <sheetData>
    <row r="1" spans="1:23" s="3" customFormat="1" ht="51" customHeight="1" thickBot="1" x14ac:dyDescent="0.25">
      <c r="A1" s="47"/>
      <c r="B1" s="666" t="s">
        <v>94</v>
      </c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  <c r="W1" s="666"/>
    </row>
    <row r="2" spans="1:23" ht="8" customHeight="1" x14ac:dyDescent="0.2">
      <c r="A2" s="47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23" ht="18" customHeight="1" x14ac:dyDescent="0.2">
      <c r="A3" s="47"/>
      <c r="B3"/>
      <c r="C3" s="667" t="s">
        <v>178</v>
      </c>
      <c r="D3" s="667"/>
      <c r="E3" s="667"/>
      <c r="F3" s="667"/>
      <c r="G3" s="667"/>
      <c r="H3" s="667"/>
      <c r="I3"/>
      <c r="J3" s="668" t="s">
        <v>179</v>
      </c>
      <c r="K3" s="668"/>
      <c r="L3" s="668"/>
      <c r="M3"/>
      <c r="N3" s="669" t="s">
        <v>180</v>
      </c>
      <c r="O3" s="669"/>
      <c r="P3" s="669"/>
      <c r="Q3" s="669"/>
      <c r="R3" s="669"/>
      <c r="S3" s="669"/>
      <c r="T3"/>
      <c r="U3" s="670" t="s">
        <v>181</v>
      </c>
      <c r="V3" s="670"/>
      <c r="W3" s="670"/>
    </row>
    <row r="4" spans="1:23" ht="8" customHeight="1" x14ac:dyDescent="0.2">
      <c r="A4" s="47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23" s="41" customFormat="1" ht="32" x14ac:dyDescent="0.2">
      <c r="A5" s="51"/>
      <c r="C5" s="1" t="s">
        <v>1</v>
      </c>
      <c r="E5" s="1" t="s">
        <v>2</v>
      </c>
      <c r="G5" s="1" t="s">
        <v>2</v>
      </c>
      <c r="H5" s="1" t="s">
        <v>3</v>
      </c>
      <c r="J5" s="1" t="s">
        <v>21</v>
      </c>
      <c r="L5" s="1" t="s">
        <v>20</v>
      </c>
      <c r="N5" s="1" t="s">
        <v>129</v>
      </c>
      <c r="P5" s="1" t="s">
        <v>172</v>
      </c>
      <c r="R5" s="1" t="s">
        <v>172</v>
      </c>
      <c r="S5" s="1" t="s">
        <v>18</v>
      </c>
      <c r="U5" s="1" t="s">
        <v>22</v>
      </c>
      <c r="W5" s="41" t="s">
        <v>11</v>
      </c>
    </row>
    <row r="6" spans="1:23" x14ac:dyDescent="0.2">
      <c r="A6" s="47"/>
      <c r="C6" s="34" t="s">
        <v>203</v>
      </c>
      <c r="E6" s="34" t="s">
        <v>198</v>
      </c>
      <c r="G6" s="34" t="s">
        <v>198</v>
      </c>
      <c r="H6" s="34" t="s">
        <v>196</v>
      </c>
      <c r="J6" s="34" t="s">
        <v>273</v>
      </c>
      <c r="L6" s="34" t="s">
        <v>102</v>
      </c>
      <c r="N6" s="34" t="s">
        <v>30</v>
      </c>
      <c r="P6" s="34" t="s">
        <v>173</v>
      </c>
      <c r="R6" s="34" t="s">
        <v>173</v>
      </c>
      <c r="S6" s="34" t="s">
        <v>120</v>
      </c>
      <c r="U6" s="34" t="s">
        <v>125</v>
      </c>
      <c r="W6" s="42" t="s">
        <v>95</v>
      </c>
    </row>
    <row r="7" spans="1:23" x14ac:dyDescent="0.2">
      <c r="A7" s="47"/>
      <c r="C7" s="34" t="s">
        <v>197</v>
      </c>
      <c r="E7" s="34" t="s">
        <v>200</v>
      </c>
      <c r="G7" s="34" t="s">
        <v>200</v>
      </c>
      <c r="H7" s="34" t="s">
        <v>196</v>
      </c>
      <c r="J7" s="34" t="s">
        <v>339</v>
      </c>
      <c r="L7" s="34" t="s">
        <v>101</v>
      </c>
      <c r="N7" s="34" t="s">
        <v>31</v>
      </c>
      <c r="P7" s="34" t="s">
        <v>174</v>
      </c>
      <c r="R7" s="34" t="s">
        <v>173</v>
      </c>
      <c r="S7" s="34" t="s">
        <v>103</v>
      </c>
      <c r="U7" s="34" t="s">
        <v>128</v>
      </c>
      <c r="W7" s="42" t="s">
        <v>96</v>
      </c>
    </row>
    <row r="8" spans="1:23" x14ac:dyDescent="0.2">
      <c r="A8" s="47"/>
      <c r="C8" s="34" t="s">
        <v>195</v>
      </c>
      <c r="E8" s="34" t="s">
        <v>199</v>
      </c>
      <c r="G8" s="34" t="s">
        <v>199</v>
      </c>
      <c r="H8" s="34" t="s">
        <v>202</v>
      </c>
      <c r="J8" s="34" t="s">
        <v>340</v>
      </c>
      <c r="L8" s="34" t="s">
        <v>277</v>
      </c>
      <c r="N8" s="34" t="s">
        <v>322</v>
      </c>
      <c r="P8" s="34" t="s">
        <v>175</v>
      </c>
      <c r="R8" s="34" t="s">
        <v>173</v>
      </c>
      <c r="S8" s="34" t="s">
        <v>106</v>
      </c>
      <c r="U8" s="34" t="s">
        <v>126</v>
      </c>
      <c r="W8" s="42" t="s">
        <v>97</v>
      </c>
    </row>
    <row r="9" spans="1:23" x14ac:dyDescent="0.2">
      <c r="A9" s="47"/>
      <c r="C9" s="34" t="s">
        <v>283</v>
      </c>
      <c r="E9" s="34" t="s">
        <v>201</v>
      </c>
      <c r="G9" s="34" t="s">
        <v>199</v>
      </c>
      <c r="H9" s="60" t="s">
        <v>196</v>
      </c>
      <c r="J9" s="34" t="s">
        <v>398</v>
      </c>
      <c r="L9" s="34" t="s">
        <v>100</v>
      </c>
      <c r="P9" s="34" t="s">
        <v>176</v>
      </c>
      <c r="R9" s="34" t="s">
        <v>173</v>
      </c>
      <c r="S9" s="34" t="s">
        <v>112</v>
      </c>
      <c r="U9" s="34" t="s">
        <v>127</v>
      </c>
      <c r="W9" s="42" t="s">
        <v>98</v>
      </c>
    </row>
    <row r="10" spans="1:23" x14ac:dyDescent="0.2">
      <c r="A10" s="47"/>
      <c r="E10" s="34" t="s">
        <v>284</v>
      </c>
      <c r="G10" s="34" t="s">
        <v>201</v>
      </c>
      <c r="H10" s="60" t="s">
        <v>296</v>
      </c>
      <c r="J10" s="34" t="s">
        <v>196</v>
      </c>
      <c r="P10" s="34" t="s">
        <v>177</v>
      </c>
      <c r="R10" s="34" t="s">
        <v>173</v>
      </c>
      <c r="S10" s="34" t="s">
        <v>115</v>
      </c>
      <c r="U10" s="34" t="s">
        <v>124</v>
      </c>
      <c r="W10" s="42" t="s">
        <v>99</v>
      </c>
    </row>
    <row r="11" spans="1:23" x14ac:dyDescent="0.2">
      <c r="A11" s="47"/>
      <c r="E11" s="34" t="s">
        <v>404</v>
      </c>
      <c r="G11" s="34" t="s">
        <v>201</v>
      </c>
      <c r="H11" s="60" t="s">
        <v>297</v>
      </c>
      <c r="J11" s="34" t="s">
        <v>471</v>
      </c>
      <c r="P11" s="34" t="s">
        <v>189</v>
      </c>
      <c r="R11" s="34" t="s">
        <v>174</v>
      </c>
      <c r="S11" s="34" t="s">
        <v>121</v>
      </c>
      <c r="U11" s="34" t="s">
        <v>123</v>
      </c>
    </row>
    <row r="12" spans="1:23" x14ac:dyDescent="0.2">
      <c r="A12" s="47"/>
      <c r="G12" s="34" t="s">
        <v>201</v>
      </c>
      <c r="H12" s="60" t="s">
        <v>298</v>
      </c>
      <c r="J12" s="34" t="s">
        <v>472</v>
      </c>
      <c r="P12" s="34" t="s">
        <v>190</v>
      </c>
      <c r="R12" s="34" t="s">
        <v>174</v>
      </c>
      <c r="S12" s="34" t="s">
        <v>107</v>
      </c>
    </row>
    <row r="13" spans="1:23" x14ac:dyDescent="0.2">
      <c r="A13" s="47"/>
      <c r="G13" s="34" t="s">
        <v>284</v>
      </c>
      <c r="H13" s="34" t="s">
        <v>285</v>
      </c>
      <c r="P13" s="34" t="s">
        <v>191</v>
      </c>
      <c r="R13" s="34" t="s">
        <v>174</v>
      </c>
      <c r="S13" s="34" t="s">
        <v>113</v>
      </c>
    </row>
    <row r="14" spans="1:23" x14ac:dyDescent="0.2">
      <c r="A14" s="47"/>
      <c r="G14" s="34" t="s">
        <v>404</v>
      </c>
      <c r="H14" s="34" t="s">
        <v>196</v>
      </c>
      <c r="P14" s="34" t="s">
        <v>323</v>
      </c>
      <c r="R14" s="34" t="s">
        <v>174</v>
      </c>
      <c r="S14" s="34" t="s">
        <v>119</v>
      </c>
    </row>
    <row r="15" spans="1:23" x14ac:dyDescent="0.2">
      <c r="A15" s="47"/>
      <c r="P15" s="34" t="s">
        <v>324</v>
      </c>
      <c r="R15" s="34" t="s">
        <v>175</v>
      </c>
      <c r="S15" s="34" t="s">
        <v>109</v>
      </c>
    </row>
    <row r="16" spans="1:23" x14ac:dyDescent="0.2">
      <c r="A16" s="47"/>
      <c r="P16" s="34" t="s">
        <v>325</v>
      </c>
      <c r="R16" s="34" t="s">
        <v>175</v>
      </c>
      <c r="S16" s="34" t="s">
        <v>111</v>
      </c>
    </row>
    <row r="17" spans="1:19" x14ac:dyDescent="0.2">
      <c r="A17" s="47"/>
      <c r="P17" s="34" t="s">
        <v>326</v>
      </c>
      <c r="R17" s="34" t="s">
        <v>175</v>
      </c>
      <c r="S17" s="34" t="s">
        <v>108</v>
      </c>
    </row>
    <row r="18" spans="1:19" x14ac:dyDescent="0.2">
      <c r="A18" s="47"/>
      <c r="P18" s="34" t="s">
        <v>327</v>
      </c>
      <c r="R18" s="34" t="s">
        <v>175</v>
      </c>
      <c r="S18" s="34" t="s">
        <v>116</v>
      </c>
    </row>
    <row r="19" spans="1:19" x14ac:dyDescent="0.2">
      <c r="A19" s="47"/>
      <c r="P19" s="34" t="s">
        <v>328</v>
      </c>
      <c r="R19" s="34" t="s">
        <v>176</v>
      </c>
      <c r="S19" s="34" t="s">
        <v>105</v>
      </c>
    </row>
    <row r="20" spans="1:19" x14ac:dyDescent="0.2">
      <c r="A20" s="47"/>
      <c r="P20" s="34" t="s">
        <v>329</v>
      </c>
      <c r="R20" s="34" t="s">
        <v>176</v>
      </c>
      <c r="S20" s="34" t="s">
        <v>118</v>
      </c>
    </row>
    <row r="21" spans="1:19" x14ac:dyDescent="0.2">
      <c r="A21" s="47"/>
      <c r="P21" s="34" t="s">
        <v>330</v>
      </c>
      <c r="R21" s="34" t="s">
        <v>176</v>
      </c>
      <c r="S21" s="34" t="s">
        <v>114</v>
      </c>
    </row>
    <row r="22" spans="1:19" x14ac:dyDescent="0.2">
      <c r="A22" s="47"/>
      <c r="P22" s="34" t="s">
        <v>331</v>
      </c>
      <c r="R22" s="34" t="s">
        <v>177</v>
      </c>
      <c r="S22" s="34" t="s">
        <v>110</v>
      </c>
    </row>
    <row r="23" spans="1:19" x14ac:dyDescent="0.2">
      <c r="A23" s="47"/>
      <c r="P23" s="34" t="s">
        <v>332</v>
      </c>
      <c r="R23" s="34" t="s">
        <v>177</v>
      </c>
      <c r="S23" s="34" t="s">
        <v>104</v>
      </c>
    </row>
    <row r="24" spans="1:19" x14ac:dyDescent="0.2">
      <c r="A24" s="47"/>
      <c r="P24" s="34" t="s">
        <v>333</v>
      </c>
      <c r="R24" s="34" t="s">
        <v>177</v>
      </c>
      <c r="S24" s="34" t="s">
        <v>117</v>
      </c>
    </row>
    <row r="25" spans="1:19" x14ac:dyDescent="0.2">
      <c r="A25" s="47"/>
      <c r="P25" s="34" t="s">
        <v>334</v>
      </c>
      <c r="R25" s="34" t="s">
        <v>177</v>
      </c>
      <c r="S25" s="34" t="s">
        <v>122</v>
      </c>
    </row>
    <row r="26" spans="1:19" x14ac:dyDescent="0.2">
      <c r="A26" s="47"/>
      <c r="R26" s="34" t="s">
        <v>189</v>
      </c>
      <c r="S26" s="34" t="s">
        <v>192</v>
      </c>
    </row>
    <row r="27" spans="1:19" x14ac:dyDescent="0.2">
      <c r="A27" s="47"/>
      <c r="R27" s="34" t="s">
        <v>190</v>
      </c>
      <c r="S27" s="34" t="s">
        <v>193</v>
      </c>
    </row>
    <row r="28" spans="1:19" x14ac:dyDescent="0.2">
      <c r="A28" s="47"/>
      <c r="R28" s="34" t="s">
        <v>191</v>
      </c>
      <c r="S28" s="34" t="s">
        <v>194</v>
      </c>
    </row>
    <row r="29" spans="1:19" x14ac:dyDescent="0.2">
      <c r="A29" s="47"/>
    </row>
    <row r="30" spans="1:19" x14ac:dyDescent="0.2">
      <c r="A30" s="47"/>
    </row>
    <row r="31" spans="1:19" x14ac:dyDescent="0.2">
      <c r="A31" s="47"/>
    </row>
    <row r="32" spans="1:19" x14ac:dyDescent="0.2">
      <c r="A32" s="47"/>
    </row>
    <row r="33" spans="1:1" x14ac:dyDescent="0.2">
      <c r="A33" s="47"/>
    </row>
    <row r="34" spans="1:1" x14ac:dyDescent="0.2">
      <c r="A34" s="47"/>
    </row>
    <row r="35" spans="1:1" x14ac:dyDescent="0.2">
      <c r="A35" s="47"/>
    </row>
    <row r="36" spans="1:1" x14ac:dyDescent="0.2">
      <c r="A36" s="47"/>
    </row>
    <row r="37" spans="1:1" x14ac:dyDescent="0.2">
      <c r="A37" s="47"/>
    </row>
    <row r="38" spans="1:1" x14ac:dyDescent="0.2">
      <c r="A38" s="47"/>
    </row>
    <row r="39" spans="1:1" x14ac:dyDescent="0.2">
      <c r="A39" s="47"/>
    </row>
    <row r="40" spans="1:1" x14ac:dyDescent="0.2">
      <c r="A40" s="47"/>
    </row>
    <row r="41" spans="1:1" x14ac:dyDescent="0.2">
      <c r="A41" s="47"/>
    </row>
    <row r="42" spans="1:1" x14ac:dyDescent="0.2">
      <c r="A42" s="47"/>
    </row>
    <row r="43" spans="1:1" x14ac:dyDescent="0.2">
      <c r="A43" s="47"/>
    </row>
    <row r="44" spans="1:1" x14ac:dyDescent="0.2">
      <c r="A44" s="47"/>
    </row>
    <row r="45" spans="1:1" x14ac:dyDescent="0.2">
      <c r="A45" s="47"/>
    </row>
    <row r="46" spans="1:1" x14ac:dyDescent="0.2">
      <c r="A46" s="47"/>
    </row>
    <row r="47" spans="1:1" x14ac:dyDescent="0.2">
      <c r="A47" s="47"/>
    </row>
    <row r="48" spans="1:1" x14ac:dyDescent="0.2">
      <c r="A48" s="47"/>
    </row>
    <row r="49" spans="1:1" x14ac:dyDescent="0.2">
      <c r="A49" s="47"/>
    </row>
    <row r="50" spans="1:1" x14ac:dyDescent="0.2">
      <c r="A50" s="47"/>
    </row>
    <row r="51" spans="1:1" x14ac:dyDescent="0.2">
      <c r="A51" s="47"/>
    </row>
    <row r="52" spans="1:1" x14ac:dyDescent="0.2">
      <c r="A52" s="47"/>
    </row>
    <row r="53" spans="1:1" x14ac:dyDescent="0.2">
      <c r="A53" s="47"/>
    </row>
    <row r="54" spans="1:1" x14ac:dyDescent="0.2">
      <c r="A54" s="47"/>
    </row>
    <row r="55" spans="1:1" x14ac:dyDescent="0.2">
      <c r="A55" s="47"/>
    </row>
    <row r="56" spans="1:1" x14ac:dyDescent="0.2">
      <c r="A56" s="47"/>
    </row>
    <row r="57" spans="1:1" x14ac:dyDescent="0.2">
      <c r="A57" s="47"/>
    </row>
    <row r="58" spans="1:1" x14ac:dyDescent="0.2">
      <c r="A58" s="47"/>
    </row>
    <row r="59" spans="1:1" x14ac:dyDescent="0.2">
      <c r="A59" s="47"/>
    </row>
    <row r="60" spans="1:1" x14ac:dyDescent="0.2">
      <c r="A60" s="47"/>
    </row>
    <row r="61" spans="1:1" x14ac:dyDescent="0.2">
      <c r="A61" s="47"/>
    </row>
    <row r="62" spans="1:1" x14ac:dyDescent="0.2">
      <c r="A62" s="47"/>
    </row>
    <row r="63" spans="1:1" x14ac:dyDescent="0.2">
      <c r="A63" s="47"/>
    </row>
    <row r="64" spans="1:1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  <row r="69" spans="1:1" x14ac:dyDescent="0.2">
      <c r="A69" s="47"/>
    </row>
    <row r="70" spans="1:1" x14ac:dyDescent="0.2">
      <c r="A70" s="47"/>
    </row>
    <row r="71" spans="1:1" x14ac:dyDescent="0.2">
      <c r="A71" s="47"/>
    </row>
    <row r="72" spans="1:1" x14ac:dyDescent="0.2">
      <c r="A72" s="47"/>
    </row>
    <row r="73" spans="1:1" x14ac:dyDescent="0.2">
      <c r="A73" s="47"/>
    </row>
    <row r="74" spans="1:1" x14ac:dyDescent="0.2">
      <c r="A74" s="47"/>
    </row>
    <row r="75" spans="1:1" x14ac:dyDescent="0.2">
      <c r="A75" s="47"/>
    </row>
    <row r="76" spans="1:1" x14ac:dyDescent="0.2">
      <c r="A76" s="47"/>
    </row>
    <row r="77" spans="1:1" x14ac:dyDescent="0.2">
      <c r="A77" s="47"/>
    </row>
    <row r="78" spans="1:1" x14ac:dyDescent="0.2">
      <c r="A78" s="47"/>
    </row>
    <row r="79" spans="1:1" x14ac:dyDescent="0.2">
      <c r="A79" s="47"/>
    </row>
    <row r="80" spans="1:1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  <row r="103" spans="1:1" x14ac:dyDescent="0.2">
      <c r="A103" s="47"/>
    </row>
    <row r="104" spans="1:1" x14ac:dyDescent="0.2">
      <c r="A104" s="47"/>
    </row>
    <row r="105" spans="1:1" x14ac:dyDescent="0.2">
      <c r="A105" s="47"/>
    </row>
    <row r="106" spans="1:1" x14ac:dyDescent="0.2">
      <c r="A106" s="47"/>
    </row>
    <row r="107" spans="1:1" x14ac:dyDescent="0.2">
      <c r="A107" s="47"/>
    </row>
    <row r="108" spans="1:1" x14ac:dyDescent="0.2">
      <c r="A108" s="47"/>
    </row>
    <row r="109" spans="1:1" x14ac:dyDescent="0.2">
      <c r="A109" s="47"/>
    </row>
    <row r="110" spans="1:1" x14ac:dyDescent="0.2">
      <c r="A110" s="47"/>
    </row>
    <row r="111" spans="1:1" x14ac:dyDescent="0.2">
      <c r="A111" s="47"/>
    </row>
    <row r="112" spans="1:1" x14ac:dyDescent="0.2">
      <c r="A112" s="47"/>
    </row>
    <row r="113" spans="1:1" x14ac:dyDescent="0.2">
      <c r="A113" s="47"/>
    </row>
    <row r="114" spans="1:1" x14ac:dyDescent="0.2">
      <c r="A114" s="47"/>
    </row>
    <row r="115" spans="1:1" x14ac:dyDescent="0.2">
      <c r="A115" s="47"/>
    </row>
    <row r="116" spans="1:1" x14ac:dyDescent="0.2">
      <c r="A116" s="47"/>
    </row>
    <row r="117" spans="1:1" x14ac:dyDescent="0.2">
      <c r="A117" s="47"/>
    </row>
    <row r="118" spans="1:1" x14ac:dyDescent="0.2">
      <c r="A118" s="47"/>
    </row>
    <row r="119" spans="1:1" x14ac:dyDescent="0.2">
      <c r="A119" s="47"/>
    </row>
    <row r="120" spans="1:1" x14ac:dyDescent="0.2">
      <c r="A120" s="47"/>
    </row>
    <row r="121" spans="1:1" x14ac:dyDescent="0.2">
      <c r="A121" s="47"/>
    </row>
    <row r="122" spans="1:1" x14ac:dyDescent="0.2">
      <c r="A122" s="47"/>
    </row>
    <row r="123" spans="1:1" x14ac:dyDescent="0.2">
      <c r="A123" s="47"/>
    </row>
    <row r="124" spans="1:1" x14ac:dyDescent="0.2">
      <c r="A124" s="47"/>
    </row>
    <row r="125" spans="1:1" x14ac:dyDescent="0.2">
      <c r="A125" s="47"/>
    </row>
    <row r="126" spans="1:1" x14ac:dyDescent="0.2">
      <c r="A126" s="47"/>
    </row>
    <row r="127" spans="1:1" x14ac:dyDescent="0.2">
      <c r="A127" s="47"/>
    </row>
    <row r="128" spans="1:1" x14ac:dyDescent="0.2">
      <c r="A128" s="47"/>
    </row>
    <row r="129" spans="1:1" x14ac:dyDescent="0.2">
      <c r="A129" s="47"/>
    </row>
    <row r="130" spans="1:1" x14ac:dyDescent="0.2">
      <c r="A130" s="47"/>
    </row>
    <row r="131" spans="1:1" x14ac:dyDescent="0.2">
      <c r="A131" s="47"/>
    </row>
    <row r="132" spans="1:1" x14ac:dyDescent="0.2">
      <c r="A132" s="47"/>
    </row>
    <row r="133" spans="1:1" x14ac:dyDescent="0.2">
      <c r="A133" s="47"/>
    </row>
    <row r="134" spans="1:1" x14ac:dyDescent="0.2">
      <c r="A134" s="47"/>
    </row>
    <row r="135" spans="1:1" x14ac:dyDescent="0.2">
      <c r="A135" s="47"/>
    </row>
    <row r="136" spans="1:1" x14ac:dyDescent="0.2">
      <c r="A136" s="47"/>
    </row>
    <row r="137" spans="1:1" x14ac:dyDescent="0.2">
      <c r="A137" s="47"/>
    </row>
    <row r="138" spans="1:1" x14ac:dyDescent="0.2">
      <c r="A138" s="47"/>
    </row>
    <row r="139" spans="1:1" x14ac:dyDescent="0.2">
      <c r="A139" s="47"/>
    </row>
    <row r="140" spans="1:1" x14ac:dyDescent="0.2">
      <c r="A140" s="47"/>
    </row>
    <row r="141" spans="1:1" x14ac:dyDescent="0.2">
      <c r="A141" s="47"/>
    </row>
    <row r="142" spans="1:1" x14ac:dyDescent="0.2">
      <c r="A142" s="47"/>
    </row>
    <row r="143" spans="1:1" x14ac:dyDescent="0.2">
      <c r="A143" s="47"/>
    </row>
    <row r="144" spans="1:1" x14ac:dyDescent="0.2">
      <c r="A144" s="47"/>
    </row>
    <row r="145" spans="1:1" x14ac:dyDescent="0.2">
      <c r="A145" s="47"/>
    </row>
    <row r="146" spans="1:1" x14ac:dyDescent="0.2">
      <c r="A146" s="47"/>
    </row>
    <row r="147" spans="1:1" x14ac:dyDescent="0.2">
      <c r="A147" s="47"/>
    </row>
    <row r="148" spans="1:1" x14ac:dyDescent="0.2">
      <c r="A148" s="47"/>
    </row>
    <row r="149" spans="1:1" x14ac:dyDescent="0.2">
      <c r="A149" s="47"/>
    </row>
    <row r="150" spans="1:1" x14ac:dyDescent="0.2">
      <c r="A150" s="47"/>
    </row>
    <row r="151" spans="1:1" x14ac:dyDescent="0.2">
      <c r="A151" s="47"/>
    </row>
    <row r="152" spans="1:1" x14ac:dyDescent="0.2">
      <c r="A152" s="47"/>
    </row>
    <row r="153" spans="1:1" x14ac:dyDescent="0.2">
      <c r="A153" s="47"/>
    </row>
    <row r="154" spans="1:1" x14ac:dyDescent="0.2">
      <c r="A154" s="47"/>
    </row>
    <row r="155" spans="1:1" x14ac:dyDescent="0.2">
      <c r="A155" s="47"/>
    </row>
    <row r="156" spans="1:1" x14ac:dyDescent="0.2">
      <c r="A156" s="47"/>
    </row>
    <row r="157" spans="1:1" x14ac:dyDescent="0.2">
      <c r="A157" s="47"/>
    </row>
    <row r="158" spans="1:1" x14ac:dyDescent="0.2">
      <c r="A158" s="47"/>
    </row>
    <row r="159" spans="1:1" x14ac:dyDescent="0.2">
      <c r="A159" s="47"/>
    </row>
    <row r="160" spans="1:1" x14ac:dyDescent="0.2">
      <c r="A160" s="47"/>
    </row>
    <row r="161" spans="1:1" x14ac:dyDescent="0.2">
      <c r="A161" s="47"/>
    </row>
    <row r="162" spans="1:1" x14ac:dyDescent="0.2">
      <c r="A162" s="47"/>
    </row>
    <row r="163" spans="1:1" x14ac:dyDescent="0.2">
      <c r="A163" s="47"/>
    </row>
    <row r="164" spans="1:1" x14ac:dyDescent="0.2">
      <c r="A164" s="47"/>
    </row>
    <row r="165" spans="1:1" x14ac:dyDescent="0.2">
      <c r="A165" s="47"/>
    </row>
    <row r="166" spans="1:1" x14ac:dyDescent="0.2">
      <c r="A166" s="47"/>
    </row>
    <row r="167" spans="1:1" x14ac:dyDescent="0.2">
      <c r="A167" s="47"/>
    </row>
    <row r="168" spans="1:1" x14ac:dyDescent="0.2">
      <c r="A168" s="47"/>
    </row>
    <row r="169" spans="1:1" x14ac:dyDescent="0.2">
      <c r="A169" s="47"/>
    </row>
    <row r="170" spans="1:1" x14ac:dyDescent="0.2">
      <c r="A170" s="47"/>
    </row>
    <row r="171" spans="1:1" x14ac:dyDescent="0.2">
      <c r="A171" s="47"/>
    </row>
    <row r="172" spans="1:1" x14ac:dyDescent="0.2">
      <c r="A172" s="47"/>
    </row>
    <row r="173" spans="1:1" x14ac:dyDescent="0.2">
      <c r="A173" s="47"/>
    </row>
    <row r="174" spans="1:1" x14ac:dyDescent="0.2">
      <c r="A174" s="47"/>
    </row>
    <row r="175" spans="1:1" x14ac:dyDescent="0.2">
      <c r="A175" s="47"/>
    </row>
    <row r="176" spans="1:1" x14ac:dyDescent="0.2">
      <c r="A176" s="47"/>
    </row>
    <row r="177" spans="1:1" x14ac:dyDescent="0.2">
      <c r="A177" s="47"/>
    </row>
    <row r="178" spans="1:1" x14ac:dyDescent="0.2">
      <c r="A178" s="47"/>
    </row>
    <row r="179" spans="1:1" x14ac:dyDescent="0.2">
      <c r="A179" s="47"/>
    </row>
    <row r="180" spans="1:1" x14ac:dyDescent="0.2">
      <c r="A180" s="47"/>
    </row>
    <row r="181" spans="1:1" x14ac:dyDescent="0.2">
      <c r="A181" s="47"/>
    </row>
    <row r="182" spans="1:1" x14ac:dyDescent="0.2">
      <c r="A182" s="47"/>
    </row>
    <row r="183" spans="1:1" x14ac:dyDescent="0.2">
      <c r="A183" s="47"/>
    </row>
    <row r="184" spans="1:1" x14ac:dyDescent="0.2">
      <c r="A184" s="47"/>
    </row>
    <row r="185" spans="1:1" x14ac:dyDescent="0.2">
      <c r="A185" s="47"/>
    </row>
    <row r="186" spans="1:1" x14ac:dyDescent="0.2">
      <c r="A186" s="47"/>
    </row>
    <row r="187" spans="1:1" x14ac:dyDescent="0.2">
      <c r="A187" s="47"/>
    </row>
    <row r="188" spans="1:1" x14ac:dyDescent="0.2">
      <c r="A188" s="47"/>
    </row>
    <row r="189" spans="1:1" x14ac:dyDescent="0.2">
      <c r="A189" s="47"/>
    </row>
  </sheetData>
  <sheetProtection selectLockedCells="1"/>
  <mergeCells count="5">
    <mergeCell ref="C3:H3"/>
    <mergeCell ref="J3:L3"/>
    <mergeCell ref="N3:S3"/>
    <mergeCell ref="U3:W3"/>
    <mergeCell ref="B1:W1"/>
  </mergeCells>
  <phoneticPr fontId="4" type="noConversion"/>
  <dataValidations count="2">
    <dataValidation type="list" allowBlank="1" showInputMessage="1" showErrorMessage="1" sqref="G6:G35" xr:uid="{3345D624-BD6E-4A66-AA9E-D289F7B034EF}">
      <formula1>Lista_Marcas</formula1>
    </dataValidation>
    <dataValidation type="list" allowBlank="1" showInputMessage="1" showErrorMessage="1" sqref="R6:R28" xr:uid="{96F473D2-58AC-4B66-8BAF-3EA88E2E7EF0}">
      <formula1>Lista_PaqMnnto</formula1>
    </dataValidation>
  </dataValidations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7DD1-390F-4B63-A113-5363FB45F60D}">
  <sheetPr codeName="Hoja7">
    <tabColor theme="5"/>
  </sheetPr>
  <dimension ref="A1:AD1959"/>
  <sheetViews>
    <sheetView showGridLines="0" zoomScaleNormal="100" workbookViewId="0">
      <pane xSplit="7" ySplit="5" topLeftCell="H1611" activePane="bottomRight" state="frozen"/>
      <selection pane="topRight" activeCell="H1" sqref="H1"/>
      <selection pane="bottomLeft" activeCell="A6" sqref="A6"/>
      <selection pane="bottomRight" activeCell="N1316" sqref="N1316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6.6640625" customWidth="1"/>
    <col min="4" max="5" width="12.1640625" customWidth="1"/>
    <col min="6" max="6" width="14.5" customWidth="1"/>
    <col min="7" max="7" width="11.6640625" customWidth="1"/>
    <col min="8" max="8" width="33.5" customWidth="1"/>
    <col min="9" max="9" width="20.1640625" customWidth="1"/>
    <col min="10" max="10" width="12.1640625" customWidth="1"/>
    <col min="11" max="11" width="13.1640625" customWidth="1"/>
    <col min="12" max="12" width="12.33203125" customWidth="1"/>
    <col min="13" max="13" width="11.33203125" customWidth="1"/>
    <col min="14" max="14" width="10.6640625" customWidth="1"/>
    <col min="15" max="15" width="12.83203125" customWidth="1"/>
    <col min="16" max="16" width="15.1640625" customWidth="1"/>
    <col min="17" max="17" width="13" customWidth="1"/>
    <col min="18" max="18" width="18.6640625" customWidth="1"/>
    <col min="19" max="19" width="14" customWidth="1"/>
    <col min="20" max="20" width="12.6640625" customWidth="1"/>
    <col min="21" max="21" width="12.83203125" customWidth="1"/>
    <col min="22" max="25" width="11.5" customWidth="1"/>
    <col min="26" max="26" width="10.1640625" style="565" customWidth="1"/>
    <col min="27" max="27" width="13.1640625" customWidth="1"/>
    <col min="28" max="28" width="15.5" customWidth="1"/>
    <col min="29" max="29" width="14.1640625" customWidth="1"/>
    <col min="30" max="30" width="29.1640625" customWidth="1"/>
  </cols>
  <sheetData>
    <row r="1" spans="1:30" s="3" customFormat="1" ht="44.25" customHeight="1" thickBot="1" x14ac:dyDescent="0.25">
      <c r="A1" s="47"/>
      <c r="B1" s="671" t="s">
        <v>130</v>
      </c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</row>
    <row r="2" spans="1:30" ht="9" customHeight="1" thickBot="1" x14ac:dyDescent="0.25">
      <c r="A2" s="47"/>
    </row>
    <row r="3" spans="1:30" ht="77" thickBot="1" x14ac:dyDescent="0.25">
      <c r="A3" s="47"/>
      <c r="C3" s="99" t="s">
        <v>19</v>
      </c>
      <c r="D3" s="100" t="s">
        <v>170</v>
      </c>
      <c r="E3" s="100" t="s">
        <v>171</v>
      </c>
      <c r="F3" s="101" t="s">
        <v>24</v>
      </c>
      <c r="G3" s="100" t="s">
        <v>44</v>
      </c>
      <c r="H3" s="100" t="s">
        <v>36</v>
      </c>
      <c r="I3" s="101" t="s">
        <v>40</v>
      </c>
      <c r="J3" s="100" t="s">
        <v>35</v>
      </c>
      <c r="K3" s="138" t="s">
        <v>168</v>
      </c>
      <c r="L3" s="113" t="s">
        <v>169</v>
      </c>
      <c r="M3" s="138" t="s">
        <v>38</v>
      </c>
      <c r="N3" s="113" t="s">
        <v>364</v>
      </c>
      <c r="O3" s="139" t="s">
        <v>378</v>
      </c>
      <c r="P3" s="140" t="s">
        <v>278</v>
      </c>
      <c r="Q3" s="141" t="s">
        <v>39</v>
      </c>
      <c r="R3" s="142" t="s">
        <v>21</v>
      </c>
      <c r="S3" s="142" t="s">
        <v>20</v>
      </c>
      <c r="T3" s="143" t="s">
        <v>131</v>
      </c>
      <c r="U3" s="144" t="s">
        <v>37</v>
      </c>
      <c r="V3" s="144" t="s">
        <v>188</v>
      </c>
      <c r="W3" s="144" t="s">
        <v>137</v>
      </c>
      <c r="X3" s="144" t="s">
        <v>138</v>
      </c>
      <c r="Y3" s="144" t="s">
        <v>136</v>
      </c>
      <c r="Z3" s="596" t="s">
        <v>434</v>
      </c>
      <c r="AA3" s="97" t="s">
        <v>141</v>
      </c>
      <c r="AB3" s="97" t="s">
        <v>140</v>
      </c>
      <c r="AC3" s="97" t="s">
        <v>139</v>
      </c>
      <c r="AD3" s="98" t="s">
        <v>28</v>
      </c>
    </row>
    <row r="4" spans="1:30" ht="16" x14ac:dyDescent="0.2">
      <c r="A4" s="47"/>
      <c r="B4" s="301"/>
      <c r="C4" s="176">
        <f t="shared" ref="C4:C67" si="0">ROW(A1)</f>
        <v>1</v>
      </c>
      <c r="D4" s="177">
        <v>45630</v>
      </c>
      <c r="E4" s="177">
        <v>45633</v>
      </c>
      <c r="F4" s="178" t="s">
        <v>208</v>
      </c>
      <c r="G4" s="179" t="str">
        <f ca="1">IF(AND(E4&lt;&gt;"",E4&lt;TODAY()),"Disponible",IFERROR(INDEX(Vehiculos[Estado Vehiculo],MATCH(F4,Vehiculos[Placa Vehiculo],0)),""))</f>
        <v>Disponible</v>
      </c>
      <c r="H4" s="180" t="s">
        <v>242</v>
      </c>
      <c r="I4" s="180" t="s">
        <v>273</v>
      </c>
      <c r="J4" s="180" t="s">
        <v>274</v>
      </c>
      <c r="K4" s="181">
        <v>67507</v>
      </c>
      <c r="L4" s="181">
        <v>68206</v>
      </c>
      <c r="M4" s="182">
        <f t="shared" ref="M4:M52" si="1">L4-K4</f>
        <v>699</v>
      </c>
      <c r="N4" s="182"/>
      <c r="O4" s="181"/>
      <c r="P4" s="183">
        <v>5</v>
      </c>
      <c r="Q4" s="184">
        <f t="shared" ref="Q4:Q35" si="2">M4*P4</f>
        <v>3495</v>
      </c>
      <c r="R4" s="180" t="s">
        <v>273</v>
      </c>
      <c r="S4" s="180" t="s">
        <v>102</v>
      </c>
      <c r="T4" s="183">
        <v>1.8</v>
      </c>
      <c r="U4" s="183">
        <f>Rutas[[#This Row],[Precio x Galón ($/gal)]]*Rutas[[#This Row],[Volumen de Combustible (gal)]]</f>
        <v>192.834</v>
      </c>
      <c r="V4" s="183"/>
      <c r="W4" s="183"/>
      <c r="X4" s="183"/>
      <c r="Y4" s="185">
        <f t="shared" ref="Y4:Y35" si="3">U4+SUM(V4:X4)</f>
        <v>192.834</v>
      </c>
      <c r="Z4" s="566"/>
      <c r="AA4" s="184">
        <v>107.13</v>
      </c>
      <c r="AB4" s="184">
        <f t="shared" ref="AB4:AB35" si="4">IFERROR(M4/AA4,0)</f>
        <v>6.5247829739568752</v>
      </c>
      <c r="AC4" s="184">
        <f t="shared" ref="AC4:AC52" si="5">IFERROR(Q4/M4,0)</f>
        <v>5</v>
      </c>
      <c r="AD4" s="180"/>
    </row>
    <row r="5" spans="1:30" ht="16" x14ac:dyDescent="0.2">
      <c r="A5" s="47"/>
      <c r="B5" s="301"/>
      <c r="C5" s="176">
        <f t="shared" si="0"/>
        <v>2</v>
      </c>
      <c r="D5" s="37">
        <v>45633</v>
      </c>
      <c r="E5" s="37">
        <v>45639</v>
      </c>
      <c r="F5" s="65" t="s">
        <v>208</v>
      </c>
      <c r="G5" s="11" t="str">
        <f ca="1">IF(AND(E5&lt;&gt;"",E5&lt;TODAY()),"Disponible",IFERROR(INDEX(Vehiculos[Estado Vehiculo],MATCH(F5,Vehiculos[Placa Vehiculo],0)),""))</f>
        <v>Disponible</v>
      </c>
      <c r="H5" s="34" t="s">
        <v>242</v>
      </c>
      <c r="I5" s="34" t="s">
        <v>273</v>
      </c>
      <c r="J5" s="34" t="s">
        <v>274</v>
      </c>
      <c r="K5" s="39">
        <v>68206</v>
      </c>
      <c r="L5" s="39">
        <v>68985</v>
      </c>
      <c r="M5" s="15">
        <f t="shared" si="1"/>
        <v>779</v>
      </c>
      <c r="N5" s="15"/>
      <c r="O5" s="39"/>
      <c r="P5" s="36"/>
      <c r="Q5" s="16">
        <f t="shared" si="2"/>
        <v>0</v>
      </c>
      <c r="R5" s="34" t="s">
        <v>273</v>
      </c>
      <c r="S5" s="34" t="s">
        <v>102</v>
      </c>
      <c r="T5" s="36">
        <v>1.8</v>
      </c>
      <c r="U5" s="36">
        <f>Rutas[[#This Row],[Precio x Galón ($/gal)]]*Rutas[[#This Row],[Volumen de Combustible (gal)]]</f>
        <v>184.32000000000002</v>
      </c>
      <c r="V5" s="36"/>
      <c r="W5" s="36"/>
      <c r="X5" s="36"/>
      <c r="Y5" s="14">
        <f t="shared" si="3"/>
        <v>184.32000000000002</v>
      </c>
      <c r="Z5" s="566"/>
      <c r="AA5" s="12">
        <v>102.4</v>
      </c>
      <c r="AB5" s="12">
        <f t="shared" si="4"/>
        <v>7.607421875</v>
      </c>
      <c r="AC5" s="12">
        <f t="shared" si="5"/>
        <v>0</v>
      </c>
      <c r="AD5" s="34"/>
    </row>
    <row r="6" spans="1:30" ht="16" x14ac:dyDescent="0.2">
      <c r="A6" s="47"/>
      <c r="B6" s="301"/>
      <c r="C6" s="176">
        <f t="shared" si="0"/>
        <v>3</v>
      </c>
      <c r="D6" s="37">
        <v>45639</v>
      </c>
      <c r="E6" s="37">
        <v>45645</v>
      </c>
      <c r="F6" s="65" t="s">
        <v>208</v>
      </c>
      <c r="G6" s="11" t="str">
        <f ca="1">IF(AND(E6&lt;&gt;"",E6&lt;TODAY()),"Disponible",IFERROR(INDEX(Vehiculos[Estado Vehiculo],MATCH(F6,Vehiculos[Placa Vehiculo],0)),""))</f>
        <v>Disponible</v>
      </c>
      <c r="H6" s="34" t="s">
        <v>242</v>
      </c>
      <c r="I6" s="34" t="s">
        <v>273</v>
      </c>
      <c r="J6" s="34" t="s">
        <v>274</v>
      </c>
      <c r="K6" s="39">
        <v>68985</v>
      </c>
      <c r="L6" s="39">
        <v>69722</v>
      </c>
      <c r="M6" s="15">
        <f t="shared" si="1"/>
        <v>737</v>
      </c>
      <c r="N6" s="15"/>
      <c r="O6" s="39"/>
      <c r="P6" s="36"/>
      <c r="Q6" s="16">
        <f t="shared" si="2"/>
        <v>0</v>
      </c>
      <c r="R6" s="34" t="s">
        <v>273</v>
      </c>
      <c r="S6" s="34" t="s">
        <v>102</v>
      </c>
      <c r="T6" s="36">
        <v>1.8</v>
      </c>
      <c r="U6" s="36">
        <f>Rutas[[#This Row],[Precio x Galón ($/gal)]]*Rutas[[#This Row],[Volumen de Combustible (gal)]]</f>
        <v>186.49799999999999</v>
      </c>
      <c r="V6" s="36"/>
      <c r="W6" s="36"/>
      <c r="X6" s="36"/>
      <c r="Y6" s="14">
        <f t="shared" si="3"/>
        <v>186.49799999999999</v>
      </c>
      <c r="Z6" s="566"/>
      <c r="AA6" s="12">
        <v>103.61</v>
      </c>
      <c r="AB6" s="12">
        <f t="shared" si="4"/>
        <v>7.1132130103271889</v>
      </c>
      <c r="AC6" s="12">
        <f t="shared" si="5"/>
        <v>0</v>
      </c>
      <c r="AD6" s="34"/>
    </row>
    <row r="7" spans="1:30" ht="16" x14ac:dyDescent="0.2">
      <c r="A7" s="47"/>
      <c r="B7" s="301"/>
      <c r="C7" s="176">
        <f t="shared" si="0"/>
        <v>4</v>
      </c>
      <c r="D7" s="37">
        <v>45645</v>
      </c>
      <c r="E7" s="37">
        <v>45650</v>
      </c>
      <c r="F7" s="65" t="s">
        <v>208</v>
      </c>
      <c r="G7" s="11" t="str">
        <f ca="1">IF(AND(E7&lt;&gt;"",E7&lt;TODAY()),"Disponible",IFERROR(INDEX(Vehiculos[Estado Vehiculo],MATCH(F7,Vehiculos[Placa Vehiculo],0)),""))</f>
        <v>Disponible</v>
      </c>
      <c r="H7" s="34" t="s">
        <v>242</v>
      </c>
      <c r="I7" s="34" t="s">
        <v>273</v>
      </c>
      <c r="J7" s="34" t="s">
        <v>274</v>
      </c>
      <c r="K7" s="39">
        <v>69722</v>
      </c>
      <c r="L7" s="39">
        <v>70409</v>
      </c>
      <c r="M7" s="15">
        <f t="shared" si="1"/>
        <v>687</v>
      </c>
      <c r="N7" s="15"/>
      <c r="O7" s="39"/>
      <c r="P7" s="36"/>
      <c r="Q7" s="16">
        <f t="shared" si="2"/>
        <v>0</v>
      </c>
      <c r="R7" s="34" t="s">
        <v>273</v>
      </c>
      <c r="S7" s="34" t="s">
        <v>102</v>
      </c>
      <c r="T7" s="36">
        <v>1.8</v>
      </c>
      <c r="U7" s="36">
        <f>Rutas[[#This Row],[Precio x Galón ($/gal)]]*Rutas[[#This Row],[Volumen de Combustible (gal)]]</f>
        <v>177.31800000000001</v>
      </c>
      <c r="V7" s="36"/>
      <c r="W7" s="36"/>
      <c r="X7" s="36"/>
      <c r="Y7" s="14">
        <f t="shared" si="3"/>
        <v>177.31800000000001</v>
      </c>
      <c r="Z7" s="566"/>
      <c r="AA7" s="12">
        <v>98.51</v>
      </c>
      <c r="AB7" s="12">
        <f t="shared" si="4"/>
        <v>6.9739112780428378</v>
      </c>
      <c r="AC7" s="12">
        <f t="shared" si="5"/>
        <v>0</v>
      </c>
      <c r="AD7" s="34"/>
    </row>
    <row r="8" spans="1:30" ht="16" x14ac:dyDescent="0.2">
      <c r="A8" s="47"/>
      <c r="B8" s="301"/>
      <c r="C8" s="176">
        <f t="shared" si="0"/>
        <v>5</v>
      </c>
      <c r="D8" s="37">
        <v>45650</v>
      </c>
      <c r="E8" s="37">
        <v>45656</v>
      </c>
      <c r="F8" s="65" t="s">
        <v>208</v>
      </c>
      <c r="G8" s="11" t="str">
        <f ca="1">IF(AND(E8&lt;&gt;"",E8&lt;TODAY()),"Disponible",IFERROR(INDEX(Vehiculos[Estado Vehiculo],MATCH(F8,Vehiculos[Placa Vehiculo],0)),""))</f>
        <v>Disponible</v>
      </c>
      <c r="H8" s="34" t="s">
        <v>242</v>
      </c>
      <c r="I8" s="34" t="s">
        <v>273</v>
      </c>
      <c r="J8" s="34" t="s">
        <v>274</v>
      </c>
      <c r="K8" s="39">
        <v>70409</v>
      </c>
      <c r="L8" s="39">
        <v>71246</v>
      </c>
      <c r="M8" s="15">
        <f t="shared" si="1"/>
        <v>837</v>
      </c>
      <c r="N8" s="15"/>
      <c r="O8" s="39"/>
      <c r="P8" s="36"/>
      <c r="Q8" s="16">
        <f t="shared" si="2"/>
        <v>0</v>
      </c>
      <c r="R8" s="34" t="s">
        <v>273</v>
      </c>
      <c r="S8" s="34" t="s">
        <v>102</v>
      </c>
      <c r="T8" s="36">
        <v>1.8</v>
      </c>
      <c r="U8" s="36">
        <f>Rutas[[#This Row],[Precio x Galón ($/gal)]]*Rutas[[#This Row],[Volumen de Combustible (gal)]]</f>
        <v>177.822</v>
      </c>
      <c r="V8" s="36"/>
      <c r="W8" s="36"/>
      <c r="X8" s="36"/>
      <c r="Y8" s="14">
        <f t="shared" si="3"/>
        <v>177.822</v>
      </c>
      <c r="Z8" s="566"/>
      <c r="AA8" s="12">
        <v>98.79</v>
      </c>
      <c r="AB8" s="12">
        <f t="shared" si="4"/>
        <v>8.4725174612815053</v>
      </c>
      <c r="AC8" s="12">
        <f t="shared" si="5"/>
        <v>0</v>
      </c>
      <c r="AD8" s="34"/>
    </row>
    <row r="9" spans="1:30" ht="16" x14ac:dyDescent="0.2">
      <c r="A9" s="47"/>
      <c r="B9" s="301"/>
      <c r="C9" s="176">
        <f t="shared" si="0"/>
        <v>6</v>
      </c>
      <c r="D9" s="37">
        <v>45656</v>
      </c>
      <c r="E9" s="37">
        <v>45657</v>
      </c>
      <c r="F9" s="65" t="s">
        <v>208</v>
      </c>
      <c r="G9" s="11" t="str">
        <f ca="1">IF(AND(E9&lt;&gt;"",E9&lt;TODAY()),"Disponible",IFERROR(INDEX(Vehiculos[Estado Vehiculo],MATCH(F9,Vehiculos[Placa Vehiculo],0)),""))</f>
        <v>Disponible</v>
      </c>
      <c r="H9" s="34" t="s">
        <v>242</v>
      </c>
      <c r="I9" s="34" t="s">
        <v>273</v>
      </c>
      <c r="J9" s="34" t="s">
        <v>274</v>
      </c>
      <c r="K9" s="39">
        <v>71246</v>
      </c>
      <c r="L9" s="39">
        <v>71946</v>
      </c>
      <c r="M9" s="15">
        <f t="shared" si="1"/>
        <v>700</v>
      </c>
      <c r="N9" s="15"/>
      <c r="O9" s="39"/>
      <c r="P9" s="36"/>
      <c r="Q9" s="16">
        <f t="shared" si="2"/>
        <v>0</v>
      </c>
      <c r="R9" s="34" t="s">
        <v>273</v>
      </c>
      <c r="S9" s="34" t="s">
        <v>102</v>
      </c>
      <c r="T9" s="36">
        <v>1.8</v>
      </c>
      <c r="U9" s="36">
        <f>Rutas[[#This Row],[Precio x Galón ($/gal)]]*Rutas[[#This Row],[Volumen de Combustible (gal)]]</f>
        <v>203.328</v>
      </c>
      <c r="V9" s="36"/>
      <c r="W9" s="36"/>
      <c r="X9" s="36"/>
      <c r="Y9" s="14">
        <f t="shared" si="3"/>
        <v>203.328</v>
      </c>
      <c r="Z9" s="566"/>
      <c r="AA9" s="12">
        <v>112.96</v>
      </c>
      <c r="AB9" s="12">
        <f t="shared" si="4"/>
        <v>6.1968838526912187</v>
      </c>
      <c r="AC9" s="12">
        <f t="shared" si="5"/>
        <v>0</v>
      </c>
      <c r="AD9" s="34"/>
    </row>
    <row r="10" spans="1:30" ht="16" x14ac:dyDescent="0.2">
      <c r="A10" s="47"/>
      <c r="B10" s="301"/>
      <c r="C10" s="176">
        <f t="shared" si="0"/>
        <v>7</v>
      </c>
      <c r="D10" s="177">
        <v>45628</v>
      </c>
      <c r="E10" s="177">
        <v>45635</v>
      </c>
      <c r="F10" s="178" t="s">
        <v>210</v>
      </c>
      <c r="G10" s="179" t="str">
        <f ca="1">IF(AND(E10&lt;&gt;"",E10&lt;TODAY()),"Disponible",IFERROR(INDEX(Vehiculos[Estado Vehiculo],MATCH(F10,Vehiculos[Placa Vehiculo],0)),""))</f>
        <v>Disponible</v>
      </c>
      <c r="H10" s="180" t="s">
        <v>247</v>
      </c>
      <c r="I10" s="180" t="s">
        <v>273</v>
      </c>
      <c r="J10" s="180" t="s">
        <v>274</v>
      </c>
      <c r="K10" s="181">
        <v>53731</v>
      </c>
      <c r="L10" s="181">
        <v>54435</v>
      </c>
      <c r="M10" s="182">
        <f t="shared" si="1"/>
        <v>704</v>
      </c>
      <c r="N10" s="182"/>
      <c r="O10" s="181"/>
      <c r="P10" s="183"/>
      <c r="Q10" s="184">
        <f t="shared" si="2"/>
        <v>0</v>
      </c>
      <c r="R10" s="180" t="s">
        <v>273</v>
      </c>
      <c r="S10" s="180" t="s">
        <v>102</v>
      </c>
      <c r="T10" s="183">
        <v>1.8</v>
      </c>
      <c r="U10" s="183">
        <f>Rutas[[#This Row],[Precio x Galón ($/gal)]]*Rutas[[#This Row],[Volumen de Combustible (gal)]]</f>
        <v>154.26000000000002</v>
      </c>
      <c r="V10" s="183"/>
      <c r="W10" s="183"/>
      <c r="X10" s="183"/>
      <c r="Y10" s="185">
        <f t="shared" si="3"/>
        <v>154.26000000000002</v>
      </c>
      <c r="Z10" s="566"/>
      <c r="AA10" s="184">
        <v>85.7</v>
      </c>
      <c r="AB10" s="184">
        <f t="shared" si="4"/>
        <v>8.2147024504084012</v>
      </c>
      <c r="AC10" s="184">
        <f t="shared" si="5"/>
        <v>0</v>
      </c>
      <c r="AD10" s="180"/>
    </row>
    <row r="11" spans="1:30" ht="16" x14ac:dyDescent="0.2">
      <c r="A11" s="47"/>
      <c r="B11" s="301"/>
      <c r="C11" s="176">
        <f t="shared" si="0"/>
        <v>8</v>
      </c>
      <c r="D11" s="37">
        <v>45635</v>
      </c>
      <c r="E11" s="37">
        <v>45641</v>
      </c>
      <c r="F11" s="65" t="s">
        <v>210</v>
      </c>
      <c r="G11" s="11" t="str">
        <f ca="1">IF(AND(E11&lt;&gt;"",E11&lt;TODAY()),"Disponible",IFERROR(INDEX(Vehiculos[Estado Vehiculo],MATCH(F11,Vehiculos[Placa Vehiculo],0)),""))</f>
        <v>Disponible</v>
      </c>
      <c r="H11" s="34" t="s">
        <v>247</v>
      </c>
      <c r="I11" s="34" t="s">
        <v>273</v>
      </c>
      <c r="J11" s="34" t="s">
        <v>274</v>
      </c>
      <c r="K11" s="39">
        <v>54435</v>
      </c>
      <c r="L11" s="39">
        <v>55268</v>
      </c>
      <c r="M11" s="15">
        <f t="shared" si="1"/>
        <v>833</v>
      </c>
      <c r="N11" s="15"/>
      <c r="O11" s="39"/>
      <c r="P11" s="36"/>
      <c r="Q11" s="16">
        <f t="shared" si="2"/>
        <v>0</v>
      </c>
      <c r="R11" s="34" t="s">
        <v>273</v>
      </c>
      <c r="S11" s="34" t="s">
        <v>102</v>
      </c>
      <c r="T11" s="36">
        <v>1.8</v>
      </c>
      <c r="U11" s="36">
        <f>Rutas[[#This Row],[Precio x Galón ($/gal)]]*Rutas[[#This Row],[Volumen de Combustible (gal)]]</f>
        <v>197.74799999999999</v>
      </c>
      <c r="V11" s="36"/>
      <c r="W11" s="36"/>
      <c r="X11" s="36"/>
      <c r="Y11" s="14">
        <f t="shared" si="3"/>
        <v>197.74799999999999</v>
      </c>
      <c r="Z11" s="566"/>
      <c r="AA11" s="12">
        <v>109.86</v>
      </c>
      <c r="AB11" s="12">
        <f t="shared" si="4"/>
        <v>7.5823775714545789</v>
      </c>
      <c r="AC11" s="12">
        <f t="shared" si="5"/>
        <v>0</v>
      </c>
      <c r="AD11" s="34"/>
    </row>
    <row r="12" spans="1:30" ht="16" x14ac:dyDescent="0.2">
      <c r="A12" s="47"/>
      <c r="B12" s="301"/>
      <c r="C12" s="176">
        <f t="shared" si="0"/>
        <v>9</v>
      </c>
      <c r="D12" s="37">
        <v>45641</v>
      </c>
      <c r="E12" s="37">
        <v>45647</v>
      </c>
      <c r="F12" s="65" t="s">
        <v>210</v>
      </c>
      <c r="G12" s="11" t="str">
        <f ca="1">IF(AND(E12&lt;&gt;"",E12&lt;TODAY()),"Disponible",IFERROR(INDEX(Vehiculos[Estado Vehiculo],MATCH(F12,Vehiculos[Placa Vehiculo],0)),""))</f>
        <v>Disponible</v>
      </c>
      <c r="H12" s="34" t="s">
        <v>233</v>
      </c>
      <c r="I12" s="34" t="s">
        <v>273</v>
      </c>
      <c r="J12" s="34" t="s">
        <v>274</v>
      </c>
      <c r="K12" s="39">
        <v>55268</v>
      </c>
      <c r="L12" s="39">
        <v>55943</v>
      </c>
      <c r="M12" s="15">
        <f t="shared" si="1"/>
        <v>675</v>
      </c>
      <c r="N12" s="15"/>
      <c r="O12" s="39"/>
      <c r="P12" s="36"/>
      <c r="Q12" s="16">
        <f t="shared" si="2"/>
        <v>0</v>
      </c>
      <c r="R12" s="34" t="s">
        <v>273</v>
      </c>
      <c r="S12" s="34" t="s">
        <v>102</v>
      </c>
      <c r="T12" s="36">
        <v>1.8</v>
      </c>
      <c r="U12" s="36">
        <f>Rutas[[#This Row],[Precio x Galón ($/gal)]]*Rutas[[#This Row],[Volumen de Combustible (gal)]]</f>
        <v>211.482</v>
      </c>
      <c r="V12" s="36"/>
      <c r="W12" s="36"/>
      <c r="X12" s="36"/>
      <c r="Y12" s="14">
        <f t="shared" si="3"/>
        <v>211.482</v>
      </c>
      <c r="Z12" s="566"/>
      <c r="AA12" s="12">
        <v>117.49</v>
      </c>
      <c r="AB12" s="12">
        <f t="shared" si="4"/>
        <v>5.7451698016852504</v>
      </c>
      <c r="AC12" s="12">
        <f t="shared" si="5"/>
        <v>0</v>
      </c>
      <c r="AD12" s="34"/>
    </row>
    <row r="13" spans="1:30" ht="16" x14ac:dyDescent="0.2">
      <c r="A13" s="47"/>
      <c r="B13" s="301"/>
      <c r="C13" s="176">
        <f t="shared" si="0"/>
        <v>10</v>
      </c>
      <c r="D13" s="37">
        <v>45647</v>
      </c>
      <c r="E13" s="37">
        <v>45652</v>
      </c>
      <c r="F13" s="65" t="s">
        <v>210</v>
      </c>
      <c r="G13" s="11" t="str">
        <f ca="1">IF(AND(E13&lt;&gt;"",E13&lt;TODAY()),"Disponible",IFERROR(INDEX(Vehiculos[Estado Vehiculo],MATCH(F13,Vehiculos[Placa Vehiculo],0)),""))</f>
        <v>Disponible</v>
      </c>
      <c r="H13" s="34" t="s">
        <v>233</v>
      </c>
      <c r="I13" s="34" t="s">
        <v>273</v>
      </c>
      <c r="J13" s="34" t="s">
        <v>274</v>
      </c>
      <c r="K13" s="39">
        <v>55943</v>
      </c>
      <c r="L13" s="39">
        <v>56624</v>
      </c>
      <c r="M13" s="15">
        <f t="shared" si="1"/>
        <v>681</v>
      </c>
      <c r="N13" s="15"/>
      <c r="O13" s="39"/>
      <c r="P13" s="36"/>
      <c r="Q13" s="16">
        <f t="shared" si="2"/>
        <v>0</v>
      </c>
      <c r="R13" s="34" t="s">
        <v>273</v>
      </c>
      <c r="S13" s="34" t="s">
        <v>102</v>
      </c>
      <c r="T13" s="36">
        <v>1.8</v>
      </c>
      <c r="U13" s="36">
        <f>Rutas[[#This Row],[Precio x Galón ($/gal)]]*Rutas[[#This Row],[Volumen de Combustible (gal)]]</f>
        <v>293.70599999999996</v>
      </c>
      <c r="V13" s="36"/>
      <c r="W13" s="36"/>
      <c r="X13" s="36"/>
      <c r="Y13" s="14">
        <f t="shared" si="3"/>
        <v>293.70599999999996</v>
      </c>
      <c r="Z13" s="566"/>
      <c r="AA13" s="12">
        <v>163.16999999999999</v>
      </c>
      <c r="AB13" s="12">
        <f t="shared" si="4"/>
        <v>4.1735613164184597</v>
      </c>
      <c r="AC13" s="12">
        <f t="shared" si="5"/>
        <v>0</v>
      </c>
      <c r="AD13" s="34"/>
    </row>
    <row r="14" spans="1:30" ht="16" x14ac:dyDescent="0.2">
      <c r="A14" s="47"/>
      <c r="B14" s="301"/>
      <c r="C14" s="176">
        <f t="shared" si="0"/>
        <v>11</v>
      </c>
      <c r="D14" s="37">
        <v>45652</v>
      </c>
      <c r="E14" s="37">
        <v>45656</v>
      </c>
      <c r="F14" s="65" t="s">
        <v>210</v>
      </c>
      <c r="G14" s="11" t="str">
        <f ca="1">IF(AND(E14&lt;&gt;"",E14&lt;TODAY()),"Disponible",IFERROR(INDEX(Vehiculos[Estado Vehiculo],MATCH(F14,Vehiculos[Placa Vehiculo],0)),""))</f>
        <v>Disponible</v>
      </c>
      <c r="H14" s="34" t="s">
        <v>247</v>
      </c>
      <c r="I14" s="34" t="s">
        <v>273</v>
      </c>
      <c r="J14" s="34" t="s">
        <v>274</v>
      </c>
      <c r="K14" s="39">
        <v>56624</v>
      </c>
      <c r="L14" s="39">
        <v>57355</v>
      </c>
      <c r="M14" s="15">
        <f t="shared" si="1"/>
        <v>731</v>
      </c>
      <c r="N14" s="15"/>
      <c r="O14" s="39"/>
      <c r="P14" s="36"/>
      <c r="Q14" s="16">
        <f t="shared" si="2"/>
        <v>0</v>
      </c>
      <c r="R14" s="34" t="s">
        <v>273</v>
      </c>
      <c r="S14" s="34" t="s">
        <v>102</v>
      </c>
      <c r="T14" s="36">
        <v>1.8</v>
      </c>
      <c r="U14" s="36">
        <f>Rutas[[#This Row],[Precio x Galón ($/gal)]]*Rutas[[#This Row],[Volumen de Combustible (gal)]]</f>
        <v>176.22000000000003</v>
      </c>
      <c r="V14" s="36"/>
      <c r="W14" s="36"/>
      <c r="X14" s="36"/>
      <c r="Y14" s="14">
        <f t="shared" si="3"/>
        <v>176.22000000000003</v>
      </c>
      <c r="Z14" s="566"/>
      <c r="AA14" s="12">
        <v>97.9</v>
      </c>
      <c r="AB14" s="12">
        <f t="shared" si="4"/>
        <v>7.4668028600612866</v>
      </c>
      <c r="AC14" s="12">
        <f t="shared" si="5"/>
        <v>0</v>
      </c>
      <c r="AD14" s="34"/>
    </row>
    <row r="15" spans="1:30" ht="16" x14ac:dyDescent="0.2">
      <c r="A15" s="47"/>
      <c r="B15" s="301"/>
      <c r="C15" s="176">
        <f t="shared" si="0"/>
        <v>12</v>
      </c>
      <c r="D15" s="177">
        <v>45627</v>
      </c>
      <c r="E15" s="177">
        <v>45631</v>
      </c>
      <c r="F15" s="178" t="s">
        <v>209</v>
      </c>
      <c r="G15" s="179" t="str">
        <f ca="1">IF(AND(E15&lt;&gt;"",E15&lt;TODAY()),"Disponible",IFERROR(INDEX(Vehiculos[Estado Vehiculo],MATCH(F15,Vehiculos[Placa Vehiculo],0)),""))</f>
        <v>Disponible</v>
      </c>
      <c r="H15" s="180" t="s">
        <v>244</v>
      </c>
      <c r="I15" s="180" t="s">
        <v>273</v>
      </c>
      <c r="J15" s="180" t="s">
        <v>274</v>
      </c>
      <c r="K15" s="181">
        <v>62880</v>
      </c>
      <c r="L15" s="181">
        <v>63639</v>
      </c>
      <c r="M15" s="182">
        <f t="shared" si="1"/>
        <v>759</v>
      </c>
      <c r="N15" s="182"/>
      <c r="O15" s="181"/>
      <c r="P15" s="183"/>
      <c r="Q15" s="184">
        <f t="shared" si="2"/>
        <v>0</v>
      </c>
      <c r="R15" s="180" t="s">
        <v>273</v>
      </c>
      <c r="S15" s="180" t="s">
        <v>102</v>
      </c>
      <c r="T15" s="183">
        <v>1.8</v>
      </c>
      <c r="U15" s="183">
        <f>Rutas[[#This Row],[Precio x Galón ($/gal)]]*Rutas[[#This Row],[Volumen de Combustible (gal)]]</f>
        <v>223.84800000000001</v>
      </c>
      <c r="V15" s="183"/>
      <c r="W15" s="183"/>
      <c r="X15" s="183"/>
      <c r="Y15" s="185">
        <f t="shared" si="3"/>
        <v>223.84800000000001</v>
      </c>
      <c r="Z15" s="566"/>
      <c r="AA15" s="184">
        <v>124.36</v>
      </c>
      <c r="AB15" s="184">
        <f t="shared" si="4"/>
        <v>6.1032486330009652</v>
      </c>
      <c r="AC15" s="184">
        <f t="shared" si="5"/>
        <v>0</v>
      </c>
      <c r="AD15" s="180"/>
    </row>
    <row r="16" spans="1:30" ht="16" x14ac:dyDescent="0.2">
      <c r="A16" s="47"/>
      <c r="B16" s="301"/>
      <c r="C16" s="176">
        <f t="shared" si="0"/>
        <v>13</v>
      </c>
      <c r="D16" s="37">
        <v>45631</v>
      </c>
      <c r="E16" s="37">
        <v>45634</v>
      </c>
      <c r="F16" s="65" t="s">
        <v>209</v>
      </c>
      <c r="G16" s="11" t="str">
        <f ca="1">IF(AND(E16&lt;&gt;"",E16&lt;TODAY()),"Disponible",IFERROR(INDEX(Vehiculos[Estado Vehiculo],MATCH(F16,Vehiculos[Placa Vehiculo],0)),""))</f>
        <v>Disponible</v>
      </c>
      <c r="H16" s="34" t="s">
        <v>241</v>
      </c>
      <c r="I16" s="34" t="s">
        <v>273</v>
      </c>
      <c r="J16" s="34" t="s">
        <v>274</v>
      </c>
      <c r="K16" s="39">
        <v>63639</v>
      </c>
      <c r="L16" s="39">
        <v>64228</v>
      </c>
      <c r="M16" s="15">
        <f t="shared" si="1"/>
        <v>589</v>
      </c>
      <c r="N16" s="15"/>
      <c r="O16" s="39"/>
      <c r="P16" s="36"/>
      <c r="Q16" s="16">
        <f t="shared" si="2"/>
        <v>0</v>
      </c>
      <c r="R16" s="34" t="s">
        <v>273</v>
      </c>
      <c r="S16" s="34" t="s">
        <v>102</v>
      </c>
      <c r="T16" s="36">
        <v>1.8</v>
      </c>
      <c r="U16" s="36">
        <f>Rutas[[#This Row],[Precio x Galón ($/gal)]]*Rutas[[#This Row],[Volumen de Combustible (gal)]]</f>
        <v>218.214</v>
      </c>
      <c r="V16" s="36"/>
      <c r="W16" s="36"/>
      <c r="X16" s="36"/>
      <c r="Y16" s="14">
        <f t="shared" si="3"/>
        <v>218.214</v>
      </c>
      <c r="Z16" s="566"/>
      <c r="AA16" s="12">
        <v>121.23</v>
      </c>
      <c r="AB16" s="12">
        <f t="shared" si="4"/>
        <v>4.8585333663284667</v>
      </c>
      <c r="AC16" s="12">
        <f t="shared" si="5"/>
        <v>0</v>
      </c>
      <c r="AD16" s="34"/>
    </row>
    <row r="17" spans="1:30" ht="16" x14ac:dyDescent="0.2">
      <c r="A17" s="47"/>
      <c r="B17" s="301"/>
      <c r="C17" s="176">
        <f t="shared" si="0"/>
        <v>14</v>
      </c>
      <c r="D17" s="37">
        <v>45634</v>
      </c>
      <c r="E17" s="37">
        <v>45638</v>
      </c>
      <c r="F17" s="65" t="s">
        <v>209</v>
      </c>
      <c r="G17" s="11" t="str">
        <f ca="1">IF(AND(E17&lt;&gt;"",E17&lt;TODAY()),"Disponible",IFERROR(INDEX(Vehiculos[Estado Vehiculo],MATCH(F17,Vehiculos[Placa Vehiculo],0)),""))</f>
        <v>Disponible</v>
      </c>
      <c r="H17" s="34" t="s">
        <v>241</v>
      </c>
      <c r="I17" s="34" t="s">
        <v>273</v>
      </c>
      <c r="J17" s="34" t="s">
        <v>274</v>
      </c>
      <c r="K17" s="39">
        <v>64228</v>
      </c>
      <c r="L17" s="39">
        <v>64962</v>
      </c>
      <c r="M17" s="15">
        <f t="shared" si="1"/>
        <v>734</v>
      </c>
      <c r="N17" s="15"/>
      <c r="O17" s="39"/>
      <c r="P17" s="36"/>
      <c r="Q17" s="16">
        <f t="shared" si="2"/>
        <v>0</v>
      </c>
      <c r="R17" s="34" t="s">
        <v>273</v>
      </c>
      <c r="S17" s="34" t="s">
        <v>102</v>
      </c>
      <c r="T17" s="36">
        <v>1.8</v>
      </c>
      <c r="U17" s="36">
        <f>Rutas[[#This Row],[Precio x Galón ($/gal)]]*Rutas[[#This Row],[Volumen de Combustible (gal)]]</f>
        <v>181.76400000000001</v>
      </c>
      <c r="V17" s="36"/>
      <c r="W17" s="36"/>
      <c r="X17" s="36"/>
      <c r="Y17" s="14">
        <f t="shared" si="3"/>
        <v>181.76400000000001</v>
      </c>
      <c r="Z17" s="566"/>
      <c r="AA17" s="12">
        <v>100.98</v>
      </c>
      <c r="AB17" s="12">
        <f t="shared" si="4"/>
        <v>7.268766092295504</v>
      </c>
      <c r="AC17" s="12">
        <f t="shared" si="5"/>
        <v>0</v>
      </c>
      <c r="AD17" s="34"/>
    </row>
    <row r="18" spans="1:30" ht="16" x14ac:dyDescent="0.2">
      <c r="A18" s="47"/>
      <c r="B18" s="301"/>
      <c r="C18" s="176">
        <f t="shared" si="0"/>
        <v>15</v>
      </c>
      <c r="D18" s="37">
        <v>45638</v>
      </c>
      <c r="E18" s="37">
        <v>45642</v>
      </c>
      <c r="F18" s="65" t="s">
        <v>209</v>
      </c>
      <c r="G18" s="11" t="str">
        <f ca="1">IF(AND(E18&lt;&gt;"",E18&lt;TODAY()),"Disponible",IFERROR(INDEX(Vehiculos[Estado Vehiculo],MATCH(F18,Vehiculos[Placa Vehiculo],0)),""))</f>
        <v>Disponible</v>
      </c>
      <c r="H18" s="34" t="s">
        <v>235</v>
      </c>
      <c r="I18" s="34" t="s">
        <v>273</v>
      </c>
      <c r="J18" s="34" t="s">
        <v>274</v>
      </c>
      <c r="K18" s="39">
        <v>64962</v>
      </c>
      <c r="L18" s="39">
        <v>65661</v>
      </c>
      <c r="M18" s="15">
        <f t="shared" si="1"/>
        <v>699</v>
      </c>
      <c r="N18" s="15"/>
      <c r="O18" s="39"/>
      <c r="P18" s="36"/>
      <c r="Q18" s="16">
        <f t="shared" si="2"/>
        <v>0</v>
      </c>
      <c r="R18" s="34" t="s">
        <v>273</v>
      </c>
      <c r="S18" s="34" t="s">
        <v>102</v>
      </c>
      <c r="T18" s="36">
        <v>1.8</v>
      </c>
      <c r="U18" s="36">
        <f>Rutas[[#This Row],[Precio x Galón ($/gal)]]*Rutas[[#This Row],[Volumen de Combustible (gal)]]</f>
        <v>203.346</v>
      </c>
      <c r="V18" s="36"/>
      <c r="W18" s="36"/>
      <c r="X18" s="36"/>
      <c r="Y18" s="14">
        <f t="shared" si="3"/>
        <v>203.346</v>
      </c>
      <c r="Z18" s="566"/>
      <c r="AA18" s="12">
        <v>112.97</v>
      </c>
      <c r="AB18" s="12">
        <f t="shared" si="4"/>
        <v>6.1874834026732763</v>
      </c>
      <c r="AC18" s="12">
        <f t="shared" si="5"/>
        <v>0</v>
      </c>
      <c r="AD18" s="34"/>
    </row>
    <row r="19" spans="1:30" ht="16" x14ac:dyDescent="0.2">
      <c r="A19" s="47"/>
      <c r="B19" s="301"/>
      <c r="C19" s="176">
        <f t="shared" si="0"/>
        <v>16</v>
      </c>
      <c r="D19" s="37">
        <v>45642</v>
      </c>
      <c r="E19" s="37">
        <v>45646</v>
      </c>
      <c r="F19" s="65" t="s">
        <v>209</v>
      </c>
      <c r="G19" s="11" t="str">
        <f ca="1">IF(AND(E19&lt;&gt;"",E19&lt;TODAY()),"Disponible",IFERROR(INDEX(Vehiculos[Estado Vehiculo],MATCH(F19,Vehiculos[Placa Vehiculo],0)),""))</f>
        <v>Disponible</v>
      </c>
      <c r="H19" s="34" t="s">
        <v>235</v>
      </c>
      <c r="I19" s="34" t="s">
        <v>273</v>
      </c>
      <c r="J19" s="34" t="s">
        <v>274</v>
      </c>
      <c r="K19" s="39">
        <v>65661</v>
      </c>
      <c r="L19" s="39">
        <v>66452</v>
      </c>
      <c r="M19" s="15">
        <f t="shared" si="1"/>
        <v>791</v>
      </c>
      <c r="N19" s="15"/>
      <c r="O19" s="39"/>
      <c r="P19" s="36"/>
      <c r="Q19" s="16">
        <f t="shared" si="2"/>
        <v>0</v>
      </c>
      <c r="R19" s="34" t="s">
        <v>273</v>
      </c>
      <c r="S19" s="34" t="s">
        <v>102</v>
      </c>
      <c r="T19" s="36">
        <v>1.8</v>
      </c>
      <c r="U19" s="36">
        <f>Rutas[[#This Row],[Precio x Galón ($/gal)]]*Rutas[[#This Row],[Volumen de Combustible (gal)]]</f>
        <v>210.36600000000001</v>
      </c>
      <c r="V19" s="36"/>
      <c r="W19" s="36"/>
      <c r="X19" s="36"/>
      <c r="Y19" s="14">
        <f t="shared" si="3"/>
        <v>210.36600000000001</v>
      </c>
      <c r="Z19" s="566"/>
      <c r="AA19" s="12">
        <v>116.87</v>
      </c>
      <c r="AB19" s="12">
        <f t="shared" si="4"/>
        <v>6.7682039873363564</v>
      </c>
      <c r="AC19" s="12">
        <f t="shared" si="5"/>
        <v>0</v>
      </c>
      <c r="AD19" s="34"/>
    </row>
    <row r="20" spans="1:30" ht="16" x14ac:dyDescent="0.2">
      <c r="A20" s="47"/>
      <c r="B20" s="301"/>
      <c r="C20" s="176">
        <f t="shared" si="0"/>
        <v>17</v>
      </c>
      <c r="D20" s="37">
        <v>45646</v>
      </c>
      <c r="E20" s="37">
        <v>45649</v>
      </c>
      <c r="F20" s="65" t="s">
        <v>209</v>
      </c>
      <c r="G20" s="11" t="str">
        <f ca="1">IF(AND(E20&lt;&gt;"",E20&lt;TODAY()),"Disponible",IFERROR(INDEX(Vehiculos[Estado Vehiculo],MATCH(F20,Vehiculos[Placa Vehiculo],0)),""))</f>
        <v>Disponible</v>
      </c>
      <c r="H20" s="34" t="s">
        <v>235</v>
      </c>
      <c r="I20" s="34" t="s">
        <v>273</v>
      </c>
      <c r="J20" s="34" t="s">
        <v>274</v>
      </c>
      <c r="K20" s="39">
        <v>66452</v>
      </c>
      <c r="L20" s="39">
        <v>67127</v>
      </c>
      <c r="M20" s="15">
        <f t="shared" si="1"/>
        <v>675</v>
      </c>
      <c r="N20" s="15"/>
      <c r="O20" s="39"/>
      <c r="P20" s="36"/>
      <c r="Q20" s="16">
        <f t="shared" si="2"/>
        <v>0</v>
      </c>
      <c r="R20" s="34" t="s">
        <v>273</v>
      </c>
      <c r="S20" s="34" t="s">
        <v>102</v>
      </c>
      <c r="T20" s="36">
        <v>1.8</v>
      </c>
      <c r="U20" s="36">
        <f>Rutas[[#This Row],[Precio x Galón ($/gal)]]*Rutas[[#This Row],[Volumen de Combustible (gal)]]</f>
        <v>220.37400000000002</v>
      </c>
      <c r="V20" s="36"/>
      <c r="W20" s="36"/>
      <c r="X20" s="36"/>
      <c r="Y20" s="14">
        <f t="shared" si="3"/>
        <v>220.37400000000002</v>
      </c>
      <c r="Z20" s="566"/>
      <c r="AA20" s="12">
        <v>122.43</v>
      </c>
      <c r="AB20" s="12">
        <f t="shared" si="4"/>
        <v>5.5133545699583433</v>
      </c>
      <c r="AC20" s="12">
        <f t="shared" si="5"/>
        <v>0</v>
      </c>
      <c r="AD20" s="34"/>
    </row>
    <row r="21" spans="1:30" ht="16" x14ac:dyDescent="0.2">
      <c r="A21" s="47"/>
      <c r="B21" s="301"/>
      <c r="C21" s="176">
        <f t="shared" si="0"/>
        <v>18</v>
      </c>
      <c r="D21" s="37">
        <v>45649</v>
      </c>
      <c r="E21" s="37">
        <v>45653</v>
      </c>
      <c r="F21" s="65" t="s">
        <v>209</v>
      </c>
      <c r="G21" s="11" t="str">
        <f ca="1">IF(AND(E21&lt;&gt;"",E21&lt;TODAY()),"Disponible",IFERROR(INDEX(Vehiculos[Estado Vehiculo],MATCH(F21,Vehiculos[Placa Vehiculo],0)),""))</f>
        <v>Disponible</v>
      </c>
      <c r="H21" s="34" t="s">
        <v>244</v>
      </c>
      <c r="I21" s="34" t="s">
        <v>273</v>
      </c>
      <c r="J21" s="34" t="s">
        <v>274</v>
      </c>
      <c r="K21" s="39">
        <v>67127</v>
      </c>
      <c r="L21" s="39">
        <v>67909</v>
      </c>
      <c r="M21" s="15">
        <f t="shared" si="1"/>
        <v>782</v>
      </c>
      <c r="N21" s="15"/>
      <c r="O21" s="39"/>
      <c r="P21" s="36"/>
      <c r="Q21" s="16">
        <f t="shared" si="2"/>
        <v>0</v>
      </c>
      <c r="R21" s="34" t="s">
        <v>273</v>
      </c>
      <c r="S21" s="34" t="s">
        <v>102</v>
      </c>
      <c r="T21" s="36">
        <v>1.8</v>
      </c>
      <c r="U21" s="36">
        <f>Rutas[[#This Row],[Precio x Galón ($/gal)]]*Rutas[[#This Row],[Volumen de Combustible (gal)]]</f>
        <v>221.346</v>
      </c>
      <c r="V21" s="36"/>
      <c r="W21" s="36"/>
      <c r="X21" s="36"/>
      <c r="Y21" s="14">
        <f t="shared" si="3"/>
        <v>221.346</v>
      </c>
      <c r="Z21" s="566"/>
      <c r="AA21" s="12">
        <v>122.97</v>
      </c>
      <c r="AB21" s="12">
        <f t="shared" si="4"/>
        <v>6.3592746198259738</v>
      </c>
      <c r="AC21" s="12">
        <f t="shared" si="5"/>
        <v>0</v>
      </c>
      <c r="AD21" s="34"/>
    </row>
    <row r="22" spans="1:30" ht="16" x14ac:dyDescent="0.2">
      <c r="A22" s="47"/>
      <c r="B22" s="301"/>
      <c r="C22" s="176">
        <f t="shared" si="0"/>
        <v>19</v>
      </c>
      <c r="D22" s="37">
        <v>45653</v>
      </c>
      <c r="E22" s="37">
        <v>45656</v>
      </c>
      <c r="F22" s="65" t="s">
        <v>209</v>
      </c>
      <c r="G22" s="11" t="str">
        <f ca="1">IF(AND(E22&lt;&gt;"",E22&lt;TODAY()),"Disponible",IFERROR(INDEX(Vehiculos[Estado Vehiculo],MATCH(F22,Vehiculos[Placa Vehiculo],0)),""))</f>
        <v>Disponible</v>
      </c>
      <c r="H22" s="34" t="s">
        <v>244</v>
      </c>
      <c r="I22" s="34" t="s">
        <v>273</v>
      </c>
      <c r="J22" s="34" t="s">
        <v>274</v>
      </c>
      <c r="K22" s="39">
        <v>67909</v>
      </c>
      <c r="L22" s="39">
        <v>68489</v>
      </c>
      <c r="M22" s="15">
        <f t="shared" si="1"/>
        <v>580</v>
      </c>
      <c r="N22" s="15"/>
      <c r="O22" s="39"/>
      <c r="P22" s="36"/>
      <c r="Q22" s="16">
        <f t="shared" si="2"/>
        <v>0</v>
      </c>
      <c r="R22" s="34" t="s">
        <v>273</v>
      </c>
      <c r="S22" s="34" t="s">
        <v>102</v>
      </c>
      <c r="T22" s="36">
        <v>1.8</v>
      </c>
      <c r="U22" s="36">
        <f>Rutas[[#This Row],[Precio x Galón ($/gal)]]*Rutas[[#This Row],[Volumen de Combustible (gal)]]</f>
        <v>237.54599999999999</v>
      </c>
      <c r="V22" s="36"/>
      <c r="W22" s="36"/>
      <c r="X22" s="36"/>
      <c r="Y22" s="14">
        <f t="shared" si="3"/>
        <v>237.54599999999999</v>
      </c>
      <c r="Z22" s="566"/>
      <c r="AA22" s="12">
        <v>131.97</v>
      </c>
      <c r="AB22" s="12">
        <f t="shared" si="4"/>
        <v>4.3949382435401985</v>
      </c>
      <c r="AC22" s="12">
        <f t="shared" si="5"/>
        <v>0</v>
      </c>
      <c r="AD22" s="34"/>
    </row>
    <row r="23" spans="1:30" ht="16" x14ac:dyDescent="0.2">
      <c r="A23" s="47"/>
      <c r="B23" s="301"/>
      <c r="C23" s="176">
        <f t="shared" si="0"/>
        <v>20</v>
      </c>
      <c r="D23" s="37">
        <v>45656</v>
      </c>
      <c r="E23" s="37">
        <v>45656</v>
      </c>
      <c r="F23" s="65" t="s">
        <v>209</v>
      </c>
      <c r="G23" s="11" t="str">
        <f ca="1">IF(AND(E23&lt;&gt;"",E23&lt;TODAY()),"Disponible",IFERROR(INDEX(Vehiculos[Estado Vehiculo],MATCH(F23,Vehiculos[Placa Vehiculo],0)),""))</f>
        <v>Disponible</v>
      </c>
      <c r="H23" s="34" t="s">
        <v>244</v>
      </c>
      <c r="I23" s="34" t="s">
        <v>273</v>
      </c>
      <c r="J23" s="34" t="s">
        <v>274</v>
      </c>
      <c r="K23" s="39">
        <v>68489</v>
      </c>
      <c r="L23" s="39">
        <v>69089</v>
      </c>
      <c r="M23" s="15">
        <f t="shared" si="1"/>
        <v>600</v>
      </c>
      <c r="N23" s="15"/>
      <c r="O23" s="39"/>
      <c r="P23" s="36"/>
      <c r="Q23" s="16">
        <f t="shared" si="2"/>
        <v>0</v>
      </c>
      <c r="R23" s="34" t="s">
        <v>273</v>
      </c>
      <c r="S23" s="34" t="s">
        <v>102</v>
      </c>
      <c r="T23" s="36">
        <v>1.8</v>
      </c>
      <c r="U23" s="36">
        <f>Rutas[[#This Row],[Precio x Galón ($/gal)]]*Rutas[[#This Row],[Volumen de Combustible (gal)]]</f>
        <v>175.86</v>
      </c>
      <c r="V23" s="36"/>
      <c r="W23" s="36"/>
      <c r="X23" s="36"/>
      <c r="Y23" s="14">
        <f t="shared" si="3"/>
        <v>175.86</v>
      </c>
      <c r="Z23" s="566"/>
      <c r="AA23" s="12">
        <v>97.7</v>
      </c>
      <c r="AB23" s="12">
        <f t="shared" si="4"/>
        <v>6.1412487205731834</v>
      </c>
      <c r="AC23" s="12">
        <f t="shared" si="5"/>
        <v>0</v>
      </c>
      <c r="AD23" s="34"/>
    </row>
    <row r="24" spans="1:30" ht="16" x14ac:dyDescent="0.2">
      <c r="A24" s="47"/>
      <c r="B24" s="301"/>
      <c r="C24" s="176">
        <f t="shared" si="0"/>
        <v>21</v>
      </c>
      <c r="D24" s="177">
        <v>45630</v>
      </c>
      <c r="E24" s="177">
        <v>45633</v>
      </c>
      <c r="F24" s="178" t="s">
        <v>211</v>
      </c>
      <c r="G24" s="179" t="str">
        <f ca="1">IF(AND(E24&lt;&gt;"",E24&lt;TODAY()),"Disponible",IFERROR(INDEX(Vehiculos[Estado Vehiculo],MATCH(F24,Vehiculos[Placa Vehiculo],0)),""))</f>
        <v>Disponible</v>
      </c>
      <c r="H24" s="180" t="s">
        <v>236</v>
      </c>
      <c r="I24" s="180" t="s">
        <v>273</v>
      </c>
      <c r="J24" s="180" t="s">
        <v>274</v>
      </c>
      <c r="K24" s="181">
        <v>16606</v>
      </c>
      <c r="L24" s="181">
        <v>17183</v>
      </c>
      <c r="M24" s="182">
        <f t="shared" si="1"/>
        <v>577</v>
      </c>
      <c r="N24" s="182"/>
      <c r="O24" s="181"/>
      <c r="P24" s="183"/>
      <c r="Q24" s="184">
        <f t="shared" si="2"/>
        <v>0</v>
      </c>
      <c r="R24" s="180" t="s">
        <v>273</v>
      </c>
      <c r="S24" s="180" t="s">
        <v>102</v>
      </c>
      <c r="T24" s="183">
        <v>1.8</v>
      </c>
      <c r="U24" s="183">
        <f>Rutas[[#This Row],[Precio x Galón ($/gal)]]*Rutas[[#This Row],[Volumen de Combustible (gal)]]</f>
        <v>200.322</v>
      </c>
      <c r="V24" s="183"/>
      <c r="W24" s="183"/>
      <c r="X24" s="183"/>
      <c r="Y24" s="185">
        <f t="shared" si="3"/>
        <v>200.322</v>
      </c>
      <c r="Z24" s="566"/>
      <c r="AA24" s="184">
        <v>111.29</v>
      </c>
      <c r="AB24" s="184">
        <f t="shared" si="4"/>
        <v>5.1846527091382875</v>
      </c>
      <c r="AC24" s="184">
        <f t="shared" si="5"/>
        <v>0</v>
      </c>
      <c r="AD24" s="180"/>
    </row>
    <row r="25" spans="1:30" ht="16" x14ac:dyDescent="0.2">
      <c r="A25" s="47"/>
      <c r="B25" s="301"/>
      <c r="C25" s="176">
        <f t="shared" si="0"/>
        <v>22</v>
      </c>
      <c r="D25" s="37">
        <v>45633</v>
      </c>
      <c r="E25" s="37">
        <v>45636</v>
      </c>
      <c r="F25" s="65" t="s">
        <v>211</v>
      </c>
      <c r="G25" s="11" t="str">
        <f ca="1">IF(AND(E25&lt;&gt;"",E25&lt;TODAY()),"Disponible",IFERROR(INDEX(Vehiculos[Estado Vehiculo],MATCH(F25,Vehiculos[Placa Vehiculo],0)),""))</f>
        <v>Disponible</v>
      </c>
      <c r="H25" s="34" t="s">
        <v>236</v>
      </c>
      <c r="I25" s="34" t="s">
        <v>273</v>
      </c>
      <c r="J25" s="34" t="s">
        <v>274</v>
      </c>
      <c r="K25" s="39">
        <v>17183</v>
      </c>
      <c r="L25" s="39">
        <v>17777</v>
      </c>
      <c r="M25" s="15">
        <f t="shared" si="1"/>
        <v>594</v>
      </c>
      <c r="N25" s="15"/>
      <c r="O25" s="39"/>
      <c r="P25" s="36"/>
      <c r="Q25" s="16">
        <f t="shared" si="2"/>
        <v>0</v>
      </c>
      <c r="R25" s="34" t="s">
        <v>273</v>
      </c>
      <c r="S25" s="34" t="s">
        <v>102</v>
      </c>
      <c r="T25" s="36">
        <v>1.8</v>
      </c>
      <c r="U25" s="36">
        <f>Rutas[[#This Row],[Precio x Galón ($/gal)]]*Rutas[[#This Row],[Volumen de Combustible (gal)]]</f>
        <v>165.49199999999999</v>
      </c>
      <c r="V25" s="36"/>
      <c r="W25" s="36"/>
      <c r="X25" s="36"/>
      <c r="Y25" s="14">
        <f t="shared" si="3"/>
        <v>165.49199999999999</v>
      </c>
      <c r="Z25" s="566"/>
      <c r="AA25" s="12">
        <v>91.94</v>
      </c>
      <c r="AB25" s="12">
        <f t="shared" si="4"/>
        <v>6.460735262127475</v>
      </c>
      <c r="AC25" s="12">
        <f t="shared" si="5"/>
        <v>0</v>
      </c>
      <c r="AD25" s="34"/>
    </row>
    <row r="26" spans="1:30" ht="16" x14ac:dyDescent="0.2">
      <c r="A26" s="47"/>
      <c r="B26" s="301"/>
      <c r="C26" s="176">
        <f t="shared" si="0"/>
        <v>23</v>
      </c>
      <c r="D26" s="37">
        <v>45636</v>
      </c>
      <c r="E26" s="37">
        <v>45638</v>
      </c>
      <c r="F26" s="65" t="s">
        <v>211</v>
      </c>
      <c r="G26" s="11" t="str">
        <f ca="1">IF(AND(E26&lt;&gt;"",E26&lt;TODAY()),"Disponible",IFERROR(INDEX(Vehiculos[Estado Vehiculo],MATCH(F26,Vehiculos[Placa Vehiculo],0)),""))</f>
        <v>Disponible</v>
      </c>
      <c r="H26" s="34" t="s">
        <v>236</v>
      </c>
      <c r="I26" s="34" t="s">
        <v>273</v>
      </c>
      <c r="J26" s="34" t="s">
        <v>274</v>
      </c>
      <c r="K26" s="39">
        <v>17777</v>
      </c>
      <c r="L26" s="39">
        <v>17890</v>
      </c>
      <c r="M26" s="15">
        <f t="shared" si="1"/>
        <v>113</v>
      </c>
      <c r="N26" s="15"/>
      <c r="O26" s="39"/>
      <c r="P26" s="36"/>
      <c r="Q26" s="16">
        <f t="shared" si="2"/>
        <v>0</v>
      </c>
      <c r="R26" s="34" t="s">
        <v>273</v>
      </c>
      <c r="S26" s="34" t="s">
        <v>102</v>
      </c>
      <c r="T26" s="36">
        <v>1.8</v>
      </c>
      <c r="U26" s="36">
        <f>Rutas[[#This Row],[Precio x Galón ($/gal)]]*Rutas[[#This Row],[Volumen de Combustible (gal)]]</f>
        <v>186.642</v>
      </c>
      <c r="V26" s="36"/>
      <c r="W26" s="36"/>
      <c r="X26" s="36"/>
      <c r="Y26" s="14">
        <f t="shared" si="3"/>
        <v>186.642</v>
      </c>
      <c r="Z26" s="566"/>
      <c r="AA26" s="12">
        <v>103.69</v>
      </c>
      <c r="AB26" s="12">
        <f t="shared" si="4"/>
        <v>1.0897868646928344</v>
      </c>
      <c r="AC26" s="12">
        <f t="shared" si="5"/>
        <v>0</v>
      </c>
      <c r="AD26" s="34"/>
    </row>
    <row r="27" spans="1:30" ht="16" x14ac:dyDescent="0.2">
      <c r="A27" s="47"/>
      <c r="B27" s="301"/>
      <c r="C27" s="176">
        <f t="shared" si="0"/>
        <v>24</v>
      </c>
      <c r="D27" s="37">
        <v>45638</v>
      </c>
      <c r="E27" s="37">
        <v>45641</v>
      </c>
      <c r="F27" s="65" t="s">
        <v>211</v>
      </c>
      <c r="G27" s="11" t="str">
        <f ca="1">IF(AND(E27&lt;&gt;"",E27&lt;TODAY()),"Disponible",IFERROR(INDEX(Vehiculos[Estado Vehiculo],MATCH(F27,Vehiculos[Placa Vehiculo],0)),""))</f>
        <v>Disponible</v>
      </c>
      <c r="H27" s="34" t="s">
        <v>246</v>
      </c>
      <c r="I27" s="34" t="s">
        <v>273</v>
      </c>
      <c r="J27" s="34" t="s">
        <v>274</v>
      </c>
      <c r="K27" s="39">
        <v>17890</v>
      </c>
      <c r="L27" s="39">
        <v>18676</v>
      </c>
      <c r="M27" s="15">
        <f t="shared" si="1"/>
        <v>786</v>
      </c>
      <c r="N27" s="15"/>
      <c r="O27" s="39"/>
      <c r="P27" s="36"/>
      <c r="Q27" s="16">
        <f t="shared" si="2"/>
        <v>0</v>
      </c>
      <c r="R27" s="34" t="s">
        <v>273</v>
      </c>
      <c r="S27" s="34" t="s">
        <v>102</v>
      </c>
      <c r="T27" s="36">
        <v>1.8</v>
      </c>
      <c r="U27" s="36">
        <f>Rutas[[#This Row],[Precio x Galón ($/gal)]]*Rutas[[#This Row],[Volumen de Combustible (gal)]]</f>
        <v>111.42</v>
      </c>
      <c r="V27" s="36"/>
      <c r="W27" s="36"/>
      <c r="X27" s="36"/>
      <c r="Y27" s="14">
        <f t="shared" si="3"/>
        <v>111.42</v>
      </c>
      <c r="Z27" s="566"/>
      <c r="AA27" s="12">
        <v>61.9</v>
      </c>
      <c r="AB27" s="12">
        <f t="shared" si="4"/>
        <v>12.697899838449112</v>
      </c>
      <c r="AC27" s="12">
        <f t="shared" si="5"/>
        <v>0</v>
      </c>
      <c r="AD27" s="34"/>
    </row>
    <row r="28" spans="1:30" ht="16" x14ac:dyDescent="0.2">
      <c r="A28" s="47"/>
      <c r="B28" s="301"/>
      <c r="C28" s="176">
        <f t="shared" si="0"/>
        <v>25</v>
      </c>
      <c r="D28" s="37">
        <v>45641</v>
      </c>
      <c r="E28" s="37">
        <v>45644</v>
      </c>
      <c r="F28" s="65" t="s">
        <v>211</v>
      </c>
      <c r="G28" s="11" t="str">
        <f ca="1">IF(AND(E28&lt;&gt;"",E28&lt;TODAY()),"Disponible",IFERROR(INDEX(Vehiculos[Estado Vehiculo],MATCH(F28,Vehiculos[Placa Vehiculo],0)),""))</f>
        <v>Disponible</v>
      </c>
      <c r="H28" s="34" t="s">
        <v>246</v>
      </c>
      <c r="I28" s="34" t="s">
        <v>273</v>
      </c>
      <c r="J28" s="34" t="s">
        <v>274</v>
      </c>
      <c r="K28" s="39">
        <v>18676</v>
      </c>
      <c r="L28" s="39">
        <v>19279</v>
      </c>
      <c r="M28" s="15">
        <f t="shared" si="1"/>
        <v>603</v>
      </c>
      <c r="N28" s="15"/>
      <c r="O28" s="39"/>
      <c r="P28" s="36"/>
      <c r="Q28" s="16">
        <f t="shared" si="2"/>
        <v>0</v>
      </c>
      <c r="R28" s="34" t="s">
        <v>273</v>
      </c>
      <c r="S28" s="34" t="s">
        <v>102</v>
      </c>
      <c r="T28" s="36">
        <v>1.8</v>
      </c>
      <c r="U28" s="36">
        <f>Rutas[[#This Row],[Precio x Galón ($/gal)]]*Rutas[[#This Row],[Volumen de Combustible (gal)]]</f>
        <v>156.654</v>
      </c>
      <c r="V28" s="36"/>
      <c r="W28" s="36"/>
      <c r="X28" s="36"/>
      <c r="Y28" s="14">
        <f t="shared" si="3"/>
        <v>156.654</v>
      </c>
      <c r="Z28" s="566"/>
      <c r="AA28" s="12">
        <v>87.03</v>
      </c>
      <c r="AB28" s="12">
        <f t="shared" si="4"/>
        <v>6.9286452947259569</v>
      </c>
      <c r="AC28" s="12">
        <f t="shared" si="5"/>
        <v>0</v>
      </c>
      <c r="AD28" s="34"/>
    </row>
    <row r="29" spans="1:30" ht="16" x14ac:dyDescent="0.2">
      <c r="A29" s="47"/>
      <c r="B29" s="301"/>
      <c r="C29" s="176">
        <f t="shared" si="0"/>
        <v>26</v>
      </c>
      <c r="D29" s="37">
        <v>45644</v>
      </c>
      <c r="E29" s="37">
        <v>45656</v>
      </c>
      <c r="F29" s="65" t="s">
        <v>211</v>
      </c>
      <c r="G29" s="11" t="str">
        <f ca="1">IF(AND(E29&lt;&gt;"",E29&lt;TODAY()),"Disponible",IFERROR(INDEX(Vehiculos[Estado Vehiculo],MATCH(F29,Vehiculos[Placa Vehiculo],0)),""))</f>
        <v>Disponible</v>
      </c>
      <c r="H29" s="34" t="s">
        <v>246</v>
      </c>
      <c r="I29" s="34" t="s">
        <v>273</v>
      </c>
      <c r="J29" s="34" t="s">
        <v>274</v>
      </c>
      <c r="K29" s="39">
        <v>19279</v>
      </c>
      <c r="L29" s="39">
        <v>20040</v>
      </c>
      <c r="M29" s="15">
        <f t="shared" si="1"/>
        <v>761</v>
      </c>
      <c r="N29" s="15"/>
      <c r="O29" s="39"/>
      <c r="P29" s="36"/>
      <c r="Q29" s="16">
        <f t="shared" si="2"/>
        <v>0</v>
      </c>
      <c r="R29" s="34" t="s">
        <v>273</v>
      </c>
      <c r="S29" s="34" t="s">
        <v>102</v>
      </c>
      <c r="T29" s="36">
        <v>1.8</v>
      </c>
      <c r="U29" s="36">
        <f>Rutas[[#This Row],[Precio x Galón ($/gal)]]*Rutas[[#This Row],[Volumen de Combustible (gal)]]</f>
        <v>180.77400000000003</v>
      </c>
      <c r="V29" s="36"/>
      <c r="W29" s="36"/>
      <c r="X29" s="36"/>
      <c r="Y29" s="14">
        <f t="shared" si="3"/>
        <v>180.77400000000003</v>
      </c>
      <c r="Z29" s="566"/>
      <c r="AA29" s="12">
        <v>100.43</v>
      </c>
      <c r="AB29" s="12">
        <f t="shared" si="4"/>
        <v>7.5774171064422973</v>
      </c>
      <c r="AC29" s="12">
        <f t="shared" si="5"/>
        <v>0</v>
      </c>
      <c r="AD29" s="34"/>
    </row>
    <row r="30" spans="1:30" ht="16" x14ac:dyDescent="0.2">
      <c r="A30" s="47"/>
      <c r="B30" s="301"/>
      <c r="C30" s="176">
        <f t="shared" si="0"/>
        <v>27</v>
      </c>
      <c r="D30" s="177">
        <v>45631</v>
      </c>
      <c r="E30" s="177">
        <v>45640</v>
      </c>
      <c r="F30" s="178" t="s">
        <v>212</v>
      </c>
      <c r="G30" s="179" t="str">
        <f ca="1">IF(AND(E30&lt;&gt;"",E30&lt;TODAY()),"Disponible",IFERROR(INDEX(Vehiculos[Estado Vehiculo],MATCH(F30,Vehiculos[Placa Vehiculo],0)),""))</f>
        <v>Disponible</v>
      </c>
      <c r="H30" s="180" t="s">
        <v>248</v>
      </c>
      <c r="I30" s="180" t="s">
        <v>273</v>
      </c>
      <c r="J30" s="180" t="s">
        <v>274</v>
      </c>
      <c r="K30" s="181">
        <v>242648</v>
      </c>
      <c r="L30" s="181">
        <v>243348</v>
      </c>
      <c r="M30" s="182">
        <f t="shared" si="1"/>
        <v>700</v>
      </c>
      <c r="N30" s="182"/>
      <c r="O30" s="181"/>
      <c r="P30" s="183"/>
      <c r="Q30" s="184">
        <f t="shared" si="2"/>
        <v>0</v>
      </c>
      <c r="R30" s="180" t="s">
        <v>273</v>
      </c>
      <c r="S30" s="180" t="s">
        <v>102</v>
      </c>
      <c r="T30" s="183">
        <v>1.8</v>
      </c>
      <c r="U30" s="183">
        <f>Rutas[[#This Row],[Precio x Galón ($/gal)]]*Rutas[[#This Row],[Volumen de Combustible (gal)]]</f>
        <v>219.6</v>
      </c>
      <c r="V30" s="183"/>
      <c r="W30" s="183"/>
      <c r="X30" s="183"/>
      <c r="Y30" s="185">
        <f t="shared" si="3"/>
        <v>219.6</v>
      </c>
      <c r="Z30" s="566"/>
      <c r="AA30" s="184">
        <v>122</v>
      </c>
      <c r="AB30" s="184">
        <f t="shared" si="4"/>
        <v>5.7377049180327866</v>
      </c>
      <c r="AC30" s="184">
        <f t="shared" si="5"/>
        <v>0</v>
      </c>
      <c r="AD30" s="180"/>
    </row>
    <row r="31" spans="1:30" ht="16" x14ac:dyDescent="0.2">
      <c r="A31" s="47"/>
      <c r="B31" s="301"/>
      <c r="C31" s="176">
        <f t="shared" si="0"/>
        <v>28</v>
      </c>
      <c r="D31" s="37">
        <v>45640</v>
      </c>
      <c r="E31" s="37">
        <v>45648</v>
      </c>
      <c r="F31" s="65" t="s">
        <v>212</v>
      </c>
      <c r="G31" s="11" t="str">
        <f ca="1">IF(AND(E31&lt;&gt;"",E31&lt;TODAY()),"Disponible",IFERROR(INDEX(Vehiculos[Estado Vehiculo],MATCH(F31,Vehiculos[Placa Vehiculo],0)),""))</f>
        <v>Disponible</v>
      </c>
      <c r="H31" s="34" t="s">
        <v>248</v>
      </c>
      <c r="I31" s="34" t="s">
        <v>273</v>
      </c>
      <c r="J31" s="34" t="s">
        <v>274</v>
      </c>
      <c r="K31" s="39">
        <v>243348</v>
      </c>
      <c r="L31" s="39">
        <v>243909</v>
      </c>
      <c r="M31" s="15">
        <f t="shared" si="1"/>
        <v>561</v>
      </c>
      <c r="N31" s="15"/>
      <c r="O31" s="39"/>
      <c r="P31" s="36"/>
      <c r="Q31" s="16">
        <f t="shared" si="2"/>
        <v>0</v>
      </c>
      <c r="R31" s="34" t="s">
        <v>273</v>
      </c>
      <c r="S31" s="34" t="s">
        <v>102</v>
      </c>
      <c r="T31" s="36">
        <v>1.8</v>
      </c>
      <c r="U31" s="36">
        <f>Rutas[[#This Row],[Precio x Galón ($/gal)]]*Rutas[[#This Row],[Volumen de Combustible (gal)]]</f>
        <v>234.35999999999999</v>
      </c>
      <c r="V31" s="36"/>
      <c r="W31" s="36"/>
      <c r="X31" s="36"/>
      <c r="Y31" s="14">
        <f t="shared" si="3"/>
        <v>234.35999999999999</v>
      </c>
      <c r="Z31" s="566"/>
      <c r="AA31" s="12">
        <v>130.19999999999999</v>
      </c>
      <c r="AB31" s="12">
        <f t="shared" si="4"/>
        <v>4.3087557603686637</v>
      </c>
      <c r="AC31" s="12">
        <f t="shared" si="5"/>
        <v>0</v>
      </c>
      <c r="AD31" s="34"/>
    </row>
    <row r="32" spans="1:30" ht="16" x14ac:dyDescent="0.2">
      <c r="A32" s="47"/>
      <c r="B32" s="301"/>
      <c r="C32" s="176">
        <f t="shared" si="0"/>
        <v>29</v>
      </c>
      <c r="D32" s="37">
        <v>45648</v>
      </c>
      <c r="E32" s="37">
        <v>45652</v>
      </c>
      <c r="F32" s="65" t="s">
        <v>212</v>
      </c>
      <c r="G32" s="11" t="str">
        <f ca="1">IF(AND(E32&lt;&gt;"",E32&lt;TODAY()),"Disponible",IFERROR(INDEX(Vehiculos[Estado Vehiculo],MATCH(F32,Vehiculos[Placa Vehiculo],0)),""))</f>
        <v>Disponible</v>
      </c>
      <c r="H32" s="34" t="s">
        <v>236</v>
      </c>
      <c r="I32" s="34" t="s">
        <v>273</v>
      </c>
      <c r="J32" s="34" t="s">
        <v>274</v>
      </c>
      <c r="K32" s="39">
        <v>243909</v>
      </c>
      <c r="L32" s="39">
        <v>244687</v>
      </c>
      <c r="M32" s="15">
        <f t="shared" si="1"/>
        <v>778</v>
      </c>
      <c r="N32" s="15"/>
      <c r="O32" s="39"/>
      <c r="P32" s="36"/>
      <c r="Q32" s="16">
        <f t="shared" si="2"/>
        <v>0</v>
      </c>
      <c r="R32" s="34" t="s">
        <v>273</v>
      </c>
      <c r="S32" s="34" t="s">
        <v>102</v>
      </c>
      <c r="T32" s="36">
        <v>1.8</v>
      </c>
      <c r="U32" s="36">
        <f>Rutas[[#This Row],[Precio x Galón ($/gal)]]*Rutas[[#This Row],[Volumen de Combustible (gal)]]</f>
        <v>183.042</v>
      </c>
      <c r="V32" s="36"/>
      <c r="W32" s="36"/>
      <c r="X32" s="36"/>
      <c r="Y32" s="14">
        <f t="shared" si="3"/>
        <v>183.042</v>
      </c>
      <c r="Z32" s="566"/>
      <c r="AA32" s="12">
        <v>101.69</v>
      </c>
      <c r="AB32" s="12">
        <f t="shared" si="4"/>
        <v>7.6507031173173372</v>
      </c>
      <c r="AC32" s="12">
        <f t="shared" si="5"/>
        <v>0</v>
      </c>
      <c r="AD32" s="34"/>
    </row>
    <row r="33" spans="1:30" ht="16" x14ac:dyDescent="0.2">
      <c r="A33" s="47"/>
      <c r="B33" s="301"/>
      <c r="C33" s="176">
        <f t="shared" si="0"/>
        <v>30</v>
      </c>
      <c r="D33" s="37">
        <v>45652</v>
      </c>
      <c r="E33" s="37">
        <v>45655</v>
      </c>
      <c r="F33" s="65" t="s">
        <v>212</v>
      </c>
      <c r="G33" s="11" t="str">
        <f ca="1">IF(AND(E33&lt;&gt;"",E33&lt;TODAY()),"Disponible",IFERROR(INDEX(Vehiculos[Estado Vehiculo],MATCH(F33,Vehiculos[Placa Vehiculo],0)),""))</f>
        <v>Disponible</v>
      </c>
      <c r="H33" s="34" t="s">
        <v>231</v>
      </c>
      <c r="I33" s="34" t="s">
        <v>273</v>
      </c>
      <c r="J33" s="34" t="s">
        <v>274</v>
      </c>
      <c r="K33" s="39">
        <v>244687</v>
      </c>
      <c r="L33" s="39">
        <v>245362</v>
      </c>
      <c r="M33" s="15">
        <f t="shared" si="1"/>
        <v>675</v>
      </c>
      <c r="N33" s="15"/>
      <c r="O33" s="39"/>
      <c r="P33" s="36"/>
      <c r="Q33" s="16">
        <f t="shared" si="2"/>
        <v>0</v>
      </c>
      <c r="R33" s="34" t="s">
        <v>273</v>
      </c>
      <c r="S33" s="34" t="s">
        <v>102</v>
      </c>
      <c r="T33" s="36">
        <v>1.8</v>
      </c>
      <c r="U33" s="36">
        <f>Rutas[[#This Row],[Precio x Galón ($/gal)]]*Rutas[[#This Row],[Volumen de Combustible (gal)]]</f>
        <v>281.84400000000005</v>
      </c>
      <c r="V33" s="36"/>
      <c r="W33" s="36"/>
      <c r="X33" s="36"/>
      <c r="Y33" s="14">
        <f t="shared" si="3"/>
        <v>281.84400000000005</v>
      </c>
      <c r="Z33" s="566"/>
      <c r="AA33" s="12">
        <v>156.58000000000001</v>
      </c>
      <c r="AB33" s="12">
        <f t="shared" si="4"/>
        <v>4.3108953889385617</v>
      </c>
      <c r="AC33" s="12">
        <f t="shared" si="5"/>
        <v>0</v>
      </c>
      <c r="AD33" s="34"/>
    </row>
    <row r="34" spans="1:30" ht="16" x14ac:dyDescent="0.2">
      <c r="A34" s="47"/>
      <c r="B34" s="301"/>
      <c r="C34" s="176">
        <f t="shared" si="0"/>
        <v>31</v>
      </c>
      <c r="D34" s="37">
        <v>45655</v>
      </c>
      <c r="E34" s="37">
        <v>45656</v>
      </c>
      <c r="F34" s="65" t="s">
        <v>212</v>
      </c>
      <c r="G34" s="11" t="str">
        <f ca="1">IF(AND(E34&lt;&gt;"",E34&lt;TODAY()),"Disponible",IFERROR(INDEX(Vehiculos[Estado Vehiculo],MATCH(F34,Vehiculos[Placa Vehiculo],0)),""))</f>
        <v>Disponible</v>
      </c>
      <c r="H34" s="34" t="s">
        <v>231</v>
      </c>
      <c r="I34" s="34" t="s">
        <v>273</v>
      </c>
      <c r="J34" s="34" t="s">
        <v>274</v>
      </c>
      <c r="K34" s="39">
        <v>245362</v>
      </c>
      <c r="L34" s="39">
        <v>245593</v>
      </c>
      <c r="M34" s="15">
        <f t="shared" si="1"/>
        <v>231</v>
      </c>
      <c r="N34" s="15"/>
      <c r="O34" s="39"/>
      <c r="P34" s="36"/>
      <c r="Q34" s="16">
        <f t="shared" si="2"/>
        <v>0</v>
      </c>
      <c r="R34" s="34" t="s">
        <v>273</v>
      </c>
      <c r="S34" s="34" t="s">
        <v>102</v>
      </c>
      <c r="T34" s="36">
        <v>1.8</v>
      </c>
      <c r="U34" s="36">
        <f>Rutas[[#This Row],[Precio x Galón ($/gal)]]*Rutas[[#This Row],[Volumen de Combustible (gal)]]</f>
        <v>227.71800000000002</v>
      </c>
      <c r="V34" s="36"/>
      <c r="W34" s="36"/>
      <c r="X34" s="36"/>
      <c r="Y34" s="14">
        <f t="shared" si="3"/>
        <v>227.71800000000002</v>
      </c>
      <c r="Z34" s="566"/>
      <c r="AA34" s="12">
        <v>126.51</v>
      </c>
      <c r="AB34" s="12">
        <f t="shared" si="4"/>
        <v>1.8259426132321555</v>
      </c>
      <c r="AC34" s="12">
        <f t="shared" si="5"/>
        <v>0</v>
      </c>
      <c r="AD34" s="34"/>
    </row>
    <row r="35" spans="1:30" ht="16" x14ac:dyDescent="0.2">
      <c r="A35" s="47"/>
      <c r="B35" s="301"/>
      <c r="C35" s="176">
        <f t="shared" si="0"/>
        <v>32</v>
      </c>
      <c r="D35" s="177">
        <v>45630</v>
      </c>
      <c r="E35" s="177">
        <v>45633</v>
      </c>
      <c r="F35" s="178" t="s">
        <v>280</v>
      </c>
      <c r="G35" s="179" t="str">
        <f ca="1">IF(AND(E35&lt;&gt;"",E35&lt;TODAY()),"Disponible",IFERROR(INDEX(Vehiculos[Estado Vehiculo],MATCH(F35,Vehiculos[Placa Vehiculo],0)),""))</f>
        <v>Disponible</v>
      </c>
      <c r="H35" s="180" t="s">
        <v>229</v>
      </c>
      <c r="I35" s="180" t="s">
        <v>273</v>
      </c>
      <c r="J35" s="180" t="s">
        <v>274</v>
      </c>
      <c r="K35" s="181">
        <v>8955</v>
      </c>
      <c r="L35" s="181">
        <v>9314</v>
      </c>
      <c r="M35" s="182">
        <f t="shared" si="1"/>
        <v>359</v>
      </c>
      <c r="N35" s="182"/>
      <c r="O35" s="181"/>
      <c r="P35" s="183"/>
      <c r="Q35" s="184">
        <f t="shared" si="2"/>
        <v>0</v>
      </c>
      <c r="R35" s="180" t="s">
        <v>273</v>
      </c>
      <c r="S35" s="180" t="s">
        <v>102</v>
      </c>
      <c r="T35" s="183">
        <v>1.8</v>
      </c>
      <c r="U35" s="183">
        <f>Rutas[[#This Row],[Precio x Galón ($/gal)]]*Rutas[[#This Row],[Volumen de Combustible (gal)]]</f>
        <v>295.23600000000005</v>
      </c>
      <c r="V35" s="183"/>
      <c r="W35" s="183"/>
      <c r="X35" s="183"/>
      <c r="Y35" s="185">
        <f t="shared" si="3"/>
        <v>295.23600000000005</v>
      </c>
      <c r="Z35" s="566"/>
      <c r="AA35" s="184">
        <v>164.02</v>
      </c>
      <c r="AB35" s="184">
        <f t="shared" si="4"/>
        <v>2.18875746860139</v>
      </c>
      <c r="AC35" s="184">
        <f t="shared" si="5"/>
        <v>0</v>
      </c>
      <c r="AD35" s="180"/>
    </row>
    <row r="36" spans="1:30" ht="16" x14ac:dyDescent="0.2">
      <c r="A36" s="47"/>
      <c r="B36" s="301"/>
      <c r="C36" s="176">
        <f t="shared" si="0"/>
        <v>33</v>
      </c>
      <c r="D36" s="37">
        <v>45633</v>
      </c>
      <c r="E36" s="37">
        <v>45634</v>
      </c>
      <c r="F36" s="65" t="s">
        <v>280</v>
      </c>
      <c r="G36" s="11" t="str">
        <f ca="1">IF(AND(E36&lt;&gt;"",E36&lt;TODAY()),"Disponible",IFERROR(INDEX(Vehiculos[Estado Vehiculo],MATCH(F36,Vehiculos[Placa Vehiculo],0)),""))</f>
        <v>Disponible</v>
      </c>
      <c r="H36" s="34" t="s">
        <v>229</v>
      </c>
      <c r="I36" s="34" t="s">
        <v>273</v>
      </c>
      <c r="J36" s="34" t="s">
        <v>274</v>
      </c>
      <c r="K36" s="39">
        <v>9314</v>
      </c>
      <c r="L36" s="39">
        <v>9723</v>
      </c>
      <c r="M36" s="15">
        <f t="shared" si="1"/>
        <v>409</v>
      </c>
      <c r="N36" s="15"/>
      <c r="O36" s="39"/>
      <c r="P36" s="36"/>
      <c r="Q36" s="16">
        <f t="shared" ref="Q36:Q61" si="6">M36*P36</f>
        <v>0</v>
      </c>
      <c r="R36" s="34" t="s">
        <v>273</v>
      </c>
      <c r="S36" s="34" t="s">
        <v>102</v>
      </c>
      <c r="T36" s="36">
        <v>1.8</v>
      </c>
      <c r="U36" s="36">
        <f>Rutas[[#This Row],[Precio x Galón ($/gal)]]*Rutas[[#This Row],[Volumen de Combustible (gal)]]</f>
        <v>256.51799999999997</v>
      </c>
      <c r="V36" s="36"/>
      <c r="W36" s="36"/>
      <c r="X36" s="36"/>
      <c r="Y36" s="14">
        <f t="shared" ref="Y36:Y61" si="7">U36+SUM(V36:X36)</f>
        <v>256.51799999999997</v>
      </c>
      <c r="Z36" s="566"/>
      <c r="AA36" s="12">
        <v>142.51</v>
      </c>
      <c r="AB36" s="12">
        <f t="shared" ref="AB36:AB61" si="8">IFERROR(M36/AA36,0)</f>
        <v>2.8699740369096909</v>
      </c>
      <c r="AC36" s="12">
        <f t="shared" si="5"/>
        <v>0</v>
      </c>
      <c r="AD36" s="34"/>
    </row>
    <row r="37" spans="1:30" ht="16" x14ac:dyDescent="0.2">
      <c r="A37" s="47"/>
      <c r="B37" s="301"/>
      <c r="C37" s="176">
        <f t="shared" si="0"/>
        <v>34</v>
      </c>
      <c r="D37" s="37">
        <v>45634</v>
      </c>
      <c r="E37" s="37">
        <v>45638</v>
      </c>
      <c r="F37" s="65" t="s">
        <v>280</v>
      </c>
      <c r="G37" s="11" t="str">
        <f ca="1">IF(AND(E37&lt;&gt;"",E37&lt;TODAY()),"Disponible",IFERROR(INDEX(Vehiculos[Estado Vehiculo],MATCH(F37,Vehiculos[Placa Vehiculo],0)),""))</f>
        <v>Disponible</v>
      </c>
      <c r="H37" s="34" t="s">
        <v>229</v>
      </c>
      <c r="I37" s="34" t="s">
        <v>273</v>
      </c>
      <c r="J37" s="34" t="s">
        <v>274</v>
      </c>
      <c r="K37" s="39">
        <v>9723</v>
      </c>
      <c r="L37" s="39">
        <v>10434</v>
      </c>
      <c r="M37" s="15">
        <f t="shared" si="1"/>
        <v>711</v>
      </c>
      <c r="N37" s="15"/>
      <c r="O37" s="39"/>
      <c r="P37" s="36"/>
      <c r="Q37" s="16">
        <f t="shared" si="6"/>
        <v>0</v>
      </c>
      <c r="R37" s="34" t="s">
        <v>273</v>
      </c>
      <c r="S37" s="34" t="s">
        <v>102</v>
      </c>
      <c r="T37" s="36">
        <v>1.8</v>
      </c>
      <c r="U37" s="36">
        <f>Rutas[[#This Row],[Precio x Galón ($/gal)]]*Rutas[[#This Row],[Volumen de Combustible (gal)]]</f>
        <v>236.50199999999998</v>
      </c>
      <c r="V37" s="36"/>
      <c r="W37" s="36"/>
      <c r="X37" s="36"/>
      <c r="Y37" s="14">
        <f t="shared" si="7"/>
        <v>236.50199999999998</v>
      </c>
      <c r="Z37" s="566"/>
      <c r="AA37" s="12">
        <v>131.38999999999999</v>
      </c>
      <c r="AB37" s="12">
        <f t="shared" si="8"/>
        <v>5.4113707283659345</v>
      </c>
      <c r="AC37" s="12">
        <f t="shared" si="5"/>
        <v>0</v>
      </c>
      <c r="AD37" s="34"/>
    </row>
    <row r="38" spans="1:30" ht="16" x14ac:dyDescent="0.2">
      <c r="A38" s="47"/>
      <c r="B38" s="301"/>
      <c r="C38" s="176">
        <f t="shared" si="0"/>
        <v>35</v>
      </c>
      <c r="D38" s="37">
        <v>45638</v>
      </c>
      <c r="E38" s="37">
        <v>45641</v>
      </c>
      <c r="F38" s="65" t="s">
        <v>280</v>
      </c>
      <c r="G38" s="11" t="str">
        <f ca="1">IF(AND(E38&lt;&gt;"",E38&lt;TODAY()),"Disponible",IFERROR(INDEX(Vehiculos[Estado Vehiculo],MATCH(F38,Vehiculos[Placa Vehiculo],0)),""))</f>
        <v>Disponible</v>
      </c>
      <c r="H38" s="34" t="s">
        <v>238</v>
      </c>
      <c r="I38" s="34" t="s">
        <v>273</v>
      </c>
      <c r="J38" s="34" t="s">
        <v>274</v>
      </c>
      <c r="K38" s="39">
        <v>10434</v>
      </c>
      <c r="L38" s="39">
        <v>11049</v>
      </c>
      <c r="M38" s="15">
        <f t="shared" si="1"/>
        <v>615</v>
      </c>
      <c r="N38" s="15"/>
      <c r="O38" s="39"/>
      <c r="P38" s="36"/>
      <c r="Q38" s="16">
        <f t="shared" si="6"/>
        <v>0</v>
      </c>
      <c r="R38" s="34" t="s">
        <v>273</v>
      </c>
      <c r="S38" s="34" t="s">
        <v>102</v>
      </c>
      <c r="T38" s="36">
        <v>1.8</v>
      </c>
      <c r="U38" s="36">
        <f>Rutas[[#This Row],[Precio x Galón ($/gal)]]*Rutas[[#This Row],[Volumen de Combustible (gal)]]</f>
        <v>184.73400000000001</v>
      </c>
      <c r="V38" s="36"/>
      <c r="W38" s="36"/>
      <c r="X38" s="36"/>
      <c r="Y38" s="14">
        <f t="shared" si="7"/>
        <v>184.73400000000001</v>
      </c>
      <c r="Z38" s="566"/>
      <c r="AA38" s="12">
        <v>102.63</v>
      </c>
      <c r="AB38" s="12">
        <f t="shared" si="8"/>
        <v>5.9923998830751248</v>
      </c>
      <c r="AC38" s="12">
        <f t="shared" si="5"/>
        <v>0</v>
      </c>
      <c r="AD38" s="34"/>
    </row>
    <row r="39" spans="1:30" ht="16" x14ac:dyDescent="0.2">
      <c r="A39" s="47"/>
      <c r="B39" s="301"/>
      <c r="C39" s="176">
        <f t="shared" si="0"/>
        <v>36</v>
      </c>
      <c r="D39" s="37">
        <v>45641</v>
      </c>
      <c r="E39" s="37">
        <v>45644</v>
      </c>
      <c r="F39" s="65" t="s">
        <v>280</v>
      </c>
      <c r="G39" s="11" t="str">
        <f ca="1">IF(AND(E39&lt;&gt;"",E39&lt;TODAY()),"Disponible",IFERROR(INDEX(Vehiculos[Estado Vehiculo],MATCH(F39,Vehiculos[Placa Vehiculo],0)),""))</f>
        <v>Disponible</v>
      </c>
      <c r="H39" s="34" t="s">
        <v>238</v>
      </c>
      <c r="I39" s="34" t="s">
        <v>273</v>
      </c>
      <c r="J39" s="34" t="s">
        <v>274</v>
      </c>
      <c r="K39" s="39">
        <v>11049</v>
      </c>
      <c r="L39" s="39">
        <v>11676</v>
      </c>
      <c r="M39" s="15">
        <f t="shared" si="1"/>
        <v>627</v>
      </c>
      <c r="N39" s="15"/>
      <c r="O39" s="39"/>
      <c r="P39" s="36"/>
      <c r="Q39" s="16">
        <f t="shared" si="6"/>
        <v>0</v>
      </c>
      <c r="R39" s="34" t="s">
        <v>273</v>
      </c>
      <c r="S39" s="34" t="s">
        <v>102</v>
      </c>
      <c r="T39" s="36">
        <v>1.8</v>
      </c>
      <c r="U39" s="36">
        <f>Rutas[[#This Row],[Precio x Galón ($/gal)]]*Rutas[[#This Row],[Volumen de Combustible (gal)]]</f>
        <v>158.11200000000002</v>
      </c>
      <c r="V39" s="36"/>
      <c r="W39" s="36"/>
      <c r="X39" s="36"/>
      <c r="Y39" s="14">
        <f t="shared" si="7"/>
        <v>158.11200000000002</v>
      </c>
      <c r="Z39" s="566"/>
      <c r="AA39" s="12">
        <v>87.84</v>
      </c>
      <c r="AB39" s="12">
        <f t="shared" si="8"/>
        <v>7.1379781420765021</v>
      </c>
      <c r="AC39" s="12">
        <f t="shared" si="5"/>
        <v>0</v>
      </c>
      <c r="AD39" s="34"/>
    </row>
    <row r="40" spans="1:30" ht="16" x14ac:dyDescent="0.2">
      <c r="A40" s="47"/>
      <c r="B40" s="301"/>
      <c r="C40" s="176">
        <f t="shared" si="0"/>
        <v>37</v>
      </c>
      <c r="D40" s="37">
        <v>45644</v>
      </c>
      <c r="E40" s="37">
        <v>45647</v>
      </c>
      <c r="F40" s="65" t="s">
        <v>280</v>
      </c>
      <c r="G40" s="11" t="str">
        <f ca="1">IF(AND(E40&lt;&gt;"",E40&lt;TODAY()),"Disponible",IFERROR(INDEX(Vehiculos[Estado Vehiculo],MATCH(F40,Vehiculos[Placa Vehiculo],0)),""))</f>
        <v>Disponible</v>
      </c>
      <c r="H40" s="34" t="s">
        <v>238</v>
      </c>
      <c r="I40" s="34" t="s">
        <v>273</v>
      </c>
      <c r="J40" s="34" t="s">
        <v>274</v>
      </c>
      <c r="K40" s="39">
        <v>11676</v>
      </c>
      <c r="L40" s="39">
        <v>12316</v>
      </c>
      <c r="M40" s="15">
        <f t="shared" si="1"/>
        <v>640</v>
      </c>
      <c r="N40" s="15"/>
      <c r="O40" s="39"/>
      <c r="P40" s="36"/>
      <c r="Q40" s="16">
        <f t="shared" si="6"/>
        <v>0</v>
      </c>
      <c r="R40" s="34" t="s">
        <v>273</v>
      </c>
      <c r="S40" s="34" t="s">
        <v>102</v>
      </c>
      <c r="T40" s="36">
        <v>1.8</v>
      </c>
      <c r="U40" s="36">
        <f>Rutas[[#This Row],[Precio x Galón ($/gal)]]*Rutas[[#This Row],[Volumen de Combustible (gal)]]</f>
        <v>167.184</v>
      </c>
      <c r="V40" s="36"/>
      <c r="W40" s="36"/>
      <c r="X40" s="36"/>
      <c r="Y40" s="14">
        <f t="shared" si="7"/>
        <v>167.184</v>
      </c>
      <c r="Z40" s="566"/>
      <c r="AA40" s="12">
        <v>92.88</v>
      </c>
      <c r="AB40" s="12">
        <f t="shared" si="8"/>
        <v>6.8906115417743328</v>
      </c>
      <c r="AC40" s="12">
        <f t="shared" si="5"/>
        <v>0</v>
      </c>
      <c r="AD40" s="34"/>
    </row>
    <row r="41" spans="1:30" ht="16" x14ac:dyDescent="0.2">
      <c r="A41" s="47"/>
      <c r="B41" s="301"/>
      <c r="C41" s="176">
        <f t="shared" si="0"/>
        <v>38</v>
      </c>
      <c r="D41" s="37">
        <v>45647</v>
      </c>
      <c r="E41" s="37">
        <v>45649</v>
      </c>
      <c r="F41" s="65" t="s">
        <v>280</v>
      </c>
      <c r="G41" s="11" t="str">
        <f ca="1">IF(AND(E41&lt;&gt;"",E41&lt;TODAY()),"Disponible",IFERROR(INDEX(Vehiculos[Estado Vehiculo],MATCH(F41,Vehiculos[Placa Vehiculo],0)),""))</f>
        <v>Disponible</v>
      </c>
      <c r="H41" s="34" t="s">
        <v>238</v>
      </c>
      <c r="I41" s="34" t="s">
        <v>273</v>
      </c>
      <c r="J41" s="34" t="s">
        <v>274</v>
      </c>
      <c r="K41" s="39">
        <v>12316</v>
      </c>
      <c r="L41" s="39">
        <v>12828</v>
      </c>
      <c r="M41" s="15">
        <f t="shared" si="1"/>
        <v>512</v>
      </c>
      <c r="N41" s="15"/>
      <c r="O41" s="39"/>
      <c r="P41" s="36"/>
      <c r="Q41" s="16">
        <f t="shared" si="6"/>
        <v>0</v>
      </c>
      <c r="R41" s="34" t="s">
        <v>273</v>
      </c>
      <c r="S41" s="34" t="s">
        <v>102</v>
      </c>
      <c r="T41" s="36">
        <v>1.8</v>
      </c>
      <c r="U41" s="36">
        <f>Rutas[[#This Row],[Precio x Galón ($/gal)]]*Rutas[[#This Row],[Volumen de Combustible (gal)]]</f>
        <v>169.11</v>
      </c>
      <c r="V41" s="36"/>
      <c r="W41" s="36"/>
      <c r="X41" s="36"/>
      <c r="Y41" s="14">
        <f t="shared" si="7"/>
        <v>169.11</v>
      </c>
      <c r="Z41" s="566"/>
      <c r="AA41" s="12">
        <v>93.95</v>
      </c>
      <c r="AB41" s="12">
        <f t="shared" si="8"/>
        <v>5.4497072911122935</v>
      </c>
      <c r="AC41" s="12">
        <f t="shared" si="5"/>
        <v>0</v>
      </c>
      <c r="AD41" s="34"/>
    </row>
    <row r="42" spans="1:30" ht="16" x14ac:dyDescent="0.2">
      <c r="A42" s="47"/>
      <c r="B42" s="301"/>
      <c r="C42" s="176">
        <f t="shared" si="0"/>
        <v>39</v>
      </c>
      <c r="D42" s="37">
        <v>45649</v>
      </c>
      <c r="E42" s="37">
        <v>45653</v>
      </c>
      <c r="F42" s="65" t="s">
        <v>280</v>
      </c>
      <c r="G42" s="11" t="str">
        <f ca="1">IF(AND(E42&lt;&gt;"",E42&lt;TODAY()),"Disponible",IFERROR(INDEX(Vehiculos[Estado Vehiculo],MATCH(F42,Vehiculos[Placa Vehiculo],0)),""))</f>
        <v>Disponible</v>
      </c>
      <c r="H42" s="34" t="s">
        <v>236</v>
      </c>
      <c r="I42" s="34" t="s">
        <v>273</v>
      </c>
      <c r="J42" s="34" t="s">
        <v>274</v>
      </c>
      <c r="K42" s="39">
        <v>12828</v>
      </c>
      <c r="L42" s="39">
        <v>13581</v>
      </c>
      <c r="M42" s="15">
        <f t="shared" si="1"/>
        <v>753</v>
      </c>
      <c r="N42" s="15"/>
      <c r="O42" s="39"/>
      <c r="P42" s="36"/>
      <c r="Q42" s="16">
        <f t="shared" si="6"/>
        <v>0</v>
      </c>
      <c r="R42" s="34" t="s">
        <v>273</v>
      </c>
      <c r="S42" s="34" t="s">
        <v>102</v>
      </c>
      <c r="T42" s="36">
        <v>1.8</v>
      </c>
      <c r="U42" s="36">
        <f>Rutas[[#This Row],[Precio x Galón ($/gal)]]*Rutas[[#This Row],[Volumen de Combustible (gal)]]</f>
        <v>144.036</v>
      </c>
      <c r="V42" s="36"/>
      <c r="W42" s="36"/>
      <c r="X42" s="36"/>
      <c r="Y42" s="14">
        <f t="shared" si="7"/>
        <v>144.036</v>
      </c>
      <c r="Z42" s="566"/>
      <c r="AA42" s="12">
        <v>80.02</v>
      </c>
      <c r="AB42" s="12">
        <f t="shared" si="8"/>
        <v>9.4101474631342175</v>
      </c>
      <c r="AC42" s="12">
        <f t="shared" si="5"/>
        <v>0</v>
      </c>
      <c r="AD42" s="34"/>
    </row>
    <row r="43" spans="1:30" ht="16" x14ac:dyDescent="0.2">
      <c r="A43" s="47"/>
      <c r="B43" s="301"/>
      <c r="C43" s="176">
        <f t="shared" si="0"/>
        <v>40</v>
      </c>
      <c r="D43" s="37">
        <v>45653</v>
      </c>
      <c r="E43" s="37">
        <v>45655</v>
      </c>
      <c r="F43" s="65" t="s">
        <v>280</v>
      </c>
      <c r="G43" s="11" t="str">
        <f ca="1">IF(AND(E43&lt;&gt;"",E43&lt;TODAY()),"Disponible",IFERROR(INDEX(Vehiculos[Estado Vehiculo],MATCH(F43,Vehiculos[Placa Vehiculo],0)),""))</f>
        <v>Disponible</v>
      </c>
      <c r="H43" s="34" t="s">
        <v>250</v>
      </c>
      <c r="I43" s="34" t="s">
        <v>273</v>
      </c>
      <c r="J43" s="34" t="s">
        <v>274</v>
      </c>
      <c r="K43" s="39">
        <v>13581</v>
      </c>
      <c r="L43" s="39">
        <v>14077</v>
      </c>
      <c r="M43" s="15">
        <f t="shared" si="1"/>
        <v>496</v>
      </c>
      <c r="N43" s="15"/>
      <c r="O43" s="39"/>
      <c r="P43" s="36"/>
      <c r="Q43" s="16">
        <f t="shared" si="6"/>
        <v>0</v>
      </c>
      <c r="R43" s="34" t="s">
        <v>273</v>
      </c>
      <c r="S43" s="34" t="s">
        <v>102</v>
      </c>
      <c r="T43" s="36">
        <v>1.8</v>
      </c>
      <c r="U43" s="36">
        <f>Rutas[[#This Row],[Precio x Galón ($/gal)]]*Rutas[[#This Row],[Volumen de Combustible (gal)]]</f>
        <v>229.10400000000001</v>
      </c>
      <c r="V43" s="36"/>
      <c r="W43" s="36"/>
      <c r="X43" s="36"/>
      <c r="Y43" s="14">
        <f t="shared" si="7"/>
        <v>229.10400000000001</v>
      </c>
      <c r="Z43" s="566"/>
      <c r="AA43" s="12">
        <v>127.28</v>
      </c>
      <c r="AB43" s="12">
        <f t="shared" si="8"/>
        <v>3.8969201759899432</v>
      </c>
      <c r="AC43" s="12">
        <f t="shared" si="5"/>
        <v>0</v>
      </c>
      <c r="AD43" s="34"/>
    </row>
    <row r="44" spans="1:30" ht="16" x14ac:dyDescent="0.2">
      <c r="A44" s="47"/>
      <c r="B44" s="301"/>
      <c r="C44" s="176">
        <f t="shared" si="0"/>
        <v>41</v>
      </c>
      <c r="D44" s="37">
        <v>45655</v>
      </c>
      <c r="E44" s="37">
        <v>45656</v>
      </c>
      <c r="F44" s="65" t="s">
        <v>280</v>
      </c>
      <c r="G44" s="11" t="str">
        <f ca="1">IF(AND(E44&lt;&gt;"",E44&lt;TODAY()),"Disponible",IFERROR(INDEX(Vehiculos[Estado Vehiculo],MATCH(F44,Vehiculos[Placa Vehiculo],0)),""))</f>
        <v>Disponible</v>
      </c>
      <c r="H44" s="34" t="s">
        <v>250</v>
      </c>
      <c r="I44" s="34" t="s">
        <v>273</v>
      </c>
      <c r="J44" s="34" t="s">
        <v>274</v>
      </c>
      <c r="K44" s="39">
        <v>14077</v>
      </c>
      <c r="L44" s="39">
        <v>14931</v>
      </c>
      <c r="M44" s="15">
        <f t="shared" si="1"/>
        <v>854</v>
      </c>
      <c r="N44" s="15"/>
      <c r="O44" s="39"/>
      <c r="P44" s="36"/>
      <c r="Q44" s="16">
        <f t="shared" si="6"/>
        <v>0</v>
      </c>
      <c r="R44" s="34" t="s">
        <v>273</v>
      </c>
      <c r="S44" s="34" t="s">
        <v>102</v>
      </c>
      <c r="T44" s="36">
        <v>1.8</v>
      </c>
      <c r="U44" s="36">
        <f>Rutas[[#This Row],[Precio x Galón ($/gal)]]*Rutas[[#This Row],[Volumen de Combustible (gal)]]</f>
        <v>134.51400000000001</v>
      </c>
      <c r="V44" s="36"/>
      <c r="W44" s="36"/>
      <c r="X44" s="36"/>
      <c r="Y44" s="14">
        <f t="shared" si="7"/>
        <v>134.51400000000001</v>
      </c>
      <c r="Z44" s="566"/>
      <c r="AA44" s="12">
        <v>74.73</v>
      </c>
      <c r="AB44" s="12">
        <f t="shared" si="8"/>
        <v>11.42780677104242</v>
      </c>
      <c r="AC44" s="12">
        <f t="shared" si="5"/>
        <v>0</v>
      </c>
      <c r="AD44" s="34"/>
    </row>
    <row r="45" spans="1:30" ht="16" x14ac:dyDescent="0.2">
      <c r="A45" s="47"/>
      <c r="B45" s="301"/>
      <c r="C45" s="176">
        <f t="shared" si="0"/>
        <v>42</v>
      </c>
      <c r="D45" s="177">
        <v>45628</v>
      </c>
      <c r="E45" s="177">
        <v>45631</v>
      </c>
      <c r="F45" s="178" t="s">
        <v>207</v>
      </c>
      <c r="G45" s="179" t="str">
        <f ca="1">IF(AND(E45&lt;&gt;"",E45&lt;TODAY()),"Disponible",IFERROR(INDEX(Vehiculos[Estado Vehiculo],MATCH(F45,Vehiculos[Placa Vehiculo],0)),""))</f>
        <v>Disponible</v>
      </c>
      <c r="H45" s="180" t="s">
        <v>245</v>
      </c>
      <c r="I45" s="180" t="s">
        <v>273</v>
      </c>
      <c r="J45" s="180" t="s">
        <v>282</v>
      </c>
      <c r="K45" s="181">
        <v>20528</v>
      </c>
      <c r="L45" s="181">
        <v>21482</v>
      </c>
      <c r="M45" s="182">
        <f t="shared" si="1"/>
        <v>954</v>
      </c>
      <c r="N45" s="182"/>
      <c r="O45" s="181"/>
      <c r="P45" s="183"/>
      <c r="Q45" s="184">
        <f t="shared" si="6"/>
        <v>0</v>
      </c>
      <c r="R45" s="180" t="s">
        <v>273</v>
      </c>
      <c r="S45" s="180" t="s">
        <v>102</v>
      </c>
      <c r="T45" s="183">
        <v>1.8</v>
      </c>
      <c r="U45" s="183">
        <f>Rutas[[#This Row],[Precio x Galón ($/gal)]]*Rutas[[#This Row],[Volumen de Combustible (gal)]]</f>
        <v>211.572</v>
      </c>
      <c r="V45" s="183"/>
      <c r="W45" s="183"/>
      <c r="X45" s="183"/>
      <c r="Y45" s="185">
        <f t="shared" si="7"/>
        <v>211.572</v>
      </c>
      <c r="Z45" s="566"/>
      <c r="AA45" s="184">
        <v>117.54</v>
      </c>
      <c r="AB45" s="184">
        <f t="shared" si="8"/>
        <v>8.1163859111791723</v>
      </c>
      <c r="AC45" s="184">
        <f t="shared" si="5"/>
        <v>0</v>
      </c>
      <c r="AD45" s="180"/>
    </row>
    <row r="46" spans="1:30" ht="16" x14ac:dyDescent="0.2">
      <c r="A46" s="47"/>
      <c r="B46" s="301"/>
      <c r="C46" s="176">
        <f t="shared" si="0"/>
        <v>43</v>
      </c>
      <c r="D46" s="37">
        <v>45631</v>
      </c>
      <c r="E46" s="37">
        <v>45635</v>
      </c>
      <c r="F46" s="65" t="s">
        <v>207</v>
      </c>
      <c r="G46" s="11" t="str">
        <f ca="1">IF(AND(E46&lt;&gt;"",E46&lt;TODAY()),"Disponible",IFERROR(INDEX(Vehiculos[Estado Vehiculo],MATCH(F46,Vehiculos[Placa Vehiculo],0)),""))</f>
        <v>Disponible</v>
      </c>
      <c r="H46" s="34" t="s">
        <v>245</v>
      </c>
      <c r="I46" s="34" t="s">
        <v>273</v>
      </c>
      <c r="J46" s="34" t="s">
        <v>282</v>
      </c>
      <c r="K46" s="39">
        <v>21482</v>
      </c>
      <c r="L46" s="39">
        <v>22372</v>
      </c>
      <c r="M46" s="15">
        <f>L46-K46</f>
        <v>890</v>
      </c>
      <c r="N46" s="15"/>
      <c r="O46" s="39"/>
      <c r="P46" s="36"/>
      <c r="Q46" s="16">
        <f t="shared" si="6"/>
        <v>0</v>
      </c>
      <c r="R46" s="34" t="s">
        <v>273</v>
      </c>
      <c r="S46" s="34" t="s">
        <v>102</v>
      </c>
      <c r="T46" s="36">
        <v>1.8</v>
      </c>
      <c r="U46" s="36">
        <f>Rutas[[#This Row],[Precio x Galón ($/gal)]]*Rutas[[#This Row],[Volumen de Combustible (gal)]]</f>
        <v>249.73200000000003</v>
      </c>
      <c r="V46" s="36"/>
      <c r="W46" s="36"/>
      <c r="X46" s="36"/>
      <c r="Y46" s="14">
        <f t="shared" si="7"/>
        <v>249.73200000000003</v>
      </c>
      <c r="Z46" s="566"/>
      <c r="AA46" s="12">
        <v>138.74</v>
      </c>
      <c r="AB46" s="12">
        <f t="shared" si="8"/>
        <v>6.4148767478737199</v>
      </c>
      <c r="AC46" s="12">
        <f>IFERROR(Q46/M46,0)</f>
        <v>0</v>
      </c>
      <c r="AD46" s="34"/>
    </row>
    <row r="47" spans="1:30" ht="16" x14ac:dyDescent="0.2">
      <c r="A47" s="47"/>
      <c r="B47" s="301"/>
      <c r="C47" s="176">
        <f t="shared" si="0"/>
        <v>44</v>
      </c>
      <c r="D47" s="37">
        <v>45635</v>
      </c>
      <c r="E47" s="37">
        <v>45638</v>
      </c>
      <c r="F47" s="65" t="s">
        <v>207</v>
      </c>
      <c r="G47" s="11" t="str">
        <f ca="1">IF(AND(E47&lt;&gt;"",E47&lt;TODAY()),"Disponible",IFERROR(INDEX(Vehiculos[Estado Vehiculo],MATCH(F47,Vehiculos[Placa Vehiculo],0)),""))</f>
        <v>Disponible</v>
      </c>
      <c r="H47" s="34" t="s">
        <v>245</v>
      </c>
      <c r="I47" s="34" t="s">
        <v>273</v>
      </c>
      <c r="J47" s="34" t="s">
        <v>282</v>
      </c>
      <c r="K47" s="39">
        <v>22372</v>
      </c>
      <c r="L47" s="39">
        <v>23343</v>
      </c>
      <c r="M47" s="15">
        <f>L47-K47</f>
        <v>971</v>
      </c>
      <c r="N47" s="15"/>
      <c r="O47" s="39"/>
      <c r="P47" s="36"/>
      <c r="Q47" s="16">
        <f t="shared" si="6"/>
        <v>0</v>
      </c>
      <c r="R47" s="34" t="s">
        <v>273</v>
      </c>
      <c r="S47" s="34" t="s">
        <v>102</v>
      </c>
      <c r="T47" s="36">
        <v>1.8</v>
      </c>
      <c r="U47" s="36">
        <f>Rutas[[#This Row],[Precio x Galón ($/gal)]]*Rutas[[#This Row],[Volumen de Combustible (gal)]]</f>
        <v>214.434</v>
      </c>
      <c r="V47" s="36"/>
      <c r="W47" s="36"/>
      <c r="X47" s="36"/>
      <c r="Y47" s="14">
        <f t="shared" si="7"/>
        <v>214.434</v>
      </c>
      <c r="Z47" s="566"/>
      <c r="AA47" s="12">
        <v>119.13</v>
      </c>
      <c r="AB47" s="12">
        <f t="shared" si="8"/>
        <v>8.1507596743053803</v>
      </c>
      <c r="AC47" s="12">
        <f>IFERROR(Q47/M47,0)</f>
        <v>0</v>
      </c>
      <c r="AD47" s="34"/>
    </row>
    <row r="48" spans="1:30" ht="16" x14ac:dyDescent="0.2">
      <c r="A48" s="47"/>
      <c r="B48" s="301"/>
      <c r="C48" s="176">
        <f t="shared" si="0"/>
        <v>45</v>
      </c>
      <c r="D48" s="37">
        <v>45638</v>
      </c>
      <c r="E48" s="37">
        <v>45642</v>
      </c>
      <c r="F48" s="65" t="s">
        <v>207</v>
      </c>
      <c r="G48" s="11" t="str">
        <f ca="1">IF(AND(E48&lt;&gt;"",E48&lt;TODAY()),"Disponible",IFERROR(INDEX(Vehiculos[Estado Vehiculo],MATCH(F48,Vehiculos[Placa Vehiculo],0)),""))</f>
        <v>Disponible</v>
      </c>
      <c r="H48" s="34" t="s">
        <v>245</v>
      </c>
      <c r="I48" s="34" t="s">
        <v>273</v>
      </c>
      <c r="J48" s="34" t="s">
        <v>282</v>
      </c>
      <c r="K48" s="39">
        <f>L47</f>
        <v>23343</v>
      </c>
      <c r="L48" s="39">
        <v>24491</v>
      </c>
      <c r="M48" s="15">
        <f t="shared" si="1"/>
        <v>1148</v>
      </c>
      <c r="N48" s="15"/>
      <c r="O48" s="39"/>
      <c r="P48" s="36"/>
      <c r="Q48" s="16">
        <f t="shared" si="6"/>
        <v>0</v>
      </c>
      <c r="R48" s="34" t="s">
        <v>273</v>
      </c>
      <c r="S48" s="34" t="s">
        <v>102</v>
      </c>
      <c r="T48" s="36">
        <v>1.8</v>
      </c>
      <c r="U48" s="36">
        <f>Rutas[[#This Row],[Precio x Galón ($/gal)]]*Rutas[[#This Row],[Volumen de Combustible (gal)]]</f>
        <v>268.2</v>
      </c>
      <c r="V48" s="36"/>
      <c r="W48" s="36"/>
      <c r="X48" s="36"/>
      <c r="Y48" s="14">
        <f t="shared" si="7"/>
        <v>268.2</v>
      </c>
      <c r="Z48" s="566"/>
      <c r="AA48" s="12">
        <v>149</v>
      </c>
      <c r="AB48" s="12">
        <f t="shared" si="8"/>
        <v>7.7046979865771812</v>
      </c>
      <c r="AC48" s="12">
        <f t="shared" si="5"/>
        <v>0</v>
      </c>
      <c r="AD48" s="34"/>
    </row>
    <row r="49" spans="1:30" ht="16" x14ac:dyDescent="0.2">
      <c r="A49" s="47"/>
      <c r="B49" s="301"/>
      <c r="C49" s="176">
        <f t="shared" si="0"/>
        <v>46</v>
      </c>
      <c r="D49" s="37">
        <v>45642</v>
      </c>
      <c r="E49" s="37">
        <v>45645</v>
      </c>
      <c r="F49" s="65" t="s">
        <v>207</v>
      </c>
      <c r="G49" s="11" t="str">
        <f ca="1">IF(AND(E49&lt;&gt;"",E49&lt;TODAY()),"Disponible",IFERROR(INDEX(Vehiculos[Estado Vehiculo],MATCH(F49,Vehiculos[Placa Vehiculo],0)),""))</f>
        <v>Disponible</v>
      </c>
      <c r="H49" s="34" t="s">
        <v>239</v>
      </c>
      <c r="I49" s="34" t="s">
        <v>273</v>
      </c>
      <c r="J49" s="34" t="s">
        <v>282</v>
      </c>
      <c r="K49" s="39">
        <f t="shared" ref="K49:K55" si="9">L48</f>
        <v>24491</v>
      </c>
      <c r="L49" s="39">
        <v>25568</v>
      </c>
      <c r="M49" s="15">
        <f t="shared" si="1"/>
        <v>1077</v>
      </c>
      <c r="N49" s="15"/>
      <c r="O49" s="39"/>
      <c r="P49" s="36"/>
      <c r="Q49" s="16">
        <f t="shared" si="6"/>
        <v>0</v>
      </c>
      <c r="R49" s="34" t="s">
        <v>273</v>
      </c>
      <c r="S49" s="34" t="s">
        <v>102</v>
      </c>
      <c r="T49" s="36">
        <v>1.8</v>
      </c>
      <c r="U49" s="36">
        <f>Rutas[[#This Row],[Precio x Galón ($/gal)]]*Rutas[[#This Row],[Volumen de Combustible (gal)]]</f>
        <v>287.29800000000006</v>
      </c>
      <c r="V49" s="36"/>
      <c r="W49" s="36"/>
      <c r="X49" s="36"/>
      <c r="Y49" s="14">
        <f t="shared" si="7"/>
        <v>287.29800000000006</v>
      </c>
      <c r="Z49" s="566"/>
      <c r="AA49" s="12">
        <v>159.61000000000001</v>
      </c>
      <c r="AB49" s="12">
        <f t="shared" si="8"/>
        <v>6.7476975126871741</v>
      </c>
      <c r="AC49" s="12">
        <f t="shared" si="5"/>
        <v>0</v>
      </c>
      <c r="AD49" s="34"/>
    </row>
    <row r="50" spans="1:30" ht="16" x14ac:dyDescent="0.2">
      <c r="A50" s="47"/>
      <c r="B50" s="301"/>
      <c r="C50" s="176">
        <f t="shared" si="0"/>
        <v>47</v>
      </c>
      <c r="D50" s="37">
        <v>45645</v>
      </c>
      <c r="E50" s="37">
        <v>45647</v>
      </c>
      <c r="F50" s="65" t="s">
        <v>207</v>
      </c>
      <c r="G50" s="11" t="str">
        <f ca="1">IF(AND(E50&lt;&gt;"",E50&lt;TODAY()),"Disponible",IFERROR(INDEX(Vehiculos[Estado Vehiculo],MATCH(F50,Vehiculos[Placa Vehiculo],0)),""))</f>
        <v>Disponible</v>
      </c>
      <c r="H50" s="34" t="s">
        <v>239</v>
      </c>
      <c r="I50" s="34" t="s">
        <v>273</v>
      </c>
      <c r="J50" s="34" t="s">
        <v>282</v>
      </c>
      <c r="K50" s="39">
        <f t="shared" si="9"/>
        <v>25568</v>
      </c>
      <c r="L50" s="39">
        <v>26327</v>
      </c>
      <c r="M50" s="15">
        <f t="shared" si="1"/>
        <v>759</v>
      </c>
      <c r="N50" s="15"/>
      <c r="O50" s="39"/>
      <c r="P50" s="36"/>
      <c r="Q50" s="16">
        <f t="shared" si="6"/>
        <v>0</v>
      </c>
      <c r="R50" s="34" t="s">
        <v>273</v>
      </c>
      <c r="S50" s="34" t="s">
        <v>102</v>
      </c>
      <c r="T50" s="36">
        <v>1.8</v>
      </c>
      <c r="U50" s="36">
        <f>Rutas[[#This Row],[Precio x Galón ($/gal)]]*Rutas[[#This Row],[Volumen de Combustible (gal)]]</f>
        <v>267.84000000000003</v>
      </c>
      <c r="V50" s="36"/>
      <c r="W50" s="36"/>
      <c r="X50" s="36"/>
      <c r="Y50" s="14">
        <f t="shared" si="7"/>
        <v>267.84000000000003</v>
      </c>
      <c r="Z50" s="566"/>
      <c r="AA50" s="12">
        <v>148.80000000000001</v>
      </c>
      <c r="AB50" s="12">
        <f t="shared" si="8"/>
        <v>5.100806451612903</v>
      </c>
      <c r="AC50" s="12">
        <f t="shared" si="5"/>
        <v>0</v>
      </c>
      <c r="AD50" s="34"/>
    </row>
    <row r="51" spans="1:30" ht="16" x14ac:dyDescent="0.2">
      <c r="A51" s="47"/>
      <c r="B51" s="301"/>
      <c r="C51" s="176">
        <f t="shared" si="0"/>
        <v>48</v>
      </c>
      <c r="D51" s="37">
        <v>45647</v>
      </c>
      <c r="E51" s="37">
        <v>45649</v>
      </c>
      <c r="F51" s="65" t="s">
        <v>207</v>
      </c>
      <c r="G51" s="11" t="str">
        <f ca="1">IF(AND(E51&lt;&gt;"",E51&lt;TODAY()),"Disponible",IFERROR(INDEX(Vehiculos[Estado Vehiculo],MATCH(F51,Vehiculos[Placa Vehiculo],0)),""))</f>
        <v>Disponible</v>
      </c>
      <c r="H51" s="34" t="s">
        <v>239</v>
      </c>
      <c r="I51" s="34" t="s">
        <v>273</v>
      </c>
      <c r="J51" s="34" t="s">
        <v>282</v>
      </c>
      <c r="K51" s="39">
        <f t="shared" si="9"/>
        <v>26327</v>
      </c>
      <c r="L51" s="39">
        <v>27000</v>
      </c>
      <c r="M51" s="15">
        <f t="shared" si="1"/>
        <v>673</v>
      </c>
      <c r="N51" s="15"/>
      <c r="O51" s="39"/>
      <c r="P51" s="36"/>
      <c r="Q51" s="16">
        <f t="shared" si="6"/>
        <v>0</v>
      </c>
      <c r="R51" s="34" t="s">
        <v>273</v>
      </c>
      <c r="S51" s="34" t="s">
        <v>102</v>
      </c>
      <c r="T51" s="36">
        <v>1.8</v>
      </c>
      <c r="U51" s="36">
        <f>Rutas[[#This Row],[Precio x Galón ($/gal)]]*Rutas[[#This Row],[Volumen de Combustible (gal)]]</f>
        <v>195.93</v>
      </c>
      <c r="V51" s="36"/>
      <c r="W51" s="36"/>
      <c r="X51" s="36"/>
      <c r="Y51" s="14">
        <f t="shared" si="7"/>
        <v>195.93</v>
      </c>
      <c r="Z51" s="566"/>
      <c r="AA51" s="12">
        <v>108.85</v>
      </c>
      <c r="AB51" s="12">
        <f t="shared" si="8"/>
        <v>6.1828203950390446</v>
      </c>
      <c r="AC51" s="12">
        <f t="shared" si="5"/>
        <v>0</v>
      </c>
      <c r="AD51" s="34"/>
    </row>
    <row r="52" spans="1:30" ht="16" x14ac:dyDescent="0.2">
      <c r="A52" s="47"/>
      <c r="B52" s="301"/>
      <c r="C52" s="176">
        <f t="shared" si="0"/>
        <v>49</v>
      </c>
      <c r="D52" s="37">
        <v>45649</v>
      </c>
      <c r="E52" s="37">
        <v>45652</v>
      </c>
      <c r="F52" s="65" t="s">
        <v>207</v>
      </c>
      <c r="G52" s="11" t="str">
        <f ca="1">IF(AND(E52&lt;&gt;"",E52&lt;TODAY()),"Disponible",IFERROR(INDEX(Vehiculos[Estado Vehiculo],MATCH(F52,Vehiculos[Placa Vehiculo],0)),""))</f>
        <v>Disponible</v>
      </c>
      <c r="H52" s="34" t="s">
        <v>237</v>
      </c>
      <c r="I52" s="34" t="s">
        <v>273</v>
      </c>
      <c r="J52" s="34" t="s">
        <v>282</v>
      </c>
      <c r="K52" s="39">
        <f t="shared" si="9"/>
        <v>27000</v>
      </c>
      <c r="L52" s="39">
        <v>27922</v>
      </c>
      <c r="M52" s="15">
        <f t="shared" si="1"/>
        <v>922</v>
      </c>
      <c r="N52" s="15"/>
      <c r="O52" s="39"/>
      <c r="P52" s="36"/>
      <c r="Q52" s="16">
        <f t="shared" si="6"/>
        <v>0</v>
      </c>
      <c r="R52" s="34" t="s">
        <v>273</v>
      </c>
      <c r="S52" s="34" t="s">
        <v>102</v>
      </c>
      <c r="T52" s="36">
        <v>1.8</v>
      </c>
      <c r="U52" s="36">
        <f>Rutas[[#This Row],[Precio x Galón ($/gal)]]*Rutas[[#This Row],[Volumen de Combustible (gal)]]</f>
        <v>180.018</v>
      </c>
      <c r="V52" s="36"/>
      <c r="W52" s="36"/>
      <c r="X52" s="36"/>
      <c r="Y52" s="14">
        <f t="shared" si="7"/>
        <v>180.018</v>
      </c>
      <c r="Z52" s="566"/>
      <c r="AA52" s="12">
        <v>100.01</v>
      </c>
      <c r="AB52" s="12">
        <f t="shared" si="8"/>
        <v>9.2190780921907809</v>
      </c>
      <c r="AC52" s="12">
        <f t="shared" si="5"/>
        <v>0</v>
      </c>
      <c r="AD52" s="34"/>
    </row>
    <row r="53" spans="1:30" ht="16" x14ac:dyDescent="0.2">
      <c r="A53" s="47"/>
      <c r="B53" s="301"/>
      <c r="C53" s="176">
        <f t="shared" si="0"/>
        <v>50</v>
      </c>
      <c r="D53" s="37">
        <v>45652</v>
      </c>
      <c r="E53" s="37">
        <v>45654</v>
      </c>
      <c r="F53" s="65" t="s">
        <v>207</v>
      </c>
      <c r="G53" s="11" t="str">
        <f ca="1">IF(AND(E53&lt;&gt;"",E53&lt;TODAY()),"Disponible",IFERROR(INDEX(Vehiculos[Estado Vehiculo],MATCH(F53,Vehiculos[Placa Vehiculo],0)),""))</f>
        <v>Disponible</v>
      </c>
      <c r="H53" s="34" t="s">
        <v>237</v>
      </c>
      <c r="I53" s="34" t="s">
        <v>273</v>
      </c>
      <c r="J53" s="34" t="s">
        <v>282</v>
      </c>
      <c r="K53" s="39">
        <f t="shared" si="9"/>
        <v>27922</v>
      </c>
      <c r="L53" s="39">
        <v>28837</v>
      </c>
      <c r="M53" s="15">
        <f t="shared" ref="M53:M61" si="10">L53-K53</f>
        <v>915</v>
      </c>
      <c r="N53" s="15"/>
      <c r="O53" s="39"/>
      <c r="P53" s="36"/>
      <c r="Q53" s="16">
        <f t="shared" si="6"/>
        <v>0</v>
      </c>
      <c r="R53" s="34" t="s">
        <v>273</v>
      </c>
      <c r="S53" s="34" t="s">
        <v>102</v>
      </c>
      <c r="T53" s="36">
        <v>1.8</v>
      </c>
      <c r="U53" s="36">
        <f>Rutas[[#This Row],[Precio x Galón ($/gal)]]*Rutas[[#This Row],[Volumen de Combustible (gal)]]</f>
        <v>260.29800000000006</v>
      </c>
      <c r="V53" s="36"/>
      <c r="W53" s="36"/>
      <c r="X53" s="36"/>
      <c r="Y53" s="14">
        <f t="shared" si="7"/>
        <v>260.29800000000006</v>
      </c>
      <c r="Z53" s="566"/>
      <c r="AA53" s="12">
        <v>144.61000000000001</v>
      </c>
      <c r="AB53" s="12">
        <f t="shared" si="8"/>
        <v>6.3273632528870749</v>
      </c>
      <c r="AC53" s="12">
        <f t="shared" ref="AC53:AC61" si="11">IFERROR(Q53/M53,0)</f>
        <v>0</v>
      </c>
      <c r="AD53" s="34"/>
    </row>
    <row r="54" spans="1:30" ht="16" x14ac:dyDescent="0.2">
      <c r="A54" s="47"/>
      <c r="B54" s="301"/>
      <c r="C54" s="176">
        <f t="shared" si="0"/>
        <v>51</v>
      </c>
      <c r="D54" s="37">
        <v>45654</v>
      </c>
      <c r="E54" s="37">
        <v>45657</v>
      </c>
      <c r="F54" s="65" t="s">
        <v>207</v>
      </c>
      <c r="G54" s="11" t="str">
        <f ca="1">IF(AND(E54&lt;&gt;"",E54&lt;TODAY()),"Disponible",IFERROR(INDEX(Vehiculos[Estado Vehiculo],MATCH(F54,Vehiculos[Placa Vehiculo],0)),""))</f>
        <v>Disponible</v>
      </c>
      <c r="H54" s="34" t="s">
        <v>237</v>
      </c>
      <c r="I54" s="34" t="s">
        <v>273</v>
      </c>
      <c r="J54" s="34" t="s">
        <v>282</v>
      </c>
      <c r="K54" s="39">
        <f t="shared" si="9"/>
        <v>28837</v>
      </c>
      <c r="L54" s="39">
        <v>29721</v>
      </c>
      <c r="M54" s="15">
        <f t="shared" si="10"/>
        <v>884</v>
      </c>
      <c r="N54" s="15"/>
      <c r="O54" s="39"/>
      <c r="P54" s="36"/>
      <c r="Q54" s="16">
        <f t="shared" si="6"/>
        <v>0</v>
      </c>
      <c r="R54" s="34" t="s">
        <v>273</v>
      </c>
      <c r="S54" s="34" t="s">
        <v>102</v>
      </c>
      <c r="T54" s="36">
        <v>1.8</v>
      </c>
      <c r="U54" s="36">
        <f>Rutas[[#This Row],[Precio x Galón ($/gal)]]*Rutas[[#This Row],[Volumen de Combustible (gal)]]</f>
        <v>224.87400000000002</v>
      </c>
      <c r="V54" s="36"/>
      <c r="W54" s="36"/>
      <c r="X54" s="36"/>
      <c r="Y54" s="14">
        <f t="shared" si="7"/>
        <v>224.87400000000002</v>
      </c>
      <c r="Z54" s="566"/>
      <c r="AA54" s="12">
        <v>124.93</v>
      </c>
      <c r="AB54" s="12">
        <f t="shared" si="8"/>
        <v>7.0759625390218517</v>
      </c>
      <c r="AC54" s="12">
        <f t="shared" si="11"/>
        <v>0</v>
      </c>
      <c r="AD54" s="34"/>
    </row>
    <row r="55" spans="1:30" ht="16" x14ac:dyDescent="0.2">
      <c r="A55" s="47"/>
      <c r="B55" s="301"/>
      <c r="C55" s="176">
        <f t="shared" si="0"/>
        <v>52</v>
      </c>
      <c r="D55" s="146">
        <v>45657</v>
      </c>
      <c r="E55" s="37">
        <v>45657</v>
      </c>
      <c r="F55" s="65" t="s">
        <v>207</v>
      </c>
      <c r="G55" s="11" t="str">
        <f ca="1">IF(AND(E55&lt;&gt;"",E55&lt;TODAY()),"Disponible",IFERROR(INDEX(Vehiculos[Estado Vehiculo],MATCH(F55,Vehiculos[Placa Vehiculo],0)),""))</f>
        <v>Disponible</v>
      </c>
      <c r="H55" s="34" t="s">
        <v>237</v>
      </c>
      <c r="I55" s="34" t="s">
        <v>273</v>
      </c>
      <c r="J55" s="34" t="s">
        <v>282</v>
      </c>
      <c r="K55" s="39">
        <f t="shared" si="9"/>
        <v>29721</v>
      </c>
      <c r="L55" s="39">
        <v>30443</v>
      </c>
      <c r="M55" s="15">
        <f t="shared" si="10"/>
        <v>722</v>
      </c>
      <c r="N55" s="15"/>
      <c r="O55" s="39"/>
      <c r="P55" s="36"/>
      <c r="Q55" s="16">
        <f t="shared" si="6"/>
        <v>0</v>
      </c>
      <c r="R55" s="34" t="s">
        <v>273</v>
      </c>
      <c r="S55" s="34" t="s">
        <v>102</v>
      </c>
      <c r="T55" s="36">
        <v>1.8</v>
      </c>
      <c r="U55" s="36">
        <f>Rutas[[#This Row],[Precio x Galón ($/gal)]]*Rutas[[#This Row],[Volumen de Combustible (gal)]]</f>
        <v>184.59</v>
      </c>
      <c r="V55" s="36"/>
      <c r="W55" s="36"/>
      <c r="X55" s="36"/>
      <c r="Y55" s="145">
        <f t="shared" si="7"/>
        <v>184.59</v>
      </c>
      <c r="Z55" s="567"/>
      <c r="AA55" s="12">
        <v>102.55</v>
      </c>
      <c r="AB55" s="12">
        <f t="shared" si="8"/>
        <v>7.0404680643588495</v>
      </c>
      <c r="AC55" s="12">
        <f t="shared" si="11"/>
        <v>0</v>
      </c>
      <c r="AD55" s="34"/>
    </row>
    <row r="56" spans="1:30" ht="16" x14ac:dyDescent="0.2">
      <c r="A56" s="47"/>
      <c r="B56" s="301"/>
      <c r="C56" s="176">
        <f t="shared" si="0"/>
        <v>53</v>
      </c>
      <c r="D56" s="177">
        <v>45509</v>
      </c>
      <c r="E56" s="177">
        <v>45634</v>
      </c>
      <c r="F56" s="178" t="s">
        <v>286</v>
      </c>
      <c r="G56" s="179" t="str">
        <f ca="1">IF(AND(E56&lt;&gt;"",E56&lt;TODAY()),"Disponible",IFERROR(INDEX(Vehiculos[Estado Vehiculo],MATCH(F56,Vehiculos[Placa Vehiculo],0)),""))</f>
        <v>Disponible</v>
      </c>
      <c r="H56" s="180" t="s">
        <v>288</v>
      </c>
      <c r="I56" s="180" t="s">
        <v>273</v>
      </c>
      <c r="J56" s="180" t="s">
        <v>290</v>
      </c>
      <c r="K56" s="181">
        <v>68869</v>
      </c>
      <c r="L56" s="181">
        <v>69453</v>
      </c>
      <c r="M56" s="182">
        <f t="shared" si="10"/>
        <v>584</v>
      </c>
      <c r="N56" s="182"/>
      <c r="O56" s="181"/>
      <c r="P56" s="183"/>
      <c r="Q56" s="184">
        <f t="shared" si="6"/>
        <v>0</v>
      </c>
      <c r="R56" s="180" t="s">
        <v>273</v>
      </c>
      <c r="S56" s="180" t="s">
        <v>102</v>
      </c>
      <c r="T56" s="183">
        <v>1.8</v>
      </c>
      <c r="U56" s="183">
        <f>Rutas[[#This Row],[Precio x Galón ($/gal)]]*Rutas[[#This Row],[Volumen de Combustible (gal)]]</f>
        <v>27.45</v>
      </c>
      <c r="V56" s="183"/>
      <c r="W56" s="183"/>
      <c r="X56" s="183"/>
      <c r="Y56" s="184">
        <f t="shared" si="7"/>
        <v>27.45</v>
      </c>
      <c r="Z56" s="567"/>
      <c r="AA56" s="184">
        <v>15.25</v>
      </c>
      <c r="AB56" s="184">
        <f t="shared" si="8"/>
        <v>38.295081967213115</v>
      </c>
      <c r="AC56" s="184">
        <f t="shared" si="11"/>
        <v>0</v>
      </c>
      <c r="AD56" s="180"/>
    </row>
    <row r="57" spans="1:30" ht="16" x14ac:dyDescent="0.2">
      <c r="A57" s="47"/>
      <c r="B57" s="301"/>
      <c r="C57" s="176">
        <f t="shared" si="0"/>
        <v>54</v>
      </c>
      <c r="D57" s="146">
        <f>E56</f>
        <v>45634</v>
      </c>
      <c r="E57" s="37">
        <v>45637</v>
      </c>
      <c r="F57" s="65" t="s">
        <v>286</v>
      </c>
      <c r="G57" s="11" t="str">
        <f ca="1">IF(AND(E57&lt;&gt;"",E57&lt;TODAY()),"Disponible",IFERROR(INDEX(Vehiculos[Estado Vehiculo],MATCH(F57,Vehiculos[Placa Vehiculo],0)),""))</f>
        <v>Disponible</v>
      </c>
      <c r="H57" s="34" t="s">
        <v>288</v>
      </c>
      <c r="I57" s="34" t="s">
        <v>273</v>
      </c>
      <c r="J57" s="34" t="s">
        <v>290</v>
      </c>
      <c r="K57" s="39">
        <f>L56</f>
        <v>69453</v>
      </c>
      <c r="L57" s="39">
        <v>70164</v>
      </c>
      <c r="M57" s="15">
        <f t="shared" si="10"/>
        <v>711</v>
      </c>
      <c r="N57" s="15"/>
      <c r="O57" s="39"/>
      <c r="P57" s="36"/>
      <c r="Q57" s="16">
        <f t="shared" si="6"/>
        <v>0</v>
      </c>
      <c r="R57" s="34" t="s">
        <v>273</v>
      </c>
      <c r="S57" s="34" t="s">
        <v>102</v>
      </c>
      <c r="T57" s="36">
        <v>1.8</v>
      </c>
      <c r="U57" s="36">
        <f>Rutas[[#This Row],[Precio x Galón ($/gal)]]*Rutas[[#This Row],[Volumen de Combustible (gal)]]</f>
        <v>25.002000000000002</v>
      </c>
      <c r="V57" s="36"/>
      <c r="W57" s="36"/>
      <c r="X57" s="36"/>
      <c r="Y57" s="145">
        <f t="shared" si="7"/>
        <v>25.002000000000002</v>
      </c>
      <c r="Z57" s="567"/>
      <c r="AA57" s="12">
        <v>13.89</v>
      </c>
      <c r="AB57" s="12">
        <f t="shared" si="8"/>
        <v>51.187904967602591</v>
      </c>
      <c r="AC57" s="12">
        <f t="shared" si="11"/>
        <v>0</v>
      </c>
      <c r="AD57" s="34"/>
    </row>
    <row r="58" spans="1:30" ht="16" x14ac:dyDescent="0.2">
      <c r="A58" s="47"/>
      <c r="B58" s="301"/>
      <c r="C58" s="176">
        <f t="shared" si="0"/>
        <v>55</v>
      </c>
      <c r="D58" s="146">
        <f>E57</f>
        <v>45637</v>
      </c>
      <c r="E58" s="37">
        <v>45640</v>
      </c>
      <c r="F58" s="65" t="s">
        <v>286</v>
      </c>
      <c r="G58" s="11" t="str">
        <f ca="1">IF(AND(E58&lt;&gt;"",E58&lt;TODAY()),"Disponible",IFERROR(INDEX(Vehiculos[Estado Vehiculo],MATCH(F58,Vehiculos[Placa Vehiculo],0)),""))</f>
        <v>Disponible</v>
      </c>
      <c r="H58" s="34" t="s">
        <v>288</v>
      </c>
      <c r="I58" s="34" t="s">
        <v>273</v>
      </c>
      <c r="J58" s="34" t="s">
        <v>290</v>
      </c>
      <c r="K58" s="39">
        <f>L57</f>
        <v>70164</v>
      </c>
      <c r="L58" s="39">
        <v>70755</v>
      </c>
      <c r="M58" s="15">
        <f t="shared" si="10"/>
        <v>591</v>
      </c>
      <c r="N58" s="15"/>
      <c r="O58" s="39"/>
      <c r="P58" s="36"/>
      <c r="Q58" s="16">
        <f t="shared" si="6"/>
        <v>0</v>
      </c>
      <c r="R58" s="34" t="s">
        <v>273</v>
      </c>
      <c r="S58" s="34" t="s">
        <v>102</v>
      </c>
      <c r="T58" s="36">
        <v>1.8</v>
      </c>
      <c r="U58" s="36">
        <f>Rutas[[#This Row],[Precio x Galón ($/gal)]]*Rutas[[#This Row],[Volumen de Combustible (gal)]]</f>
        <v>28.943999999999999</v>
      </c>
      <c r="V58" s="36"/>
      <c r="W58" s="36"/>
      <c r="X58" s="36"/>
      <c r="Y58" s="145">
        <f t="shared" si="7"/>
        <v>28.943999999999999</v>
      </c>
      <c r="Z58" s="567"/>
      <c r="AA58" s="12">
        <v>16.079999999999998</v>
      </c>
      <c r="AB58" s="12">
        <f t="shared" si="8"/>
        <v>36.753731343283583</v>
      </c>
      <c r="AC58" s="12">
        <f t="shared" si="11"/>
        <v>0</v>
      </c>
      <c r="AD58" s="34"/>
    </row>
    <row r="59" spans="1:30" ht="16" x14ac:dyDescent="0.2">
      <c r="A59" s="47"/>
      <c r="B59" s="301"/>
      <c r="C59" s="176">
        <f t="shared" si="0"/>
        <v>56</v>
      </c>
      <c r="D59" s="146">
        <f>E58</f>
        <v>45640</v>
      </c>
      <c r="E59" s="37">
        <v>45647</v>
      </c>
      <c r="F59" s="65" t="s">
        <v>286</v>
      </c>
      <c r="G59" s="11" t="str">
        <f ca="1">IF(AND(E59&lt;&gt;"",E59&lt;TODAY()),"Disponible",IFERROR(INDEX(Vehiculos[Estado Vehiculo],MATCH(F59,Vehiculos[Placa Vehiculo],0)),""))</f>
        <v>Disponible</v>
      </c>
      <c r="H59" s="34" t="s">
        <v>288</v>
      </c>
      <c r="I59" s="34" t="s">
        <v>273</v>
      </c>
      <c r="J59" s="34" t="s">
        <v>290</v>
      </c>
      <c r="K59" s="39">
        <f>L58</f>
        <v>70755</v>
      </c>
      <c r="L59" s="39">
        <v>72398</v>
      </c>
      <c r="M59" s="15">
        <f t="shared" si="10"/>
        <v>1643</v>
      </c>
      <c r="N59" s="15"/>
      <c r="O59" s="39"/>
      <c r="P59" s="36"/>
      <c r="Q59" s="16">
        <f t="shared" si="6"/>
        <v>0</v>
      </c>
      <c r="R59" s="34" t="s">
        <v>273</v>
      </c>
      <c r="S59" s="34" t="s">
        <v>102</v>
      </c>
      <c r="T59" s="36">
        <v>1.8</v>
      </c>
      <c r="U59" s="36">
        <f>Rutas[[#This Row],[Precio x Galón ($/gal)]]*Rutas[[#This Row],[Volumen de Combustible (gal)]]</f>
        <v>26.082000000000001</v>
      </c>
      <c r="V59" s="36"/>
      <c r="W59" s="36"/>
      <c r="X59" s="36"/>
      <c r="Y59" s="145">
        <f t="shared" si="7"/>
        <v>26.082000000000001</v>
      </c>
      <c r="Z59" s="567"/>
      <c r="AA59" s="12">
        <v>14.49</v>
      </c>
      <c r="AB59" s="12">
        <f t="shared" si="8"/>
        <v>113.38854382332643</v>
      </c>
      <c r="AC59" s="12">
        <f t="shared" si="11"/>
        <v>0</v>
      </c>
      <c r="AD59" s="34"/>
    </row>
    <row r="60" spans="1:30" ht="16" x14ac:dyDescent="0.2">
      <c r="A60" s="47"/>
      <c r="B60" s="301"/>
      <c r="C60" s="176">
        <f t="shared" si="0"/>
        <v>57</v>
      </c>
      <c r="D60" s="146">
        <f>E59</f>
        <v>45647</v>
      </c>
      <c r="E60" s="37">
        <v>45653</v>
      </c>
      <c r="F60" s="65" t="s">
        <v>286</v>
      </c>
      <c r="G60" s="11" t="str">
        <f ca="1">IF(AND(E60&lt;&gt;"",E60&lt;TODAY()),"Disponible",IFERROR(INDEX(Vehiculos[Estado Vehiculo],MATCH(F60,Vehiculos[Placa Vehiculo],0)),""))</f>
        <v>Disponible</v>
      </c>
      <c r="H60" s="34" t="s">
        <v>289</v>
      </c>
      <c r="I60" s="34" t="s">
        <v>273</v>
      </c>
      <c r="J60" s="34" t="s">
        <v>290</v>
      </c>
      <c r="K60" s="39">
        <f>L59</f>
        <v>72398</v>
      </c>
      <c r="L60" s="39">
        <v>73069</v>
      </c>
      <c r="M60" s="15">
        <f t="shared" si="10"/>
        <v>671</v>
      </c>
      <c r="N60" s="15"/>
      <c r="O60" s="39"/>
      <c r="P60" s="36"/>
      <c r="Q60" s="16">
        <f t="shared" si="6"/>
        <v>0</v>
      </c>
      <c r="R60" s="34" t="s">
        <v>273</v>
      </c>
      <c r="S60" s="34" t="s">
        <v>102</v>
      </c>
      <c r="T60" s="36">
        <v>1.8</v>
      </c>
      <c r="U60" s="36">
        <f>Rutas[[#This Row],[Precio x Galón ($/gal)]]*Rutas[[#This Row],[Volumen de Combustible (gal)]]</f>
        <v>28.35</v>
      </c>
      <c r="V60" s="36"/>
      <c r="W60" s="36"/>
      <c r="X60" s="36"/>
      <c r="Y60" s="145">
        <f t="shared" si="7"/>
        <v>28.35</v>
      </c>
      <c r="Z60" s="567"/>
      <c r="AA60" s="12">
        <v>15.75</v>
      </c>
      <c r="AB60" s="12">
        <f t="shared" si="8"/>
        <v>42.603174603174601</v>
      </c>
      <c r="AC60" s="12">
        <f t="shared" si="11"/>
        <v>0</v>
      </c>
      <c r="AD60" s="34"/>
    </row>
    <row r="61" spans="1:30" ht="16" x14ac:dyDescent="0.2">
      <c r="A61" s="47"/>
      <c r="B61" s="301"/>
      <c r="C61" s="176">
        <f t="shared" si="0"/>
        <v>58</v>
      </c>
      <c r="D61" s="146">
        <f>E60</f>
        <v>45653</v>
      </c>
      <c r="E61" s="37">
        <v>45654</v>
      </c>
      <c r="F61" s="65" t="s">
        <v>286</v>
      </c>
      <c r="G61" s="11" t="str">
        <f ca="1">IF(AND(E61&lt;&gt;"",E61&lt;TODAY()),"Disponible",IFERROR(INDEX(Vehiculos[Estado Vehiculo],MATCH(F61,Vehiculos[Placa Vehiculo],0)),""))</f>
        <v>Disponible</v>
      </c>
      <c r="H61" s="34" t="s">
        <v>289</v>
      </c>
      <c r="I61" s="34" t="s">
        <v>273</v>
      </c>
      <c r="J61" s="34" t="s">
        <v>290</v>
      </c>
      <c r="K61" s="39">
        <f>L60</f>
        <v>73069</v>
      </c>
      <c r="L61" s="39">
        <v>73385</v>
      </c>
      <c r="M61" s="15">
        <f t="shared" si="10"/>
        <v>316</v>
      </c>
      <c r="N61" s="15"/>
      <c r="O61" s="39"/>
      <c r="P61" s="36"/>
      <c r="Q61" s="16">
        <f t="shared" si="6"/>
        <v>0</v>
      </c>
      <c r="R61" s="34" t="s">
        <v>273</v>
      </c>
      <c r="S61" s="34" t="s">
        <v>102</v>
      </c>
      <c r="T61" s="36">
        <v>1.8</v>
      </c>
      <c r="U61" s="36">
        <f>Rutas[[#This Row],[Precio x Galón ($/gal)]]*Rutas[[#This Row],[Volumen de Combustible (gal)]]</f>
        <v>18.900000000000002</v>
      </c>
      <c r="V61" s="36"/>
      <c r="W61" s="36"/>
      <c r="X61" s="36"/>
      <c r="Y61" s="145">
        <f t="shared" si="7"/>
        <v>18.900000000000002</v>
      </c>
      <c r="Z61" s="567"/>
      <c r="AA61" s="12">
        <v>10.5</v>
      </c>
      <c r="AB61" s="12">
        <f t="shared" si="8"/>
        <v>30.095238095238095</v>
      </c>
      <c r="AC61" s="12">
        <f t="shared" si="11"/>
        <v>0</v>
      </c>
      <c r="AD61" s="34"/>
    </row>
    <row r="62" spans="1:30" ht="16" x14ac:dyDescent="0.2">
      <c r="A62" s="47"/>
      <c r="B62" s="301"/>
      <c r="C62" s="176">
        <f t="shared" si="0"/>
        <v>59</v>
      </c>
      <c r="D62" s="146">
        <v>46019</v>
      </c>
      <c r="E62" s="37">
        <v>45656</v>
      </c>
      <c r="F62" s="65" t="s">
        <v>286</v>
      </c>
      <c r="G62" s="11" t="str">
        <f ca="1">IF(AND(E62&lt;&gt;"",E62&lt;TODAY()),"Disponible",IFERROR(INDEX(Vehiculos[Estado Vehiculo],MATCH(F62,Vehiculos[Placa Vehiculo],0)),""))</f>
        <v>Disponible</v>
      </c>
      <c r="H62" s="34" t="s">
        <v>289</v>
      </c>
      <c r="I62" s="34" t="s">
        <v>273</v>
      </c>
      <c r="J62" s="34" t="s">
        <v>290</v>
      </c>
      <c r="K62" s="39">
        <v>73385</v>
      </c>
      <c r="L62" s="39">
        <v>74003</v>
      </c>
      <c r="M62" s="15">
        <f t="shared" ref="M62:M112" si="12">L62-K62</f>
        <v>618</v>
      </c>
      <c r="N62" s="15"/>
      <c r="O62" s="39"/>
      <c r="P62" s="36"/>
      <c r="Q62" s="16">
        <f t="shared" ref="Q62:Q112" si="13">M62*P62</f>
        <v>0</v>
      </c>
      <c r="R62" s="34" t="s">
        <v>273</v>
      </c>
      <c r="S62" s="34" t="s">
        <v>102</v>
      </c>
      <c r="T62" s="36">
        <v>1.8</v>
      </c>
      <c r="U62" s="36">
        <f>Rutas[[#This Row],[Precio x Galón ($/gal)]]*Rutas[[#This Row],[Volumen de Combustible (gal)]]</f>
        <v>27.18</v>
      </c>
      <c r="V62" s="36"/>
      <c r="W62" s="36"/>
      <c r="X62" s="36"/>
      <c r="Y62" s="145">
        <f t="shared" ref="Y62:Y112" si="14">U62+SUM(V62:X62)</f>
        <v>27.18</v>
      </c>
      <c r="Z62" s="567"/>
      <c r="AA62" s="12">
        <v>15.1</v>
      </c>
      <c r="AB62" s="12">
        <f t="shared" ref="AB62:AB112" si="15">IFERROR(M62/AA62,0)</f>
        <v>40.927152317880797</v>
      </c>
      <c r="AC62" s="12">
        <f t="shared" ref="AC62:AC112" si="16">IFERROR(Q62/M62,0)</f>
        <v>0</v>
      </c>
      <c r="AD62" s="34"/>
    </row>
    <row r="63" spans="1:30" ht="16" x14ac:dyDescent="0.2">
      <c r="A63" s="47"/>
      <c r="B63" s="301"/>
      <c r="C63" s="176">
        <f t="shared" si="0"/>
        <v>60</v>
      </c>
      <c r="D63" s="90">
        <v>45627</v>
      </c>
      <c r="E63" s="90">
        <v>45633</v>
      </c>
      <c r="F63" s="68" t="s">
        <v>365</v>
      </c>
      <c r="G63" s="379" t="str">
        <f ca="1">IF(AND(E63&lt;&gt;"",E63&lt;TODAY()),"Disponible",IFERROR(INDEX(Vehiculos[Estado Vehiculo],MATCH(F63,Vehiculos[Placa Vehiculo],0)),""))</f>
        <v>Disponible</v>
      </c>
      <c r="H63" s="89" t="s">
        <v>234</v>
      </c>
      <c r="I63" s="89" t="s">
        <v>338</v>
      </c>
      <c r="J63" s="89" t="s">
        <v>317</v>
      </c>
      <c r="K63" s="380"/>
      <c r="L63" s="380"/>
      <c r="M63" s="381">
        <f t="shared" ref="M63:M74" si="17">L63-K63</f>
        <v>0</v>
      </c>
      <c r="N63" s="381"/>
      <c r="O63" s="380"/>
      <c r="P63" s="92"/>
      <c r="Q63" s="382">
        <f t="shared" ref="Q63:Q74" si="18">M63*P63</f>
        <v>0</v>
      </c>
      <c r="R63" s="89" t="s">
        <v>340</v>
      </c>
      <c r="S63" s="89" t="s">
        <v>102</v>
      </c>
      <c r="T63" s="92">
        <v>1.8</v>
      </c>
      <c r="U63" s="92">
        <f>Rutas[[#This Row],[Precio x Galón ($/gal)]]*Rutas[[#This Row],[Volumen de Combustible (gal)]]</f>
        <v>99</v>
      </c>
      <c r="V63" s="92"/>
      <c r="W63" s="92"/>
      <c r="X63" s="92"/>
      <c r="Y63" s="382">
        <f t="shared" ref="Y63:Y74" si="19">U63+SUM(V63:X63)</f>
        <v>99</v>
      </c>
      <c r="Z63" s="567"/>
      <c r="AA63" s="382">
        <v>55</v>
      </c>
      <c r="AB63" s="382">
        <f t="shared" ref="AB63:AB74" si="20">IFERROR(M63/AA63,0)</f>
        <v>0</v>
      </c>
      <c r="AC63" s="382">
        <f t="shared" ref="AC63:AC74" si="21">IFERROR(Q63/M63,0)</f>
        <v>0</v>
      </c>
      <c r="AD63" s="89"/>
    </row>
    <row r="64" spans="1:30" ht="16" x14ac:dyDescent="0.2">
      <c r="A64" s="47"/>
      <c r="B64" s="301"/>
      <c r="C64" s="176">
        <f t="shared" si="0"/>
        <v>61</v>
      </c>
      <c r="D64" s="146">
        <v>45633</v>
      </c>
      <c r="E64" s="37">
        <v>45641</v>
      </c>
      <c r="F64" s="65" t="s">
        <v>365</v>
      </c>
      <c r="G64" s="11" t="str">
        <f ca="1">IF(AND(E64&lt;&gt;"",E64&lt;TODAY()),"Disponible",IFERROR(INDEX(Vehiculos[Estado Vehiculo],MATCH(F64,Vehiculos[Placa Vehiculo],0)),""))</f>
        <v>Disponible</v>
      </c>
      <c r="H64" s="34" t="s">
        <v>234</v>
      </c>
      <c r="I64" s="34" t="s">
        <v>338</v>
      </c>
      <c r="J64" s="34" t="s">
        <v>317</v>
      </c>
      <c r="K64" s="39"/>
      <c r="L64" s="39"/>
      <c r="M64" s="15">
        <f t="shared" si="17"/>
        <v>0</v>
      </c>
      <c r="N64" s="15"/>
      <c r="O64" s="39"/>
      <c r="P64" s="36"/>
      <c r="Q64" s="16">
        <f t="shared" si="18"/>
        <v>0</v>
      </c>
      <c r="R64" s="34" t="s">
        <v>340</v>
      </c>
      <c r="S64" s="34" t="s">
        <v>102</v>
      </c>
      <c r="T64" s="36">
        <v>1.8</v>
      </c>
      <c r="U64" s="36">
        <f>Rutas[[#This Row],[Precio x Galón ($/gal)]]*Rutas[[#This Row],[Volumen de Combustible (gal)]]</f>
        <v>108</v>
      </c>
      <c r="V64" s="36"/>
      <c r="W64" s="36"/>
      <c r="X64" s="36"/>
      <c r="Y64" s="145">
        <f t="shared" si="19"/>
        <v>108</v>
      </c>
      <c r="Z64" s="567"/>
      <c r="AA64" s="12">
        <v>60</v>
      </c>
      <c r="AB64" s="12">
        <f t="shared" si="20"/>
        <v>0</v>
      </c>
      <c r="AC64" s="12">
        <f t="shared" si="21"/>
        <v>0</v>
      </c>
      <c r="AD64" s="34"/>
    </row>
    <row r="65" spans="1:30" ht="16" x14ac:dyDescent="0.2">
      <c r="A65" s="47"/>
      <c r="B65" s="301"/>
      <c r="C65" s="176">
        <f t="shared" si="0"/>
        <v>62</v>
      </c>
      <c r="D65" s="146">
        <v>45641</v>
      </c>
      <c r="E65" s="37">
        <v>45646</v>
      </c>
      <c r="F65" s="65" t="s">
        <v>365</v>
      </c>
      <c r="G65" s="11" t="str">
        <f ca="1">IF(AND(E65&lt;&gt;"",E65&lt;TODAY()),"Disponible",IFERROR(INDEX(Vehiculos[Estado Vehiculo],MATCH(F65,Vehiculos[Placa Vehiculo],0)),""))</f>
        <v>Disponible</v>
      </c>
      <c r="H65" s="34" t="s">
        <v>234</v>
      </c>
      <c r="I65" s="34" t="s">
        <v>338</v>
      </c>
      <c r="J65" s="34" t="s">
        <v>317</v>
      </c>
      <c r="K65" s="39"/>
      <c r="L65" s="39"/>
      <c r="M65" s="15">
        <f t="shared" si="17"/>
        <v>0</v>
      </c>
      <c r="N65" s="15"/>
      <c r="O65" s="39"/>
      <c r="P65" s="36"/>
      <c r="Q65" s="16">
        <f t="shared" si="18"/>
        <v>0</v>
      </c>
      <c r="R65" s="34" t="s">
        <v>340</v>
      </c>
      <c r="S65" s="34" t="s">
        <v>102</v>
      </c>
      <c r="T65" s="36">
        <v>1.8</v>
      </c>
      <c r="U65" s="36">
        <f>Rutas[[#This Row],[Precio x Galón ($/gal)]]*Rutas[[#This Row],[Volumen de Combustible (gal)]]</f>
        <v>99</v>
      </c>
      <c r="V65" s="36"/>
      <c r="W65" s="36"/>
      <c r="X65" s="36"/>
      <c r="Y65" s="145">
        <f t="shared" si="19"/>
        <v>99</v>
      </c>
      <c r="Z65" s="567"/>
      <c r="AA65" s="12">
        <v>55</v>
      </c>
      <c r="AB65" s="12">
        <f t="shared" si="20"/>
        <v>0</v>
      </c>
      <c r="AC65" s="12">
        <f t="shared" si="21"/>
        <v>0</v>
      </c>
      <c r="AD65" s="34"/>
    </row>
    <row r="66" spans="1:30" ht="16" x14ac:dyDescent="0.2">
      <c r="A66" s="47"/>
      <c r="B66" s="301"/>
      <c r="C66" s="176">
        <f t="shared" si="0"/>
        <v>63</v>
      </c>
      <c r="D66" s="146">
        <v>45646</v>
      </c>
      <c r="E66" s="37">
        <v>45654</v>
      </c>
      <c r="F66" s="65" t="s">
        <v>365</v>
      </c>
      <c r="G66" s="11" t="str">
        <f ca="1">IF(AND(E66&lt;&gt;"",E66&lt;TODAY()),"Disponible",IFERROR(INDEX(Vehiculos[Estado Vehiculo],MATCH(F66,Vehiculos[Placa Vehiculo],0)),""))</f>
        <v>Disponible</v>
      </c>
      <c r="H66" s="34" t="s">
        <v>234</v>
      </c>
      <c r="I66" s="34" t="s">
        <v>338</v>
      </c>
      <c r="J66" s="34" t="s">
        <v>317</v>
      </c>
      <c r="K66" s="39"/>
      <c r="L66" s="39"/>
      <c r="M66" s="15">
        <f t="shared" si="17"/>
        <v>0</v>
      </c>
      <c r="N66" s="15"/>
      <c r="O66" s="39"/>
      <c r="P66" s="36"/>
      <c r="Q66" s="16">
        <f t="shared" si="18"/>
        <v>0</v>
      </c>
      <c r="R66" s="34" t="s">
        <v>340</v>
      </c>
      <c r="S66" s="34" t="s">
        <v>102</v>
      </c>
      <c r="T66" s="36">
        <v>1.8</v>
      </c>
      <c r="U66" s="36">
        <f>Rutas[[#This Row],[Precio x Galón ($/gal)]]*Rutas[[#This Row],[Volumen de Combustible (gal)]]</f>
        <v>108</v>
      </c>
      <c r="V66" s="36"/>
      <c r="W66" s="36"/>
      <c r="X66" s="36"/>
      <c r="Y66" s="145">
        <f t="shared" si="19"/>
        <v>108</v>
      </c>
      <c r="Z66" s="567"/>
      <c r="AA66" s="12">
        <v>60</v>
      </c>
      <c r="AB66" s="12">
        <f t="shared" si="20"/>
        <v>0</v>
      </c>
      <c r="AC66" s="12">
        <f t="shared" si="21"/>
        <v>0</v>
      </c>
      <c r="AD66" s="34"/>
    </row>
    <row r="67" spans="1:30" ht="16" x14ac:dyDescent="0.2">
      <c r="A67" s="47"/>
      <c r="B67" s="301"/>
      <c r="C67" s="176">
        <f t="shared" si="0"/>
        <v>64</v>
      </c>
      <c r="D67" s="146">
        <v>45654</v>
      </c>
      <c r="E67" s="37">
        <v>45657</v>
      </c>
      <c r="F67" s="65" t="s">
        <v>365</v>
      </c>
      <c r="G67" s="11" t="str">
        <f ca="1">IF(AND(E67&lt;&gt;"",E67&lt;TODAY()),"Disponible",IFERROR(INDEX(Vehiculos[Estado Vehiculo],MATCH(F67,Vehiculos[Placa Vehiculo],0)),""))</f>
        <v>Disponible</v>
      </c>
      <c r="H67" s="34" t="s">
        <v>234</v>
      </c>
      <c r="I67" s="34" t="s">
        <v>338</v>
      </c>
      <c r="J67" s="34" t="s">
        <v>317</v>
      </c>
      <c r="K67" s="39"/>
      <c r="L67" s="39"/>
      <c r="M67" s="15">
        <f t="shared" si="17"/>
        <v>0</v>
      </c>
      <c r="N67" s="15"/>
      <c r="O67" s="39"/>
      <c r="P67" s="36"/>
      <c r="Q67" s="16">
        <f t="shared" si="18"/>
        <v>0</v>
      </c>
      <c r="R67" s="34" t="s">
        <v>340</v>
      </c>
      <c r="S67" s="34" t="s">
        <v>102</v>
      </c>
      <c r="T67" s="36">
        <v>1.8</v>
      </c>
      <c r="U67" s="36">
        <f>Rutas[[#This Row],[Precio x Galón ($/gal)]]*Rutas[[#This Row],[Volumen de Combustible (gal)]]</f>
        <v>126</v>
      </c>
      <c r="V67" s="36"/>
      <c r="W67" s="36"/>
      <c r="X67" s="36"/>
      <c r="Y67" s="145">
        <f t="shared" si="19"/>
        <v>126</v>
      </c>
      <c r="Z67" s="567"/>
      <c r="AA67" s="12">
        <v>70</v>
      </c>
      <c r="AB67" s="12">
        <f t="shared" si="20"/>
        <v>0</v>
      </c>
      <c r="AC67" s="12">
        <f t="shared" si="21"/>
        <v>0</v>
      </c>
      <c r="AD67" s="34"/>
    </row>
    <row r="68" spans="1:30" ht="16" x14ac:dyDescent="0.2">
      <c r="A68" s="47"/>
      <c r="B68" s="301"/>
      <c r="C68" s="176">
        <f t="shared" ref="C68:C131" si="22">ROW(A65)</f>
        <v>65</v>
      </c>
      <c r="D68" s="90">
        <v>45627</v>
      </c>
      <c r="E68" s="90">
        <v>45633</v>
      </c>
      <c r="F68" s="68" t="s">
        <v>213</v>
      </c>
      <c r="G68" s="379" t="str">
        <f ca="1">IF(AND(E68&lt;&gt;"",E68&lt;TODAY()),"Disponible",IFERROR(INDEX(Vehiculos[Estado Vehiculo],MATCH(F68,Vehiculos[Placa Vehiculo],0)),""))</f>
        <v>Disponible</v>
      </c>
      <c r="H68" s="89" t="s">
        <v>232</v>
      </c>
      <c r="I68" s="89" t="s">
        <v>338</v>
      </c>
      <c r="J68" s="89" t="s">
        <v>317</v>
      </c>
      <c r="K68" s="380"/>
      <c r="L68" s="380"/>
      <c r="M68" s="381">
        <f t="shared" si="17"/>
        <v>0</v>
      </c>
      <c r="N68" s="381"/>
      <c r="O68" s="380"/>
      <c r="P68" s="92"/>
      <c r="Q68" s="382">
        <f t="shared" si="18"/>
        <v>0</v>
      </c>
      <c r="R68" s="89" t="s">
        <v>339</v>
      </c>
      <c r="S68" s="89" t="s">
        <v>102</v>
      </c>
      <c r="T68" s="92">
        <v>1.8</v>
      </c>
      <c r="U68" s="92">
        <f>Rutas[[#This Row],[Precio x Galón ($/gal)]]*Rutas[[#This Row],[Volumen de Combustible (gal)]]</f>
        <v>99</v>
      </c>
      <c r="V68" s="92"/>
      <c r="W68" s="92"/>
      <c r="X68" s="92"/>
      <c r="Y68" s="382">
        <f t="shared" si="19"/>
        <v>99</v>
      </c>
      <c r="Z68" s="567"/>
      <c r="AA68" s="382">
        <v>55</v>
      </c>
      <c r="AB68" s="382">
        <f t="shared" si="20"/>
        <v>0</v>
      </c>
      <c r="AC68" s="382">
        <f t="shared" si="21"/>
        <v>0</v>
      </c>
      <c r="AD68" s="89"/>
    </row>
    <row r="69" spans="1:30" ht="16" x14ac:dyDescent="0.2">
      <c r="A69" s="47"/>
      <c r="B69" s="301"/>
      <c r="C69" s="176">
        <f t="shared" si="22"/>
        <v>66</v>
      </c>
      <c r="D69" s="146">
        <v>45633</v>
      </c>
      <c r="E69" s="37">
        <v>45641</v>
      </c>
      <c r="F69" s="65" t="s">
        <v>213</v>
      </c>
      <c r="G69" s="11" t="str">
        <f ca="1">IF(AND(E69&lt;&gt;"",E69&lt;TODAY()),"Disponible",IFERROR(INDEX(Vehiculos[Estado Vehiculo],MATCH(F69,Vehiculos[Placa Vehiculo],0)),""))</f>
        <v>Disponible</v>
      </c>
      <c r="H69" s="34" t="s">
        <v>232</v>
      </c>
      <c r="I69" s="34" t="s">
        <v>338</v>
      </c>
      <c r="J69" s="34" t="s">
        <v>317</v>
      </c>
      <c r="K69" s="39"/>
      <c r="L69" s="39"/>
      <c r="M69" s="15">
        <f t="shared" si="17"/>
        <v>0</v>
      </c>
      <c r="N69" s="15"/>
      <c r="O69" s="39"/>
      <c r="P69" s="36"/>
      <c r="Q69" s="16">
        <f t="shared" si="18"/>
        <v>0</v>
      </c>
      <c r="R69" s="34" t="s">
        <v>339</v>
      </c>
      <c r="S69" s="34" t="s">
        <v>102</v>
      </c>
      <c r="T69" s="36">
        <v>1.8</v>
      </c>
      <c r="U69" s="36">
        <f>Rutas[[#This Row],[Precio x Galón ($/gal)]]*Rutas[[#This Row],[Volumen de Combustible (gal)]]</f>
        <v>108</v>
      </c>
      <c r="V69" s="36"/>
      <c r="W69" s="36"/>
      <c r="X69" s="36"/>
      <c r="Y69" s="145">
        <f t="shared" si="19"/>
        <v>108</v>
      </c>
      <c r="Z69" s="567"/>
      <c r="AA69" s="12">
        <v>60</v>
      </c>
      <c r="AB69" s="12">
        <f t="shared" si="20"/>
        <v>0</v>
      </c>
      <c r="AC69" s="12">
        <f t="shared" si="21"/>
        <v>0</v>
      </c>
      <c r="AD69" s="34"/>
    </row>
    <row r="70" spans="1:30" ht="16" x14ac:dyDescent="0.2">
      <c r="A70" s="47"/>
      <c r="B70" s="301"/>
      <c r="C70" s="176">
        <f t="shared" si="22"/>
        <v>67</v>
      </c>
      <c r="D70" s="146">
        <v>45641</v>
      </c>
      <c r="E70" s="37">
        <v>45646</v>
      </c>
      <c r="F70" s="65" t="s">
        <v>213</v>
      </c>
      <c r="G70" s="11" t="str">
        <f ca="1">IF(AND(E70&lt;&gt;"",E70&lt;TODAY()),"Disponible",IFERROR(INDEX(Vehiculos[Estado Vehiculo],MATCH(F70,Vehiculos[Placa Vehiculo],0)),""))</f>
        <v>Disponible</v>
      </c>
      <c r="H70" s="34" t="s">
        <v>232</v>
      </c>
      <c r="I70" s="34" t="s">
        <v>338</v>
      </c>
      <c r="J70" s="34" t="s">
        <v>317</v>
      </c>
      <c r="K70" s="39"/>
      <c r="L70" s="39"/>
      <c r="M70" s="15">
        <f t="shared" si="17"/>
        <v>0</v>
      </c>
      <c r="N70" s="15"/>
      <c r="O70" s="39"/>
      <c r="P70" s="36"/>
      <c r="Q70" s="16">
        <f t="shared" si="18"/>
        <v>0</v>
      </c>
      <c r="R70" s="34" t="s">
        <v>339</v>
      </c>
      <c r="S70" s="34" t="s">
        <v>102</v>
      </c>
      <c r="T70" s="36">
        <v>1.8</v>
      </c>
      <c r="U70" s="36">
        <f>Rutas[[#This Row],[Precio x Galón ($/gal)]]*Rutas[[#This Row],[Volumen de Combustible (gal)]]</f>
        <v>99</v>
      </c>
      <c r="V70" s="36"/>
      <c r="W70" s="36"/>
      <c r="X70" s="36"/>
      <c r="Y70" s="145">
        <f t="shared" si="19"/>
        <v>99</v>
      </c>
      <c r="Z70" s="567"/>
      <c r="AA70" s="12">
        <v>55</v>
      </c>
      <c r="AB70" s="12">
        <f t="shared" si="20"/>
        <v>0</v>
      </c>
      <c r="AC70" s="12">
        <f t="shared" si="21"/>
        <v>0</v>
      </c>
      <c r="AD70" s="34"/>
    </row>
    <row r="71" spans="1:30" ht="16" x14ac:dyDescent="0.2">
      <c r="A71" s="47"/>
      <c r="B71" s="301"/>
      <c r="C71" s="176">
        <f t="shared" si="22"/>
        <v>68</v>
      </c>
      <c r="D71" s="146">
        <v>45646</v>
      </c>
      <c r="E71" s="37">
        <v>45654</v>
      </c>
      <c r="F71" s="65" t="s">
        <v>213</v>
      </c>
      <c r="G71" s="11" t="str">
        <f ca="1">IF(AND(E71&lt;&gt;"",E71&lt;TODAY()),"Disponible",IFERROR(INDEX(Vehiculos[Estado Vehiculo],MATCH(F71,Vehiculos[Placa Vehiculo],0)),""))</f>
        <v>Disponible</v>
      </c>
      <c r="H71" s="34" t="s">
        <v>232</v>
      </c>
      <c r="I71" s="34" t="s">
        <v>338</v>
      </c>
      <c r="J71" s="34" t="s">
        <v>317</v>
      </c>
      <c r="K71" s="39"/>
      <c r="L71" s="39"/>
      <c r="M71" s="15">
        <f t="shared" si="17"/>
        <v>0</v>
      </c>
      <c r="N71" s="15"/>
      <c r="O71" s="39"/>
      <c r="P71" s="36"/>
      <c r="Q71" s="16">
        <f t="shared" si="18"/>
        <v>0</v>
      </c>
      <c r="R71" s="34" t="s">
        <v>339</v>
      </c>
      <c r="S71" s="34" t="s">
        <v>102</v>
      </c>
      <c r="T71" s="36">
        <v>1.8</v>
      </c>
      <c r="U71" s="36">
        <f>Rutas[[#This Row],[Precio x Galón ($/gal)]]*Rutas[[#This Row],[Volumen de Combustible (gal)]]</f>
        <v>108</v>
      </c>
      <c r="V71" s="36"/>
      <c r="W71" s="36"/>
      <c r="X71" s="36"/>
      <c r="Y71" s="145">
        <f t="shared" si="19"/>
        <v>108</v>
      </c>
      <c r="Z71" s="567"/>
      <c r="AA71" s="12">
        <v>60</v>
      </c>
      <c r="AB71" s="12">
        <f t="shared" si="20"/>
        <v>0</v>
      </c>
      <c r="AC71" s="12">
        <f t="shared" si="21"/>
        <v>0</v>
      </c>
      <c r="AD71" s="34"/>
    </row>
    <row r="72" spans="1:30" ht="16" x14ac:dyDescent="0.2">
      <c r="A72" s="47"/>
      <c r="B72" s="301"/>
      <c r="C72" s="176">
        <f t="shared" si="22"/>
        <v>69</v>
      </c>
      <c r="D72" s="146">
        <v>45654</v>
      </c>
      <c r="E72" s="37">
        <v>45657</v>
      </c>
      <c r="F72" s="65" t="s">
        <v>213</v>
      </c>
      <c r="G72" s="11" t="str">
        <f ca="1">IF(AND(E72&lt;&gt;"",E72&lt;TODAY()),"Disponible",IFERROR(INDEX(Vehiculos[Estado Vehiculo],MATCH(F72,Vehiculos[Placa Vehiculo],0)),""))</f>
        <v>Disponible</v>
      </c>
      <c r="H72" s="34" t="s">
        <v>232</v>
      </c>
      <c r="I72" s="34" t="s">
        <v>338</v>
      </c>
      <c r="J72" s="34" t="s">
        <v>317</v>
      </c>
      <c r="K72" s="39"/>
      <c r="L72" s="39"/>
      <c r="M72" s="15">
        <f t="shared" si="17"/>
        <v>0</v>
      </c>
      <c r="N72" s="15"/>
      <c r="O72" s="39"/>
      <c r="P72" s="36"/>
      <c r="Q72" s="16">
        <f t="shared" si="18"/>
        <v>0</v>
      </c>
      <c r="R72" s="34" t="s">
        <v>339</v>
      </c>
      <c r="S72" s="34" t="s">
        <v>102</v>
      </c>
      <c r="T72" s="36">
        <v>1.8</v>
      </c>
      <c r="U72" s="36">
        <f>Rutas[[#This Row],[Precio x Galón ($/gal)]]*Rutas[[#This Row],[Volumen de Combustible (gal)]]</f>
        <v>117</v>
      </c>
      <c r="V72" s="36"/>
      <c r="W72" s="36"/>
      <c r="X72" s="36"/>
      <c r="Y72" s="145">
        <f t="shared" si="19"/>
        <v>117</v>
      </c>
      <c r="Z72" s="567"/>
      <c r="AA72" s="12">
        <v>65</v>
      </c>
      <c r="AB72" s="12">
        <f t="shared" si="20"/>
        <v>0</v>
      </c>
      <c r="AC72" s="12">
        <f t="shared" si="21"/>
        <v>0</v>
      </c>
      <c r="AD72" s="34"/>
    </row>
    <row r="73" spans="1:30" ht="16" x14ac:dyDescent="0.2">
      <c r="A73" s="47"/>
      <c r="B73" s="301"/>
      <c r="C73" s="176">
        <f t="shared" si="22"/>
        <v>70</v>
      </c>
      <c r="D73" s="146"/>
      <c r="E73" s="37"/>
      <c r="F73" s="65"/>
      <c r="G73" s="11" t="str">
        <f ca="1">IF(AND(E73&lt;&gt;"",E73&lt;TODAY()),"Disponible",IFERROR(INDEX(Vehiculos[Estado Vehiculo],MATCH(F73,Vehiculos[Placa Vehiculo],0)),""))</f>
        <v/>
      </c>
      <c r="H73" s="34"/>
      <c r="I73" s="34"/>
      <c r="J73" s="34"/>
      <c r="K73" s="39"/>
      <c r="L73" s="39"/>
      <c r="M73" s="15">
        <f t="shared" si="17"/>
        <v>0</v>
      </c>
      <c r="N73" s="15"/>
      <c r="O73" s="39"/>
      <c r="P73" s="36"/>
      <c r="Q73" s="16">
        <f t="shared" si="18"/>
        <v>0</v>
      </c>
      <c r="R73" s="34"/>
      <c r="S73" s="34"/>
      <c r="T73" s="36"/>
      <c r="U73" s="36"/>
      <c r="V73" s="36"/>
      <c r="W73" s="36"/>
      <c r="X73" s="36"/>
      <c r="Y73" s="145">
        <f t="shared" si="19"/>
        <v>0</v>
      </c>
      <c r="Z73" s="567"/>
      <c r="AA73" s="12"/>
      <c r="AB73" s="12">
        <f t="shared" si="20"/>
        <v>0</v>
      </c>
      <c r="AC73" s="12">
        <f t="shared" si="21"/>
        <v>0</v>
      </c>
      <c r="AD73" s="34"/>
    </row>
    <row r="74" spans="1:30" ht="16" x14ac:dyDescent="0.2">
      <c r="A74" s="47"/>
      <c r="B74" s="301"/>
      <c r="C74" s="176">
        <f t="shared" si="22"/>
        <v>71</v>
      </c>
      <c r="D74" s="146"/>
      <c r="E74" s="37"/>
      <c r="F74" s="65"/>
      <c r="G74" s="11" t="str">
        <f ca="1">IF(AND(E74&lt;&gt;"",E74&lt;TODAY()),"Disponible",IFERROR(INDEX(Vehiculos[Estado Vehiculo],MATCH(F74,Vehiculos[Placa Vehiculo],0)),""))</f>
        <v/>
      </c>
      <c r="H74" s="34"/>
      <c r="I74" s="34"/>
      <c r="J74" s="34"/>
      <c r="K74" s="39"/>
      <c r="L74" s="39"/>
      <c r="M74" s="15">
        <f t="shared" si="17"/>
        <v>0</v>
      </c>
      <c r="N74" s="15"/>
      <c r="O74" s="39"/>
      <c r="P74" s="36"/>
      <c r="Q74" s="16">
        <f t="shared" si="18"/>
        <v>0</v>
      </c>
      <c r="R74" s="34"/>
      <c r="S74" s="34"/>
      <c r="T74" s="36"/>
      <c r="U74" s="36"/>
      <c r="V74" s="36"/>
      <c r="W74" s="36"/>
      <c r="X74" s="36"/>
      <c r="Y74" s="145">
        <f t="shared" si="19"/>
        <v>0</v>
      </c>
      <c r="Z74" s="567"/>
      <c r="AA74" s="12"/>
      <c r="AB74" s="12">
        <f t="shared" si="20"/>
        <v>0</v>
      </c>
      <c r="AC74" s="12">
        <f t="shared" si="21"/>
        <v>0</v>
      </c>
      <c r="AD74" s="34"/>
    </row>
    <row r="75" spans="1:30" ht="16" x14ac:dyDescent="0.2">
      <c r="A75" s="47"/>
      <c r="B75" s="301"/>
      <c r="C75" s="176">
        <f t="shared" si="22"/>
        <v>72</v>
      </c>
      <c r="D75" s="177">
        <v>45995</v>
      </c>
      <c r="E75" s="177">
        <v>45633</v>
      </c>
      <c r="F75" s="178" t="s">
        <v>306</v>
      </c>
      <c r="G75" s="179" t="str">
        <f ca="1">IF(AND(E75&lt;&gt;"",E75&lt;TODAY()),"Disponible",IFERROR(INDEX(Vehiculos[Estado Vehiculo],MATCH(F75,Vehiculos[Placa Vehiculo],0)),""))</f>
        <v>Disponible</v>
      </c>
      <c r="H75" s="180" t="s">
        <v>242</v>
      </c>
      <c r="I75" s="180" t="s">
        <v>273</v>
      </c>
      <c r="J75" s="180" t="s">
        <v>274</v>
      </c>
      <c r="K75" s="181">
        <v>1085</v>
      </c>
      <c r="L75" s="181">
        <v>1102</v>
      </c>
      <c r="M75" s="182">
        <f t="shared" si="12"/>
        <v>17</v>
      </c>
      <c r="N75" s="182"/>
      <c r="O75" s="181"/>
      <c r="P75" s="183"/>
      <c r="Q75" s="184">
        <f t="shared" si="13"/>
        <v>0</v>
      </c>
      <c r="R75" s="180" t="s">
        <v>273</v>
      </c>
      <c r="S75" s="180" t="s">
        <v>102</v>
      </c>
      <c r="T75" s="183">
        <v>1.8</v>
      </c>
      <c r="U75" s="183">
        <f>Rutas[[#This Row],[Precio x Galón ($/gal)]]*Rutas[[#This Row],[Volumen de Combustible (gal)]]</f>
        <v>19.835999999999999</v>
      </c>
      <c r="V75" s="183"/>
      <c r="W75" s="183"/>
      <c r="X75" s="183"/>
      <c r="Y75" s="184">
        <f t="shared" si="14"/>
        <v>19.835999999999999</v>
      </c>
      <c r="Z75" s="567"/>
      <c r="AA75" s="184">
        <v>11.02</v>
      </c>
      <c r="AB75" s="184">
        <f t="shared" si="15"/>
        <v>1.5426497277676952</v>
      </c>
      <c r="AC75" s="184">
        <f t="shared" si="16"/>
        <v>0</v>
      </c>
      <c r="AD75" s="180"/>
    </row>
    <row r="76" spans="1:30" ht="16" x14ac:dyDescent="0.2">
      <c r="A76" s="47"/>
      <c r="B76" s="301"/>
      <c r="C76" s="176">
        <f t="shared" si="22"/>
        <v>73</v>
      </c>
      <c r="D76" s="146">
        <f>E75</f>
        <v>45633</v>
      </c>
      <c r="E76" s="37">
        <v>45639</v>
      </c>
      <c r="F76" s="65" t="s">
        <v>306</v>
      </c>
      <c r="G76" s="11" t="str">
        <f ca="1">IF(AND(E76&lt;&gt;"",E76&lt;TODAY()),"Disponible",IFERROR(INDEX(Vehiculos[Estado Vehiculo],MATCH(F76,Vehiculos[Placa Vehiculo],0)),""))</f>
        <v>Disponible</v>
      </c>
      <c r="H76" s="34" t="s">
        <v>242</v>
      </c>
      <c r="I76" s="34" t="s">
        <v>273</v>
      </c>
      <c r="J76" s="34" t="s">
        <v>274</v>
      </c>
      <c r="K76" s="39">
        <v>1102</v>
      </c>
      <c r="L76" s="39">
        <v>1121</v>
      </c>
      <c r="M76" s="15">
        <f t="shared" si="12"/>
        <v>19</v>
      </c>
      <c r="N76" s="15"/>
      <c r="O76" s="39"/>
      <c r="P76" s="36"/>
      <c r="Q76" s="16">
        <f t="shared" si="13"/>
        <v>0</v>
      </c>
      <c r="R76" s="34" t="s">
        <v>273</v>
      </c>
      <c r="S76" s="34" t="s">
        <v>102</v>
      </c>
      <c r="T76" s="36">
        <v>1.8</v>
      </c>
      <c r="U76" s="36">
        <f>Rutas[[#This Row],[Precio x Galón ($/gal)]]*Rutas[[#This Row],[Volumen de Combustible (gal)]]</f>
        <v>20.034000000000002</v>
      </c>
      <c r="V76" s="36"/>
      <c r="W76" s="36"/>
      <c r="X76" s="36"/>
      <c r="Y76" s="145">
        <f t="shared" si="14"/>
        <v>20.034000000000002</v>
      </c>
      <c r="Z76" s="567"/>
      <c r="AA76" s="12">
        <v>11.13</v>
      </c>
      <c r="AB76" s="12">
        <f t="shared" si="15"/>
        <v>1.7070979335130276</v>
      </c>
      <c r="AC76" s="12">
        <f t="shared" si="16"/>
        <v>0</v>
      </c>
      <c r="AD76" s="34"/>
    </row>
    <row r="77" spans="1:30" ht="16" x14ac:dyDescent="0.2">
      <c r="A77" s="47"/>
      <c r="B77" s="301"/>
      <c r="C77" s="176">
        <f t="shared" si="22"/>
        <v>74</v>
      </c>
      <c r="D77" s="146">
        <f>E76</f>
        <v>45639</v>
      </c>
      <c r="E77" s="37">
        <v>45645</v>
      </c>
      <c r="F77" s="65" t="s">
        <v>306</v>
      </c>
      <c r="G77" s="11" t="str">
        <f ca="1">IF(AND(E77&lt;&gt;"",E77&lt;TODAY()),"Disponible",IFERROR(INDEX(Vehiculos[Estado Vehiculo],MATCH(F77,Vehiculos[Placa Vehiculo],0)),""))</f>
        <v>Disponible</v>
      </c>
      <c r="H77" s="34" t="s">
        <v>242</v>
      </c>
      <c r="I77" s="34" t="s">
        <v>273</v>
      </c>
      <c r="J77" s="34" t="s">
        <v>274</v>
      </c>
      <c r="K77" s="39">
        <f>L76</f>
        <v>1121</v>
      </c>
      <c r="L77" s="39">
        <v>1135</v>
      </c>
      <c r="M77" s="15">
        <f t="shared" si="12"/>
        <v>14</v>
      </c>
      <c r="N77" s="15"/>
      <c r="O77" s="39"/>
      <c r="P77" s="36"/>
      <c r="Q77" s="16">
        <f t="shared" si="13"/>
        <v>0</v>
      </c>
      <c r="R77" s="34" t="s">
        <v>273</v>
      </c>
      <c r="S77" s="34" t="s">
        <v>102</v>
      </c>
      <c r="T77" s="36">
        <v>1.8</v>
      </c>
      <c r="U77" s="36">
        <f>Rutas[[#This Row],[Precio x Galón ($/gal)]]*Rutas[[#This Row],[Volumen de Combustible (gal)]]</f>
        <v>18.053999999999998</v>
      </c>
      <c r="V77" s="36"/>
      <c r="W77" s="36"/>
      <c r="X77" s="36"/>
      <c r="Y77" s="145">
        <f t="shared" si="14"/>
        <v>18.053999999999998</v>
      </c>
      <c r="Z77" s="567"/>
      <c r="AA77" s="12">
        <v>10.029999999999999</v>
      </c>
      <c r="AB77" s="12">
        <f t="shared" si="15"/>
        <v>1.3958125623130608</v>
      </c>
      <c r="AC77" s="12">
        <f t="shared" si="16"/>
        <v>0</v>
      </c>
      <c r="AD77" s="34"/>
    </row>
    <row r="78" spans="1:30" ht="16" x14ac:dyDescent="0.2">
      <c r="A78" s="47"/>
      <c r="B78" s="301"/>
      <c r="C78" s="176">
        <f t="shared" si="22"/>
        <v>75</v>
      </c>
      <c r="D78" s="146">
        <f>E77</f>
        <v>45645</v>
      </c>
      <c r="E78" s="37">
        <v>45650</v>
      </c>
      <c r="F78" s="65" t="s">
        <v>306</v>
      </c>
      <c r="G78" s="11" t="str">
        <f ca="1">IF(AND(E78&lt;&gt;"",E78&lt;TODAY()),"Disponible",IFERROR(INDEX(Vehiculos[Estado Vehiculo],MATCH(F78,Vehiculos[Placa Vehiculo],0)),""))</f>
        <v>Disponible</v>
      </c>
      <c r="H78" s="34" t="s">
        <v>242</v>
      </c>
      <c r="I78" s="34" t="s">
        <v>273</v>
      </c>
      <c r="J78" s="34" t="s">
        <v>274</v>
      </c>
      <c r="K78" s="39">
        <f>L77</f>
        <v>1135</v>
      </c>
      <c r="L78" s="39">
        <v>1157</v>
      </c>
      <c r="M78" s="15">
        <f t="shared" si="12"/>
        <v>22</v>
      </c>
      <c r="N78" s="15"/>
      <c r="O78" s="39"/>
      <c r="P78" s="36"/>
      <c r="Q78" s="16">
        <f t="shared" si="13"/>
        <v>0</v>
      </c>
      <c r="R78" s="34" t="s">
        <v>273</v>
      </c>
      <c r="S78" s="34" t="s">
        <v>102</v>
      </c>
      <c r="T78" s="36">
        <v>1.8</v>
      </c>
      <c r="U78" s="36">
        <f>Rutas[[#This Row],[Precio x Galón ($/gal)]]*Rutas[[#This Row],[Volumen de Combustible (gal)]]</f>
        <v>14.04</v>
      </c>
      <c r="V78" s="36"/>
      <c r="W78" s="36"/>
      <c r="X78" s="36"/>
      <c r="Y78" s="145">
        <f t="shared" si="14"/>
        <v>14.04</v>
      </c>
      <c r="Z78" s="567"/>
      <c r="AA78" s="12">
        <v>7.8</v>
      </c>
      <c r="AB78" s="12">
        <f t="shared" si="15"/>
        <v>2.8205128205128207</v>
      </c>
      <c r="AC78" s="12">
        <f t="shared" si="16"/>
        <v>0</v>
      </c>
      <c r="AD78" s="34"/>
    </row>
    <row r="79" spans="1:30" ht="16" x14ac:dyDescent="0.2">
      <c r="A79" s="47"/>
      <c r="B79" s="301"/>
      <c r="C79" s="176">
        <f t="shared" si="22"/>
        <v>76</v>
      </c>
      <c r="D79" s="146">
        <f>E78</f>
        <v>45650</v>
      </c>
      <c r="E79" s="37">
        <v>45656</v>
      </c>
      <c r="F79" s="65" t="s">
        <v>306</v>
      </c>
      <c r="G79" s="11" t="str">
        <f ca="1">IF(AND(E79&lt;&gt;"",E79&lt;TODAY()),"Disponible",IFERROR(INDEX(Vehiculos[Estado Vehiculo],MATCH(F79,Vehiculos[Placa Vehiculo],0)),""))</f>
        <v>Disponible</v>
      </c>
      <c r="H79" s="34" t="s">
        <v>305</v>
      </c>
      <c r="I79" s="34" t="s">
        <v>273</v>
      </c>
      <c r="J79" s="34" t="s">
        <v>274</v>
      </c>
      <c r="K79" s="39">
        <f>L78</f>
        <v>1157</v>
      </c>
      <c r="L79" s="39">
        <v>1173</v>
      </c>
      <c r="M79" s="15">
        <f t="shared" si="12"/>
        <v>16</v>
      </c>
      <c r="N79" s="15"/>
      <c r="O79" s="39"/>
      <c r="P79" s="36"/>
      <c r="Q79" s="16">
        <f t="shared" si="13"/>
        <v>0</v>
      </c>
      <c r="R79" s="34" t="s">
        <v>273</v>
      </c>
      <c r="S79" s="34" t="s">
        <v>102</v>
      </c>
      <c r="T79" s="36">
        <v>1.8</v>
      </c>
      <c r="U79" s="36">
        <f>Rutas[[#This Row],[Precio x Galón ($/gal)]]*Rutas[[#This Row],[Volumen de Combustible (gal)]]</f>
        <v>16.974</v>
      </c>
      <c r="V79" s="36"/>
      <c r="W79" s="36"/>
      <c r="X79" s="36"/>
      <c r="Y79" s="145">
        <f t="shared" si="14"/>
        <v>16.974</v>
      </c>
      <c r="Z79" s="567"/>
      <c r="AA79" s="12">
        <v>9.43</v>
      </c>
      <c r="AB79" s="12">
        <f t="shared" si="15"/>
        <v>1.6967126193001061</v>
      </c>
      <c r="AC79" s="12">
        <f t="shared" si="16"/>
        <v>0</v>
      </c>
      <c r="AD79" s="34"/>
    </row>
    <row r="80" spans="1:30" ht="16" x14ac:dyDescent="0.2">
      <c r="A80" s="47"/>
      <c r="B80" s="301"/>
      <c r="C80" s="176">
        <f t="shared" si="22"/>
        <v>77</v>
      </c>
      <c r="D80" s="146">
        <f>E79</f>
        <v>45656</v>
      </c>
      <c r="E80" s="37">
        <v>45657</v>
      </c>
      <c r="F80" s="65" t="s">
        <v>306</v>
      </c>
      <c r="G80" s="11" t="str">
        <f ca="1">IF(AND(E80&lt;&gt;"",E80&lt;TODAY()),"Disponible",IFERROR(INDEX(Vehiculos[Estado Vehiculo],MATCH(F80,Vehiculos[Placa Vehiculo],0)),""))</f>
        <v>Disponible</v>
      </c>
      <c r="H80" s="34" t="s">
        <v>305</v>
      </c>
      <c r="I80" s="34" t="s">
        <v>273</v>
      </c>
      <c r="J80" s="34" t="s">
        <v>274</v>
      </c>
      <c r="K80" s="39">
        <f>L79</f>
        <v>1173</v>
      </c>
      <c r="L80" s="39">
        <v>1187</v>
      </c>
      <c r="M80" s="15">
        <f t="shared" si="12"/>
        <v>14</v>
      </c>
      <c r="N80" s="15"/>
      <c r="O80" s="39"/>
      <c r="P80" s="36"/>
      <c r="Q80" s="16">
        <f t="shared" si="13"/>
        <v>0</v>
      </c>
      <c r="R80" s="34" t="s">
        <v>273</v>
      </c>
      <c r="S80" s="34" t="s">
        <v>102</v>
      </c>
      <c r="T80" s="36">
        <v>1.8</v>
      </c>
      <c r="U80" s="36">
        <f>Rutas[[#This Row],[Precio x Galón ($/gal)]]*Rutas[[#This Row],[Volumen de Combustible (gal)]]</f>
        <v>203.328</v>
      </c>
      <c r="V80" s="36"/>
      <c r="W80" s="36"/>
      <c r="X80" s="36"/>
      <c r="Y80" s="145">
        <f t="shared" si="14"/>
        <v>203.328</v>
      </c>
      <c r="Z80" s="567"/>
      <c r="AA80" s="12">
        <v>112.96</v>
      </c>
      <c r="AB80" s="12">
        <f t="shared" si="15"/>
        <v>0.12393767705382437</v>
      </c>
      <c r="AC80" s="12">
        <f t="shared" si="16"/>
        <v>0</v>
      </c>
      <c r="AD80" s="34"/>
    </row>
    <row r="81" spans="1:30" ht="16" x14ac:dyDescent="0.2">
      <c r="A81" s="47"/>
      <c r="B81" s="301"/>
      <c r="C81" s="176">
        <f t="shared" si="22"/>
        <v>78</v>
      </c>
      <c r="D81" s="177">
        <v>45628</v>
      </c>
      <c r="E81" s="177">
        <v>45635</v>
      </c>
      <c r="F81" s="178" t="s">
        <v>307</v>
      </c>
      <c r="G81" s="179" t="str">
        <f ca="1">IF(AND(E81&lt;&gt;"",E81&lt;TODAY()),"Disponible",IFERROR(INDEX(Vehiculos[Estado Vehiculo],MATCH(F81,Vehiculos[Placa Vehiculo],0)),""))</f>
        <v>Disponible</v>
      </c>
      <c r="H81" s="180" t="s">
        <v>247</v>
      </c>
      <c r="I81" s="180" t="s">
        <v>273</v>
      </c>
      <c r="J81" s="180" t="s">
        <v>274</v>
      </c>
      <c r="K81" s="181">
        <v>3861</v>
      </c>
      <c r="L81" s="181">
        <v>3884</v>
      </c>
      <c r="M81" s="182">
        <f t="shared" si="12"/>
        <v>23</v>
      </c>
      <c r="N81" s="182"/>
      <c r="O81" s="181"/>
      <c r="P81" s="183"/>
      <c r="Q81" s="184">
        <f t="shared" si="13"/>
        <v>0</v>
      </c>
      <c r="R81" s="180" t="s">
        <v>273</v>
      </c>
      <c r="S81" s="180" t="s">
        <v>102</v>
      </c>
      <c r="T81" s="183">
        <v>1.8</v>
      </c>
      <c r="U81" s="183">
        <f>Rutas[[#This Row],[Precio x Galón ($/gal)]]*Rutas[[#This Row],[Volumen de Combustible (gal)]]</f>
        <v>30.726000000000003</v>
      </c>
      <c r="V81" s="183"/>
      <c r="W81" s="183"/>
      <c r="X81" s="183"/>
      <c r="Y81" s="184">
        <f t="shared" si="14"/>
        <v>30.726000000000003</v>
      </c>
      <c r="Z81" s="567"/>
      <c r="AA81" s="184">
        <v>17.07</v>
      </c>
      <c r="AB81" s="184">
        <f t="shared" si="15"/>
        <v>1.3473930872876392</v>
      </c>
      <c r="AC81" s="184">
        <f t="shared" si="16"/>
        <v>0</v>
      </c>
      <c r="AD81" s="180"/>
    </row>
    <row r="82" spans="1:30" ht="16" x14ac:dyDescent="0.2">
      <c r="A82" s="47"/>
      <c r="B82" s="301"/>
      <c r="C82" s="176">
        <f t="shared" si="22"/>
        <v>79</v>
      </c>
      <c r="D82" s="146">
        <v>45635</v>
      </c>
      <c r="E82" s="37">
        <v>45652</v>
      </c>
      <c r="F82" s="65" t="s">
        <v>307</v>
      </c>
      <c r="G82" s="11" t="str">
        <f ca="1">IF(AND(E82&lt;&gt;"",E82&lt;TODAY()),"Disponible",IFERROR(INDEX(Vehiculos[Estado Vehiculo],MATCH(F82,Vehiculos[Placa Vehiculo],0)),""))</f>
        <v>Disponible</v>
      </c>
      <c r="H82" s="34" t="s">
        <v>247</v>
      </c>
      <c r="I82" s="34" t="s">
        <v>273</v>
      </c>
      <c r="J82" s="34" t="s">
        <v>274</v>
      </c>
      <c r="K82" s="39">
        <v>3884</v>
      </c>
      <c r="L82" s="39">
        <v>3934</v>
      </c>
      <c r="M82" s="15">
        <f t="shared" si="12"/>
        <v>50</v>
      </c>
      <c r="N82" s="15"/>
      <c r="O82" s="39"/>
      <c r="P82" s="36"/>
      <c r="Q82" s="16">
        <f t="shared" si="13"/>
        <v>0</v>
      </c>
      <c r="R82" s="34" t="s">
        <v>273</v>
      </c>
      <c r="S82" s="34" t="s">
        <v>102</v>
      </c>
      <c r="T82" s="36">
        <v>1.8</v>
      </c>
      <c r="U82" s="36">
        <f>Rutas[[#This Row],[Precio x Galón ($/gal)]]*Rutas[[#This Row],[Volumen de Combustible (gal)]]</f>
        <v>20.411999999999999</v>
      </c>
      <c r="V82" s="36"/>
      <c r="W82" s="36"/>
      <c r="X82" s="36"/>
      <c r="Y82" s="145">
        <f t="shared" si="14"/>
        <v>20.411999999999999</v>
      </c>
      <c r="Z82" s="567"/>
      <c r="AA82" s="12">
        <v>11.34</v>
      </c>
      <c r="AB82" s="12">
        <f t="shared" si="15"/>
        <v>4.4091710758377429</v>
      </c>
      <c r="AC82" s="12">
        <f t="shared" si="16"/>
        <v>0</v>
      </c>
      <c r="AD82" s="34"/>
    </row>
    <row r="83" spans="1:30" ht="16" x14ac:dyDescent="0.2">
      <c r="A83" s="47"/>
      <c r="B83" s="301"/>
      <c r="C83" s="176">
        <f t="shared" si="22"/>
        <v>80</v>
      </c>
      <c r="D83" s="146">
        <v>45652</v>
      </c>
      <c r="E83" s="37">
        <v>45657</v>
      </c>
      <c r="F83" s="65" t="s">
        <v>307</v>
      </c>
      <c r="G83" s="11" t="str">
        <f ca="1">IF(AND(E83&lt;&gt;"",E83&lt;TODAY()),"Disponible",IFERROR(INDEX(Vehiculos[Estado Vehiculo],MATCH(F83,Vehiculos[Placa Vehiculo],0)),""))</f>
        <v>Disponible</v>
      </c>
      <c r="H83" s="34" t="s">
        <v>247</v>
      </c>
      <c r="I83" s="34" t="s">
        <v>273</v>
      </c>
      <c r="J83" s="34" t="s">
        <v>274</v>
      </c>
      <c r="K83" s="39">
        <v>3934</v>
      </c>
      <c r="L83" s="39">
        <v>3957</v>
      </c>
      <c r="M83" s="15">
        <f t="shared" si="12"/>
        <v>23</v>
      </c>
      <c r="N83" s="15"/>
      <c r="O83" s="39"/>
      <c r="P83" s="36"/>
      <c r="Q83" s="16">
        <f t="shared" si="13"/>
        <v>0</v>
      </c>
      <c r="R83" s="34" t="s">
        <v>273</v>
      </c>
      <c r="S83" s="34" t="s">
        <v>102</v>
      </c>
      <c r="T83" s="36">
        <v>1.8</v>
      </c>
      <c r="U83" s="36">
        <f>Rutas[[#This Row],[Precio x Galón ($/gal)]]*Rutas[[#This Row],[Volumen de Combustible (gal)]]</f>
        <v>19.8</v>
      </c>
      <c r="V83" s="36"/>
      <c r="W83" s="36"/>
      <c r="X83" s="36"/>
      <c r="Y83" s="145">
        <f t="shared" si="14"/>
        <v>19.8</v>
      </c>
      <c r="Z83" s="567"/>
      <c r="AA83" s="12">
        <v>11</v>
      </c>
      <c r="AB83" s="12">
        <f t="shared" si="15"/>
        <v>2.0909090909090908</v>
      </c>
      <c r="AC83" s="12">
        <f t="shared" si="16"/>
        <v>0</v>
      </c>
      <c r="AD83" s="34"/>
    </row>
    <row r="84" spans="1:30" ht="16" x14ac:dyDescent="0.2">
      <c r="A84" s="47"/>
      <c r="B84" s="301"/>
      <c r="C84" s="176">
        <f t="shared" si="22"/>
        <v>81</v>
      </c>
      <c r="D84" s="177">
        <v>45628</v>
      </c>
      <c r="E84" s="177">
        <v>45631</v>
      </c>
      <c r="F84" s="178" t="s">
        <v>308</v>
      </c>
      <c r="G84" s="179" t="str">
        <f ca="1">IF(AND(E84&lt;&gt;"",E84&lt;TODAY()),"Disponible",IFERROR(INDEX(Vehiculos[Estado Vehiculo],MATCH(F84,Vehiculos[Placa Vehiculo],0)),""))</f>
        <v>Disponible</v>
      </c>
      <c r="H84" s="180" t="s">
        <v>245</v>
      </c>
      <c r="I84" s="180" t="s">
        <v>273</v>
      </c>
      <c r="J84" s="180" t="s">
        <v>274</v>
      </c>
      <c r="K84" s="181">
        <v>15</v>
      </c>
      <c r="L84" s="181">
        <v>37</v>
      </c>
      <c r="M84" s="182">
        <f t="shared" si="12"/>
        <v>22</v>
      </c>
      <c r="N84" s="182"/>
      <c r="O84" s="181"/>
      <c r="P84" s="183"/>
      <c r="Q84" s="184">
        <f t="shared" si="13"/>
        <v>0</v>
      </c>
      <c r="R84" s="180" t="s">
        <v>273</v>
      </c>
      <c r="S84" s="180" t="s">
        <v>102</v>
      </c>
      <c r="T84" s="183">
        <v>1.8</v>
      </c>
      <c r="U84" s="183">
        <f>Rutas[[#This Row],[Precio x Galón ($/gal)]]*Rutas[[#This Row],[Volumen de Combustible (gal)]]</f>
        <v>17.981999999999999</v>
      </c>
      <c r="V84" s="183"/>
      <c r="W84" s="183"/>
      <c r="X84" s="183"/>
      <c r="Y84" s="184">
        <f t="shared" si="14"/>
        <v>17.981999999999999</v>
      </c>
      <c r="Z84" s="567"/>
      <c r="AA84" s="184">
        <v>9.99</v>
      </c>
      <c r="AB84" s="184">
        <f t="shared" si="15"/>
        <v>2.2022022022022023</v>
      </c>
      <c r="AC84" s="184">
        <f t="shared" si="16"/>
        <v>0</v>
      </c>
      <c r="AD84" s="180"/>
    </row>
    <row r="85" spans="1:30" ht="16" x14ac:dyDescent="0.2">
      <c r="A85" s="47"/>
      <c r="B85" s="301"/>
      <c r="C85" s="176">
        <f t="shared" si="22"/>
        <v>82</v>
      </c>
      <c r="D85" s="146">
        <f>E84</f>
        <v>45631</v>
      </c>
      <c r="E85" s="37">
        <v>45635</v>
      </c>
      <c r="F85" s="65" t="s">
        <v>308</v>
      </c>
      <c r="G85" s="11" t="str">
        <f ca="1">IF(AND(E85&lt;&gt;"",E85&lt;TODAY()),"Disponible",IFERROR(INDEX(Vehiculos[Estado Vehiculo],MATCH(F85,Vehiculos[Placa Vehiculo],0)),""))</f>
        <v>Disponible</v>
      </c>
      <c r="H85" s="34" t="s">
        <v>245</v>
      </c>
      <c r="I85" s="34" t="s">
        <v>273</v>
      </c>
      <c r="J85" s="34" t="s">
        <v>274</v>
      </c>
      <c r="K85" s="39">
        <f>L84</f>
        <v>37</v>
      </c>
      <c r="L85" s="39">
        <v>61</v>
      </c>
      <c r="M85" s="15">
        <f t="shared" si="12"/>
        <v>24</v>
      </c>
      <c r="N85" s="15"/>
      <c r="O85" s="39"/>
      <c r="P85" s="36"/>
      <c r="Q85" s="16">
        <f t="shared" si="13"/>
        <v>0</v>
      </c>
      <c r="R85" s="34" t="s">
        <v>273</v>
      </c>
      <c r="S85" s="34" t="s">
        <v>102</v>
      </c>
      <c r="T85" s="36">
        <v>1.8</v>
      </c>
      <c r="U85" s="36">
        <f>Rutas[[#This Row],[Precio x Galón ($/gal)]]*Rutas[[#This Row],[Volumen de Combustible (gal)]]</f>
        <v>20.214000000000002</v>
      </c>
      <c r="V85" s="36"/>
      <c r="W85" s="36"/>
      <c r="X85" s="36"/>
      <c r="Y85" s="145">
        <f t="shared" si="14"/>
        <v>20.214000000000002</v>
      </c>
      <c r="Z85" s="567"/>
      <c r="AA85" s="12">
        <v>11.23</v>
      </c>
      <c r="AB85" s="12">
        <f t="shared" si="15"/>
        <v>2.1371326803205699</v>
      </c>
      <c r="AC85" s="12">
        <f t="shared" si="16"/>
        <v>0</v>
      </c>
      <c r="AD85" s="34"/>
    </row>
    <row r="86" spans="1:30" ht="16" x14ac:dyDescent="0.2">
      <c r="A86" s="47"/>
      <c r="B86" s="301"/>
      <c r="C86" s="176">
        <f t="shared" si="22"/>
        <v>83</v>
      </c>
      <c r="D86" s="146">
        <f t="shared" ref="D86:D93" si="23">E85</f>
        <v>45635</v>
      </c>
      <c r="E86" s="37">
        <v>45638</v>
      </c>
      <c r="F86" s="65" t="s">
        <v>308</v>
      </c>
      <c r="G86" s="11" t="str">
        <f ca="1">IF(AND(E86&lt;&gt;"",E86&lt;TODAY()),"Disponible",IFERROR(INDEX(Vehiculos[Estado Vehiculo],MATCH(F86,Vehiculos[Placa Vehiculo],0)),""))</f>
        <v>Disponible</v>
      </c>
      <c r="H86" s="34" t="s">
        <v>245</v>
      </c>
      <c r="I86" s="34" t="s">
        <v>273</v>
      </c>
      <c r="J86" s="34" t="s">
        <v>274</v>
      </c>
      <c r="K86" s="39">
        <f t="shared" ref="K86:K93" si="24">L85</f>
        <v>61</v>
      </c>
      <c r="L86" s="39">
        <v>86</v>
      </c>
      <c r="M86" s="15">
        <f t="shared" si="12"/>
        <v>25</v>
      </c>
      <c r="N86" s="15"/>
      <c r="O86" s="39"/>
      <c r="P86" s="36"/>
      <c r="Q86" s="16">
        <f t="shared" si="13"/>
        <v>0</v>
      </c>
      <c r="R86" s="34" t="s">
        <v>273</v>
      </c>
      <c r="S86" s="34" t="s">
        <v>102</v>
      </c>
      <c r="T86" s="36">
        <v>1.8</v>
      </c>
      <c r="U86" s="36">
        <f>Rutas[[#This Row],[Precio x Galón ($/gal)]]*Rutas[[#This Row],[Volumen de Combustible (gal)]]</f>
        <v>23.13</v>
      </c>
      <c r="V86" s="36"/>
      <c r="W86" s="36"/>
      <c r="X86" s="36"/>
      <c r="Y86" s="145">
        <f t="shared" si="14"/>
        <v>23.13</v>
      </c>
      <c r="Z86" s="567"/>
      <c r="AA86" s="12">
        <v>12.85</v>
      </c>
      <c r="AB86" s="12">
        <f t="shared" si="15"/>
        <v>1.9455252918287937</v>
      </c>
      <c r="AC86" s="12">
        <f t="shared" si="16"/>
        <v>0</v>
      </c>
      <c r="AD86" s="34"/>
    </row>
    <row r="87" spans="1:30" ht="16" x14ac:dyDescent="0.2">
      <c r="A87" s="47"/>
      <c r="B87" s="301"/>
      <c r="C87" s="176">
        <f t="shared" si="22"/>
        <v>84</v>
      </c>
      <c r="D87" s="146">
        <f t="shared" si="23"/>
        <v>45638</v>
      </c>
      <c r="E87" s="37">
        <v>45642</v>
      </c>
      <c r="F87" s="65" t="s">
        <v>308</v>
      </c>
      <c r="G87" s="11" t="str">
        <f ca="1">IF(AND(E87&lt;&gt;"",E87&lt;TODAY()),"Disponible",IFERROR(INDEX(Vehiculos[Estado Vehiculo],MATCH(F87,Vehiculos[Placa Vehiculo],0)),""))</f>
        <v>Disponible</v>
      </c>
      <c r="H87" s="34" t="s">
        <v>245</v>
      </c>
      <c r="I87" s="34" t="s">
        <v>273</v>
      </c>
      <c r="J87" s="34" t="s">
        <v>274</v>
      </c>
      <c r="K87" s="39">
        <f t="shared" si="24"/>
        <v>86</v>
      </c>
      <c r="L87" s="39">
        <v>111</v>
      </c>
      <c r="M87" s="15">
        <f t="shared" si="12"/>
        <v>25</v>
      </c>
      <c r="N87" s="15"/>
      <c r="O87" s="39"/>
      <c r="P87" s="36"/>
      <c r="Q87" s="16">
        <f t="shared" si="13"/>
        <v>0</v>
      </c>
      <c r="R87" s="34" t="s">
        <v>273</v>
      </c>
      <c r="S87" s="34" t="s">
        <v>102</v>
      </c>
      <c r="T87" s="36">
        <v>1.8</v>
      </c>
      <c r="U87" s="36">
        <f>Rutas[[#This Row],[Precio x Galón ($/gal)]]*Rutas[[#This Row],[Volumen de Combustible (gal)]]</f>
        <v>23.759999999999998</v>
      </c>
      <c r="V87" s="36"/>
      <c r="W87" s="36"/>
      <c r="X87" s="36"/>
      <c r="Y87" s="145">
        <f t="shared" si="14"/>
        <v>23.759999999999998</v>
      </c>
      <c r="Z87" s="567"/>
      <c r="AA87" s="12">
        <v>13.2</v>
      </c>
      <c r="AB87" s="12">
        <f t="shared" si="15"/>
        <v>1.893939393939394</v>
      </c>
      <c r="AC87" s="12">
        <f t="shared" si="16"/>
        <v>0</v>
      </c>
      <c r="AD87" s="34"/>
    </row>
    <row r="88" spans="1:30" ht="16" x14ac:dyDescent="0.2">
      <c r="A88" s="47"/>
      <c r="B88" s="301"/>
      <c r="C88" s="176">
        <f t="shared" si="22"/>
        <v>85</v>
      </c>
      <c r="D88" s="146">
        <f t="shared" si="23"/>
        <v>45642</v>
      </c>
      <c r="E88" s="37">
        <v>45645</v>
      </c>
      <c r="F88" s="65" t="s">
        <v>308</v>
      </c>
      <c r="G88" s="11" t="str">
        <f ca="1">IF(AND(E88&lt;&gt;"",E88&lt;TODAY()),"Disponible",IFERROR(INDEX(Vehiculos[Estado Vehiculo],MATCH(F88,Vehiculos[Placa Vehiculo],0)),""))</f>
        <v>Disponible</v>
      </c>
      <c r="H88" s="34" t="s">
        <v>239</v>
      </c>
      <c r="I88" s="34" t="s">
        <v>273</v>
      </c>
      <c r="J88" s="34" t="s">
        <v>274</v>
      </c>
      <c r="K88" s="39">
        <f t="shared" si="24"/>
        <v>111</v>
      </c>
      <c r="L88" s="39">
        <v>127</v>
      </c>
      <c r="M88" s="15">
        <f t="shared" si="12"/>
        <v>16</v>
      </c>
      <c r="N88" s="15"/>
      <c r="O88" s="39"/>
      <c r="P88" s="36"/>
      <c r="Q88" s="16">
        <f t="shared" si="13"/>
        <v>0</v>
      </c>
      <c r="R88" s="34" t="s">
        <v>273</v>
      </c>
      <c r="S88" s="34" t="s">
        <v>102</v>
      </c>
      <c r="T88" s="36">
        <v>1.8</v>
      </c>
      <c r="U88" s="36">
        <f>Rutas[[#This Row],[Precio x Galón ($/gal)]]*Rutas[[#This Row],[Volumen de Combustible (gal)]]</f>
        <v>25.667999999999999</v>
      </c>
      <c r="V88" s="36"/>
      <c r="W88" s="36"/>
      <c r="X88" s="36"/>
      <c r="Y88" s="145">
        <f t="shared" si="14"/>
        <v>25.667999999999999</v>
      </c>
      <c r="Z88" s="567"/>
      <c r="AA88" s="12">
        <v>14.26</v>
      </c>
      <c r="AB88" s="12">
        <f t="shared" si="15"/>
        <v>1.1220196353436185</v>
      </c>
      <c r="AC88" s="12">
        <f t="shared" si="16"/>
        <v>0</v>
      </c>
      <c r="AD88" s="34"/>
    </row>
    <row r="89" spans="1:30" ht="16" x14ac:dyDescent="0.2">
      <c r="A89" s="47"/>
      <c r="B89" s="301"/>
      <c r="C89" s="176">
        <f t="shared" si="22"/>
        <v>86</v>
      </c>
      <c r="D89" s="146">
        <f t="shared" si="23"/>
        <v>45645</v>
      </c>
      <c r="E89" s="37">
        <v>45649</v>
      </c>
      <c r="F89" s="65" t="s">
        <v>308</v>
      </c>
      <c r="G89" s="11" t="str">
        <f ca="1">IF(AND(E89&lt;&gt;"",E89&lt;TODAY()),"Disponible",IFERROR(INDEX(Vehiculos[Estado Vehiculo],MATCH(F89,Vehiculos[Placa Vehiculo],0)),""))</f>
        <v>Disponible</v>
      </c>
      <c r="H89" s="34" t="s">
        <v>239</v>
      </c>
      <c r="I89" s="34" t="s">
        <v>273</v>
      </c>
      <c r="J89" s="34" t="s">
        <v>274</v>
      </c>
      <c r="K89" s="39">
        <f t="shared" si="24"/>
        <v>127</v>
      </c>
      <c r="L89" s="39">
        <v>152</v>
      </c>
      <c r="M89" s="15">
        <f t="shared" si="12"/>
        <v>25</v>
      </c>
      <c r="N89" s="15"/>
      <c r="O89" s="39"/>
      <c r="P89" s="36"/>
      <c r="Q89" s="16">
        <f t="shared" si="13"/>
        <v>0</v>
      </c>
      <c r="R89" s="34" t="s">
        <v>273</v>
      </c>
      <c r="S89" s="34" t="s">
        <v>102</v>
      </c>
      <c r="T89" s="36">
        <v>1.8</v>
      </c>
      <c r="U89" s="36">
        <f>Rutas[[#This Row],[Precio x Galón ($/gal)]]*Rutas[[#This Row],[Volumen de Combustible (gal)]]</f>
        <v>12.618</v>
      </c>
      <c r="V89" s="36"/>
      <c r="W89" s="36"/>
      <c r="X89" s="36"/>
      <c r="Y89" s="145">
        <f t="shared" si="14"/>
        <v>12.618</v>
      </c>
      <c r="Z89" s="567"/>
      <c r="AA89" s="12">
        <v>7.01</v>
      </c>
      <c r="AB89" s="12">
        <f t="shared" si="15"/>
        <v>3.566333808844508</v>
      </c>
      <c r="AC89" s="12">
        <f t="shared" si="16"/>
        <v>0</v>
      </c>
      <c r="AD89" s="34"/>
    </row>
    <row r="90" spans="1:30" ht="16" x14ac:dyDescent="0.2">
      <c r="A90" s="47"/>
      <c r="B90" s="301"/>
      <c r="C90" s="176">
        <f t="shared" si="22"/>
        <v>87</v>
      </c>
      <c r="D90" s="146">
        <f t="shared" si="23"/>
        <v>45649</v>
      </c>
      <c r="E90" s="37">
        <v>45652</v>
      </c>
      <c r="F90" s="65" t="s">
        <v>308</v>
      </c>
      <c r="G90" s="11" t="str">
        <f ca="1">IF(AND(E90&lt;&gt;"",E90&lt;TODAY()),"Disponible",IFERROR(INDEX(Vehiculos[Estado Vehiculo],MATCH(F90,Vehiculos[Placa Vehiculo],0)),""))</f>
        <v>Disponible</v>
      </c>
      <c r="H90" s="34" t="s">
        <v>237</v>
      </c>
      <c r="I90" s="34" t="s">
        <v>273</v>
      </c>
      <c r="J90" s="34" t="s">
        <v>274</v>
      </c>
      <c r="K90" s="39">
        <f t="shared" si="24"/>
        <v>152</v>
      </c>
      <c r="L90" s="39">
        <v>170</v>
      </c>
      <c r="M90" s="15">
        <f t="shared" si="12"/>
        <v>18</v>
      </c>
      <c r="N90" s="15"/>
      <c r="O90" s="39"/>
      <c r="P90" s="36"/>
      <c r="Q90" s="16">
        <f t="shared" si="13"/>
        <v>0</v>
      </c>
      <c r="R90" s="34" t="s">
        <v>273</v>
      </c>
      <c r="S90" s="34" t="s">
        <v>102</v>
      </c>
      <c r="T90" s="36">
        <v>1.8</v>
      </c>
      <c r="U90" s="36">
        <f>Rutas[[#This Row],[Precio x Galón ($/gal)]]*Rutas[[#This Row],[Volumen de Combustible (gal)]]</f>
        <v>18.198</v>
      </c>
      <c r="V90" s="36"/>
      <c r="W90" s="36"/>
      <c r="X90" s="36"/>
      <c r="Y90" s="145">
        <f t="shared" si="14"/>
        <v>18.198</v>
      </c>
      <c r="Z90" s="567"/>
      <c r="AA90" s="12">
        <v>10.11</v>
      </c>
      <c r="AB90" s="12">
        <f t="shared" si="15"/>
        <v>1.7804154302670625</v>
      </c>
      <c r="AC90" s="12">
        <f t="shared" si="16"/>
        <v>0</v>
      </c>
      <c r="AD90" s="34"/>
    </row>
    <row r="91" spans="1:30" ht="16" x14ac:dyDescent="0.2">
      <c r="A91" s="47"/>
      <c r="B91" s="301"/>
      <c r="C91" s="176">
        <f t="shared" si="22"/>
        <v>88</v>
      </c>
      <c r="D91" s="146">
        <f t="shared" si="23"/>
        <v>45652</v>
      </c>
      <c r="E91" s="37">
        <v>45654</v>
      </c>
      <c r="F91" s="65" t="s">
        <v>308</v>
      </c>
      <c r="G91" s="11" t="str">
        <f ca="1">IF(AND(E91&lt;&gt;"",E91&lt;TODAY()),"Disponible",IFERROR(INDEX(Vehiculos[Estado Vehiculo],MATCH(F91,Vehiculos[Placa Vehiculo],0)),""))</f>
        <v>Disponible</v>
      </c>
      <c r="H91" s="34" t="s">
        <v>237</v>
      </c>
      <c r="I91" s="34" t="s">
        <v>273</v>
      </c>
      <c r="J91" s="34" t="s">
        <v>274</v>
      </c>
      <c r="K91" s="39">
        <f t="shared" si="24"/>
        <v>170</v>
      </c>
      <c r="L91" s="39">
        <v>184</v>
      </c>
      <c r="M91" s="15">
        <f t="shared" si="12"/>
        <v>14</v>
      </c>
      <c r="N91" s="15"/>
      <c r="O91" s="39"/>
      <c r="P91" s="36"/>
      <c r="Q91" s="16">
        <f t="shared" si="13"/>
        <v>0</v>
      </c>
      <c r="R91" s="34" t="s">
        <v>273</v>
      </c>
      <c r="S91" s="34" t="s">
        <v>102</v>
      </c>
      <c r="T91" s="36">
        <v>1.8</v>
      </c>
      <c r="U91" s="36">
        <f>Rutas[[#This Row],[Precio x Galón ($/gal)]]*Rutas[[#This Row],[Volumen de Combustible (gal)]]</f>
        <v>18.071999999999999</v>
      </c>
      <c r="V91" s="36"/>
      <c r="W91" s="36"/>
      <c r="X91" s="36"/>
      <c r="Y91" s="145">
        <f t="shared" si="14"/>
        <v>18.071999999999999</v>
      </c>
      <c r="Z91" s="567"/>
      <c r="AA91" s="12">
        <v>10.039999999999999</v>
      </c>
      <c r="AB91" s="12">
        <f t="shared" si="15"/>
        <v>1.3944223107569722</v>
      </c>
      <c r="AC91" s="12">
        <f t="shared" si="16"/>
        <v>0</v>
      </c>
      <c r="AD91" s="34"/>
    </row>
    <row r="92" spans="1:30" ht="16" x14ac:dyDescent="0.2">
      <c r="A92" s="47"/>
      <c r="B92" s="301"/>
      <c r="C92" s="176">
        <f t="shared" si="22"/>
        <v>89</v>
      </c>
      <c r="D92" s="146">
        <f t="shared" si="23"/>
        <v>45654</v>
      </c>
      <c r="E92" s="37">
        <v>45657</v>
      </c>
      <c r="F92" s="65" t="s">
        <v>308</v>
      </c>
      <c r="G92" s="11" t="str">
        <f ca="1">IF(AND(E92&lt;&gt;"",E92&lt;TODAY()),"Disponible",IFERROR(INDEX(Vehiculos[Estado Vehiculo],MATCH(F92,Vehiculos[Placa Vehiculo],0)),""))</f>
        <v>Disponible</v>
      </c>
      <c r="H92" s="34" t="s">
        <v>237</v>
      </c>
      <c r="I92" s="34" t="s">
        <v>273</v>
      </c>
      <c r="J92" s="34" t="s">
        <v>274</v>
      </c>
      <c r="K92" s="39">
        <f t="shared" si="24"/>
        <v>184</v>
      </c>
      <c r="L92" s="39">
        <v>201</v>
      </c>
      <c r="M92" s="15">
        <f t="shared" si="12"/>
        <v>17</v>
      </c>
      <c r="N92" s="15"/>
      <c r="O92" s="39"/>
      <c r="P92" s="36"/>
      <c r="Q92" s="16">
        <f t="shared" si="13"/>
        <v>0</v>
      </c>
      <c r="R92" s="34" t="s">
        <v>273</v>
      </c>
      <c r="S92" s="34" t="s">
        <v>102</v>
      </c>
      <c r="T92" s="36">
        <v>1.8</v>
      </c>
      <c r="U92" s="36">
        <f>Rutas[[#This Row],[Precio x Galón ($/gal)]]*Rutas[[#This Row],[Volumen de Combustible (gal)]]</f>
        <v>12.545999999999999</v>
      </c>
      <c r="V92" s="36"/>
      <c r="W92" s="36"/>
      <c r="X92" s="36"/>
      <c r="Y92" s="145">
        <f t="shared" si="14"/>
        <v>12.545999999999999</v>
      </c>
      <c r="Z92" s="567"/>
      <c r="AA92" s="12">
        <v>6.97</v>
      </c>
      <c r="AB92" s="12">
        <f t="shared" si="15"/>
        <v>2.4390243902439024</v>
      </c>
      <c r="AC92" s="12">
        <f t="shared" si="16"/>
        <v>0</v>
      </c>
      <c r="AD92" s="34"/>
    </row>
    <row r="93" spans="1:30" ht="16" x14ac:dyDescent="0.2">
      <c r="A93" s="47"/>
      <c r="B93" s="301"/>
      <c r="C93" s="176">
        <f t="shared" si="22"/>
        <v>90</v>
      </c>
      <c r="D93" s="146">
        <f t="shared" si="23"/>
        <v>45657</v>
      </c>
      <c r="E93" s="37">
        <v>45657</v>
      </c>
      <c r="F93" s="65" t="s">
        <v>308</v>
      </c>
      <c r="G93" s="11" t="str">
        <f ca="1">IF(AND(E93&lt;&gt;"",E93&lt;TODAY()),"Disponible",IFERROR(INDEX(Vehiculos[Estado Vehiculo],MATCH(F93,Vehiculos[Placa Vehiculo],0)),""))</f>
        <v>Disponible</v>
      </c>
      <c r="H93" s="34" t="s">
        <v>237</v>
      </c>
      <c r="I93" s="34" t="s">
        <v>273</v>
      </c>
      <c r="J93" s="34" t="s">
        <v>274</v>
      </c>
      <c r="K93" s="39">
        <f t="shared" si="24"/>
        <v>201</v>
      </c>
      <c r="L93" s="39">
        <v>213</v>
      </c>
      <c r="M93" s="15">
        <f t="shared" si="12"/>
        <v>12</v>
      </c>
      <c r="N93" s="15"/>
      <c r="O93" s="39"/>
      <c r="P93" s="36"/>
      <c r="Q93" s="16">
        <f t="shared" si="13"/>
        <v>0</v>
      </c>
      <c r="R93" s="34" t="s">
        <v>273</v>
      </c>
      <c r="S93" s="34" t="s">
        <v>102</v>
      </c>
      <c r="T93" s="36">
        <v>1.8</v>
      </c>
      <c r="U93" s="36">
        <f>Rutas[[#This Row],[Precio x Galón ($/gal)]]*Rutas[[#This Row],[Volumen de Combustible (gal)]]</f>
        <v>384.3</v>
      </c>
      <c r="V93" s="36"/>
      <c r="W93" s="36"/>
      <c r="X93" s="36"/>
      <c r="Y93" s="145">
        <f t="shared" si="14"/>
        <v>384.3</v>
      </c>
      <c r="Z93" s="567"/>
      <c r="AA93" s="12">
        <v>213.5</v>
      </c>
      <c r="AB93" s="12">
        <f t="shared" si="15"/>
        <v>5.6206088992974239E-2</v>
      </c>
      <c r="AC93" s="12">
        <f t="shared" si="16"/>
        <v>0</v>
      </c>
      <c r="AD93" s="34"/>
    </row>
    <row r="94" spans="1:30" ht="16" x14ac:dyDescent="0.2">
      <c r="A94" s="47"/>
      <c r="B94" s="301"/>
      <c r="C94" s="176">
        <f t="shared" si="22"/>
        <v>91</v>
      </c>
      <c r="D94" s="177">
        <v>45630</v>
      </c>
      <c r="E94" s="177">
        <v>45633</v>
      </c>
      <c r="F94" s="178" t="s">
        <v>310</v>
      </c>
      <c r="G94" s="179" t="str">
        <f ca="1">IF(AND(E94&lt;&gt;"",E94&lt;TODAY()),"Disponible",IFERROR(INDEX(Vehiculos[Estado Vehiculo],MATCH(F94,Vehiculos[Placa Vehiculo],0)),""))</f>
        <v>Disponible</v>
      </c>
      <c r="H94" s="180" t="s">
        <v>236</v>
      </c>
      <c r="I94" s="180" t="s">
        <v>273</v>
      </c>
      <c r="J94" s="180" t="s">
        <v>274</v>
      </c>
      <c r="K94" s="181">
        <v>2582</v>
      </c>
      <c r="L94" s="181">
        <v>2605</v>
      </c>
      <c r="M94" s="182">
        <f t="shared" si="12"/>
        <v>23</v>
      </c>
      <c r="N94" s="182"/>
      <c r="O94" s="181"/>
      <c r="P94" s="183"/>
      <c r="Q94" s="184">
        <f t="shared" si="13"/>
        <v>0</v>
      </c>
      <c r="R94" s="180" t="s">
        <v>273</v>
      </c>
      <c r="S94" s="180" t="s">
        <v>102</v>
      </c>
      <c r="T94" s="183">
        <v>1.8</v>
      </c>
      <c r="U94" s="183">
        <f>Rutas[[#This Row],[Precio x Galón ($/gal)]]*Rutas[[#This Row],[Volumen de Combustible (gal)]]</f>
        <v>16.524000000000001</v>
      </c>
      <c r="V94" s="183"/>
      <c r="W94" s="183"/>
      <c r="X94" s="183"/>
      <c r="Y94" s="184">
        <f t="shared" si="14"/>
        <v>16.524000000000001</v>
      </c>
      <c r="Z94" s="567"/>
      <c r="AA94" s="184">
        <v>9.18</v>
      </c>
      <c r="AB94" s="184">
        <f t="shared" si="15"/>
        <v>2.505446623093682</v>
      </c>
      <c r="AC94" s="184">
        <f t="shared" si="16"/>
        <v>0</v>
      </c>
      <c r="AD94" s="180"/>
    </row>
    <row r="95" spans="1:30" ht="16" x14ac:dyDescent="0.2">
      <c r="A95" s="47"/>
      <c r="B95" s="301"/>
      <c r="C95" s="176">
        <f t="shared" si="22"/>
        <v>92</v>
      </c>
      <c r="D95" s="146">
        <f t="shared" ref="D95:D100" si="25">E94</f>
        <v>45633</v>
      </c>
      <c r="E95" s="37">
        <v>45636</v>
      </c>
      <c r="F95" s="65" t="s">
        <v>310</v>
      </c>
      <c r="G95" s="11" t="str">
        <f ca="1">IF(AND(E95&lt;&gt;"",E95&lt;TODAY()),"Disponible",IFERROR(INDEX(Vehiculos[Estado Vehiculo],MATCH(F95,Vehiculos[Placa Vehiculo],0)),""))</f>
        <v>Disponible</v>
      </c>
      <c r="H95" s="34" t="s">
        <v>236</v>
      </c>
      <c r="I95" s="34" t="s">
        <v>273</v>
      </c>
      <c r="J95" s="34" t="s">
        <v>274</v>
      </c>
      <c r="K95" s="39">
        <f t="shared" ref="K95:K100" si="26">L94</f>
        <v>2605</v>
      </c>
      <c r="L95" s="39">
        <v>2629</v>
      </c>
      <c r="M95" s="15">
        <f t="shared" si="12"/>
        <v>24</v>
      </c>
      <c r="N95" s="15"/>
      <c r="O95" s="39"/>
      <c r="P95" s="36"/>
      <c r="Q95" s="16">
        <f t="shared" si="13"/>
        <v>0</v>
      </c>
      <c r="R95" s="34" t="s">
        <v>273</v>
      </c>
      <c r="S95" s="34" t="s">
        <v>102</v>
      </c>
      <c r="T95" s="36">
        <v>1.8</v>
      </c>
      <c r="U95" s="36">
        <f>Rutas[[#This Row],[Precio x Galón ($/gal)]]*Rutas[[#This Row],[Volumen de Combustible (gal)]]</f>
        <v>16.884</v>
      </c>
      <c r="V95" s="36"/>
      <c r="W95" s="36"/>
      <c r="X95" s="36"/>
      <c r="Y95" s="145">
        <f t="shared" si="14"/>
        <v>16.884</v>
      </c>
      <c r="Z95" s="567"/>
      <c r="AA95" s="12">
        <v>9.3800000000000008</v>
      </c>
      <c r="AB95" s="12">
        <f t="shared" si="15"/>
        <v>2.5586353944562896</v>
      </c>
      <c r="AC95" s="12">
        <f t="shared" si="16"/>
        <v>0</v>
      </c>
      <c r="AD95" s="34"/>
    </row>
    <row r="96" spans="1:30" ht="16" x14ac:dyDescent="0.2">
      <c r="A96" s="47"/>
      <c r="B96" s="301"/>
      <c r="C96" s="176">
        <f t="shared" si="22"/>
        <v>93</v>
      </c>
      <c r="D96" s="146">
        <f t="shared" si="25"/>
        <v>45636</v>
      </c>
      <c r="E96" s="37">
        <v>45638</v>
      </c>
      <c r="F96" s="65" t="s">
        <v>310</v>
      </c>
      <c r="G96" s="11" t="str">
        <f ca="1">IF(AND(E96&lt;&gt;"",E96&lt;TODAY()),"Disponible",IFERROR(INDEX(Vehiculos[Estado Vehiculo],MATCH(F96,Vehiculos[Placa Vehiculo],0)),""))</f>
        <v>Disponible</v>
      </c>
      <c r="H96" s="34" t="s">
        <v>236</v>
      </c>
      <c r="I96" s="34" t="s">
        <v>273</v>
      </c>
      <c r="J96" s="34" t="s">
        <v>274</v>
      </c>
      <c r="K96" s="39">
        <f t="shared" si="26"/>
        <v>2629</v>
      </c>
      <c r="L96" s="39">
        <v>2645</v>
      </c>
      <c r="M96" s="15">
        <f t="shared" si="12"/>
        <v>16</v>
      </c>
      <c r="N96" s="15"/>
      <c r="O96" s="39"/>
      <c r="P96" s="36"/>
      <c r="Q96" s="16">
        <f t="shared" si="13"/>
        <v>0</v>
      </c>
      <c r="R96" s="34" t="s">
        <v>273</v>
      </c>
      <c r="S96" s="34" t="s">
        <v>102</v>
      </c>
      <c r="T96" s="36">
        <v>1.8</v>
      </c>
      <c r="U96" s="36">
        <f>Rutas[[#This Row],[Precio x Galón ($/gal)]]*Rutas[[#This Row],[Volumen de Combustible (gal)]]</f>
        <v>30.402000000000001</v>
      </c>
      <c r="V96" s="36"/>
      <c r="W96" s="36"/>
      <c r="X96" s="36"/>
      <c r="Y96" s="145">
        <f t="shared" si="14"/>
        <v>30.402000000000001</v>
      </c>
      <c r="Z96" s="567"/>
      <c r="AA96" s="12">
        <v>16.89</v>
      </c>
      <c r="AB96" s="12">
        <f t="shared" si="15"/>
        <v>0.94730609828300771</v>
      </c>
      <c r="AC96" s="12">
        <f t="shared" si="16"/>
        <v>0</v>
      </c>
      <c r="AD96" s="34"/>
    </row>
    <row r="97" spans="1:30" ht="16" x14ac:dyDescent="0.2">
      <c r="A97" s="47"/>
      <c r="B97" s="301"/>
      <c r="C97" s="176">
        <f t="shared" si="22"/>
        <v>94</v>
      </c>
      <c r="D97" s="146">
        <f t="shared" si="25"/>
        <v>45638</v>
      </c>
      <c r="E97" s="37">
        <v>45641</v>
      </c>
      <c r="F97" s="65" t="s">
        <v>310</v>
      </c>
      <c r="G97" s="11" t="str">
        <f ca="1">IF(AND(E97&lt;&gt;"",E97&lt;TODAY()),"Disponible",IFERROR(INDEX(Vehiculos[Estado Vehiculo],MATCH(F97,Vehiculos[Placa Vehiculo],0)),""))</f>
        <v>Disponible</v>
      </c>
      <c r="H97" s="34" t="s">
        <v>246</v>
      </c>
      <c r="I97" s="34" t="s">
        <v>273</v>
      </c>
      <c r="J97" s="34" t="s">
        <v>274</v>
      </c>
      <c r="K97" s="39">
        <f t="shared" si="26"/>
        <v>2645</v>
      </c>
      <c r="L97" s="39">
        <v>2664</v>
      </c>
      <c r="M97" s="15">
        <f t="shared" si="12"/>
        <v>19</v>
      </c>
      <c r="N97" s="15"/>
      <c r="O97" s="39"/>
      <c r="P97" s="36"/>
      <c r="Q97" s="16">
        <f t="shared" si="13"/>
        <v>0</v>
      </c>
      <c r="R97" s="34" t="s">
        <v>273</v>
      </c>
      <c r="S97" s="34" t="s">
        <v>102</v>
      </c>
      <c r="T97" s="36">
        <v>1.8</v>
      </c>
      <c r="U97" s="36">
        <f>Rutas[[#This Row],[Precio x Galón ($/gal)]]*Rutas[[#This Row],[Volumen de Combustible (gal)]]</f>
        <v>20.411999999999999</v>
      </c>
      <c r="V97" s="36"/>
      <c r="W97" s="36"/>
      <c r="X97" s="36"/>
      <c r="Y97" s="145">
        <f t="shared" si="14"/>
        <v>20.411999999999999</v>
      </c>
      <c r="Z97" s="567"/>
      <c r="AA97" s="12">
        <v>11.34</v>
      </c>
      <c r="AB97" s="12">
        <f t="shared" si="15"/>
        <v>1.6754850088183422</v>
      </c>
      <c r="AC97" s="12">
        <f t="shared" si="16"/>
        <v>0</v>
      </c>
      <c r="AD97" s="34"/>
    </row>
    <row r="98" spans="1:30" ht="16" x14ac:dyDescent="0.2">
      <c r="A98" s="47"/>
      <c r="B98" s="301"/>
      <c r="C98" s="176">
        <f t="shared" si="22"/>
        <v>95</v>
      </c>
      <c r="D98" s="146">
        <f t="shared" si="25"/>
        <v>45641</v>
      </c>
      <c r="E98" s="37">
        <v>45644</v>
      </c>
      <c r="F98" s="65" t="s">
        <v>310</v>
      </c>
      <c r="G98" s="11" t="str">
        <f ca="1">IF(AND(E98&lt;&gt;"",E98&lt;TODAY()),"Disponible",IFERROR(INDEX(Vehiculos[Estado Vehiculo],MATCH(F98,Vehiculos[Placa Vehiculo],0)),""))</f>
        <v>Disponible</v>
      </c>
      <c r="H98" s="34" t="s">
        <v>246</v>
      </c>
      <c r="I98" s="34" t="s">
        <v>273</v>
      </c>
      <c r="J98" s="34" t="s">
        <v>274</v>
      </c>
      <c r="K98" s="39">
        <f t="shared" si="26"/>
        <v>2664</v>
      </c>
      <c r="L98" s="39">
        <v>2687</v>
      </c>
      <c r="M98" s="15">
        <f t="shared" si="12"/>
        <v>23</v>
      </c>
      <c r="N98" s="15"/>
      <c r="O98" s="39"/>
      <c r="P98" s="36"/>
      <c r="Q98" s="16">
        <f t="shared" si="13"/>
        <v>0</v>
      </c>
      <c r="R98" s="34" t="s">
        <v>273</v>
      </c>
      <c r="S98" s="34" t="s">
        <v>102</v>
      </c>
      <c r="T98" s="36">
        <v>1.8</v>
      </c>
      <c r="U98" s="36">
        <f>Rutas[[#This Row],[Precio x Galón ($/gal)]]*Rutas[[#This Row],[Volumen de Combustible (gal)]]</f>
        <v>28.89</v>
      </c>
      <c r="V98" s="36"/>
      <c r="W98" s="36"/>
      <c r="X98" s="36"/>
      <c r="Y98" s="145">
        <f t="shared" si="14"/>
        <v>28.89</v>
      </c>
      <c r="Z98" s="567"/>
      <c r="AA98" s="12">
        <v>16.05</v>
      </c>
      <c r="AB98" s="12">
        <f t="shared" si="15"/>
        <v>1.4330218068535825</v>
      </c>
      <c r="AC98" s="12">
        <f t="shared" si="16"/>
        <v>0</v>
      </c>
      <c r="AD98" s="34"/>
    </row>
    <row r="99" spans="1:30" ht="16" x14ac:dyDescent="0.2">
      <c r="A99" s="47"/>
      <c r="B99" s="301"/>
      <c r="C99" s="176">
        <f t="shared" si="22"/>
        <v>96</v>
      </c>
      <c r="D99" s="146">
        <f t="shared" si="25"/>
        <v>45644</v>
      </c>
      <c r="E99" s="37">
        <v>45648</v>
      </c>
      <c r="F99" s="65" t="s">
        <v>310</v>
      </c>
      <c r="G99" s="11" t="str">
        <f ca="1">IF(AND(E99&lt;&gt;"",E99&lt;TODAY()),"Disponible",IFERROR(INDEX(Vehiculos[Estado Vehiculo],MATCH(F99,Vehiculos[Placa Vehiculo],0)),""))</f>
        <v>Disponible</v>
      </c>
      <c r="H99" s="34" t="s">
        <v>246</v>
      </c>
      <c r="I99" s="34" t="s">
        <v>273</v>
      </c>
      <c r="J99" s="34" t="s">
        <v>274</v>
      </c>
      <c r="K99" s="39">
        <f t="shared" si="26"/>
        <v>2687</v>
      </c>
      <c r="L99" s="39">
        <v>2714</v>
      </c>
      <c r="M99" s="15">
        <f t="shared" si="12"/>
        <v>27</v>
      </c>
      <c r="N99" s="15"/>
      <c r="O99" s="39"/>
      <c r="P99" s="36"/>
      <c r="Q99" s="16">
        <f t="shared" si="13"/>
        <v>0</v>
      </c>
      <c r="R99" s="34" t="s">
        <v>273</v>
      </c>
      <c r="S99" s="34" t="s">
        <v>102</v>
      </c>
      <c r="T99" s="36">
        <v>1.8</v>
      </c>
      <c r="U99" s="36">
        <f>Rutas[[#This Row],[Precio x Galón ($/gal)]]*Rutas[[#This Row],[Volumen de Combustible (gal)]]</f>
        <v>18.791999999999998</v>
      </c>
      <c r="V99" s="36"/>
      <c r="W99" s="36"/>
      <c r="X99" s="36"/>
      <c r="Y99" s="145">
        <f t="shared" si="14"/>
        <v>18.791999999999998</v>
      </c>
      <c r="Z99" s="567"/>
      <c r="AA99" s="12">
        <v>10.44</v>
      </c>
      <c r="AB99" s="12">
        <f t="shared" si="15"/>
        <v>2.5862068965517242</v>
      </c>
      <c r="AC99" s="12">
        <f t="shared" si="16"/>
        <v>0</v>
      </c>
      <c r="AD99" s="34"/>
    </row>
    <row r="100" spans="1:30" ht="16" x14ac:dyDescent="0.2">
      <c r="A100" s="47" t="s">
        <v>309</v>
      </c>
      <c r="B100" s="301"/>
      <c r="C100" s="176">
        <f t="shared" si="22"/>
        <v>97</v>
      </c>
      <c r="D100" s="146">
        <f t="shared" si="25"/>
        <v>45648</v>
      </c>
      <c r="E100" s="37">
        <v>45656</v>
      </c>
      <c r="F100" s="65" t="s">
        <v>310</v>
      </c>
      <c r="G100" s="11" t="str">
        <f ca="1">IF(AND(E100&lt;&gt;"",E100&lt;TODAY()),"Disponible",IFERROR(INDEX(Vehiculos[Estado Vehiculo],MATCH(F100,Vehiculos[Placa Vehiculo],0)),""))</f>
        <v>Disponible</v>
      </c>
      <c r="H100" s="34" t="s">
        <v>236</v>
      </c>
      <c r="I100" s="34" t="s">
        <v>273</v>
      </c>
      <c r="J100" s="34" t="s">
        <v>274</v>
      </c>
      <c r="K100" s="39">
        <f t="shared" si="26"/>
        <v>2714</v>
      </c>
      <c r="L100" s="39">
        <v>2748</v>
      </c>
      <c r="M100" s="15">
        <f t="shared" si="12"/>
        <v>34</v>
      </c>
      <c r="N100" s="15"/>
      <c r="O100" s="39"/>
      <c r="P100" s="36"/>
      <c r="Q100" s="16">
        <f t="shared" si="13"/>
        <v>0</v>
      </c>
      <c r="R100" s="34" t="s">
        <v>273</v>
      </c>
      <c r="S100" s="34" t="s">
        <v>102</v>
      </c>
      <c r="T100" s="36">
        <v>1.8</v>
      </c>
      <c r="U100" s="36">
        <f>Rutas[[#This Row],[Precio x Galón ($/gal)]]*Rutas[[#This Row],[Volumen de Combustible (gal)]]</f>
        <v>11.25</v>
      </c>
      <c r="V100" s="36"/>
      <c r="W100" s="36"/>
      <c r="X100" s="36"/>
      <c r="Y100" s="145">
        <f t="shared" si="14"/>
        <v>11.25</v>
      </c>
      <c r="Z100" s="567"/>
      <c r="AA100" s="12">
        <v>6.25</v>
      </c>
      <c r="AB100" s="12">
        <f t="shared" si="15"/>
        <v>5.44</v>
      </c>
      <c r="AC100" s="12">
        <f t="shared" si="16"/>
        <v>0</v>
      </c>
      <c r="AD100" s="34"/>
    </row>
    <row r="101" spans="1:30" ht="16" x14ac:dyDescent="0.2">
      <c r="A101" s="47"/>
      <c r="B101" s="301"/>
      <c r="C101" s="176">
        <f t="shared" si="22"/>
        <v>98</v>
      </c>
      <c r="D101" s="177">
        <v>45639</v>
      </c>
      <c r="E101" s="177">
        <v>45641</v>
      </c>
      <c r="F101" s="178" t="s">
        <v>311</v>
      </c>
      <c r="G101" s="179" t="str">
        <f ca="1">IF(AND(E101&lt;&gt;"",E101&lt;TODAY()),"Disponible",IFERROR(INDEX(Vehiculos[Estado Vehiculo],MATCH(F101,Vehiculos[Placa Vehiculo],0)),""))</f>
        <v>Disponible</v>
      </c>
      <c r="H101" s="180" t="s">
        <v>248</v>
      </c>
      <c r="I101" s="180" t="s">
        <v>273</v>
      </c>
      <c r="J101" s="180" t="s">
        <v>274</v>
      </c>
      <c r="K101" s="181">
        <v>941</v>
      </c>
      <c r="L101" s="181">
        <v>909</v>
      </c>
      <c r="M101" s="182">
        <f t="shared" si="12"/>
        <v>-32</v>
      </c>
      <c r="N101" s="182"/>
      <c r="O101" s="181"/>
      <c r="P101" s="183"/>
      <c r="Q101" s="184">
        <f t="shared" si="13"/>
        <v>0</v>
      </c>
      <c r="R101" s="180" t="s">
        <v>273</v>
      </c>
      <c r="S101" s="180" t="s">
        <v>102</v>
      </c>
      <c r="T101" s="183">
        <v>1.8</v>
      </c>
      <c r="U101" s="183">
        <f>Rutas[[#This Row],[Precio x Galón ($/gal)]]*Rutas[[#This Row],[Volumen de Combustible (gal)]]</f>
        <v>39.545999999999999</v>
      </c>
      <c r="V101" s="183"/>
      <c r="W101" s="183"/>
      <c r="X101" s="183"/>
      <c r="Y101" s="184">
        <f t="shared" si="14"/>
        <v>39.545999999999999</v>
      </c>
      <c r="Z101" s="567"/>
      <c r="AA101" s="184">
        <v>21.97</v>
      </c>
      <c r="AB101" s="184">
        <f t="shared" si="15"/>
        <v>-1.4565316340464269</v>
      </c>
      <c r="AC101" s="184">
        <f t="shared" si="16"/>
        <v>0</v>
      </c>
      <c r="AD101" s="180"/>
    </row>
    <row r="102" spans="1:30" ht="16" x14ac:dyDescent="0.2">
      <c r="A102" s="47"/>
      <c r="B102" s="301"/>
      <c r="C102" s="176">
        <f t="shared" si="22"/>
        <v>99</v>
      </c>
      <c r="D102" s="146">
        <f>E101</f>
        <v>45641</v>
      </c>
      <c r="E102" s="37">
        <v>45646</v>
      </c>
      <c r="F102" s="65" t="s">
        <v>311</v>
      </c>
      <c r="G102" s="11" t="str">
        <f ca="1">IF(AND(E102&lt;&gt;"",E102&lt;TODAY()),"Disponible",IFERROR(INDEX(Vehiculos[Estado Vehiculo],MATCH(F102,Vehiculos[Placa Vehiculo],0)),""))</f>
        <v>Disponible</v>
      </c>
      <c r="H102" s="34" t="s">
        <v>238</v>
      </c>
      <c r="I102" s="34" t="s">
        <v>273</v>
      </c>
      <c r="J102" s="34" t="s">
        <v>274</v>
      </c>
      <c r="K102" s="39">
        <f>L101</f>
        <v>909</v>
      </c>
      <c r="L102" s="39">
        <v>978</v>
      </c>
      <c r="M102" s="15">
        <f t="shared" si="12"/>
        <v>69</v>
      </c>
      <c r="N102" s="15"/>
      <c r="O102" s="39"/>
      <c r="P102" s="36"/>
      <c r="Q102" s="16">
        <f t="shared" si="13"/>
        <v>0</v>
      </c>
      <c r="R102" s="34" t="s">
        <v>273</v>
      </c>
      <c r="S102" s="34" t="s">
        <v>102</v>
      </c>
      <c r="T102" s="36">
        <v>1.8</v>
      </c>
      <c r="U102" s="36">
        <f>Rutas[[#This Row],[Precio x Galón ($/gal)]]*Rutas[[#This Row],[Volumen de Combustible (gal)]]</f>
        <v>23.652000000000001</v>
      </c>
      <c r="V102" s="36"/>
      <c r="W102" s="36"/>
      <c r="X102" s="36"/>
      <c r="Y102" s="145">
        <f t="shared" si="14"/>
        <v>23.652000000000001</v>
      </c>
      <c r="Z102" s="567"/>
      <c r="AA102" s="12">
        <v>13.14</v>
      </c>
      <c r="AB102" s="12">
        <f t="shared" si="15"/>
        <v>5.2511415525114149</v>
      </c>
      <c r="AC102" s="12">
        <f t="shared" si="16"/>
        <v>0</v>
      </c>
      <c r="AD102" s="34"/>
    </row>
    <row r="103" spans="1:30" ht="16" x14ac:dyDescent="0.2">
      <c r="A103" s="47"/>
      <c r="B103" s="301"/>
      <c r="C103" s="176">
        <f t="shared" si="22"/>
        <v>100</v>
      </c>
      <c r="D103" s="146">
        <f>E102</f>
        <v>45646</v>
      </c>
      <c r="E103" s="37">
        <v>45653</v>
      </c>
      <c r="F103" s="65" t="s">
        <v>311</v>
      </c>
      <c r="G103" s="11" t="str">
        <f ca="1">IF(AND(E103&lt;&gt;"",E103&lt;TODAY()),"Disponible",IFERROR(INDEX(Vehiculos[Estado Vehiculo],MATCH(F103,Vehiculos[Placa Vehiculo],0)),""))</f>
        <v>Disponible</v>
      </c>
      <c r="H103" s="34" t="s">
        <v>248</v>
      </c>
      <c r="I103" s="34" t="s">
        <v>273</v>
      </c>
      <c r="J103" s="34" t="s">
        <v>274</v>
      </c>
      <c r="K103" s="39">
        <f>L102</f>
        <v>978</v>
      </c>
      <c r="L103" s="39">
        <v>1007</v>
      </c>
      <c r="M103" s="15">
        <f t="shared" si="12"/>
        <v>29</v>
      </c>
      <c r="N103" s="15"/>
      <c r="O103" s="39"/>
      <c r="P103" s="36"/>
      <c r="Q103" s="16">
        <f t="shared" si="13"/>
        <v>0</v>
      </c>
      <c r="R103" s="34" t="s">
        <v>273</v>
      </c>
      <c r="S103" s="34" t="s">
        <v>102</v>
      </c>
      <c r="T103" s="36">
        <v>1.8</v>
      </c>
      <c r="U103" s="36">
        <f>Rutas[[#This Row],[Precio x Galón ($/gal)]]*Rutas[[#This Row],[Volumen de Combustible (gal)]]</f>
        <v>23.562000000000001</v>
      </c>
      <c r="V103" s="36"/>
      <c r="W103" s="36"/>
      <c r="X103" s="36"/>
      <c r="Y103" s="145">
        <f t="shared" si="14"/>
        <v>23.562000000000001</v>
      </c>
      <c r="Z103" s="567"/>
      <c r="AA103" s="12">
        <v>13.09</v>
      </c>
      <c r="AB103" s="12">
        <f t="shared" si="15"/>
        <v>2.2154316271963332</v>
      </c>
      <c r="AC103" s="12">
        <f t="shared" si="16"/>
        <v>0</v>
      </c>
      <c r="AD103" s="34"/>
    </row>
    <row r="104" spans="1:30" ht="16" x14ac:dyDescent="0.2">
      <c r="A104" s="47"/>
      <c r="B104" s="301"/>
      <c r="C104" s="176">
        <f t="shared" si="22"/>
        <v>101</v>
      </c>
      <c r="D104" s="146">
        <f>E103</f>
        <v>45653</v>
      </c>
      <c r="E104" s="37">
        <v>45656</v>
      </c>
      <c r="F104" s="65" t="s">
        <v>311</v>
      </c>
      <c r="G104" s="11" t="str">
        <f ca="1">IF(AND(E104&lt;&gt;"",E104&lt;TODAY()),"Disponible",IFERROR(INDEX(Vehiculos[Estado Vehiculo],MATCH(F104,Vehiculos[Placa Vehiculo],0)),""))</f>
        <v>Disponible</v>
      </c>
      <c r="H104" s="34" t="s">
        <v>233</v>
      </c>
      <c r="I104" s="34" t="s">
        <v>273</v>
      </c>
      <c r="J104" s="34" t="s">
        <v>274</v>
      </c>
      <c r="K104" s="39">
        <f>L103</f>
        <v>1007</v>
      </c>
      <c r="L104" s="39">
        <v>1063</v>
      </c>
      <c r="M104" s="15">
        <f t="shared" si="12"/>
        <v>56</v>
      </c>
      <c r="N104" s="15"/>
      <c r="O104" s="39"/>
      <c r="P104" s="36"/>
      <c r="Q104" s="16">
        <f t="shared" si="13"/>
        <v>0</v>
      </c>
      <c r="R104" s="34" t="s">
        <v>273</v>
      </c>
      <c r="S104" s="34" t="s">
        <v>102</v>
      </c>
      <c r="T104" s="36">
        <v>1.8</v>
      </c>
      <c r="U104" s="36">
        <f>Rutas[[#This Row],[Precio x Galón ($/gal)]]*Rutas[[#This Row],[Volumen de Combustible (gal)]]</f>
        <v>15.371999999999998</v>
      </c>
      <c r="V104" s="36"/>
      <c r="W104" s="36"/>
      <c r="X104" s="36"/>
      <c r="Y104" s="145">
        <f t="shared" si="14"/>
        <v>15.371999999999998</v>
      </c>
      <c r="Z104" s="567"/>
      <c r="AA104" s="12">
        <v>8.5399999999999991</v>
      </c>
      <c r="AB104" s="12">
        <f t="shared" si="15"/>
        <v>6.5573770491803289</v>
      </c>
      <c r="AC104" s="12">
        <f t="shared" si="16"/>
        <v>0</v>
      </c>
      <c r="AD104" s="34"/>
    </row>
    <row r="105" spans="1:30" ht="16" x14ac:dyDescent="0.2">
      <c r="A105" s="47"/>
      <c r="B105" s="301"/>
      <c r="C105" s="176">
        <f t="shared" si="22"/>
        <v>102</v>
      </c>
      <c r="D105" s="177">
        <v>45628</v>
      </c>
      <c r="E105" s="177">
        <v>45634</v>
      </c>
      <c r="F105" s="178" t="s">
        <v>312</v>
      </c>
      <c r="G105" s="179" t="str">
        <f ca="1">IF(AND(E105&lt;&gt;"",E105&lt;TODAY()),"Disponible",IFERROR(INDEX(Vehiculos[Estado Vehiculo],MATCH(F105,Vehiculos[Placa Vehiculo],0)),""))</f>
        <v>Disponible</v>
      </c>
      <c r="H105" s="180" t="s">
        <v>250</v>
      </c>
      <c r="I105" s="180" t="s">
        <v>273</v>
      </c>
      <c r="J105" s="180" t="s">
        <v>274</v>
      </c>
      <c r="K105" s="181">
        <v>3007</v>
      </c>
      <c r="L105" s="181">
        <v>3051</v>
      </c>
      <c r="M105" s="182">
        <f t="shared" si="12"/>
        <v>44</v>
      </c>
      <c r="N105" s="182"/>
      <c r="O105" s="181"/>
      <c r="P105" s="183"/>
      <c r="Q105" s="184">
        <f t="shared" si="13"/>
        <v>0</v>
      </c>
      <c r="R105" s="180" t="s">
        <v>273</v>
      </c>
      <c r="S105" s="180" t="s">
        <v>102</v>
      </c>
      <c r="T105" s="183">
        <v>1.8</v>
      </c>
      <c r="U105" s="183">
        <f>Rutas[[#This Row],[Precio x Galón ($/gal)]]*Rutas[[#This Row],[Volumen de Combustible (gal)]]</f>
        <v>19.8</v>
      </c>
      <c r="V105" s="183"/>
      <c r="W105" s="183"/>
      <c r="X105" s="183"/>
      <c r="Y105" s="184">
        <f t="shared" si="14"/>
        <v>19.8</v>
      </c>
      <c r="Z105" s="567"/>
      <c r="AA105" s="184">
        <v>11</v>
      </c>
      <c r="AB105" s="184">
        <f t="shared" si="15"/>
        <v>4</v>
      </c>
      <c r="AC105" s="184">
        <f t="shared" si="16"/>
        <v>0</v>
      </c>
      <c r="AD105" s="180"/>
    </row>
    <row r="106" spans="1:30" ht="16" x14ac:dyDescent="0.2">
      <c r="A106" s="47"/>
      <c r="B106" s="301"/>
      <c r="C106" s="176">
        <f t="shared" si="22"/>
        <v>103</v>
      </c>
      <c r="D106" s="146">
        <f>E105</f>
        <v>45634</v>
      </c>
      <c r="E106" s="37">
        <v>45638</v>
      </c>
      <c r="F106" s="65" t="s">
        <v>312</v>
      </c>
      <c r="G106" s="11" t="str">
        <f ca="1">IF(AND(E106&lt;&gt;"",E106&lt;TODAY()),"Disponible",IFERROR(INDEX(Vehiculos[Estado Vehiculo],MATCH(F106,Vehiculos[Placa Vehiculo],0)),""))</f>
        <v>Disponible</v>
      </c>
      <c r="H106" s="34" t="s">
        <v>229</v>
      </c>
      <c r="I106" s="34" t="s">
        <v>273</v>
      </c>
      <c r="J106" s="34" t="s">
        <v>274</v>
      </c>
      <c r="K106" s="39">
        <v>3051</v>
      </c>
      <c r="L106" s="39">
        <v>3077</v>
      </c>
      <c r="M106" s="15">
        <f t="shared" si="12"/>
        <v>26</v>
      </c>
      <c r="N106" s="15"/>
      <c r="O106" s="39"/>
      <c r="P106" s="36"/>
      <c r="Q106" s="16">
        <f t="shared" si="13"/>
        <v>0</v>
      </c>
      <c r="R106" s="34" t="s">
        <v>273</v>
      </c>
      <c r="S106" s="34" t="s">
        <v>102</v>
      </c>
      <c r="T106" s="36">
        <v>1.8</v>
      </c>
      <c r="U106" s="36">
        <f>Rutas[[#This Row],[Precio x Galón ($/gal)]]*Rutas[[#This Row],[Volumen de Combustible (gal)]]</f>
        <v>30.635999999999999</v>
      </c>
      <c r="V106" s="36"/>
      <c r="W106" s="36"/>
      <c r="X106" s="36"/>
      <c r="Y106" s="145">
        <f t="shared" si="14"/>
        <v>30.635999999999999</v>
      </c>
      <c r="Z106" s="567"/>
      <c r="AA106" s="12">
        <v>17.02</v>
      </c>
      <c r="AB106" s="12">
        <f t="shared" si="15"/>
        <v>1.5276145710928319</v>
      </c>
      <c r="AC106" s="12">
        <f t="shared" si="16"/>
        <v>0</v>
      </c>
      <c r="AD106" s="34"/>
    </row>
    <row r="107" spans="1:30" ht="16" x14ac:dyDescent="0.2">
      <c r="A107" s="47"/>
      <c r="B107" s="301"/>
      <c r="C107" s="176">
        <f t="shared" si="22"/>
        <v>104</v>
      </c>
      <c r="D107" s="146">
        <f>E106</f>
        <v>45638</v>
      </c>
      <c r="E107" s="37">
        <v>45656</v>
      </c>
      <c r="F107" s="65" t="s">
        <v>312</v>
      </c>
      <c r="G107" s="11" t="str">
        <f ca="1">IF(AND(E107&lt;&gt;"",E107&lt;TODAY()),"Disponible",IFERROR(INDEX(Vehiculos[Estado Vehiculo],MATCH(F107,Vehiculos[Placa Vehiculo],0)),""))</f>
        <v>Disponible</v>
      </c>
      <c r="H107" s="34" t="s">
        <v>238</v>
      </c>
      <c r="I107" s="34" t="s">
        <v>273</v>
      </c>
      <c r="J107" s="34" t="s">
        <v>274</v>
      </c>
      <c r="K107" s="39">
        <v>3077</v>
      </c>
      <c r="L107" s="39">
        <v>3142</v>
      </c>
      <c r="M107" s="15">
        <f t="shared" si="12"/>
        <v>65</v>
      </c>
      <c r="N107" s="15"/>
      <c r="O107" s="39"/>
      <c r="P107" s="36"/>
      <c r="Q107" s="16">
        <f t="shared" si="13"/>
        <v>0</v>
      </c>
      <c r="R107" s="34" t="s">
        <v>273</v>
      </c>
      <c r="S107" s="34" t="s">
        <v>102</v>
      </c>
      <c r="T107" s="36">
        <v>1.8</v>
      </c>
      <c r="U107" s="36">
        <f>Rutas[[#This Row],[Precio x Galón ($/gal)]]*Rutas[[#This Row],[Volumen de Combustible (gal)]]</f>
        <v>27.396000000000001</v>
      </c>
      <c r="V107" s="36"/>
      <c r="W107" s="36"/>
      <c r="X107" s="36"/>
      <c r="Y107" s="145">
        <f t="shared" si="14"/>
        <v>27.396000000000001</v>
      </c>
      <c r="Z107" s="567"/>
      <c r="AA107" s="12">
        <v>15.22</v>
      </c>
      <c r="AB107" s="12">
        <f t="shared" si="15"/>
        <v>4.2706964520367938</v>
      </c>
      <c r="AC107" s="12">
        <f t="shared" si="16"/>
        <v>0</v>
      </c>
      <c r="AD107" s="34"/>
    </row>
    <row r="108" spans="1:30" ht="16" x14ac:dyDescent="0.2">
      <c r="A108" s="47"/>
      <c r="B108" s="301"/>
      <c r="C108" s="176">
        <f t="shared" si="22"/>
        <v>105</v>
      </c>
      <c r="D108" s="177">
        <v>45647</v>
      </c>
      <c r="E108" s="177">
        <v>45649</v>
      </c>
      <c r="F108" s="178" t="s">
        <v>313</v>
      </c>
      <c r="G108" s="179" t="str">
        <f ca="1">IF(AND(E108&lt;&gt;"",E108&lt;TODAY()),"Disponible",IFERROR(INDEX(Vehiculos[Estado Vehiculo],MATCH(F108,Vehiculos[Placa Vehiculo],0)),""))</f>
        <v>Disponible</v>
      </c>
      <c r="H108" s="180" t="s">
        <v>238</v>
      </c>
      <c r="I108" s="180" t="s">
        <v>273</v>
      </c>
      <c r="J108" s="180" t="s">
        <v>274</v>
      </c>
      <c r="K108" s="181">
        <v>2398</v>
      </c>
      <c r="L108" s="181">
        <v>2419</v>
      </c>
      <c r="M108" s="182">
        <f t="shared" si="12"/>
        <v>21</v>
      </c>
      <c r="N108" s="182"/>
      <c r="O108" s="181"/>
      <c r="P108" s="183"/>
      <c r="Q108" s="184">
        <f t="shared" si="13"/>
        <v>0</v>
      </c>
      <c r="R108" s="180" t="s">
        <v>273</v>
      </c>
      <c r="S108" s="180" t="s">
        <v>102</v>
      </c>
      <c r="T108" s="183">
        <v>1.8</v>
      </c>
      <c r="U108" s="36">
        <f>Rutas[[#This Row],[Precio x Galón ($/gal)]]*Rutas[[#This Row],[Volumen de Combustible (gal)]]</f>
        <v>34.380000000000003</v>
      </c>
      <c r="V108" s="183"/>
      <c r="W108" s="183"/>
      <c r="X108" s="183"/>
      <c r="Y108" s="184">
        <f t="shared" si="14"/>
        <v>34.380000000000003</v>
      </c>
      <c r="Z108" s="567"/>
      <c r="AA108" s="184">
        <v>19.100000000000001</v>
      </c>
      <c r="AB108" s="184">
        <f t="shared" si="15"/>
        <v>1.0994764397905759</v>
      </c>
      <c r="AC108" s="184">
        <f t="shared" si="16"/>
        <v>0</v>
      </c>
      <c r="AD108" s="180"/>
    </row>
    <row r="109" spans="1:30" ht="16" x14ac:dyDescent="0.2">
      <c r="A109" s="47"/>
      <c r="B109" s="301"/>
      <c r="C109" s="176">
        <f t="shared" si="22"/>
        <v>106</v>
      </c>
      <c r="D109" s="146">
        <f>E108</f>
        <v>45649</v>
      </c>
      <c r="E109" s="37">
        <v>45653</v>
      </c>
      <c r="F109" s="65" t="s">
        <v>313</v>
      </c>
      <c r="G109" s="11" t="str">
        <f ca="1">IF(AND(E109&lt;&gt;"",E109&lt;TODAY()),"Disponible",IFERROR(INDEX(Vehiculos[Estado Vehiculo],MATCH(F109,Vehiculos[Placa Vehiculo],0)),""))</f>
        <v>Disponible</v>
      </c>
      <c r="H109" s="34" t="s">
        <v>236</v>
      </c>
      <c r="I109" s="34" t="s">
        <v>273</v>
      </c>
      <c r="J109" s="34" t="s">
        <v>274</v>
      </c>
      <c r="K109" s="39">
        <f>L108</f>
        <v>2419</v>
      </c>
      <c r="L109" s="39">
        <v>2452</v>
      </c>
      <c r="M109" s="15">
        <f t="shared" si="12"/>
        <v>33</v>
      </c>
      <c r="N109" s="15"/>
      <c r="O109" s="39"/>
      <c r="P109" s="36"/>
      <c r="Q109" s="16">
        <f t="shared" si="13"/>
        <v>0</v>
      </c>
      <c r="R109" s="34" t="s">
        <v>273</v>
      </c>
      <c r="S109" s="34" t="s">
        <v>102</v>
      </c>
      <c r="T109" s="36">
        <v>1.8</v>
      </c>
      <c r="U109" s="36">
        <f>Rutas[[#This Row],[Precio x Galón ($/gal)]]*Rutas[[#This Row],[Volumen de Combustible (gal)]]</f>
        <v>19.259999999999998</v>
      </c>
      <c r="V109" s="36"/>
      <c r="W109" s="36"/>
      <c r="X109" s="36"/>
      <c r="Y109" s="145">
        <f t="shared" si="14"/>
        <v>19.259999999999998</v>
      </c>
      <c r="Z109" s="567"/>
      <c r="AA109" s="12">
        <v>10.7</v>
      </c>
      <c r="AB109" s="12">
        <f t="shared" si="15"/>
        <v>3.0841121495327104</v>
      </c>
      <c r="AC109" s="12">
        <f t="shared" si="16"/>
        <v>0</v>
      </c>
      <c r="AD109" s="34"/>
    </row>
    <row r="110" spans="1:30" ht="16" x14ac:dyDescent="0.2">
      <c r="A110" s="47"/>
      <c r="B110" s="301"/>
      <c r="C110" s="176">
        <f t="shared" si="22"/>
        <v>107</v>
      </c>
      <c r="D110" s="146">
        <f>E109</f>
        <v>45653</v>
      </c>
      <c r="E110" s="37">
        <v>45655</v>
      </c>
      <c r="F110" s="65" t="s">
        <v>313</v>
      </c>
      <c r="G110" s="11" t="str">
        <f ca="1">IF(AND(E110&lt;&gt;"",E110&lt;TODAY()),"Disponible",IFERROR(INDEX(Vehiculos[Estado Vehiculo],MATCH(F110,Vehiculos[Placa Vehiculo],0)),""))</f>
        <v>Disponible</v>
      </c>
      <c r="H110" s="34" t="s">
        <v>250</v>
      </c>
      <c r="I110" s="34" t="s">
        <v>273</v>
      </c>
      <c r="J110" s="34" t="s">
        <v>274</v>
      </c>
      <c r="K110" s="39">
        <v>2452</v>
      </c>
      <c r="L110" s="39">
        <v>2474</v>
      </c>
      <c r="M110" s="15">
        <f t="shared" si="12"/>
        <v>22</v>
      </c>
      <c r="N110" s="15"/>
      <c r="O110" s="39"/>
      <c r="P110" s="36"/>
      <c r="Q110" s="16">
        <f t="shared" si="13"/>
        <v>0</v>
      </c>
      <c r="R110" s="34" t="s">
        <v>273</v>
      </c>
      <c r="S110" s="34" t="s">
        <v>102</v>
      </c>
      <c r="T110" s="36">
        <v>1.8</v>
      </c>
      <c r="U110" s="36">
        <f>Rutas[[#This Row],[Precio x Galón ($/gal)]]*Rutas[[#This Row],[Volumen de Combustible (gal)]]</f>
        <v>18.774000000000001</v>
      </c>
      <c r="V110" s="36"/>
      <c r="W110" s="36"/>
      <c r="X110" s="36"/>
      <c r="Y110" s="145">
        <f t="shared" si="14"/>
        <v>18.774000000000001</v>
      </c>
      <c r="Z110" s="567"/>
      <c r="AA110" s="12">
        <v>10.43</v>
      </c>
      <c r="AB110" s="12">
        <f t="shared" si="15"/>
        <v>2.109300095877277</v>
      </c>
      <c r="AC110" s="12">
        <f t="shared" si="16"/>
        <v>0</v>
      </c>
      <c r="AD110" s="34"/>
    </row>
    <row r="111" spans="1:30" ht="16" x14ac:dyDescent="0.2">
      <c r="A111" s="47"/>
      <c r="B111" s="301"/>
      <c r="C111" s="176">
        <f t="shared" si="22"/>
        <v>108</v>
      </c>
      <c r="D111" s="146">
        <f>E110</f>
        <v>45655</v>
      </c>
      <c r="E111" s="37">
        <v>45656</v>
      </c>
      <c r="F111" s="65" t="s">
        <v>313</v>
      </c>
      <c r="G111" s="11" t="str">
        <f ca="1">IF(AND(E111&lt;&gt;"",E111&lt;TODAY()),"Disponible",IFERROR(INDEX(Vehiculos[Estado Vehiculo],MATCH(F111,Vehiculos[Placa Vehiculo],0)),""))</f>
        <v>Disponible</v>
      </c>
      <c r="H111" s="34" t="s">
        <v>250</v>
      </c>
      <c r="I111" s="34" t="s">
        <v>273</v>
      </c>
      <c r="J111" s="34" t="s">
        <v>274</v>
      </c>
      <c r="K111" s="39">
        <v>2474</v>
      </c>
      <c r="L111" s="39">
        <v>2505</v>
      </c>
      <c r="M111" s="15">
        <f t="shared" si="12"/>
        <v>31</v>
      </c>
      <c r="N111" s="15"/>
      <c r="O111" s="39"/>
      <c r="P111" s="36"/>
      <c r="Q111" s="16">
        <f t="shared" si="13"/>
        <v>0</v>
      </c>
      <c r="R111" s="34" t="s">
        <v>273</v>
      </c>
      <c r="S111" s="34" t="s">
        <v>102</v>
      </c>
      <c r="T111" s="36">
        <v>1.8</v>
      </c>
      <c r="U111" s="36">
        <f>Rutas[[#This Row],[Precio x Galón ($/gal)]]*Rutas[[#This Row],[Volumen de Combustible (gal)]]</f>
        <v>19.008000000000003</v>
      </c>
      <c r="V111" s="36"/>
      <c r="W111" s="36"/>
      <c r="X111" s="36"/>
      <c r="Y111" s="145">
        <f t="shared" si="14"/>
        <v>19.008000000000003</v>
      </c>
      <c r="Z111" s="567"/>
      <c r="AA111" s="12">
        <v>10.56</v>
      </c>
      <c r="AB111" s="12">
        <f t="shared" si="15"/>
        <v>2.9356060606060606</v>
      </c>
      <c r="AC111" s="12">
        <f t="shared" si="16"/>
        <v>0</v>
      </c>
      <c r="AD111" s="34"/>
    </row>
    <row r="112" spans="1:30" ht="16" x14ac:dyDescent="0.2">
      <c r="A112" s="47"/>
      <c r="B112" s="301"/>
      <c r="C112" s="176">
        <f t="shared" si="22"/>
        <v>109</v>
      </c>
      <c r="D112" s="146"/>
      <c r="E112" s="37"/>
      <c r="F112" s="65"/>
      <c r="G112" s="11" t="str">
        <f ca="1">IF(AND(E112&lt;&gt;"",E112&lt;TODAY()),"Disponible",IFERROR(INDEX(Vehiculos[Estado Vehiculo],MATCH(F112,Vehiculos[Placa Vehiculo],0)),""))</f>
        <v/>
      </c>
      <c r="H112" s="34"/>
      <c r="I112" s="34"/>
      <c r="J112" s="34"/>
      <c r="K112" s="39"/>
      <c r="L112" s="39"/>
      <c r="M112" s="15">
        <f t="shared" si="12"/>
        <v>0</v>
      </c>
      <c r="N112" s="15"/>
      <c r="O112" s="39"/>
      <c r="P112" s="36"/>
      <c r="Q112" s="16">
        <f t="shared" si="13"/>
        <v>0</v>
      </c>
      <c r="R112" s="34"/>
      <c r="S112" s="34"/>
      <c r="T112" s="36"/>
      <c r="U112" s="36"/>
      <c r="V112" s="36"/>
      <c r="W112" s="36"/>
      <c r="X112" s="36"/>
      <c r="Y112" s="145">
        <f t="shared" si="14"/>
        <v>0</v>
      </c>
      <c r="Z112" s="567"/>
      <c r="AA112" s="12"/>
      <c r="AB112" s="12">
        <f t="shared" si="15"/>
        <v>0</v>
      </c>
      <c r="AC112" s="12">
        <f t="shared" si="16"/>
        <v>0</v>
      </c>
      <c r="AD112" s="34"/>
    </row>
    <row r="113" spans="1:30" s="175" customFormat="1" ht="17" thickBot="1" x14ac:dyDescent="0.25">
      <c r="A113" s="174"/>
      <c r="B113" s="302"/>
      <c r="C113" s="176">
        <f t="shared" si="22"/>
        <v>110</v>
      </c>
      <c r="D113" s="156"/>
      <c r="E113" s="157"/>
      <c r="F113" s="158"/>
      <c r="G113" s="159" t="str">
        <f ca="1">IF(AND(E113&lt;&gt;"",E113&lt;TODAY()),"Disponible",IFERROR(INDEX(Vehiculos[Estado Vehiculo],MATCH(F113,Vehiculos[Placa Vehiculo],0)),""))</f>
        <v/>
      </c>
      <c r="H113" s="160"/>
      <c r="I113" s="160"/>
      <c r="J113" s="160"/>
      <c r="K113" s="161"/>
      <c r="L113" s="161"/>
      <c r="M113" s="162">
        <f t="shared" ref="M113:M144" si="27">L113-K113</f>
        <v>0</v>
      </c>
      <c r="N113" s="162"/>
      <c r="O113" s="161"/>
      <c r="P113" s="163"/>
      <c r="Q113" s="164">
        <f t="shared" ref="Q113:Q144" si="28">M113*P113</f>
        <v>0</v>
      </c>
      <c r="R113" s="160"/>
      <c r="S113" s="160"/>
      <c r="T113" s="163"/>
      <c r="U113" s="163">
        <f>Rutas[[#This Row],[Precio x Galón ($/gal)]]*Rutas[[#This Row],[Volumen de Combustible (gal)]]</f>
        <v>0</v>
      </c>
      <c r="V113" s="163"/>
      <c r="W113" s="163"/>
      <c r="X113" s="163"/>
      <c r="Y113" s="165">
        <f t="shared" ref="Y113:Y144" si="29">U113+SUM(V113:X113)</f>
        <v>0</v>
      </c>
      <c r="Z113" s="568"/>
      <c r="AA113" s="166"/>
      <c r="AB113" s="166">
        <f t="shared" ref="AB113:AB144" si="30">IFERROR(M113/AA113,0)</f>
        <v>0</v>
      </c>
      <c r="AC113" s="166">
        <f t="shared" ref="AC113:AC144" si="31">IFERROR(Q113/M113,0)</f>
        <v>0</v>
      </c>
      <c r="AD113" s="160"/>
    </row>
    <row r="114" spans="1:30" ht="17" thickTop="1" x14ac:dyDescent="0.2">
      <c r="A114" s="47"/>
      <c r="B114" s="303"/>
      <c r="C114" s="176">
        <f t="shared" si="22"/>
        <v>111</v>
      </c>
      <c r="D114" s="177">
        <v>45661</v>
      </c>
      <c r="E114" s="177">
        <v>45664</v>
      </c>
      <c r="F114" s="178" t="s">
        <v>208</v>
      </c>
      <c r="G114" s="179" t="str">
        <f ca="1">IF(AND(E114&lt;&gt;"",E114&lt;TODAY()),"Disponible",IFERROR(INDEX(Vehiculos[Estado Vehiculo],MATCH(F114,Vehiculos[Placa Vehiculo],0)),""))</f>
        <v>Disponible</v>
      </c>
      <c r="H114" s="180" t="s">
        <v>242</v>
      </c>
      <c r="I114" s="180" t="s">
        <v>273</v>
      </c>
      <c r="J114" s="180" t="s">
        <v>282</v>
      </c>
      <c r="K114" s="181">
        <v>71946</v>
      </c>
      <c r="L114" s="181">
        <v>72535</v>
      </c>
      <c r="M114" s="182">
        <f t="shared" si="27"/>
        <v>589</v>
      </c>
      <c r="N114" s="182"/>
      <c r="O114" s="181"/>
      <c r="P114" s="183"/>
      <c r="Q114" s="184">
        <f t="shared" si="28"/>
        <v>0</v>
      </c>
      <c r="R114" s="180" t="s">
        <v>273</v>
      </c>
      <c r="S114" s="180" t="s">
        <v>102</v>
      </c>
      <c r="T114" s="183">
        <v>1.8</v>
      </c>
      <c r="U114" s="186">
        <f>Rutas[[#This Row],[Precio x Galón ($/gal)]]*Rutas[[#This Row],[Volumen de Combustible (gal)]]</f>
        <v>179.69399999999999</v>
      </c>
      <c r="V114" s="183"/>
      <c r="W114" s="183"/>
      <c r="X114" s="183"/>
      <c r="Y114" s="184">
        <f t="shared" si="29"/>
        <v>179.69399999999999</v>
      </c>
      <c r="Z114" s="567"/>
      <c r="AA114" s="184">
        <v>99.83</v>
      </c>
      <c r="AB114" s="184">
        <f t="shared" si="30"/>
        <v>5.9000300510868477</v>
      </c>
      <c r="AC114" s="184">
        <f t="shared" si="31"/>
        <v>0</v>
      </c>
      <c r="AD114" s="180"/>
    </row>
    <row r="115" spans="1:30" ht="16" x14ac:dyDescent="0.2">
      <c r="A115" s="47"/>
      <c r="B115" s="303"/>
      <c r="C115" s="176">
        <f t="shared" si="22"/>
        <v>112</v>
      </c>
      <c r="D115" s="146">
        <f>E114</f>
        <v>45664</v>
      </c>
      <c r="E115" s="37">
        <v>45669</v>
      </c>
      <c r="F115" s="65" t="s">
        <v>208</v>
      </c>
      <c r="G115" s="11" t="str">
        <f ca="1">IF(AND(E115&lt;&gt;"",E115&lt;TODAY()),"Disponible",IFERROR(INDEX(Vehiculos[Estado Vehiculo],MATCH(F115,Vehiculos[Placa Vehiculo],0)),""))</f>
        <v>Disponible</v>
      </c>
      <c r="H115" s="34" t="s">
        <v>242</v>
      </c>
      <c r="I115" s="34" t="s">
        <v>273</v>
      </c>
      <c r="J115" s="34" t="s">
        <v>282</v>
      </c>
      <c r="K115" s="39">
        <f>L114</f>
        <v>72535</v>
      </c>
      <c r="L115" s="39">
        <v>73239</v>
      </c>
      <c r="M115" s="15">
        <f t="shared" si="27"/>
        <v>704</v>
      </c>
      <c r="N115" s="15"/>
      <c r="O115" s="39"/>
      <c r="P115" s="36"/>
      <c r="Q115" s="16">
        <f t="shared" si="28"/>
        <v>0</v>
      </c>
      <c r="R115" s="34" t="s">
        <v>273</v>
      </c>
      <c r="S115" s="34" t="s">
        <v>102</v>
      </c>
      <c r="T115" s="36">
        <v>1.8</v>
      </c>
      <c r="U115" s="167">
        <f>Rutas[[#This Row],[Precio x Galón ($/gal)]]*Rutas[[#This Row],[Volumen de Combustible (gal)]]</f>
        <v>148.96800000000002</v>
      </c>
      <c r="V115" s="36"/>
      <c r="W115" s="36"/>
      <c r="X115" s="36"/>
      <c r="Y115" s="145">
        <f t="shared" si="29"/>
        <v>148.96800000000002</v>
      </c>
      <c r="Z115" s="567"/>
      <c r="AA115" s="12">
        <v>82.76</v>
      </c>
      <c r="AB115" s="12">
        <f t="shared" si="30"/>
        <v>8.5065248912518125</v>
      </c>
      <c r="AC115" s="12">
        <f t="shared" si="31"/>
        <v>0</v>
      </c>
      <c r="AD115" s="34"/>
    </row>
    <row r="116" spans="1:30" ht="16" x14ac:dyDescent="0.2">
      <c r="A116" s="47"/>
      <c r="B116" s="303"/>
      <c r="C116" s="176">
        <f t="shared" si="22"/>
        <v>113</v>
      </c>
      <c r="D116" s="146">
        <f>E115</f>
        <v>45669</v>
      </c>
      <c r="E116" s="37">
        <v>45673</v>
      </c>
      <c r="F116" s="65" t="s">
        <v>208</v>
      </c>
      <c r="G116" s="11" t="str">
        <f ca="1">IF(AND(E116&lt;&gt;"",E116&lt;TODAY()),"Disponible",IFERROR(INDEX(Vehiculos[Estado Vehiculo],MATCH(F116,Vehiculos[Placa Vehiculo],0)),""))</f>
        <v>Disponible</v>
      </c>
      <c r="H116" s="34" t="s">
        <v>242</v>
      </c>
      <c r="I116" s="34" t="s">
        <v>273</v>
      </c>
      <c r="J116" s="34" t="s">
        <v>282</v>
      </c>
      <c r="K116" s="39">
        <f>L115</f>
        <v>73239</v>
      </c>
      <c r="L116" s="39">
        <v>73801</v>
      </c>
      <c r="M116" s="15">
        <f t="shared" si="27"/>
        <v>562</v>
      </c>
      <c r="N116" s="15"/>
      <c r="O116" s="39"/>
      <c r="P116" s="36"/>
      <c r="Q116" s="16">
        <f t="shared" si="28"/>
        <v>0</v>
      </c>
      <c r="R116" s="34" t="s">
        <v>273</v>
      </c>
      <c r="S116" s="34" t="s">
        <v>102</v>
      </c>
      <c r="T116" s="36">
        <v>1.8</v>
      </c>
      <c r="U116" s="167">
        <f>Rutas[[#This Row],[Precio x Galón ($/gal)]]*Rutas[[#This Row],[Volumen de Combustible (gal)]]</f>
        <v>178.25400000000002</v>
      </c>
      <c r="V116" s="36"/>
      <c r="W116" s="36"/>
      <c r="X116" s="36"/>
      <c r="Y116" s="145">
        <f t="shared" si="29"/>
        <v>178.25400000000002</v>
      </c>
      <c r="Z116" s="567"/>
      <c r="AA116" s="12">
        <v>99.03</v>
      </c>
      <c r="AB116" s="12">
        <f t="shared" si="30"/>
        <v>5.6750479652630519</v>
      </c>
      <c r="AC116" s="12">
        <f t="shared" si="31"/>
        <v>0</v>
      </c>
      <c r="AD116" s="34"/>
    </row>
    <row r="117" spans="1:30" ht="16" x14ac:dyDescent="0.2">
      <c r="A117" s="47"/>
      <c r="B117" s="303"/>
      <c r="C117" s="176">
        <f t="shared" si="22"/>
        <v>114</v>
      </c>
      <c r="D117" s="146">
        <f>E116</f>
        <v>45673</v>
      </c>
      <c r="E117" s="37">
        <v>45679</v>
      </c>
      <c r="F117" s="65" t="s">
        <v>208</v>
      </c>
      <c r="G117" s="11" t="str">
        <f ca="1">IF(AND(E117&lt;&gt;"",E117&lt;TODAY()),"Disponible",IFERROR(INDEX(Vehiculos[Estado Vehiculo],MATCH(F117,Vehiculos[Placa Vehiculo],0)),""))</f>
        <v>Disponible</v>
      </c>
      <c r="H117" s="34" t="s">
        <v>242</v>
      </c>
      <c r="I117" s="34" t="s">
        <v>273</v>
      </c>
      <c r="J117" s="34" t="s">
        <v>282</v>
      </c>
      <c r="K117" s="39">
        <f>L116</f>
        <v>73801</v>
      </c>
      <c r="L117" s="39">
        <v>74643</v>
      </c>
      <c r="M117" s="15">
        <f t="shared" si="27"/>
        <v>842</v>
      </c>
      <c r="N117" s="15"/>
      <c r="O117" s="39"/>
      <c r="P117" s="36"/>
      <c r="Q117" s="16">
        <f t="shared" si="28"/>
        <v>0</v>
      </c>
      <c r="R117" s="34" t="s">
        <v>273</v>
      </c>
      <c r="S117" s="34" t="s">
        <v>102</v>
      </c>
      <c r="T117" s="36">
        <v>1.8</v>
      </c>
      <c r="U117" s="167">
        <f>Rutas[[#This Row],[Precio x Galón ($/gal)]]*Rutas[[#This Row],[Volumen de Combustible (gal)]]</f>
        <v>146.73599999999999</v>
      </c>
      <c r="V117" s="36"/>
      <c r="W117" s="36"/>
      <c r="X117" s="36"/>
      <c r="Y117" s="145">
        <f t="shared" si="29"/>
        <v>146.73599999999999</v>
      </c>
      <c r="Z117" s="567"/>
      <c r="AA117" s="12">
        <v>81.52</v>
      </c>
      <c r="AB117" s="12">
        <f t="shared" si="30"/>
        <v>10.328753680078508</v>
      </c>
      <c r="AC117" s="12">
        <f t="shared" si="31"/>
        <v>0</v>
      </c>
      <c r="AD117" s="34"/>
    </row>
    <row r="118" spans="1:30" ht="16" x14ac:dyDescent="0.2">
      <c r="A118" s="47"/>
      <c r="B118" s="303"/>
      <c r="C118" s="176">
        <f t="shared" si="22"/>
        <v>115</v>
      </c>
      <c r="D118" s="146">
        <f>E117</f>
        <v>45679</v>
      </c>
      <c r="E118" s="37">
        <v>45686</v>
      </c>
      <c r="F118" s="65" t="s">
        <v>208</v>
      </c>
      <c r="G118" s="11" t="str">
        <f ca="1">IF(AND(E118&lt;&gt;"",E118&lt;TODAY()),"Disponible",IFERROR(INDEX(Vehiculos[Estado Vehiculo],MATCH(F118,Vehiculos[Placa Vehiculo],0)),""))</f>
        <v>Disponible</v>
      </c>
      <c r="H118" s="34" t="s">
        <v>233</v>
      </c>
      <c r="I118" s="34" t="s">
        <v>273</v>
      </c>
      <c r="J118" s="34" t="s">
        <v>282</v>
      </c>
      <c r="K118" s="39">
        <f>L117</f>
        <v>74643</v>
      </c>
      <c r="L118" s="39">
        <v>75415</v>
      </c>
      <c r="M118" s="15">
        <f t="shared" si="27"/>
        <v>772</v>
      </c>
      <c r="N118" s="15"/>
      <c r="O118" s="39"/>
      <c r="P118" s="36"/>
      <c r="Q118" s="16">
        <f t="shared" si="28"/>
        <v>0</v>
      </c>
      <c r="R118" s="34" t="s">
        <v>273</v>
      </c>
      <c r="S118" s="34" t="s">
        <v>102</v>
      </c>
      <c r="T118" s="36">
        <v>1.8</v>
      </c>
      <c r="U118" s="167">
        <f>Rutas[[#This Row],[Precio x Galón ($/gal)]]*Rutas[[#This Row],[Volumen de Combustible (gal)]]</f>
        <v>201.744</v>
      </c>
      <c r="V118" s="36"/>
      <c r="W118" s="36"/>
      <c r="X118" s="36"/>
      <c r="Y118" s="145">
        <f t="shared" si="29"/>
        <v>201.744</v>
      </c>
      <c r="Z118" s="567"/>
      <c r="AA118" s="12">
        <v>112.08</v>
      </c>
      <c r="AB118" s="12">
        <f t="shared" si="30"/>
        <v>6.8879371877230549</v>
      </c>
      <c r="AC118" s="12">
        <f t="shared" si="31"/>
        <v>0</v>
      </c>
      <c r="AD118" s="34"/>
    </row>
    <row r="119" spans="1:30" ht="16" x14ac:dyDescent="0.2">
      <c r="A119" s="47"/>
      <c r="B119" s="303"/>
      <c r="C119" s="176">
        <f t="shared" si="22"/>
        <v>116</v>
      </c>
      <c r="D119" s="146">
        <f>E118</f>
        <v>45686</v>
      </c>
      <c r="E119" s="37">
        <v>45687</v>
      </c>
      <c r="F119" s="65" t="s">
        <v>208</v>
      </c>
      <c r="G119" s="11" t="str">
        <f ca="1">IF(AND(E119&lt;&gt;"",E119&lt;TODAY()),"Disponible",IFERROR(INDEX(Vehiculos[Estado Vehiculo],MATCH(F119,Vehiculos[Placa Vehiculo],0)),""))</f>
        <v>Disponible</v>
      </c>
      <c r="H119" s="34" t="s">
        <v>233</v>
      </c>
      <c r="I119" s="34" t="s">
        <v>273</v>
      </c>
      <c r="J119" s="34" t="s">
        <v>282</v>
      </c>
      <c r="K119" s="39">
        <f>L118</f>
        <v>75415</v>
      </c>
      <c r="L119" s="39">
        <v>75573</v>
      </c>
      <c r="M119" s="15">
        <f t="shared" si="27"/>
        <v>158</v>
      </c>
      <c r="N119" s="451">
        <v>311</v>
      </c>
      <c r="O119" s="39"/>
      <c r="P119" s="36"/>
      <c r="Q119" s="16">
        <f t="shared" si="28"/>
        <v>0</v>
      </c>
      <c r="R119" s="34" t="s">
        <v>273</v>
      </c>
      <c r="S119" s="34" t="s">
        <v>102</v>
      </c>
      <c r="T119" s="36">
        <v>1.8</v>
      </c>
      <c r="U119" s="167">
        <f>Rutas[[#This Row],[Precio x Galón ($/gal)]]*Rutas[[#This Row],[Volumen de Combustible (gal)]]</f>
        <v>206.28</v>
      </c>
      <c r="V119" s="36"/>
      <c r="W119" s="36"/>
      <c r="X119" s="36"/>
      <c r="Y119" s="145">
        <f t="shared" si="29"/>
        <v>206.28</v>
      </c>
      <c r="Z119" s="567"/>
      <c r="AA119" s="12">
        <v>114.6</v>
      </c>
      <c r="AB119" s="12">
        <f t="shared" si="30"/>
        <v>1.3787085514834208</v>
      </c>
      <c r="AC119" s="12">
        <f t="shared" si="31"/>
        <v>0</v>
      </c>
      <c r="AD119" s="34"/>
    </row>
    <row r="120" spans="1:30" ht="16" x14ac:dyDescent="0.2">
      <c r="A120" s="47"/>
      <c r="B120" s="303"/>
      <c r="C120" s="176">
        <f t="shared" si="22"/>
        <v>117</v>
      </c>
      <c r="D120" s="177">
        <v>45659</v>
      </c>
      <c r="E120" s="177">
        <v>45666</v>
      </c>
      <c r="F120" s="178" t="s">
        <v>210</v>
      </c>
      <c r="G120" s="179" t="str">
        <f ca="1">IF(AND(E120&lt;&gt;"",E120&lt;TODAY()),"Disponible",IFERROR(INDEX(Vehiculos[Estado Vehiculo],MATCH(F120,Vehiculos[Placa Vehiculo],0)),""))</f>
        <v>Disponible</v>
      </c>
      <c r="H120" s="180" t="s">
        <v>247</v>
      </c>
      <c r="I120" s="180" t="s">
        <v>273</v>
      </c>
      <c r="J120" s="180" t="s">
        <v>274</v>
      </c>
      <c r="K120" s="181">
        <v>57264</v>
      </c>
      <c r="L120" s="181">
        <v>57355</v>
      </c>
      <c r="M120" s="182">
        <f t="shared" si="27"/>
        <v>91</v>
      </c>
      <c r="N120" s="182"/>
      <c r="O120" s="181"/>
      <c r="P120" s="183"/>
      <c r="Q120" s="184">
        <f t="shared" si="28"/>
        <v>0</v>
      </c>
      <c r="R120" s="180" t="s">
        <v>273</v>
      </c>
      <c r="S120" s="180" t="s">
        <v>102</v>
      </c>
      <c r="T120" s="183">
        <v>1.8</v>
      </c>
      <c r="U120" s="186">
        <f>Rutas[[#This Row],[Precio x Galón ($/gal)]]*Rutas[[#This Row],[Volumen de Combustible (gal)]]</f>
        <v>204.35400000000001</v>
      </c>
      <c r="V120" s="183"/>
      <c r="W120" s="183"/>
      <c r="X120" s="183"/>
      <c r="Y120" s="184">
        <f t="shared" si="29"/>
        <v>204.35400000000001</v>
      </c>
      <c r="Z120" s="567"/>
      <c r="AA120" s="184">
        <v>113.53</v>
      </c>
      <c r="AB120" s="184">
        <f t="shared" si="30"/>
        <v>0.80155025103496869</v>
      </c>
      <c r="AC120" s="184">
        <f t="shared" si="31"/>
        <v>0</v>
      </c>
      <c r="AD120" s="180"/>
    </row>
    <row r="121" spans="1:30" ht="16" x14ac:dyDescent="0.2">
      <c r="A121" s="47"/>
      <c r="B121" s="303"/>
      <c r="C121" s="176">
        <f t="shared" si="22"/>
        <v>118</v>
      </c>
      <c r="D121" s="146">
        <f>E120</f>
        <v>45666</v>
      </c>
      <c r="E121" s="37">
        <v>45682</v>
      </c>
      <c r="F121" s="65" t="s">
        <v>210</v>
      </c>
      <c r="G121" s="11" t="str">
        <f ca="1">IF(AND(E121&lt;&gt;"",E121&lt;TODAY()),"Disponible",IFERROR(INDEX(Vehiculos[Estado Vehiculo],MATCH(F121,Vehiculos[Placa Vehiculo],0)),""))</f>
        <v>Disponible</v>
      </c>
      <c r="H121" s="34" t="s">
        <v>247</v>
      </c>
      <c r="I121" s="34" t="s">
        <v>273</v>
      </c>
      <c r="J121" s="34" t="s">
        <v>274</v>
      </c>
      <c r="K121" s="39">
        <v>57938</v>
      </c>
      <c r="L121" s="39">
        <v>58034</v>
      </c>
      <c r="M121" s="15">
        <f t="shared" si="27"/>
        <v>96</v>
      </c>
      <c r="N121" s="15"/>
      <c r="O121" s="39"/>
      <c r="P121" s="36"/>
      <c r="Q121" s="16">
        <f t="shared" si="28"/>
        <v>0</v>
      </c>
      <c r="R121" s="34" t="s">
        <v>273</v>
      </c>
      <c r="S121" s="34" t="s">
        <v>102</v>
      </c>
      <c r="T121" s="36">
        <v>1.8</v>
      </c>
      <c r="U121" s="167">
        <f>Rutas[[#This Row],[Precio x Galón ($/gal)]]*Rutas[[#This Row],[Volumen de Combustible (gal)]]</f>
        <v>185.256</v>
      </c>
      <c r="V121" s="36"/>
      <c r="W121" s="36"/>
      <c r="X121" s="36"/>
      <c r="Y121" s="145">
        <f t="shared" si="29"/>
        <v>185.256</v>
      </c>
      <c r="Z121" s="567"/>
      <c r="AA121" s="12">
        <v>102.92</v>
      </c>
      <c r="AB121" s="12">
        <f t="shared" si="30"/>
        <v>0.93276331130975509</v>
      </c>
      <c r="AC121" s="12">
        <f t="shared" si="31"/>
        <v>0</v>
      </c>
      <c r="AD121" s="34"/>
    </row>
    <row r="122" spans="1:30" ht="16" x14ac:dyDescent="0.2">
      <c r="A122" s="47"/>
      <c r="B122" s="303"/>
      <c r="C122" s="176">
        <f t="shared" si="22"/>
        <v>119</v>
      </c>
      <c r="D122" s="146">
        <f>E121</f>
        <v>45682</v>
      </c>
      <c r="E122" s="37">
        <v>45687</v>
      </c>
      <c r="F122" s="65" t="s">
        <v>210</v>
      </c>
      <c r="G122" s="11" t="str">
        <f ca="1">IF(AND(E122&lt;&gt;"",E122&lt;TODAY()),"Disponible",IFERROR(INDEX(Vehiculos[Estado Vehiculo],MATCH(F122,Vehiculos[Placa Vehiculo],0)),""))</f>
        <v>Disponible</v>
      </c>
      <c r="H122" s="34" t="s">
        <v>247</v>
      </c>
      <c r="I122" s="34" t="s">
        <v>273</v>
      </c>
      <c r="J122" s="34" t="s">
        <v>274</v>
      </c>
      <c r="K122" s="39">
        <v>59544</v>
      </c>
      <c r="L122" s="39">
        <v>59655</v>
      </c>
      <c r="M122" s="15">
        <f t="shared" si="27"/>
        <v>111</v>
      </c>
      <c r="N122" s="452">
        <v>280</v>
      </c>
      <c r="O122" s="39"/>
      <c r="P122" s="36"/>
      <c r="Q122" s="16">
        <f t="shared" si="28"/>
        <v>0</v>
      </c>
      <c r="R122" s="34" t="s">
        <v>273</v>
      </c>
      <c r="S122" s="34" t="s">
        <v>102</v>
      </c>
      <c r="T122" s="36">
        <v>1.8</v>
      </c>
      <c r="U122" s="167">
        <f>Rutas[[#This Row],[Precio x Galón ($/gal)]]*Rutas[[#This Row],[Volumen de Combustible (gal)]]</f>
        <v>219.32999999999998</v>
      </c>
      <c r="V122" s="36"/>
      <c r="W122" s="36"/>
      <c r="X122" s="36"/>
      <c r="Y122" s="145">
        <f t="shared" si="29"/>
        <v>219.32999999999998</v>
      </c>
      <c r="Z122" s="567"/>
      <c r="AA122" s="12">
        <v>121.85</v>
      </c>
      <c r="AB122" s="12">
        <f t="shared" si="30"/>
        <v>0.91095609355765295</v>
      </c>
      <c r="AC122" s="12">
        <f t="shared" si="31"/>
        <v>0</v>
      </c>
      <c r="AD122" s="34"/>
    </row>
    <row r="123" spans="1:30" ht="16" x14ac:dyDescent="0.2">
      <c r="A123" s="47"/>
      <c r="B123" s="303"/>
      <c r="C123" s="176">
        <f t="shared" si="22"/>
        <v>120</v>
      </c>
      <c r="D123" s="177">
        <v>45659</v>
      </c>
      <c r="E123" s="177">
        <v>45663</v>
      </c>
      <c r="F123" s="178" t="s">
        <v>209</v>
      </c>
      <c r="G123" s="179" t="str">
        <f ca="1">IF(AND(E123&lt;&gt;"",E123&lt;TODAY()),"Disponible",IFERROR(INDEX(Vehiculos[Estado Vehiculo],MATCH(F123,Vehiculos[Placa Vehiculo],0)),""))</f>
        <v>Disponible</v>
      </c>
      <c r="H123" s="180" t="s">
        <v>241</v>
      </c>
      <c r="I123" s="180" t="s">
        <v>273</v>
      </c>
      <c r="J123" s="180" t="s">
        <v>274</v>
      </c>
      <c r="K123" s="181">
        <v>69090</v>
      </c>
      <c r="L123" s="181">
        <v>69282</v>
      </c>
      <c r="M123" s="182">
        <f t="shared" si="27"/>
        <v>192</v>
      </c>
      <c r="N123" s="182"/>
      <c r="O123" s="181"/>
      <c r="P123" s="183"/>
      <c r="Q123" s="184">
        <f t="shared" si="28"/>
        <v>0</v>
      </c>
      <c r="R123" s="180" t="s">
        <v>273</v>
      </c>
      <c r="S123" s="180" t="s">
        <v>102</v>
      </c>
      <c r="T123" s="183">
        <v>1.8</v>
      </c>
      <c r="U123" s="186">
        <f>Rutas[[#This Row],[Precio x Galón ($/gal)]]*Rutas[[#This Row],[Volumen de Combustible (gal)]]</f>
        <v>181.09800000000001</v>
      </c>
      <c r="V123" s="183"/>
      <c r="W123" s="183"/>
      <c r="X123" s="183"/>
      <c r="Y123" s="184">
        <f t="shared" si="29"/>
        <v>181.09800000000001</v>
      </c>
      <c r="Z123" s="567"/>
      <c r="AA123" s="184">
        <v>100.61</v>
      </c>
      <c r="AB123" s="184">
        <f t="shared" si="30"/>
        <v>1.9083590100387635</v>
      </c>
      <c r="AC123" s="184">
        <f t="shared" si="31"/>
        <v>0</v>
      </c>
      <c r="AD123" s="180"/>
    </row>
    <row r="124" spans="1:30" ht="16" x14ac:dyDescent="0.2">
      <c r="A124" s="47"/>
      <c r="B124" s="303"/>
      <c r="C124" s="176">
        <f t="shared" si="22"/>
        <v>121</v>
      </c>
      <c r="D124" s="146">
        <f>E123</f>
        <v>45663</v>
      </c>
      <c r="E124" s="37">
        <v>45666</v>
      </c>
      <c r="F124" s="65" t="s">
        <v>209</v>
      </c>
      <c r="G124" s="11" t="str">
        <f ca="1">IF(AND(E124&lt;&gt;"",E124&lt;TODAY()),"Disponible",IFERROR(INDEX(Vehiculos[Estado Vehiculo],MATCH(F124,Vehiculos[Placa Vehiculo],0)),""))</f>
        <v>Disponible</v>
      </c>
      <c r="H124" s="34" t="s">
        <v>241</v>
      </c>
      <c r="I124" s="34" t="s">
        <v>273</v>
      </c>
      <c r="J124" s="34" t="s">
        <v>274</v>
      </c>
      <c r="K124" s="39">
        <v>69857</v>
      </c>
      <c r="L124" s="39">
        <v>69969</v>
      </c>
      <c r="M124" s="15">
        <f t="shared" si="27"/>
        <v>112</v>
      </c>
      <c r="N124" s="15"/>
      <c r="O124" s="39"/>
      <c r="P124" s="36"/>
      <c r="Q124" s="16">
        <f t="shared" si="28"/>
        <v>0</v>
      </c>
      <c r="R124" s="34" t="s">
        <v>273</v>
      </c>
      <c r="S124" s="34" t="s">
        <v>102</v>
      </c>
      <c r="T124" s="36">
        <v>1.8</v>
      </c>
      <c r="U124" s="167">
        <f>Rutas[[#This Row],[Precio x Galón ($/gal)]]*Rutas[[#This Row],[Volumen de Combustible (gal)]]</f>
        <v>239.68799999999999</v>
      </c>
      <c r="V124" s="36"/>
      <c r="W124" s="36"/>
      <c r="X124" s="36"/>
      <c r="Y124" s="145">
        <f t="shared" si="29"/>
        <v>239.68799999999999</v>
      </c>
      <c r="Z124" s="567"/>
      <c r="AA124" s="12">
        <v>133.16</v>
      </c>
      <c r="AB124" s="12">
        <f t="shared" si="30"/>
        <v>0.84109342144788224</v>
      </c>
      <c r="AC124" s="12">
        <f t="shared" si="31"/>
        <v>0</v>
      </c>
      <c r="AD124" s="34"/>
    </row>
    <row r="125" spans="1:30" ht="16" x14ac:dyDescent="0.2">
      <c r="A125" s="47"/>
      <c r="B125" s="303"/>
      <c r="C125" s="176">
        <f t="shared" si="22"/>
        <v>122</v>
      </c>
      <c r="D125" s="146">
        <f t="shared" ref="D125:D130" si="32">E124</f>
        <v>45666</v>
      </c>
      <c r="E125" s="37">
        <v>45670</v>
      </c>
      <c r="F125" s="65" t="s">
        <v>209</v>
      </c>
      <c r="G125" s="11" t="str">
        <f ca="1">IF(AND(E125&lt;&gt;"",E125&lt;TODAY()),"Disponible",IFERROR(INDEX(Vehiculos[Estado Vehiculo],MATCH(F125,Vehiculos[Placa Vehiculo],0)),""))</f>
        <v>Disponible</v>
      </c>
      <c r="H125" s="34" t="s">
        <v>241</v>
      </c>
      <c r="I125" s="34" t="s">
        <v>273</v>
      </c>
      <c r="J125" s="34" t="s">
        <v>274</v>
      </c>
      <c r="K125" s="39">
        <v>70389</v>
      </c>
      <c r="L125" s="39">
        <v>70485</v>
      </c>
      <c r="M125" s="15">
        <f t="shared" si="27"/>
        <v>96</v>
      </c>
      <c r="N125" s="15"/>
      <c r="O125" s="39"/>
      <c r="P125" s="36"/>
      <c r="Q125" s="16">
        <f t="shared" si="28"/>
        <v>0</v>
      </c>
      <c r="R125" s="34" t="s">
        <v>273</v>
      </c>
      <c r="S125" s="34" t="s">
        <v>102</v>
      </c>
      <c r="T125" s="36">
        <v>1.8</v>
      </c>
      <c r="U125" s="167">
        <f>Rutas[[#This Row],[Precio x Galón ($/gal)]]*Rutas[[#This Row],[Volumen de Combustible (gal)]]</f>
        <v>190.24199999999999</v>
      </c>
      <c r="V125" s="36"/>
      <c r="W125" s="36"/>
      <c r="X125" s="36"/>
      <c r="Y125" s="145">
        <f t="shared" si="29"/>
        <v>190.24199999999999</v>
      </c>
      <c r="Z125" s="567"/>
      <c r="AA125" s="12">
        <v>105.69</v>
      </c>
      <c r="AB125" s="12">
        <f t="shared" si="30"/>
        <v>0.90831677547544709</v>
      </c>
      <c r="AC125" s="12">
        <f t="shared" si="31"/>
        <v>0</v>
      </c>
      <c r="AD125" s="34"/>
    </row>
    <row r="126" spans="1:30" ht="16" x14ac:dyDescent="0.2">
      <c r="A126" s="47"/>
      <c r="B126" s="303"/>
      <c r="C126" s="176">
        <f t="shared" si="22"/>
        <v>123</v>
      </c>
      <c r="D126" s="146">
        <f t="shared" si="32"/>
        <v>45670</v>
      </c>
      <c r="E126" s="37">
        <v>45675</v>
      </c>
      <c r="F126" s="65" t="s">
        <v>209</v>
      </c>
      <c r="G126" s="11" t="str">
        <f ca="1">IF(AND(E126&lt;&gt;"",E126&lt;TODAY()),"Disponible",IFERROR(INDEX(Vehiculos[Estado Vehiculo],MATCH(F126,Vehiculos[Placa Vehiculo],0)),""))</f>
        <v>Disponible</v>
      </c>
      <c r="H126" s="34" t="s">
        <v>235</v>
      </c>
      <c r="I126" s="34" t="s">
        <v>273</v>
      </c>
      <c r="J126" s="34" t="s">
        <v>274</v>
      </c>
      <c r="K126" s="39">
        <v>71359</v>
      </c>
      <c r="L126" s="39">
        <v>71467</v>
      </c>
      <c r="M126" s="15">
        <f t="shared" si="27"/>
        <v>108</v>
      </c>
      <c r="N126" s="15"/>
      <c r="O126" s="39"/>
      <c r="P126" s="36"/>
      <c r="Q126" s="16">
        <f t="shared" si="28"/>
        <v>0</v>
      </c>
      <c r="R126" s="34" t="s">
        <v>273</v>
      </c>
      <c r="S126" s="34" t="s">
        <v>102</v>
      </c>
      <c r="T126" s="36">
        <v>1.8</v>
      </c>
      <c r="U126" s="167">
        <f>Rutas[[#This Row],[Precio x Galón ($/gal)]]*Rutas[[#This Row],[Volumen de Combustible (gal)]]</f>
        <v>239.38200000000003</v>
      </c>
      <c r="V126" s="36"/>
      <c r="W126" s="36"/>
      <c r="X126" s="36"/>
      <c r="Y126" s="145">
        <f t="shared" si="29"/>
        <v>239.38200000000003</v>
      </c>
      <c r="Z126" s="567"/>
      <c r="AA126" s="12">
        <v>132.99</v>
      </c>
      <c r="AB126" s="12">
        <f t="shared" si="30"/>
        <v>0.81209113467177974</v>
      </c>
      <c r="AC126" s="12">
        <f t="shared" si="31"/>
        <v>0</v>
      </c>
      <c r="AD126" s="34"/>
    </row>
    <row r="127" spans="1:30" ht="16" x14ac:dyDescent="0.2">
      <c r="A127" s="47"/>
      <c r="B127" s="303"/>
      <c r="C127" s="176">
        <f t="shared" si="22"/>
        <v>124</v>
      </c>
      <c r="D127" s="146">
        <f t="shared" si="32"/>
        <v>45675</v>
      </c>
      <c r="E127" s="37">
        <v>45678</v>
      </c>
      <c r="F127" s="65" t="s">
        <v>209</v>
      </c>
      <c r="G127" s="11" t="str">
        <f ca="1">IF(AND(E127&lt;&gt;"",E127&lt;TODAY()),"Disponible",IFERROR(INDEX(Vehiculos[Estado Vehiculo],MATCH(F127,Vehiculos[Placa Vehiculo],0)),""))</f>
        <v>Disponible</v>
      </c>
      <c r="H127" s="34" t="s">
        <v>235</v>
      </c>
      <c r="I127" s="34" t="s">
        <v>273</v>
      </c>
      <c r="J127" s="34" t="s">
        <v>274</v>
      </c>
      <c r="K127" s="39">
        <v>72100</v>
      </c>
      <c r="L127" s="39">
        <v>72316</v>
      </c>
      <c r="M127" s="15">
        <f t="shared" si="27"/>
        <v>216</v>
      </c>
      <c r="N127" s="15"/>
      <c r="O127" s="39"/>
      <c r="P127" s="36"/>
      <c r="Q127" s="16">
        <f t="shared" si="28"/>
        <v>0</v>
      </c>
      <c r="R127" s="34" t="s">
        <v>273</v>
      </c>
      <c r="S127" s="34" t="s">
        <v>102</v>
      </c>
      <c r="T127" s="36">
        <v>1.8</v>
      </c>
      <c r="U127" s="167">
        <f>Rutas[[#This Row],[Precio x Galón ($/gal)]]*Rutas[[#This Row],[Volumen de Combustible (gal)]]</f>
        <v>239.25599999999997</v>
      </c>
      <c r="V127" s="36"/>
      <c r="W127" s="36"/>
      <c r="X127" s="36"/>
      <c r="Y127" s="145">
        <f t="shared" si="29"/>
        <v>239.25599999999997</v>
      </c>
      <c r="Z127" s="567"/>
      <c r="AA127" s="12">
        <v>132.91999999999999</v>
      </c>
      <c r="AB127" s="12">
        <f t="shared" si="30"/>
        <v>1.6250376166114957</v>
      </c>
      <c r="AC127" s="12">
        <f t="shared" si="31"/>
        <v>0</v>
      </c>
      <c r="AD127" s="34"/>
    </row>
    <row r="128" spans="1:30" ht="16" x14ac:dyDescent="0.2">
      <c r="A128" s="47"/>
      <c r="B128" s="303"/>
      <c r="C128" s="176">
        <f t="shared" si="22"/>
        <v>125</v>
      </c>
      <c r="D128" s="146">
        <f t="shared" si="32"/>
        <v>45678</v>
      </c>
      <c r="E128" s="37">
        <v>45682</v>
      </c>
      <c r="F128" s="65" t="s">
        <v>209</v>
      </c>
      <c r="G128" s="11" t="str">
        <f ca="1">IF(AND(E128&lt;&gt;"",E128&lt;TODAY()),"Disponible",IFERROR(INDEX(Vehiculos[Estado Vehiculo],MATCH(F128,Vehiculos[Placa Vehiculo],0)),""))</f>
        <v>Disponible</v>
      </c>
      <c r="H128" s="34" t="s">
        <v>235</v>
      </c>
      <c r="I128" s="34" t="s">
        <v>273</v>
      </c>
      <c r="J128" s="34" t="s">
        <v>274</v>
      </c>
      <c r="K128" s="39">
        <v>72752</v>
      </c>
      <c r="L128" s="39">
        <v>72852</v>
      </c>
      <c r="M128" s="15">
        <f t="shared" si="27"/>
        <v>100</v>
      </c>
      <c r="N128" s="15"/>
      <c r="O128" s="39"/>
      <c r="P128" s="36"/>
      <c r="Q128" s="16">
        <f t="shared" si="28"/>
        <v>0</v>
      </c>
      <c r="R128" s="34" t="s">
        <v>273</v>
      </c>
      <c r="S128" s="34" t="s">
        <v>102</v>
      </c>
      <c r="T128" s="36">
        <v>1.8</v>
      </c>
      <c r="U128" s="167">
        <f>Rutas[[#This Row],[Precio x Galón ($/gal)]]*Rutas[[#This Row],[Volumen de Combustible (gal)]]</f>
        <v>184.28399999999999</v>
      </c>
      <c r="V128" s="36"/>
      <c r="W128" s="36"/>
      <c r="X128" s="36"/>
      <c r="Y128" s="145">
        <f t="shared" si="29"/>
        <v>184.28399999999999</v>
      </c>
      <c r="Z128" s="567"/>
      <c r="AA128" s="12">
        <v>102.38</v>
      </c>
      <c r="AB128" s="12">
        <f t="shared" si="30"/>
        <v>0.97675327212346164</v>
      </c>
      <c r="AC128" s="12">
        <f t="shared" si="31"/>
        <v>0</v>
      </c>
      <c r="AD128" s="34"/>
    </row>
    <row r="129" spans="1:30" ht="16" x14ac:dyDescent="0.2">
      <c r="A129" s="47"/>
      <c r="B129" s="303"/>
      <c r="C129" s="176">
        <f t="shared" si="22"/>
        <v>126</v>
      </c>
      <c r="D129" s="146">
        <f t="shared" si="32"/>
        <v>45682</v>
      </c>
      <c r="E129" s="37">
        <v>45685</v>
      </c>
      <c r="F129" s="65" t="s">
        <v>209</v>
      </c>
      <c r="G129" s="11" t="str">
        <f ca="1">IF(AND(E129&lt;&gt;"",E129&lt;TODAY()),"Disponible",IFERROR(INDEX(Vehiculos[Estado Vehiculo],MATCH(F129,Vehiculos[Placa Vehiculo],0)),""))</f>
        <v>Disponible</v>
      </c>
      <c r="H129" s="34" t="s">
        <v>235</v>
      </c>
      <c r="I129" s="34" t="s">
        <v>273</v>
      </c>
      <c r="J129" s="34" t="s">
        <v>274</v>
      </c>
      <c r="K129" s="39">
        <v>73608</v>
      </c>
      <c r="L129" s="39">
        <v>73710</v>
      </c>
      <c r="M129" s="15">
        <f t="shared" si="27"/>
        <v>102</v>
      </c>
      <c r="N129" s="15"/>
      <c r="O129" s="39"/>
      <c r="P129" s="36"/>
      <c r="Q129" s="16">
        <f t="shared" si="28"/>
        <v>0</v>
      </c>
      <c r="R129" s="34" t="s">
        <v>273</v>
      </c>
      <c r="S129" s="34" t="s">
        <v>102</v>
      </c>
      <c r="T129" s="36">
        <v>1.8</v>
      </c>
      <c r="U129" s="167">
        <f>Rutas[[#This Row],[Precio x Galón ($/gal)]]*Rutas[[#This Row],[Volumen de Combustible (gal)]]</f>
        <v>209.988</v>
      </c>
      <c r="V129" s="36"/>
      <c r="W129" s="36"/>
      <c r="X129" s="36"/>
      <c r="Y129" s="145">
        <f t="shared" si="29"/>
        <v>209.988</v>
      </c>
      <c r="Z129" s="567"/>
      <c r="AA129" s="12">
        <v>116.66</v>
      </c>
      <c r="AB129" s="12">
        <f t="shared" si="30"/>
        <v>0.87433567632436138</v>
      </c>
      <c r="AC129" s="12">
        <f t="shared" si="31"/>
        <v>0</v>
      </c>
      <c r="AD129" s="34"/>
    </row>
    <row r="130" spans="1:30" ht="16" x14ac:dyDescent="0.2">
      <c r="A130" s="47"/>
      <c r="B130" s="303"/>
      <c r="C130" s="176">
        <f t="shared" si="22"/>
        <v>127</v>
      </c>
      <c r="D130" s="146">
        <f t="shared" si="32"/>
        <v>45685</v>
      </c>
      <c r="E130" s="37">
        <v>45687</v>
      </c>
      <c r="F130" s="65" t="s">
        <v>209</v>
      </c>
      <c r="G130" s="11" t="str">
        <f ca="1">IF(AND(E130&lt;&gt;"",E130&lt;TODAY()),"Disponible",IFERROR(INDEX(Vehiculos[Estado Vehiculo],MATCH(F130,Vehiculos[Placa Vehiculo],0)),""))</f>
        <v>Disponible</v>
      </c>
      <c r="H130" s="34" t="s">
        <v>235</v>
      </c>
      <c r="I130" s="34" t="s">
        <v>273</v>
      </c>
      <c r="J130" s="34" t="s">
        <v>274</v>
      </c>
      <c r="K130" s="39">
        <v>74355</v>
      </c>
      <c r="L130" s="39">
        <v>74448</v>
      </c>
      <c r="M130" s="15">
        <f t="shared" si="27"/>
        <v>93</v>
      </c>
      <c r="N130" s="451">
        <v>611</v>
      </c>
      <c r="O130" s="39"/>
      <c r="P130" s="36"/>
      <c r="Q130" s="16">
        <f t="shared" si="28"/>
        <v>0</v>
      </c>
      <c r="R130" s="34" t="s">
        <v>273</v>
      </c>
      <c r="S130" s="34" t="s">
        <v>102</v>
      </c>
      <c r="T130" s="36">
        <v>1.8</v>
      </c>
      <c r="U130" s="167">
        <f>Rutas[[#This Row],[Precio x Galón ($/gal)]]*Rutas[[#This Row],[Volumen de Combustible (gal)]]</f>
        <v>228.13200000000001</v>
      </c>
      <c r="V130" s="36"/>
      <c r="W130" s="36"/>
      <c r="X130" s="36"/>
      <c r="Y130" s="145">
        <f t="shared" si="29"/>
        <v>228.13200000000001</v>
      </c>
      <c r="Z130" s="567"/>
      <c r="AA130" s="12">
        <v>126.74</v>
      </c>
      <c r="AB130" s="12">
        <f t="shared" si="30"/>
        <v>0.73378570301404455</v>
      </c>
      <c r="AC130" s="12">
        <f t="shared" si="31"/>
        <v>0</v>
      </c>
      <c r="AD130" s="34"/>
    </row>
    <row r="131" spans="1:30" ht="16" x14ac:dyDescent="0.2">
      <c r="A131" s="47"/>
      <c r="B131" s="303"/>
      <c r="C131" s="176">
        <f t="shared" si="22"/>
        <v>128</v>
      </c>
      <c r="D131" s="177">
        <v>45659</v>
      </c>
      <c r="E131" s="177">
        <v>45663</v>
      </c>
      <c r="F131" s="178" t="s">
        <v>211</v>
      </c>
      <c r="G131" s="179" t="str">
        <f ca="1">IF(AND(E131&lt;&gt;"",E131&lt;TODAY()),"Disponible",IFERROR(INDEX(Vehiculos[Estado Vehiculo],MATCH(F131,Vehiculos[Placa Vehiculo],0)),""))</f>
        <v>Disponible</v>
      </c>
      <c r="H131" s="180" t="s">
        <v>236</v>
      </c>
      <c r="I131" s="180" t="s">
        <v>273</v>
      </c>
      <c r="J131" s="180" t="s">
        <v>274</v>
      </c>
      <c r="K131" s="181">
        <v>20438</v>
      </c>
      <c r="L131" s="181">
        <v>20639</v>
      </c>
      <c r="M131" s="182">
        <f t="shared" si="27"/>
        <v>201</v>
      </c>
      <c r="N131" s="182"/>
      <c r="O131" s="181"/>
      <c r="P131" s="183"/>
      <c r="Q131" s="184">
        <f t="shared" si="28"/>
        <v>0</v>
      </c>
      <c r="R131" s="180" t="s">
        <v>273</v>
      </c>
      <c r="S131" s="180" t="s">
        <v>102</v>
      </c>
      <c r="T131" s="183">
        <v>1.8</v>
      </c>
      <c r="U131" s="186">
        <f>Rutas[[#This Row],[Precio x Galón ($/gal)]]*Rutas[[#This Row],[Volumen de Combustible (gal)]]</f>
        <v>112.158</v>
      </c>
      <c r="V131" s="183"/>
      <c r="W131" s="183"/>
      <c r="X131" s="183"/>
      <c r="Y131" s="184">
        <f t="shared" si="29"/>
        <v>112.158</v>
      </c>
      <c r="Z131" s="567"/>
      <c r="AA131" s="184">
        <v>62.31</v>
      </c>
      <c r="AB131" s="184">
        <f t="shared" si="30"/>
        <v>3.225806451612903</v>
      </c>
      <c r="AC131" s="184">
        <f t="shared" si="31"/>
        <v>0</v>
      </c>
      <c r="AD131" s="180"/>
    </row>
    <row r="132" spans="1:30" ht="16" x14ac:dyDescent="0.2">
      <c r="A132" s="47"/>
      <c r="B132" s="303"/>
      <c r="C132" s="176">
        <f t="shared" ref="C132:C195" si="33">ROW(A129)</f>
        <v>129</v>
      </c>
      <c r="D132" s="146">
        <f>E131</f>
        <v>45663</v>
      </c>
      <c r="E132" s="37">
        <v>45665</v>
      </c>
      <c r="F132" s="65" t="s">
        <v>211</v>
      </c>
      <c r="G132" s="11" t="str">
        <f ca="1">IF(AND(E132&lt;&gt;"",E132&lt;TODAY()),"Disponible",IFERROR(INDEX(Vehiculos[Estado Vehiculo],MATCH(F132,Vehiculos[Placa Vehiculo],0)),""))</f>
        <v>Disponible</v>
      </c>
      <c r="H132" s="34" t="s">
        <v>236</v>
      </c>
      <c r="I132" s="34" t="s">
        <v>273</v>
      </c>
      <c r="J132" s="34" t="s">
        <v>274</v>
      </c>
      <c r="K132" s="39">
        <v>21258</v>
      </c>
      <c r="L132" s="39">
        <v>21312</v>
      </c>
      <c r="M132" s="15">
        <f t="shared" si="27"/>
        <v>54</v>
      </c>
      <c r="N132" s="15"/>
      <c r="O132" s="39"/>
      <c r="P132" s="36"/>
      <c r="Q132" s="16">
        <f t="shared" si="28"/>
        <v>0</v>
      </c>
      <c r="R132" s="34" t="s">
        <v>273</v>
      </c>
      <c r="S132" s="34" t="s">
        <v>102</v>
      </c>
      <c r="T132" s="36">
        <v>1.8</v>
      </c>
      <c r="U132" s="167">
        <f>Rutas[[#This Row],[Precio x Galón ($/gal)]]*Rutas[[#This Row],[Volumen de Combustible (gal)]]</f>
        <v>256.48200000000003</v>
      </c>
      <c r="V132" s="36"/>
      <c r="W132" s="36"/>
      <c r="X132" s="36"/>
      <c r="Y132" s="145">
        <f t="shared" si="29"/>
        <v>256.48200000000003</v>
      </c>
      <c r="Z132" s="567"/>
      <c r="AA132" s="12">
        <v>142.49</v>
      </c>
      <c r="AB132" s="12">
        <f t="shared" si="30"/>
        <v>0.37897396308512876</v>
      </c>
      <c r="AC132" s="12">
        <f t="shared" si="31"/>
        <v>0</v>
      </c>
      <c r="AD132" s="34"/>
    </row>
    <row r="133" spans="1:30" ht="16" x14ac:dyDescent="0.2">
      <c r="A133" s="47"/>
      <c r="B133" s="303"/>
      <c r="C133" s="176">
        <f t="shared" si="33"/>
        <v>130</v>
      </c>
      <c r="D133" s="146">
        <f t="shared" ref="D133:D139" si="34">E132</f>
        <v>45665</v>
      </c>
      <c r="E133" s="37">
        <v>45671</v>
      </c>
      <c r="F133" s="65" t="s">
        <v>211</v>
      </c>
      <c r="G133" s="11" t="str">
        <f ca="1">IF(AND(E133&lt;&gt;"",E133&lt;TODAY()),"Disponible",IFERROR(INDEX(Vehiculos[Estado Vehiculo],MATCH(F133,Vehiculos[Placa Vehiculo],0)),""))</f>
        <v>Disponible</v>
      </c>
      <c r="H133" s="34" t="s">
        <v>236</v>
      </c>
      <c r="I133" s="34" t="s">
        <v>273</v>
      </c>
      <c r="J133" s="34" t="s">
        <v>274</v>
      </c>
      <c r="K133" s="39">
        <v>21545</v>
      </c>
      <c r="L133" s="39">
        <v>21909</v>
      </c>
      <c r="M133" s="15">
        <f t="shared" si="27"/>
        <v>364</v>
      </c>
      <c r="N133" s="15"/>
      <c r="O133" s="39"/>
      <c r="P133" s="36"/>
      <c r="Q133" s="16">
        <f t="shared" si="28"/>
        <v>0</v>
      </c>
      <c r="R133" s="34" t="s">
        <v>273</v>
      </c>
      <c r="S133" s="34" t="s">
        <v>102</v>
      </c>
      <c r="T133" s="36">
        <v>1.8</v>
      </c>
      <c r="U133" s="167">
        <f>Rutas[[#This Row],[Precio x Galón ($/gal)]]*Rutas[[#This Row],[Volumen de Combustible (gal)]]</f>
        <v>94.410000000000011</v>
      </c>
      <c r="V133" s="36"/>
      <c r="W133" s="36"/>
      <c r="X133" s="36"/>
      <c r="Y133" s="145">
        <f t="shared" si="29"/>
        <v>94.410000000000011</v>
      </c>
      <c r="Z133" s="567"/>
      <c r="AA133" s="12">
        <v>52.45</v>
      </c>
      <c r="AB133" s="12">
        <f t="shared" si="30"/>
        <v>6.9399428026692087</v>
      </c>
      <c r="AC133" s="12">
        <f t="shared" si="31"/>
        <v>0</v>
      </c>
      <c r="AD133" s="34"/>
    </row>
    <row r="134" spans="1:30" ht="16" x14ac:dyDescent="0.2">
      <c r="A134" s="47"/>
      <c r="B134" s="303"/>
      <c r="C134" s="176">
        <f t="shared" si="33"/>
        <v>131</v>
      </c>
      <c r="D134" s="146">
        <f t="shared" si="34"/>
        <v>45671</v>
      </c>
      <c r="E134" s="37">
        <v>45674</v>
      </c>
      <c r="F134" s="65" t="s">
        <v>211</v>
      </c>
      <c r="G134" s="11" t="str">
        <f ca="1">IF(AND(E134&lt;&gt;"",E134&lt;TODAY()),"Disponible",IFERROR(INDEX(Vehiculos[Estado Vehiculo],MATCH(F134,Vehiculos[Placa Vehiculo],0)),""))</f>
        <v>Disponible</v>
      </c>
      <c r="H134" s="34" t="s">
        <v>246</v>
      </c>
      <c r="I134" s="34" t="s">
        <v>273</v>
      </c>
      <c r="J134" s="34" t="s">
        <v>274</v>
      </c>
      <c r="K134" s="39">
        <v>22896</v>
      </c>
      <c r="L134" s="39">
        <v>23094</v>
      </c>
      <c r="M134" s="15">
        <f t="shared" si="27"/>
        <v>198</v>
      </c>
      <c r="N134" s="15"/>
      <c r="O134" s="39"/>
      <c r="P134" s="36"/>
      <c r="Q134" s="16">
        <f t="shared" si="28"/>
        <v>0</v>
      </c>
      <c r="R134" s="34" t="s">
        <v>273</v>
      </c>
      <c r="S134" s="34" t="s">
        <v>102</v>
      </c>
      <c r="T134" s="36">
        <v>1.8</v>
      </c>
      <c r="U134" s="167">
        <f>Rutas[[#This Row],[Precio x Galón ($/gal)]]*Rutas[[#This Row],[Volumen de Combustible (gal)]]</f>
        <v>25.091999999999999</v>
      </c>
      <c r="V134" s="36"/>
      <c r="W134" s="36"/>
      <c r="X134" s="36"/>
      <c r="Y134" s="145">
        <f t="shared" si="29"/>
        <v>25.091999999999999</v>
      </c>
      <c r="Z134" s="567"/>
      <c r="AA134" s="12">
        <v>13.94</v>
      </c>
      <c r="AB134" s="12">
        <f t="shared" si="30"/>
        <v>14.203730272596845</v>
      </c>
      <c r="AC134" s="12">
        <f t="shared" si="31"/>
        <v>0</v>
      </c>
      <c r="AD134" s="34"/>
    </row>
    <row r="135" spans="1:30" ht="16" x14ac:dyDescent="0.2">
      <c r="A135" s="47"/>
      <c r="B135" s="303"/>
      <c r="C135" s="176">
        <f t="shared" si="33"/>
        <v>132</v>
      </c>
      <c r="D135" s="146">
        <f t="shared" si="34"/>
        <v>45674</v>
      </c>
      <c r="E135" s="37">
        <v>45678</v>
      </c>
      <c r="F135" s="65" t="s">
        <v>211</v>
      </c>
      <c r="G135" s="11" t="str">
        <f ca="1">IF(AND(E135&lt;&gt;"",E135&lt;TODAY()),"Disponible",IFERROR(INDEX(Vehiculos[Estado Vehiculo],MATCH(F135,Vehiculos[Placa Vehiculo],0)),""))</f>
        <v>Disponible</v>
      </c>
      <c r="H135" s="34" t="s">
        <v>246</v>
      </c>
      <c r="I135" s="34" t="s">
        <v>273</v>
      </c>
      <c r="J135" s="34" t="s">
        <v>274</v>
      </c>
      <c r="K135" s="39">
        <v>23523</v>
      </c>
      <c r="L135" s="39">
        <v>23598</v>
      </c>
      <c r="M135" s="15">
        <f t="shared" si="27"/>
        <v>75</v>
      </c>
      <c r="N135" s="15"/>
      <c r="O135" s="39"/>
      <c r="P135" s="36"/>
      <c r="Q135" s="16">
        <f t="shared" si="28"/>
        <v>0</v>
      </c>
      <c r="R135" s="34" t="s">
        <v>273</v>
      </c>
      <c r="S135" s="34" t="s">
        <v>102</v>
      </c>
      <c r="T135" s="36">
        <v>1.8</v>
      </c>
      <c r="U135" s="167">
        <f>Rutas[[#This Row],[Precio x Galón ($/gal)]]*Rutas[[#This Row],[Volumen de Combustible (gal)]]</f>
        <v>24.965999999999998</v>
      </c>
      <c r="V135" s="36"/>
      <c r="W135" s="36"/>
      <c r="X135" s="36"/>
      <c r="Y135" s="145">
        <f t="shared" si="29"/>
        <v>24.965999999999998</v>
      </c>
      <c r="Z135" s="567"/>
      <c r="AA135" s="12">
        <v>13.87</v>
      </c>
      <c r="AB135" s="12">
        <f t="shared" si="30"/>
        <v>5.407354001441961</v>
      </c>
      <c r="AC135" s="12">
        <f t="shared" si="31"/>
        <v>0</v>
      </c>
      <c r="AD135" s="34"/>
    </row>
    <row r="136" spans="1:30" ht="16" x14ac:dyDescent="0.2">
      <c r="A136" s="47"/>
      <c r="B136" s="303"/>
      <c r="C136" s="176">
        <f t="shared" si="33"/>
        <v>133</v>
      </c>
      <c r="D136" s="146">
        <f t="shared" si="34"/>
        <v>45678</v>
      </c>
      <c r="E136" s="37">
        <v>45680</v>
      </c>
      <c r="F136" s="65" t="s">
        <v>211</v>
      </c>
      <c r="G136" s="11" t="str">
        <f ca="1">IF(AND(E136&lt;&gt;"",E136&lt;TODAY()),"Disponible",IFERROR(INDEX(Vehiculos[Estado Vehiculo],MATCH(F136,Vehiculos[Placa Vehiculo],0)),""))</f>
        <v>Disponible</v>
      </c>
      <c r="H136" s="34" t="s">
        <v>231</v>
      </c>
      <c r="I136" s="34" t="s">
        <v>273</v>
      </c>
      <c r="J136" s="34" t="s">
        <v>274</v>
      </c>
      <c r="K136" s="39">
        <v>24380</v>
      </c>
      <c r="L136" s="39">
        <v>24463</v>
      </c>
      <c r="M136" s="15">
        <f t="shared" si="27"/>
        <v>83</v>
      </c>
      <c r="N136" s="15"/>
      <c r="O136" s="39"/>
      <c r="P136" s="36"/>
      <c r="Q136" s="16">
        <f t="shared" si="28"/>
        <v>0</v>
      </c>
      <c r="R136" s="34" t="s">
        <v>273</v>
      </c>
      <c r="S136" s="34" t="s">
        <v>102</v>
      </c>
      <c r="T136" s="36">
        <v>1.8</v>
      </c>
      <c r="U136" s="167">
        <f>Rutas[[#This Row],[Precio x Galón ($/gal)]]*Rutas[[#This Row],[Volumen de Combustible (gal)]]</f>
        <v>254.73600000000002</v>
      </c>
      <c r="V136" s="36"/>
      <c r="W136" s="36"/>
      <c r="X136" s="36"/>
      <c r="Y136" s="145">
        <f t="shared" si="29"/>
        <v>254.73600000000002</v>
      </c>
      <c r="Z136" s="567"/>
      <c r="AA136" s="12">
        <v>141.52000000000001</v>
      </c>
      <c r="AB136" s="12">
        <f t="shared" si="30"/>
        <v>0.5864895421141888</v>
      </c>
      <c r="AC136" s="12">
        <f t="shared" si="31"/>
        <v>0</v>
      </c>
      <c r="AD136" s="34"/>
    </row>
    <row r="137" spans="1:30" ht="16" x14ac:dyDescent="0.2">
      <c r="A137" s="47"/>
      <c r="B137" s="303"/>
      <c r="C137" s="176">
        <f t="shared" si="33"/>
        <v>134</v>
      </c>
      <c r="D137" s="146">
        <f t="shared" si="34"/>
        <v>45680</v>
      </c>
      <c r="E137" s="37">
        <v>45683</v>
      </c>
      <c r="F137" s="65" t="s">
        <v>211</v>
      </c>
      <c r="G137" s="11" t="str">
        <f ca="1">IF(AND(E137&lt;&gt;"",E137&lt;TODAY()),"Disponible",IFERROR(INDEX(Vehiculos[Estado Vehiculo],MATCH(F137,Vehiculos[Placa Vehiculo],0)),""))</f>
        <v>Disponible</v>
      </c>
      <c r="H137" s="34" t="s">
        <v>231</v>
      </c>
      <c r="I137" s="34" t="s">
        <v>273</v>
      </c>
      <c r="J137" s="34" t="s">
        <v>274</v>
      </c>
      <c r="K137" s="39">
        <v>24809</v>
      </c>
      <c r="L137" s="39">
        <v>24945</v>
      </c>
      <c r="M137" s="15">
        <f t="shared" si="27"/>
        <v>136</v>
      </c>
      <c r="N137" s="15"/>
      <c r="O137" s="39"/>
      <c r="P137" s="36"/>
      <c r="Q137" s="16">
        <f t="shared" si="28"/>
        <v>0</v>
      </c>
      <c r="R137" s="34" t="s">
        <v>273</v>
      </c>
      <c r="S137" s="34" t="s">
        <v>102</v>
      </c>
      <c r="T137" s="36">
        <v>1.8</v>
      </c>
      <c r="U137" s="167">
        <f>Rutas[[#This Row],[Precio x Galón ($/gal)]]*Rutas[[#This Row],[Volumen de Combustible (gal)]]</f>
        <v>140.38200000000001</v>
      </c>
      <c r="V137" s="36"/>
      <c r="W137" s="36"/>
      <c r="X137" s="36"/>
      <c r="Y137" s="145">
        <f t="shared" si="29"/>
        <v>140.38200000000001</v>
      </c>
      <c r="Z137" s="567"/>
      <c r="AA137" s="12">
        <v>77.989999999999995</v>
      </c>
      <c r="AB137" s="12">
        <f t="shared" si="30"/>
        <v>1.743813309398641</v>
      </c>
      <c r="AC137" s="12">
        <f t="shared" si="31"/>
        <v>0</v>
      </c>
      <c r="AD137" s="34"/>
    </row>
    <row r="138" spans="1:30" ht="16" x14ac:dyDescent="0.2">
      <c r="A138" s="47"/>
      <c r="B138" s="303"/>
      <c r="C138" s="176">
        <f t="shared" si="33"/>
        <v>135</v>
      </c>
      <c r="D138" s="146">
        <f t="shared" si="34"/>
        <v>45683</v>
      </c>
      <c r="E138" s="37">
        <v>45687</v>
      </c>
      <c r="F138" s="65" t="s">
        <v>211</v>
      </c>
      <c r="G138" s="11" t="str">
        <f ca="1">IF(AND(E138&lt;&gt;"",E138&lt;TODAY()),"Disponible",IFERROR(INDEX(Vehiculos[Estado Vehiculo],MATCH(F138,Vehiculos[Placa Vehiculo],0)),""))</f>
        <v>Disponible</v>
      </c>
      <c r="H138" s="34" t="s">
        <v>231</v>
      </c>
      <c r="I138" s="34" t="s">
        <v>273</v>
      </c>
      <c r="J138" s="34" t="s">
        <v>274</v>
      </c>
      <c r="K138" s="39">
        <v>25481</v>
      </c>
      <c r="L138" s="39">
        <v>25596</v>
      </c>
      <c r="M138" s="15">
        <f t="shared" si="27"/>
        <v>115</v>
      </c>
      <c r="N138" s="15"/>
      <c r="O138" s="39"/>
      <c r="P138" s="36"/>
      <c r="Q138" s="16">
        <f t="shared" si="28"/>
        <v>0</v>
      </c>
      <c r="R138" s="34" t="s">
        <v>273</v>
      </c>
      <c r="S138" s="34" t="s">
        <v>102</v>
      </c>
      <c r="T138" s="36">
        <v>1.8</v>
      </c>
      <c r="U138" s="167">
        <f>Rutas[[#This Row],[Precio x Galón ($/gal)]]*Rutas[[#This Row],[Volumen de Combustible (gal)]]</f>
        <v>187.72200000000001</v>
      </c>
      <c r="V138" s="36"/>
      <c r="W138" s="36"/>
      <c r="X138" s="36"/>
      <c r="Y138" s="145">
        <f t="shared" si="29"/>
        <v>187.72200000000001</v>
      </c>
      <c r="Z138" s="567"/>
      <c r="AA138" s="12">
        <v>104.29</v>
      </c>
      <c r="AB138" s="12">
        <f t="shared" si="30"/>
        <v>1.1026944098187745</v>
      </c>
      <c r="AC138" s="12">
        <f t="shared" si="31"/>
        <v>0</v>
      </c>
      <c r="AD138" s="34"/>
    </row>
    <row r="139" spans="1:30" ht="16" x14ac:dyDescent="0.2">
      <c r="A139" s="47"/>
      <c r="B139" s="303"/>
      <c r="C139" s="176">
        <f t="shared" si="33"/>
        <v>136</v>
      </c>
      <c r="D139" s="146">
        <f t="shared" si="34"/>
        <v>45687</v>
      </c>
      <c r="E139" s="37">
        <v>45687</v>
      </c>
      <c r="F139" s="65" t="s">
        <v>211</v>
      </c>
      <c r="G139" s="11" t="str">
        <f ca="1">IF(AND(E139&lt;&gt;"",E139&lt;TODAY()),"Disponible",IFERROR(INDEX(Vehiculos[Estado Vehiculo],MATCH(F139,Vehiculos[Placa Vehiculo],0)),""))</f>
        <v>Disponible</v>
      </c>
      <c r="H139" s="34" t="s">
        <v>231</v>
      </c>
      <c r="I139" s="34" t="s">
        <v>273</v>
      </c>
      <c r="J139" s="34" t="s">
        <v>274</v>
      </c>
      <c r="K139" s="39">
        <v>26360</v>
      </c>
      <c r="L139" s="39">
        <v>26565</v>
      </c>
      <c r="M139" s="15">
        <f t="shared" si="27"/>
        <v>205</v>
      </c>
      <c r="N139" s="451">
        <v>621</v>
      </c>
      <c r="O139" s="39"/>
      <c r="P139" s="36"/>
      <c r="Q139" s="16">
        <f t="shared" si="28"/>
        <v>0</v>
      </c>
      <c r="R139" s="34" t="s">
        <v>273</v>
      </c>
      <c r="S139" s="34" t="s">
        <v>102</v>
      </c>
      <c r="T139" s="36">
        <v>1.8</v>
      </c>
      <c r="U139" s="167">
        <f>Rutas[[#This Row],[Precio x Galón ($/gal)]]*Rutas[[#This Row],[Volumen de Combustible (gal)]]</f>
        <v>296.13600000000002</v>
      </c>
      <c r="V139" s="36"/>
      <c r="W139" s="36"/>
      <c r="X139" s="36"/>
      <c r="Y139" s="145">
        <f t="shared" si="29"/>
        <v>296.13600000000002</v>
      </c>
      <c r="Z139" s="567"/>
      <c r="AA139" s="12">
        <v>164.52</v>
      </c>
      <c r="AB139" s="12">
        <f t="shared" si="30"/>
        <v>1.2460491125699003</v>
      </c>
      <c r="AC139" s="12">
        <f t="shared" si="31"/>
        <v>0</v>
      </c>
      <c r="AD139" s="34"/>
    </row>
    <row r="140" spans="1:30" ht="16" x14ac:dyDescent="0.2">
      <c r="A140" s="47"/>
      <c r="B140" s="303"/>
      <c r="C140" s="176">
        <f t="shared" si="33"/>
        <v>137</v>
      </c>
      <c r="D140" s="177">
        <v>45671</v>
      </c>
      <c r="E140" s="177">
        <v>45681</v>
      </c>
      <c r="F140" s="178" t="s">
        <v>212</v>
      </c>
      <c r="G140" s="179" t="str">
        <f ca="1">IF(AND(E140&lt;&gt;"",E140&lt;TODAY()),"Disponible",IFERROR(INDEX(Vehiculos[Estado Vehiculo],MATCH(F140,Vehiculos[Placa Vehiculo],0)),""))</f>
        <v>Disponible</v>
      </c>
      <c r="H140" s="180" t="s">
        <v>248</v>
      </c>
      <c r="I140" s="180" t="s">
        <v>273</v>
      </c>
      <c r="J140" s="180" t="s">
        <v>282</v>
      </c>
      <c r="K140" s="181">
        <v>245362</v>
      </c>
      <c r="L140" s="181">
        <v>247193</v>
      </c>
      <c r="M140" s="182">
        <f t="shared" si="27"/>
        <v>1831</v>
      </c>
      <c r="N140" s="182"/>
      <c r="O140" s="181"/>
      <c r="P140" s="183"/>
      <c r="Q140" s="184">
        <f t="shared" si="28"/>
        <v>0</v>
      </c>
      <c r="R140" s="180" t="s">
        <v>273</v>
      </c>
      <c r="S140" s="180" t="s">
        <v>102</v>
      </c>
      <c r="T140" s="183">
        <v>1.8</v>
      </c>
      <c r="U140" s="186">
        <f>Rutas[[#This Row],[Precio x Galón ($/gal)]]*Rutas[[#This Row],[Volumen de Combustible (gal)]]</f>
        <v>306.28800000000001</v>
      </c>
      <c r="V140" s="183"/>
      <c r="W140" s="183"/>
      <c r="X140" s="183"/>
      <c r="Y140" s="184">
        <f t="shared" si="29"/>
        <v>306.28800000000001</v>
      </c>
      <c r="Z140" s="567"/>
      <c r="AA140" s="184">
        <v>170.16</v>
      </c>
      <c r="AB140" s="184">
        <f t="shared" si="30"/>
        <v>10.760460742830277</v>
      </c>
      <c r="AC140" s="184">
        <f t="shared" si="31"/>
        <v>0</v>
      </c>
      <c r="AD140" s="180"/>
    </row>
    <row r="141" spans="1:30" ht="16" x14ac:dyDescent="0.2">
      <c r="A141" s="47"/>
      <c r="B141" s="303"/>
      <c r="C141" s="176">
        <f t="shared" si="33"/>
        <v>138</v>
      </c>
      <c r="D141" s="146">
        <f>E140</f>
        <v>45681</v>
      </c>
      <c r="E141" s="37">
        <v>45686</v>
      </c>
      <c r="F141" s="65" t="s">
        <v>212</v>
      </c>
      <c r="G141" s="11" t="str">
        <f ca="1">IF(AND(E141&lt;&gt;"",E141&lt;TODAY()),"Disponible",IFERROR(INDEX(Vehiculos[Estado Vehiculo],MATCH(F141,Vehiculos[Placa Vehiculo],0)),""))</f>
        <v>Disponible</v>
      </c>
      <c r="H141" s="34" t="s">
        <v>248</v>
      </c>
      <c r="I141" s="34" t="s">
        <v>273</v>
      </c>
      <c r="J141" s="34" t="s">
        <v>282</v>
      </c>
      <c r="K141" s="39">
        <v>247193</v>
      </c>
      <c r="L141" s="39">
        <v>247536</v>
      </c>
      <c r="M141" s="15">
        <f t="shared" si="27"/>
        <v>343</v>
      </c>
      <c r="N141" s="15"/>
      <c r="O141" s="39"/>
      <c r="P141" s="36"/>
      <c r="Q141" s="16">
        <f t="shared" si="28"/>
        <v>0</v>
      </c>
      <c r="R141" s="34" t="s">
        <v>273</v>
      </c>
      <c r="S141" s="34" t="s">
        <v>102</v>
      </c>
      <c r="T141" s="36">
        <v>1.8</v>
      </c>
      <c r="U141" s="167">
        <f>Rutas[[#This Row],[Precio x Galón ($/gal)]]*Rutas[[#This Row],[Volumen de Combustible (gal)]]</f>
        <v>290.52000000000004</v>
      </c>
      <c r="V141" s="36"/>
      <c r="W141" s="36"/>
      <c r="X141" s="36"/>
      <c r="Y141" s="145">
        <f t="shared" si="29"/>
        <v>290.52000000000004</v>
      </c>
      <c r="Z141" s="567"/>
      <c r="AA141" s="12">
        <v>161.4</v>
      </c>
      <c r="AB141" s="12">
        <f t="shared" si="30"/>
        <v>2.1251548946716232</v>
      </c>
      <c r="AC141" s="12">
        <f t="shared" si="31"/>
        <v>0</v>
      </c>
      <c r="AD141" s="34"/>
    </row>
    <row r="142" spans="1:30" ht="16" x14ac:dyDescent="0.2">
      <c r="A142" s="47"/>
      <c r="B142" s="303"/>
      <c r="C142" s="176">
        <f t="shared" si="33"/>
        <v>139</v>
      </c>
      <c r="D142" s="146">
        <f>E141</f>
        <v>45686</v>
      </c>
      <c r="E142" s="37">
        <v>45687</v>
      </c>
      <c r="F142" s="65" t="s">
        <v>212</v>
      </c>
      <c r="G142" s="11" t="str">
        <f ca="1">IF(AND(E142&lt;&gt;"",E142&lt;TODAY()),"Disponible",IFERROR(INDEX(Vehiculos[Estado Vehiculo],MATCH(F142,Vehiculos[Placa Vehiculo],0)),""))</f>
        <v>Disponible</v>
      </c>
      <c r="H142" s="34" t="s">
        <v>236</v>
      </c>
      <c r="I142" s="34" t="s">
        <v>273</v>
      </c>
      <c r="J142" s="34" t="s">
        <v>282</v>
      </c>
      <c r="K142" s="39">
        <v>247536</v>
      </c>
      <c r="L142" s="39">
        <v>248307</v>
      </c>
      <c r="M142" s="15">
        <f t="shared" si="27"/>
        <v>771</v>
      </c>
      <c r="N142" s="451">
        <v>220</v>
      </c>
      <c r="O142" s="39"/>
      <c r="P142" s="36"/>
      <c r="Q142" s="16">
        <f t="shared" si="28"/>
        <v>0</v>
      </c>
      <c r="R142" s="34" t="s">
        <v>273</v>
      </c>
      <c r="S142" s="34" t="s">
        <v>102</v>
      </c>
      <c r="T142" s="36">
        <v>1.8</v>
      </c>
      <c r="U142" s="167">
        <f>Rutas[[#This Row],[Precio x Galón ($/gal)]]*Rutas[[#This Row],[Volumen de Combustible (gal)]]</f>
        <v>291.45599999999996</v>
      </c>
      <c r="V142" s="36"/>
      <c r="W142" s="36"/>
      <c r="X142" s="36"/>
      <c r="Y142" s="145">
        <f t="shared" si="29"/>
        <v>291.45599999999996</v>
      </c>
      <c r="Z142" s="567"/>
      <c r="AA142" s="12">
        <v>161.91999999999999</v>
      </c>
      <c r="AB142" s="12">
        <f t="shared" si="30"/>
        <v>4.7616106719367597</v>
      </c>
      <c r="AC142" s="12">
        <f t="shared" si="31"/>
        <v>0</v>
      </c>
      <c r="AD142" s="34"/>
    </row>
    <row r="143" spans="1:30" ht="16" x14ac:dyDescent="0.2">
      <c r="A143" s="47"/>
      <c r="B143" s="303"/>
      <c r="C143" s="176">
        <f t="shared" si="33"/>
        <v>140</v>
      </c>
      <c r="D143" s="177">
        <v>45678</v>
      </c>
      <c r="E143" s="177">
        <v>45680</v>
      </c>
      <c r="F143" s="178" t="s">
        <v>204</v>
      </c>
      <c r="G143" s="179" t="str">
        <f ca="1">IF(AND(E143&lt;&gt;"",E143&lt;TODAY()),"Disponible",IFERROR(INDEX(Vehiculos[Estado Vehiculo],MATCH(F143,Vehiculos[Placa Vehiculo],0)),""))</f>
        <v>Disponible</v>
      </c>
      <c r="H143" s="180" t="s">
        <v>250</v>
      </c>
      <c r="I143" s="180" t="s">
        <v>273</v>
      </c>
      <c r="J143" s="180" t="s">
        <v>274</v>
      </c>
      <c r="K143" s="181">
        <v>16688</v>
      </c>
      <c r="L143" s="181">
        <v>16756</v>
      </c>
      <c r="M143" s="182">
        <f t="shared" si="27"/>
        <v>68</v>
      </c>
      <c r="N143" s="182"/>
      <c r="O143" s="181"/>
      <c r="P143" s="183"/>
      <c r="Q143" s="184">
        <f t="shared" si="28"/>
        <v>0</v>
      </c>
      <c r="R143" s="180" t="s">
        <v>273</v>
      </c>
      <c r="S143" s="180" t="s">
        <v>102</v>
      </c>
      <c r="T143" s="183">
        <v>1.8</v>
      </c>
      <c r="U143" s="186">
        <f>Rutas[[#This Row],[Precio x Galón ($/gal)]]*Rutas[[#This Row],[Volumen de Combustible (gal)]]</f>
        <v>20.988</v>
      </c>
      <c r="V143" s="183"/>
      <c r="W143" s="183"/>
      <c r="X143" s="183"/>
      <c r="Y143" s="184">
        <f t="shared" si="29"/>
        <v>20.988</v>
      </c>
      <c r="Z143" s="567"/>
      <c r="AA143" s="184">
        <v>11.66</v>
      </c>
      <c r="AB143" s="184">
        <f t="shared" si="30"/>
        <v>5.8319039451114918</v>
      </c>
      <c r="AC143" s="184">
        <f t="shared" si="31"/>
        <v>0</v>
      </c>
      <c r="AD143" s="180"/>
    </row>
    <row r="144" spans="1:30" ht="16" x14ac:dyDescent="0.2">
      <c r="A144" s="47"/>
      <c r="B144" s="303"/>
      <c r="C144" s="176">
        <f t="shared" si="33"/>
        <v>141</v>
      </c>
      <c r="D144" s="146">
        <f>E143</f>
        <v>45680</v>
      </c>
      <c r="E144" s="37">
        <v>45685</v>
      </c>
      <c r="F144" s="65" t="s">
        <v>204</v>
      </c>
      <c r="G144" s="11" t="str">
        <f ca="1">IF(AND(E144&lt;&gt;"",E144&lt;TODAY()),"Disponible",IFERROR(INDEX(Vehiculos[Estado Vehiculo],MATCH(F144,Vehiculos[Placa Vehiculo],0)),""))</f>
        <v>Disponible</v>
      </c>
      <c r="H144" s="34" t="s">
        <v>250</v>
      </c>
      <c r="I144" s="34" t="s">
        <v>273</v>
      </c>
      <c r="J144" s="34" t="s">
        <v>274</v>
      </c>
      <c r="K144" s="39">
        <v>17146</v>
      </c>
      <c r="L144" s="39">
        <v>17198</v>
      </c>
      <c r="M144" s="15">
        <f t="shared" si="27"/>
        <v>52</v>
      </c>
      <c r="N144" s="15"/>
      <c r="O144" s="39"/>
      <c r="P144" s="36"/>
      <c r="Q144" s="16">
        <f t="shared" si="28"/>
        <v>0</v>
      </c>
      <c r="R144" s="34" t="s">
        <v>273</v>
      </c>
      <c r="S144" s="34" t="s">
        <v>102</v>
      </c>
      <c r="T144" s="36">
        <v>1.8</v>
      </c>
      <c r="U144" s="167">
        <f>Rutas[[#This Row],[Precio x Galón ($/gal)]]*Rutas[[#This Row],[Volumen de Combustible (gal)]]</f>
        <v>148.626</v>
      </c>
      <c r="V144" s="36"/>
      <c r="W144" s="36"/>
      <c r="X144" s="36"/>
      <c r="Y144" s="145">
        <f t="shared" si="29"/>
        <v>148.626</v>
      </c>
      <c r="Z144" s="567"/>
      <c r="AA144" s="12">
        <v>82.57</v>
      </c>
      <c r="AB144" s="12">
        <f t="shared" si="30"/>
        <v>0.6297686811190506</v>
      </c>
      <c r="AC144" s="12">
        <f t="shared" si="31"/>
        <v>0</v>
      </c>
      <c r="AD144" s="34"/>
    </row>
    <row r="145" spans="1:30" ht="16" x14ac:dyDescent="0.2">
      <c r="A145" s="47"/>
      <c r="B145" s="303"/>
      <c r="C145" s="176">
        <f t="shared" si="33"/>
        <v>142</v>
      </c>
      <c r="D145" s="146">
        <f>E144</f>
        <v>45685</v>
      </c>
      <c r="E145" s="37">
        <v>45686</v>
      </c>
      <c r="F145" s="65" t="s">
        <v>204</v>
      </c>
      <c r="G145" s="11" t="str">
        <f ca="1">IF(AND(E145&lt;&gt;"",E145&lt;TODAY()),"Disponible",IFERROR(INDEX(Vehiculos[Estado Vehiculo],MATCH(F145,Vehiculos[Placa Vehiculo],0)),""))</f>
        <v>Disponible</v>
      </c>
      <c r="H145" s="34" t="s">
        <v>250</v>
      </c>
      <c r="I145" s="34" t="s">
        <v>273</v>
      </c>
      <c r="J145" s="34" t="s">
        <v>274</v>
      </c>
      <c r="K145" s="39">
        <v>18012</v>
      </c>
      <c r="L145" s="39">
        <v>18440</v>
      </c>
      <c r="M145" s="15">
        <f t="shared" ref="M145:M161" si="35">L145-K145</f>
        <v>428</v>
      </c>
      <c r="N145" s="15"/>
      <c r="O145" s="39"/>
      <c r="P145" s="36"/>
      <c r="Q145" s="16">
        <f t="shared" ref="Q145:Q161" si="36">M145*P145</f>
        <v>0</v>
      </c>
      <c r="R145" s="34" t="s">
        <v>273</v>
      </c>
      <c r="S145" s="34" t="s">
        <v>102</v>
      </c>
      <c r="T145" s="36">
        <v>1.8</v>
      </c>
      <c r="U145" s="167">
        <f>Rutas[[#This Row],[Precio x Galón ($/gal)]]*Rutas[[#This Row],[Volumen de Combustible (gal)]]</f>
        <v>292.5</v>
      </c>
      <c r="V145" s="36"/>
      <c r="W145" s="36"/>
      <c r="X145" s="36"/>
      <c r="Y145" s="145">
        <f t="shared" ref="Y145:Y161" si="37">U145+SUM(V145:X145)</f>
        <v>292.5</v>
      </c>
      <c r="Z145" s="567"/>
      <c r="AA145" s="12">
        <v>162.5</v>
      </c>
      <c r="AB145" s="12">
        <f t="shared" ref="AB145:AB161" si="38">IFERROR(M145/AA145,0)</f>
        <v>2.6338461538461537</v>
      </c>
      <c r="AC145" s="12">
        <f t="shared" ref="AC145:AC161" si="39">IFERROR(Q145/M145,0)</f>
        <v>0</v>
      </c>
      <c r="AD145" s="34"/>
    </row>
    <row r="146" spans="1:30" ht="16" x14ac:dyDescent="0.2">
      <c r="A146" s="47"/>
      <c r="B146" s="303"/>
      <c r="C146" s="176">
        <f t="shared" si="33"/>
        <v>143</v>
      </c>
      <c r="D146" s="146">
        <f>E145</f>
        <v>45686</v>
      </c>
      <c r="E146" s="37">
        <v>45687</v>
      </c>
      <c r="F146" s="65" t="s">
        <v>204</v>
      </c>
      <c r="G146" s="11" t="str">
        <f ca="1">IF(AND(E146&lt;&gt;"",E146&lt;TODAY()),"Disponible",IFERROR(INDEX(Vehiculos[Estado Vehiculo],MATCH(F146,Vehiculos[Placa Vehiculo],0)),""))</f>
        <v>Disponible</v>
      </c>
      <c r="H146" s="34" t="s">
        <v>250</v>
      </c>
      <c r="I146" s="34" t="s">
        <v>273</v>
      </c>
      <c r="J146" s="34" t="s">
        <v>274</v>
      </c>
      <c r="K146" s="39">
        <v>18440</v>
      </c>
      <c r="L146" s="39">
        <v>18666</v>
      </c>
      <c r="M146" s="15">
        <f t="shared" si="35"/>
        <v>226</v>
      </c>
      <c r="N146" s="451">
        <v>490</v>
      </c>
      <c r="O146" s="39"/>
      <c r="P146" s="36"/>
      <c r="Q146" s="16">
        <f t="shared" si="36"/>
        <v>0</v>
      </c>
      <c r="R146" s="34" t="s">
        <v>273</v>
      </c>
      <c r="S146" s="34" t="s">
        <v>102</v>
      </c>
      <c r="T146" s="36">
        <v>1.8</v>
      </c>
      <c r="U146" s="167">
        <f>Rutas[[#This Row],[Precio x Galón ($/gal)]]*Rutas[[#This Row],[Volumen de Combustible (gal)]]</f>
        <v>135.28800000000001</v>
      </c>
      <c r="V146" s="36"/>
      <c r="W146" s="36"/>
      <c r="X146" s="36"/>
      <c r="Y146" s="145">
        <f t="shared" si="37"/>
        <v>135.28800000000001</v>
      </c>
      <c r="Z146" s="567"/>
      <c r="AA146" s="12">
        <v>75.16</v>
      </c>
      <c r="AB146" s="12">
        <f t="shared" si="38"/>
        <v>3.0069185737094202</v>
      </c>
      <c r="AC146" s="12">
        <f t="shared" si="39"/>
        <v>0</v>
      </c>
      <c r="AD146" s="34"/>
    </row>
    <row r="147" spans="1:30" ht="16" x14ac:dyDescent="0.2">
      <c r="A147" s="47"/>
      <c r="B147" s="303"/>
      <c r="C147" s="176">
        <f t="shared" si="33"/>
        <v>144</v>
      </c>
      <c r="D147" s="177">
        <v>45659</v>
      </c>
      <c r="E147" s="177">
        <v>45662</v>
      </c>
      <c r="F147" s="178" t="s">
        <v>207</v>
      </c>
      <c r="G147" s="179" t="str">
        <f ca="1">IF(AND(E147&lt;&gt;"",E147&lt;TODAY()),"Disponible",IFERROR(INDEX(Vehiculos[Estado Vehiculo],MATCH(F147,Vehiculos[Placa Vehiculo],0)),""))</f>
        <v>Disponible</v>
      </c>
      <c r="H147" s="180" t="s">
        <v>245</v>
      </c>
      <c r="I147" s="180" t="s">
        <v>273</v>
      </c>
      <c r="J147" s="180" t="s">
        <v>282</v>
      </c>
      <c r="K147" s="181">
        <v>30244</v>
      </c>
      <c r="L147" s="181">
        <v>30345</v>
      </c>
      <c r="M147" s="182">
        <f t="shared" si="35"/>
        <v>101</v>
      </c>
      <c r="N147" s="182"/>
      <c r="O147" s="181"/>
      <c r="P147" s="183"/>
      <c r="Q147" s="184">
        <f t="shared" si="36"/>
        <v>0</v>
      </c>
      <c r="R147" s="180" t="s">
        <v>273</v>
      </c>
      <c r="S147" s="180" t="s">
        <v>102</v>
      </c>
      <c r="T147" s="183">
        <v>1.8</v>
      </c>
      <c r="U147" s="186">
        <f>Rutas[[#This Row],[Precio x Galón ($/gal)]]*Rutas[[#This Row],[Volumen de Combustible (gal)]]</f>
        <v>184.59</v>
      </c>
      <c r="V147" s="183"/>
      <c r="W147" s="183"/>
      <c r="X147" s="183"/>
      <c r="Y147" s="184">
        <f t="shared" si="37"/>
        <v>184.59</v>
      </c>
      <c r="Z147" s="567"/>
      <c r="AA147" s="184">
        <v>102.55</v>
      </c>
      <c r="AB147" s="184">
        <f t="shared" si="38"/>
        <v>0.98488542174548999</v>
      </c>
      <c r="AC147" s="184">
        <f t="shared" si="39"/>
        <v>0</v>
      </c>
      <c r="AD147" s="180"/>
    </row>
    <row r="148" spans="1:30" ht="16" x14ac:dyDescent="0.2">
      <c r="A148" s="47"/>
      <c r="B148" s="303"/>
      <c r="C148" s="176">
        <f t="shared" si="33"/>
        <v>145</v>
      </c>
      <c r="D148" s="146">
        <f>E147</f>
        <v>45662</v>
      </c>
      <c r="E148" s="37">
        <v>45664</v>
      </c>
      <c r="F148" s="65" t="s">
        <v>207</v>
      </c>
      <c r="G148" s="11" t="str">
        <f ca="1">IF(AND(E148&lt;&gt;"",E148&lt;TODAY()),"Disponible",IFERROR(INDEX(Vehiculos[Estado Vehiculo],MATCH(F148,Vehiculos[Placa Vehiculo],0)),""))</f>
        <v>Disponible</v>
      </c>
      <c r="H148" s="34" t="s">
        <v>245</v>
      </c>
      <c r="I148" s="34" t="s">
        <v>273</v>
      </c>
      <c r="J148" s="34" t="s">
        <v>282</v>
      </c>
      <c r="K148" s="39">
        <v>31259</v>
      </c>
      <c r="L148" s="39">
        <v>31441</v>
      </c>
      <c r="M148" s="15">
        <f t="shared" si="35"/>
        <v>182</v>
      </c>
      <c r="N148" s="15"/>
      <c r="O148" s="39"/>
      <c r="P148" s="36"/>
      <c r="Q148" s="16">
        <f t="shared" si="36"/>
        <v>0</v>
      </c>
      <c r="R148" s="34" t="s">
        <v>273</v>
      </c>
      <c r="S148" s="34" t="s">
        <v>102</v>
      </c>
      <c r="T148" s="36">
        <v>1.8</v>
      </c>
      <c r="U148" s="167">
        <f>Rutas[[#This Row],[Precio x Galón ($/gal)]]*Rutas[[#This Row],[Volumen de Combustible (gal)]]</f>
        <v>272.84400000000005</v>
      </c>
      <c r="V148" s="36"/>
      <c r="W148" s="36"/>
      <c r="X148" s="36"/>
      <c r="Y148" s="145">
        <f t="shared" si="37"/>
        <v>272.84400000000005</v>
      </c>
      <c r="Z148" s="567"/>
      <c r="AA148" s="12">
        <v>151.58000000000001</v>
      </c>
      <c r="AB148" s="12">
        <f t="shared" si="38"/>
        <v>1.2006861063464835</v>
      </c>
      <c r="AC148" s="12">
        <f t="shared" si="39"/>
        <v>0</v>
      </c>
      <c r="AD148" s="34"/>
    </row>
    <row r="149" spans="1:30" ht="16" x14ac:dyDescent="0.2">
      <c r="A149" s="47"/>
      <c r="B149" s="303"/>
      <c r="C149" s="176">
        <f t="shared" si="33"/>
        <v>146</v>
      </c>
      <c r="D149" s="146">
        <f t="shared" ref="D149:D157" si="40">E148</f>
        <v>45664</v>
      </c>
      <c r="E149" s="37">
        <v>45668</v>
      </c>
      <c r="F149" s="65" t="s">
        <v>207</v>
      </c>
      <c r="G149" s="11" t="str">
        <f ca="1">IF(AND(E149&lt;&gt;"",E149&lt;TODAY()),"Disponible",IFERROR(INDEX(Vehiculos[Estado Vehiculo],MATCH(F149,Vehiculos[Placa Vehiculo],0)),""))</f>
        <v>Disponible</v>
      </c>
      <c r="H149" s="34" t="s">
        <v>245</v>
      </c>
      <c r="I149" s="34" t="s">
        <v>273</v>
      </c>
      <c r="J149" s="34" t="s">
        <v>282</v>
      </c>
      <c r="K149" s="39">
        <v>31916</v>
      </c>
      <c r="L149" s="39">
        <v>32136</v>
      </c>
      <c r="M149" s="15">
        <f t="shared" si="35"/>
        <v>220</v>
      </c>
      <c r="N149" s="15"/>
      <c r="O149" s="39"/>
      <c r="P149" s="36"/>
      <c r="Q149" s="16">
        <f t="shared" si="36"/>
        <v>0</v>
      </c>
      <c r="R149" s="34" t="s">
        <v>273</v>
      </c>
      <c r="S149" s="34" t="s">
        <v>102</v>
      </c>
      <c r="T149" s="36">
        <v>1.8</v>
      </c>
      <c r="U149" s="167">
        <f>Rutas[[#This Row],[Precio x Galón ($/gal)]]*Rutas[[#This Row],[Volumen de Combustible (gal)]]</f>
        <v>181.71</v>
      </c>
      <c r="V149" s="36"/>
      <c r="W149" s="36"/>
      <c r="X149" s="36"/>
      <c r="Y149" s="145">
        <f t="shared" si="37"/>
        <v>181.71</v>
      </c>
      <c r="Z149" s="567"/>
      <c r="AA149" s="12">
        <v>100.95</v>
      </c>
      <c r="AB149" s="12">
        <f t="shared" si="38"/>
        <v>2.1792966815255075</v>
      </c>
      <c r="AC149" s="12">
        <f t="shared" si="39"/>
        <v>0</v>
      </c>
      <c r="AD149" s="34"/>
    </row>
    <row r="150" spans="1:30" ht="16" x14ac:dyDescent="0.2">
      <c r="A150" s="47"/>
      <c r="B150" s="303"/>
      <c r="C150" s="176">
        <f t="shared" si="33"/>
        <v>147</v>
      </c>
      <c r="D150" s="146">
        <f t="shared" si="40"/>
        <v>45668</v>
      </c>
      <c r="E150" s="37">
        <v>45669</v>
      </c>
      <c r="F150" s="65" t="s">
        <v>207</v>
      </c>
      <c r="G150" s="11" t="str">
        <f ca="1">IF(AND(E150&lt;&gt;"",E150&lt;TODAY()),"Disponible",IFERROR(INDEX(Vehiculos[Estado Vehiculo],MATCH(F150,Vehiculos[Placa Vehiculo],0)),""))</f>
        <v>Disponible</v>
      </c>
      <c r="H150" s="34" t="s">
        <v>245</v>
      </c>
      <c r="I150" s="34" t="s">
        <v>273</v>
      </c>
      <c r="J150" s="34" t="s">
        <v>282</v>
      </c>
      <c r="K150" s="39">
        <v>33284</v>
      </c>
      <c r="L150" s="39">
        <v>33467</v>
      </c>
      <c r="M150" s="15">
        <f t="shared" si="35"/>
        <v>183</v>
      </c>
      <c r="N150" s="15"/>
      <c r="O150" s="39"/>
      <c r="P150" s="36"/>
      <c r="Q150" s="16">
        <f t="shared" si="36"/>
        <v>0</v>
      </c>
      <c r="R150" s="34" t="s">
        <v>273</v>
      </c>
      <c r="S150" s="34" t="s">
        <v>102</v>
      </c>
      <c r="T150" s="36">
        <v>1.8</v>
      </c>
      <c r="U150" s="167">
        <f>Rutas[[#This Row],[Precio x Galón ($/gal)]]*Rutas[[#This Row],[Volumen de Combustible (gal)]]</f>
        <v>228.87</v>
      </c>
      <c r="V150" s="36"/>
      <c r="W150" s="36"/>
      <c r="X150" s="36"/>
      <c r="Y150" s="145">
        <f t="shared" si="37"/>
        <v>228.87</v>
      </c>
      <c r="Z150" s="567"/>
      <c r="AA150" s="12">
        <v>127.15</v>
      </c>
      <c r="AB150" s="12">
        <f t="shared" si="38"/>
        <v>1.4392449862367283</v>
      </c>
      <c r="AC150" s="12">
        <f t="shared" si="39"/>
        <v>0</v>
      </c>
      <c r="AD150" s="34"/>
    </row>
    <row r="151" spans="1:30" ht="16" x14ac:dyDescent="0.2">
      <c r="A151" s="47"/>
      <c r="B151" s="303"/>
      <c r="C151" s="176">
        <f t="shared" si="33"/>
        <v>148</v>
      </c>
      <c r="D151" s="146">
        <f t="shared" si="40"/>
        <v>45669</v>
      </c>
      <c r="E151" s="37">
        <v>45672</v>
      </c>
      <c r="F151" s="65" t="s">
        <v>207</v>
      </c>
      <c r="G151" s="11" t="str">
        <f ca="1">IF(AND(E151&lt;&gt;"",E151&lt;TODAY()),"Disponible",IFERROR(INDEX(Vehiculos[Estado Vehiculo],MATCH(F151,Vehiculos[Placa Vehiculo],0)),""))</f>
        <v>Disponible</v>
      </c>
      <c r="H151" s="34" t="s">
        <v>239</v>
      </c>
      <c r="I151" s="34" t="s">
        <v>273</v>
      </c>
      <c r="J151" s="34" t="s">
        <v>282</v>
      </c>
      <c r="K151" s="39">
        <v>33785</v>
      </c>
      <c r="L151" s="39">
        <v>33919</v>
      </c>
      <c r="M151" s="15">
        <f t="shared" si="35"/>
        <v>134</v>
      </c>
      <c r="N151" s="15"/>
      <c r="O151" s="39"/>
      <c r="P151" s="36"/>
      <c r="Q151" s="16">
        <f t="shared" si="36"/>
        <v>0</v>
      </c>
      <c r="R151" s="34" t="s">
        <v>273</v>
      </c>
      <c r="S151" s="34" t="s">
        <v>102</v>
      </c>
      <c r="T151" s="36">
        <v>1.8</v>
      </c>
      <c r="U151" s="167">
        <f>Rutas[[#This Row],[Precio x Galón ($/gal)]]*Rutas[[#This Row],[Volumen de Combustible (gal)]]</f>
        <v>273.60000000000002</v>
      </c>
      <c r="V151" s="36"/>
      <c r="W151" s="36"/>
      <c r="X151" s="36"/>
      <c r="Y151" s="145">
        <f t="shared" si="37"/>
        <v>273.60000000000002</v>
      </c>
      <c r="Z151" s="567"/>
      <c r="AA151" s="12">
        <v>152</v>
      </c>
      <c r="AB151" s="12">
        <f t="shared" si="38"/>
        <v>0.88157894736842102</v>
      </c>
      <c r="AC151" s="12">
        <f t="shared" si="39"/>
        <v>0</v>
      </c>
      <c r="AD151" s="34"/>
    </row>
    <row r="152" spans="1:30" ht="16" x14ac:dyDescent="0.2">
      <c r="A152" s="47"/>
      <c r="B152" s="303"/>
      <c r="C152" s="176">
        <f t="shared" si="33"/>
        <v>149</v>
      </c>
      <c r="D152" s="146">
        <f t="shared" si="40"/>
        <v>45672</v>
      </c>
      <c r="E152" s="37">
        <v>45676</v>
      </c>
      <c r="F152" s="65" t="s">
        <v>207</v>
      </c>
      <c r="G152" s="11" t="str">
        <f ca="1">IF(AND(E152&lt;&gt;"",E152&lt;TODAY()),"Disponible",IFERROR(INDEX(Vehiculos[Estado Vehiculo],MATCH(F152,Vehiculos[Placa Vehiculo],0)),""))</f>
        <v>Disponible</v>
      </c>
      <c r="H152" s="34" t="s">
        <v>239</v>
      </c>
      <c r="I152" s="34" t="s">
        <v>273</v>
      </c>
      <c r="J152" s="34" t="s">
        <v>282</v>
      </c>
      <c r="K152" s="39">
        <v>34546</v>
      </c>
      <c r="L152" s="39">
        <v>34747</v>
      </c>
      <c r="M152" s="15">
        <f t="shared" si="35"/>
        <v>201</v>
      </c>
      <c r="N152" s="15"/>
      <c r="O152" s="39"/>
      <c r="P152" s="36"/>
      <c r="Q152" s="16">
        <f t="shared" si="36"/>
        <v>0</v>
      </c>
      <c r="R152" s="34" t="s">
        <v>273</v>
      </c>
      <c r="S152" s="34" t="s">
        <v>102</v>
      </c>
      <c r="T152" s="36">
        <v>1.8</v>
      </c>
      <c r="U152" s="167">
        <f>Rutas[[#This Row],[Precio x Galón ($/gal)]]*Rutas[[#This Row],[Volumen de Combustible (gal)]]</f>
        <v>295.2</v>
      </c>
      <c r="V152" s="36"/>
      <c r="W152" s="36"/>
      <c r="X152" s="36"/>
      <c r="Y152" s="145">
        <f t="shared" si="37"/>
        <v>295.2</v>
      </c>
      <c r="Z152" s="567"/>
      <c r="AA152" s="12">
        <v>164</v>
      </c>
      <c r="AB152" s="12">
        <f t="shared" si="38"/>
        <v>1.225609756097561</v>
      </c>
      <c r="AC152" s="12">
        <f t="shared" si="39"/>
        <v>0</v>
      </c>
      <c r="AD152" s="34"/>
    </row>
    <row r="153" spans="1:30" ht="16" x14ac:dyDescent="0.2">
      <c r="A153" s="47"/>
      <c r="B153" s="303"/>
      <c r="C153" s="176">
        <f t="shared" si="33"/>
        <v>150</v>
      </c>
      <c r="D153" s="146">
        <f t="shared" si="40"/>
        <v>45676</v>
      </c>
      <c r="E153" s="37">
        <v>45677</v>
      </c>
      <c r="F153" s="65" t="s">
        <v>207</v>
      </c>
      <c r="G153" s="11" t="str">
        <f ca="1">IF(AND(E153&lt;&gt;"",E153&lt;TODAY()),"Disponible",IFERROR(INDEX(Vehiculos[Estado Vehiculo],MATCH(F153,Vehiculos[Placa Vehiculo],0)),""))</f>
        <v>Disponible</v>
      </c>
      <c r="H153" s="34" t="s">
        <v>239</v>
      </c>
      <c r="I153" s="34" t="s">
        <v>273</v>
      </c>
      <c r="J153" s="34" t="s">
        <v>282</v>
      </c>
      <c r="K153" s="39">
        <v>35856</v>
      </c>
      <c r="L153" s="39">
        <v>36057</v>
      </c>
      <c r="M153" s="15">
        <f t="shared" si="35"/>
        <v>201</v>
      </c>
      <c r="N153" s="15"/>
      <c r="O153" s="39"/>
      <c r="P153" s="36"/>
      <c r="Q153" s="16">
        <f t="shared" si="36"/>
        <v>0</v>
      </c>
      <c r="R153" s="34" t="s">
        <v>273</v>
      </c>
      <c r="S153" s="34" t="s">
        <v>102</v>
      </c>
      <c r="T153" s="36">
        <v>1.8</v>
      </c>
      <c r="U153" s="167">
        <f>Rutas[[#This Row],[Precio x Galón ($/gal)]]*Rutas[[#This Row],[Volumen de Combustible (gal)]]</f>
        <v>306.774</v>
      </c>
      <c r="V153" s="36"/>
      <c r="W153" s="36"/>
      <c r="X153" s="36"/>
      <c r="Y153" s="145">
        <f t="shared" si="37"/>
        <v>306.774</v>
      </c>
      <c r="Z153" s="567"/>
      <c r="AA153" s="12">
        <v>170.43</v>
      </c>
      <c r="AB153" s="12">
        <f t="shared" si="38"/>
        <v>1.1793698292554127</v>
      </c>
      <c r="AC153" s="12">
        <f t="shared" si="39"/>
        <v>0</v>
      </c>
      <c r="AD153" s="34"/>
    </row>
    <row r="154" spans="1:30" ht="16" x14ac:dyDescent="0.2">
      <c r="A154" s="47"/>
      <c r="B154" s="303"/>
      <c r="C154" s="176">
        <f t="shared" si="33"/>
        <v>151</v>
      </c>
      <c r="D154" s="146">
        <f t="shared" si="40"/>
        <v>45677</v>
      </c>
      <c r="E154" s="37">
        <v>45681</v>
      </c>
      <c r="F154" s="65" t="s">
        <v>207</v>
      </c>
      <c r="G154" s="11" t="str">
        <f ca="1">IF(AND(E154&lt;&gt;"",E154&lt;TODAY()),"Disponible",IFERROR(INDEX(Vehiculos[Estado Vehiculo],MATCH(F154,Vehiculos[Placa Vehiculo],0)),""))</f>
        <v>Disponible</v>
      </c>
      <c r="H154" s="34" t="s">
        <v>239</v>
      </c>
      <c r="I154" s="34" t="s">
        <v>273</v>
      </c>
      <c r="J154" s="34" t="s">
        <v>282</v>
      </c>
      <c r="K154" s="39">
        <v>36208</v>
      </c>
      <c r="L154" s="39">
        <v>36408</v>
      </c>
      <c r="M154" s="15">
        <f t="shared" si="35"/>
        <v>200</v>
      </c>
      <c r="N154" s="15"/>
      <c r="O154" s="39"/>
      <c r="P154" s="36"/>
      <c r="Q154" s="16">
        <f t="shared" si="36"/>
        <v>0</v>
      </c>
      <c r="R154" s="34" t="s">
        <v>273</v>
      </c>
      <c r="S154" s="34" t="s">
        <v>102</v>
      </c>
      <c r="T154" s="36">
        <v>1.8</v>
      </c>
      <c r="U154" s="167">
        <f>Rutas[[#This Row],[Precio x Galón ($/gal)]]*Rutas[[#This Row],[Volumen de Combustible (gal)]]</f>
        <v>89.64</v>
      </c>
      <c r="V154" s="36"/>
      <c r="W154" s="36"/>
      <c r="X154" s="36"/>
      <c r="Y154" s="145">
        <f t="shared" si="37"/>
        <v>89.64</v>
      </c>
      <c r="Z154" s="567"/>
      <c r="AA154" s="12">
        <v>49.8</v>
      </c>
      <c r="AB154" s="12">
        <f t="shared" si="38"/>
        <v>4.0160642570281126</v>
      </c>
      <c r="AC154" s="12">
        <f t="shared" si="39"/>
        <v>0</v>
      </c>
      <c r="AD154" s="34"/>
    </row>
    <row r="155" spans="1:30" ht="16" x14ac:dyDescent="0.2">
      <c r="A155" s="47"/>
      <c r="B155" s="303"/>
      <c r="C155" s="176">
        <f t="shared" si="33"/>
        <v>152</v>
      </c>
      <c r="D155" s="146">
        <f t="shared" si="40"/>
        <v>45681</v>
      </c>
      <c r="E155" s="37">
        <v>45683</v>
      </c>
      <c r="F155" s="65" t="s">
        <v>207</v>
      </c>
      <c r="G155" s="11" t="str">
        <f ca="1">IF(AND(E155&lt;&gt;"",E155&lt;TODAY()),"Disponible",IFERROR(INDEX(Vehiculos[Estado Vehiculo],MATCH(F155,Vehiculos[Placa Vehiculo],0)),""))</f>
        <v>Disponible</v>
      </c>
      <c r="H155" s="34" t="s">
        <v>237</v>
      </c>
      <c r="I155" s="34" t="s">
        <v>273</v>
      </c>
      <c r="J155" s="34" t="s">
        <v>282</v>
      </c>
      <c r="K155" s="39">
        <v>34823</v>
      </c>
      <c r="L155" s="39">
        <v>34898</v>
      </c>
      <c r="M155" s="15">
        <f t="shared" si="35"/>
        <v>75</v>
      </c>
      <c r="N155" s="15"/>
      <c r="O155" s="39"/>
      <c r="P155" s="36"/>
      <c r="Q155" s="16">
        <f t="shared" si="36"/>
        <v>0</v>
      </c>
      <c r="R155" s="34" t="s">
        <v>273</v>
      </c>
      <c r="S155" s="34" t="s">
        <v>102</v>
      </c>
      <c r="T155" s="36">
        <v>1.8</v>
      </c>
      <c r="U155" s="167">
        <f>Rutas[[#This Row],[Precio x Galón ($/gal)]]*Rutas[[#This Row],[Volumen de Combustible (gal)]]</f>
        <v>176.54400000000001</v>
      </c>
      <c r="V155" s="36"/>
      <c r="W155" s="36"/>
      <c r="X155" s="36"/>
      <c r="Y155" s="145">
        <f t="shared" si="37"/>
        <v>176.54400000000001</v>
      </c>
      <c r="Z155" s="567"/>
      <c r="AA155" s="12">
        <v>98.08</v>
      </c>
      <c r="AB155" s="12">
        <f t="shared" si="38"/>
        <v>0.7646818923327896</v>
      </c>
      <c r="AC155" s="12">
        <f t="shared" si="39"/>
        <v>0</v>
      </c>
      <c r="AD155" s="34"/>
    </row>
    <row r="156" spans="1:30" ht="16" x14ac:dyDescent="0.2">
      <c r="A156" s="47"/>
      <c r="B156" s="303"/>
      <c r="C156" s="176">
        <f t="shared" si="33"/>
        <v>153</v>
      </c>
      <c r="D156" s="146">
        <f t="shared" si="40"/>
        <v>45683</v>
      </c>
      <c r="E156" s="37">
        <v>45685</v>
      </c>
      <c r="F156" s="65" t="s">
        <v>207</v>
      </c>
      <c r="G156" s="11" t="str">
        <f ca="1">IF(AND(E156&lt;&gt;"",E156&lt;TODAY()),"Disponible",IFERROR(INDEX(Vehiculos[Estado Vehiculo],MATCH(F156,Vehiculos[Placa Vehiculo],0)),""))</f>
        <v>Disponible</v>
      </c>
      <c r="H156" s="34" t="s">
        <v>237</v>
      </c>
      <c r="I156" s="34" t="s">
        <v>273</v>
      </c>
      <c r="J156" s="34" t="s">
        <v>282</v>
      </c>
      <c r="K156" s="39">
        <v>38399</v>
      </c>
      <c r="L156" s="39">
        <v>38599</v>
      </c>
      <c r="M156" s="15">
        <f t="shared" si="35"/>
        <v>200</v>
      </c>
      <c r="N156" s="15"/>
      <c r="O156" s="39"/>
      <c r="P156" s="36"/>
      <c r="Q156" s="16">
        <f t="shared" si="36"/>
        <v>0</v>
      </c>
      <c r="R156" s="34" t="s">
        <v>273</v>
      </c>
      <c r="S156" s="34" t="s">
        <v>102</v>
      </c>
      <c r="T156" s="36">
        <v>1.8</v>
      </c>
      <c r="U156" s="167">
        <f>Rutas[[#This Row],[Precio x Galón ($/gal)]]*Rutas[[#This Row],[Volumen de Combustible (gal)]]</f>
        <v>179.64</v>
      </c>
      <c r="V156" s="36"/>
      <c r="W156" s="36"/>
      <c r="X156" s="36"/>
      <c r="Y156" s="145">
        <f t="shared" si="37"/>
        <v>179.64</v>
      </c>
      <c r="Z156" s="567"/>
      <c r="AA156" s="12">
        <v>99.8</v>
      </c>
      <c r="AB156" s="12">
        <f t="shared" si="38"/>
        <v>2.0040080160320644</v>
      </c>
      <c r="AC156" s="12">
        <f t="shared" si="39"/>
        <v>0</v>
      </c>
      <c r="AD156" s="34"/>
    </row>
    <row r="157" spans="1:30" ht="16" x14ac:dyDescent="0.2">
      <c r="A157" s="47"/>
      <c r="B157" s="303"/>
      <c r="C157" s="176">
        <f t="shared" si="33"/>
        <v>154</v>
      </c>
      <c r="D157" s="146">
        <f t="shared" si="40"/>
        <v>45685</v>
      </c>
      <c r="E157" s="37">
        <v>45687</v>
      </c>
      <c r="F157" s="65" t="s">
        <v>207</v>
      </c>
      <c r="G157" s="11" t="str">
        <f ca="1">IF(AND(E157&lt;&gt;"",E157&lt;TODAY()),"Disponible",IFERROR(INDEX(Vehiculos[Estado Vehiculo],MATCH(F157,Vehiculos[Placa Vehiculo],0)),""))</f>
        <v>Disponible</v>
      </c>
      <c r="H157" s="34" t="s">
        <v>237</v>
      </c>
      <c r="I157" s="34" t="s">
        <v>273</v>
      </c>
      <c r="J157" s="34" t="s">
        <v>282</v>
      </c>
      <c r="K157" s="39">
        <v>39344</v>
      </c>
      <c r="L157" s="39">
        <v>39454</v>
      </c>
      <c r="M157" s="15">
        <f t="shared" si="35"/>
        <v>110</v>
      </c>
      <c r="N157" s="451">
        <v>621</v>
      </c>
      <c r="O157" s="39"/>
      <c r="P157" s="36"/>
      <c r="Q157" s="16">
        <f t="shared" si="36"/>
        <v>0</v>
      </c>
      <c r="R157" s="34" t="s">
        <v>273</v>
      </c>
      <c r="S157" s="34" t="s">
        <v>102</v>
      </c>
      <c r="T157" s="36">
        <v>1.8</v>
      </c>
      <c r="U157" s="167">
        <f>Rutas[[#This Row],[Precio x Galón ($/gal)]]*Rutas[[#This Row],[Volumen de Combustible (gal)]]</f>
        <v>187.452</v>
      </c>
      <c r="V157" s="36"/>
      <c r="W157" s="36"/>
      <c r="X157" s="36"/>
      <c r="Y157" s="145">
        <f t="shared" si="37"/>
        <v>187.452</v>
      </c>
      <c r="Z157" s="567"/>
      <c r="AA157" s="12">
        <v>104.14</v>
      </c>
      <c r="AB157" s="12">
        <f t="shared" si="38"/>
        <v>1.0562704052237373</v>
      </c>
      <c r="AC157" s="12">
        <f t="shared" si="39"/>
        <v>0</v>
      </c>
      <c r="AD157" s="34"/>
    </row>
    <row r="158" spans="1:30" ht="16" x14ac:dyDescent="0.2">
      <c r="A158" s="47"/>
      <c r="B158" s="303"/>
      <c r="C158" s="176">
        <f t="shared" si="33"/>
        <v>155</v>
      </c>
      <c r="D158" s="177">
        <v>45659</v>
      </c>
      <c r="E158" s="177">
        <v>45663</v>
      </c>
      <c r="F158" s="178" t="s">
        <v>286</v>
      </c>
      <c r="G158" s="179" t="str">
        <f ca="1">IF(AND(E158&lt;&gt;"",E158&lt;TODAY()),"Disponible",IFERROR(INDEX(Vehiculos[Estado Vehiculo],MATCH(F158,Vehiculos[Placa Vehiculo],0)),""))</f>
        <v>Disponible</v>
      </c>
      <c r="H158" s="180" t="s">
        <v>289</v>
      </c>
      <c r="I158" s="180" t="s">
        <v>273</v>
      </c>
      <c r="J158" s="180" t="s">
        <v>290</v>
      </c>
      <c r="K158" s="181">
        <v>73840</v>
      </c>
      <c r="L158" s="181">
        <v>74005</v>
      </c>
      <c r="M158" s="182">
        <f t="shared" si="35"/>
        <v>165</v>
      </c>
      <c r="N158" s="182"/>
      <c r="O158" s="181"/>
      <c r="P158" s="183">
        <v>5</v>
      </c>
      <c r="Q158" s="184">
        <f t="shared" si="36"/>
        <v>825</v>
      </c>
      <c r="R158" s="180" t="s">
        <v>273</v>
      </c>
      <c r="S158" s="180" t="s">
        <v>102</v>
      </c>
      <c r="T158" s="183">
        <v>1.8</v>
      </c>
      <c r="U158" s="186">
        <f>Rutas[[#This Row],[Precio x Galón ($/gal)]]*Rutas[[#This Row],[Volumen de Combustible (gal)]]</f>
        <v>27.18</v>
      </c>
      <c r="V158" s="183"/>
      <c r="W158" s="183"/>
      <c r="X158" s="183"/>
      <c r="Y158" s="184">
        <f t="shared" si="37"/>
        <v>27.18</v>
      </c>
      <c r="Z158" s="567"/>
      <c r="AA158" s="184">
        <v>15.1</v>
      </c>
      <c r="AB158" s="184">
        <f t="shared" si="38"/>
        <v>10.927152317880795</v>
      </c>
      <c r="AC158" s="184">
        <f t="shared" si="39"/>
        <v>5</v>
      </c>
      <c r="AD158" s="180"/>
    </row>
    <row r="159" spans="1:30" ht="16" x14ac:dyDescent="0.2">
      <c r="A159" s="47"/>
      <c r="B159" s="303"/>
      <c r="C159" s="176">
        <f t="shared" si="33"/>
        <v>156</v>
      </c>
      <c r="D159" s="146">
        <f>E158</f>
        <v>45663</v>
      </c>
      <c r="E159" s="37">
        <v>45671</v>
      </c>
      <c r="F159" s="65" t="s">
        <v>286</v>
      </c>
      <c r="G159" s="11" t="str">
        <f ca="1">IF(AND(E159&lt;&gt;"",E159&lt;TODAY()),"Disponible",IFERROR(INDEX(Vehiculos[Estado Vehiculo],MATCH(F159,Vehiculos[Placa Vehiculo],0)),""))</f>
        <v>Disponible</v>
      </c>
      <c r="H159" s="34" t="s">
        <v>289</v>
      </c>
      <c r="I159" s="34" t="s">
        <v>273</v>
      </c>
      <c r="J159" s="34" t="s">
        <v>290</v>
      </c>
      <c r="K159" s="39">
        <v>74576</v>
      </c>
      <c r="L159" s="39">
        <v>74760</v>
      </c>
      <c r="M159" s="15">
        <f t="shared" si="35"/>
        <v>184</v>
      </c>
      <c r="N159" s="15"/>
      <c r="O159" s="39"/>
      <c r="P159" s="36"/>
      <c r="Q159" s="16">
        <f t="shared" si="36"/>
        <v>0</v>
      </c>
      <c r="R159" s="34" t="s">
        <v>273</v>
      </c>
      <c r="S159" s="34" t="s">
        <v>102</v>
      </c>
      <c r="T159" s="36">
        <v>1.8</v>
      </c>
      <c r="U159" s="167">
        <f>Rutas[[#This Row],[Precio x Galón ($/gal)]]*Rutas[[#This Row],[Volumen de Combustible (gal)]]</f>
        <v>25.38</v>
      </c>
      <c r="V159" s="36"/>
      <c r="W159" s="36"/>
      <c r="X159" s="36"/>
      <c r="Y159" s="145">
        <f t="shared" si="37"/>
        <v>25.38</v>
      </c>
      <c r="Z159" s="567"/>
      <c r="AA159" s="12">
        <v>14.1</v>
      </c>
      <c r="AB159" s="12">
        <f t="shared" si="38"/>
        <v>13.049645390070923</v>
      </c>
      <c r="AC159" s="12">
        <f t="shared" si="39"/>
        <v>0</v>
      </c>
      <c r="AD159" s="34"/>
    </row>
    <row r="160" spans="1:30" ht="16" x14ac:dyDescent="0.2">
      <c r="A160" s="47"/>
      <c r="B160" s="303"/>
      <c r="C160" s="176">
        <f t="shared" si="33"/>
        <v>157</v>
      </c>
      <c r="D160" s="146">
        <f>E159</f>
        <v>45671</v>
      </c>
      <c r="E160" s="37">
        <v>45682</v>
      </c>
      <c r="F160" s="65" t="s">
        <v>286</v>
      </c>
      <c r="G160" s="11" t="str">
        <f ca="1">IF(AND(E160&lt;&gt;"",E160&lt;TODAY()),"Disponible",IFERROR(INDEX(Vehiculos[Estado Vehiculo],MATCH(F160,Vehiculos[Placa Vehiculo],0)),""))</f>
        <v>Disponible</v>
      </c>
      <c r="H160" s="34" t="s">
        <v>289</v>
      </c>
      <c r="I160" s="34" t="s">
        <v>273</v>
      </c>
      <c r="J160" s="34" t="s">
        <v>290</v>
      </c>
      <c r="K160" s="39">
        <v>75821</v>
      </c>
      <c r="L160" s="39">
        <v>75994</v>
      </c>
      <c r="M160" s="15">
        <f t="shared" si="35"/>
        <v>173</v>
      </c>
      <c r="N160" s="15"/>
      <c r="O160" s="39"/>
      <c r="P160" s="36"/>
      <c r="Q160" s="16">
        <f t="shared" si="36"/>
        <v>0</v>
      </c>
      <c r="R160" s="34" t="s">
        <v>273</v>
      </c>
      <c r="S160" s="34" t="s">
        <v>102</v>
      </c>
      <c r="T160" s="36">
        <v>1.8</v>
      </c>
      <c r="U160" s="167">
        <f>Rutas[[#This Row],[Precio x Galón ($/gal)]]*Rutas[[#This Row],[Volumen de Combustible (gal)]]</f>
        <v>28.278000000000002</v>
      </c>
      <c r="V160" s="36"/>
      <c r="W160" s="36"/>
      <c r="X160" s="36"/>
      <c r="Y160" s="145">
        <f t="shared" si="37"/>
        <v>28.278000000000002</v>
      </c>
      <c r="Z160" s="567"/>
      <c r="AA160" s="12">
        <v>15.71</v>
      </c>
      <c r="AB160" s="12">
        <f t="shared" si="38"/>
        <v>11.012094207511138</v>
      </c>
      <c r="AC160" s="12">
        <f t="shared" si="39"/>
        <v>0</v>
      </c>
      <c r="AD160" s="34"/>
    </row>
    <row r="161" spans="1:30" ht="16" x14ac:dyDescent="0.2">
      <c r="A161" s="47"/>
      <c r="B161" s="303"/>
      <c r="C161" s="176">
        <f t="shared" si="33"/>
        <v>158</v>
      </c>
      <c r="D161" s="146">
        <f>E160</f>
        <v>45682</v>
      </c>
      <c r="E161" s="37">
        <v>45687</v>
      </c>
      <c r="F161" s="65" t="s">
        <v>286</v>
      </c>
      <c r="G161" s="11" t="str">
        <f ca="1">IF(AND(E161&lt;&gt;"",E161&lt;TODAY()),"Disponible",IFERROR(INDEX(Vehiculos[Estado Vehiculo],MATCH(F161,Vehiculos[Placa Vehiculo],0)),""))</f>
        <v>Disponible</v>
      </c>
      <c r="H161" s="34" t="s">
        <v>288</v>
      </c>
      <c r="I161" s="34" t="s">
        <v>273</v>
      </c>
      <c r="J161" s="34" t="s">
        <v>290</v>
      </c>
      <c r="K161" s="39">
        <v>77224</v>
      </c>
      <c r="L161" s="39">
        <v>77465</v>
      </c>
      <c r="M161" s="15">
        <f t="shared" si="35"/>
        <v>241</v>
      </c>
      <c r="N161" s="15"/>
      <c r="O161" s="39"/>
      <c r="P161" s="36"/>
      <c r="Q161" s="16">
        <f t="shared" si="36"/>
        <v>0</v>
      </c>
      <c r="R161" s="34" t="s">
        <v>273</v>
      </c>
      <c r="S161" s="34" t="s">
        <v>102</v>
      </c>
      <c r="T161" s="36">
        <v>1.8</v>
      </c>
      <c r="U161" s="167">
        <f>Rutas[[#This Row],[Precio x Galón ($/gal)]]*Rutas[[#This Row],[Volumen de Combustible (gal)]]</f>
        <v>29.664000000000001</v>
      </c>
      <c r="V161" s="36"/>
      <c r="W161" s="36"/>
      <c r="X161" s="36"/>
      <c r="Y161" s="145">
        <f t="shared" si="37"/>
        <v>29.664000000000001</v>
      </c>
      <c r="Z161" s="567"/>
      <c r="AA161" s="12">
        <v>16.48</v>
      </c>
      <c r="AB161" s="12">
        <f t="shared" si="38"/>
        <v>14.623786407766991</v>
      </c>
      <c r="AC161" s="12">
        <f t="shared" si="39"/>
        <v>0</v>
      </c>
      <c r="AD161" s="34"/>
    </row>
    <row r="162" spans="1:30" ht="16" x14ac:dyDescent="0.2">
      <c r="A162" s="47"/>
      <c r="B162" s="303"/>
      <c r="C162" s="176">
        <f t="shared" si="33"/>
        <v>159</v>
      </c>
      <c r="D162" s="146">
        <v>45687</v>
      </c>
      <c r="E162" s="37">
        <v>45687</v>
      </c>
      <c r="F162" s="65" t="s">
        <v>286</v>
      </c>
      <c r="G162" s="11" t="str">
        <f ca="1">IF(AND(E162&lt;&gt;"",E162&lt;TODAY()),"Disponible",IFERROR(INDEX(Vehiculos[Estado Vehiculo],MATCH(F162,Vehiculos[Placa Vehiculo],0)),""))</f>
        <v>Disponible</v>
      </c>
      <c r="H162" s="34" t="s">
        <v>288</v>
      </c>
      <c r="I162" s="34" t="s">
        <v>273</v>
      </c>
      <c r="J162" s="34" t="s">
        <v>290</v>
      </c>
      <c r="K162" s="39">
        <v>77791</v>
      </c>
      <c r="L162" s="39">
        <v>77947</v>
      </c>
      <c r="M162" s="15">
        <f t="shared" ref="M162:M209" si="41">L162-K162</f>
        <v>156</v>
      </c>
      <c r="N162" s="15">
        <v>310</v>
      </c>
      <c r="O162" s="39"/>
      <c r="P162" s="36"/>
      <c r="Q162" s="16">
        <f t="shared" ref="Q162:Q211" si="42">M162*P162</f>
        <v>0</v>
      </c>
      <c r="R162" s="34" t="s">
        <v>273</v>
      </c>
      <c r="S162" s="34" t="s">
        <v>102</v>
      </c>
      <c r="T162" s="36">
        <v>1.8</v>
      </c>
      <c r="U162" s="167">
        <f>Rutas[[#This Row],[Precio x Galón ($/gal)]]*Rutas[[#This Row],[Volumen de Combustible (gal)]]</f>
        <v>30.816000000000003</v>
      </c>
      <c r="V162" s="36"/>
      <c r="W162" s="36"/>
      <c r="X162" s="36"/>
      <c r="Y162" s="145">
        <f t="shared" ref="Y162:Y211" si="43">U162+SUM(V162:X162)</f>
        <v>30.816000000000003</v>
      </c>
      <c r="Z162" s="567"/>
      <c r="AA162" s="12">
        <v>17.12</v>
      </c>
      <c r="AB162" s="12">
        <f t="shared" ref="AB162:AB211" si="44">IFERROR(M162/AA162,0)</f>
        <v>9.1121495327102799</v>
      </c>
      <c r="AC162" s="12">
        <f t="shared" ref="AC162:AC211" si="45">IFERROR(Q162/M162,0)</f>
        <v>0</v>
      </c>
      <c r="AD162" s="34"/>
    </row>
    <row r="163" spans="1:30" ht="16" x14ac:dyDescent="0.2">
      <c r="A163" s="47"/>
      <c r="B163" s="303"/>
      <c r="C163" s="176">
        <f t="shared" si="33"/>
        <v>160</v>
      </c>
      <c r="D163" s="90">
        <v>45667</v>
      </c>
      <c r="E163" s="90">
        <v>45672</v>
      </c>
      <c r="F163" s="68" t="s">
        <v>213</v>
      </c>
      <c r="G163" s="379" t="str">
        <f ca="1">IF(AND(E163&lt;&gt;"",E163&lt;TODAY()),"Disponible",IFERROR(INDEX(Vehiculos[Estado Vehiculo],MATCH(F163,Vehiculos[Placa Vehiculo],0)),""))</f>
        <v>Disponible</v>
      </c>
      <c r="H163" s="89" t="s">
        <v>240</v>
      </c>
      <c r="I163" s="89" t="s">
        <v>273</v>
      </c>
      <c r="J163" s="89" t="s">
        <v>317</v>
      </c>
      <c r="K163" s="380">
        <v>391648</v>
      </c>
      <c r="L163" s="380">
        <v>392652</v>
      </c>
      <c r="M163" s="381">
        <f t="shared" si="41"/>
        <v>1004</v>
      </c>
      <c r="N163" s="381"/>
      <c r="O163" s="380"/>
      <c r="P163" s="92"/>
      <c r="Q163" s="382">
        <f t="shared" si="42"/>
        <v>0</v>
      </c>
      <c r="R163" s="89" t="s">
        <v>339</v>
      </c>
      <c r="S163" s="89" t="s">
        <v>102</v>
      </c>
      <c r="T163" s="92">
        <v>1.8</v>
      </c>
      <c r="U163" s="266">
        <f>Rutas[[#This Row],[Precio x Galón ($/gal)]]*Rutas[[#This Row],[Volumen de Combustible (gal)]]</f>
        <v>108</v>
      </c>
      <c r="V163" s="92"/>
      <c r="W163" s="92"/>
      <c r="X163" s="92"/>
      <c r="Y163" s="382">
        <f t="shared" si="43"/>
        <v>108</v>
      </c>
      <c r="Z163" s="567"/>
      <c r="AA163" s="382">
        <v>60</v>
      </c>
      <c r="AB163" s="382">
        <f t="shared" si="44"/>
        <v>16.733333333333334</v>
      </c>
      <c r="AC163" s="382">
        <f t="shared" si="45"/>
        <v>0</v>
      </c>
      <c r="AD163" s="89"/>
    </row>
    <row r="164" spans="1:30" ht="16" x14ac:dyDescent="0.2">
      <c r="A164" s="47"/>
      <c r="B164" s="303"/>
      <c r="C164" s="176">
        <f t="shared" si="33"/>
        <v>161</v>
      </c>
      <c r="D164" s="146">
        <v>45672</v>
      </c>
      <c r="E164" s="37">
        <v>45676</v>
      </c>
      <c r="F164" s="65" t="s">
        <v>213</v>
      </c>
      <c r="G164" s="11" t="str">
        <f ca="1">IF(AND(E164&lt;&gt;"",E164&lt;TODAY()),"Disponible",IFERROR(INDEX(Vehiculos[Estado Vehiculo],MATCH(F164,Vehiculos[Placa Vehiculo],0)),""))</f>
        <v>Disponible</v>
      </c>
      <c r="H164" s="34" t="s">
        <v>232</v>
      </c>
      <c r="I164" s="34" t="s">
        <v>338</v>
      </c>
      <c r="J164" s="34" t="s">
        <v>317</v>
      </c>
      <c r="K164" s="39"/>
      <c r="L164" s="39"/>
      <c r="M164" s="15">
        <f>L164-K164</f>
        <v>0</v>
      </c>
      <c r="N164" s="15"/>
      <c r="O164" s="39"/>
      <c r="P164" s="36"/>
      <c r="Q164" s="16">
        <f>M164*P164</f>
        <v>0</v>
      </c>
      <c r="R164" s="34" t="s">
        <v>339</v>
      </c>
      <c r="S164" s="34" t="s">
        <v>102</v>
      </c>
      <c r="T164" s="36">
        <v>1.8</v>
      </c>
      <c r="U164" s="167">
        <f>Rutas[[#This Row],[Precio x Galón ($/gal)]]*Rutas[[#This Row],[Volumen de Combustible (gal)]]</f>
        <v>108</v>
      </c>
      <c r="V164" s="36"/>
      <c r="W164" s="36"/>
      <c r="X164" s="36"/>
      <c r="Y164" s="145">
        <f>U164+SUM(V164:X164)</f>
        <v>108</v>
      </c>
      <c r="Z164" s="567"/>
      <c r="AA164" s="12">
        <v>60</v>
      </c>
      <c r="AB164" s="12">
        <f>IFERROR(M164/AA164,0)</f>
        <v>0</v>
      </c>
      <c r="AC164" s="12">
        <f>IFERROR(Q164/M164,0)</f>
        <v>0</v>
      </c>
      <c r="AD164" s="34"/>
    </row>
    <row r="165" spans="1:30" ht="16" x14ac:dyDescent="0.2">
      <c r="A165" s="47"/>
      <c r="B165" s="303"/>
      <c r="C165" s="176">
        <f t="shared" si="33"/>
        <v>162</v>
      </c>
      <c r="D165" s="146">
        <v>45676</v>
      </c>
      <c r="E165" s="37">
        <v>45677</v>
      </c>
      <c r="F165" s="65" t="s">
        <v>213</v>
      </c>
      <c r="G165" s="11" t="str">
        <f ca="1">IF(AND(E165&lt;&gt;"",E165&lt;TODAY()),"Disponible",IFERROR(INDEX(Vehiculos[Estado Vehiculo],MATCH(F165,Vehiculos[Placa Vehiculo],0)),""))</f>
        <v>Disponible</v>
      </c>
      <c r="H165" s="34" t="s">
        <v>232</v>
      </c>
      <c r="I165" s="34" t="s">
        <v>338</v>
      </c>
      <c r="J165" s="34" t="s">
        <v>317</v>
      </c>
      <c r="K165" s="39"/>
      <c r="L165" s="39"/>
      <c r="M165" s="15">
        <f>L165-K165</f>
        <v>0</v>
      </c>
      <c r="N165" s="15"/>
      <c r="O165" s="39"/>
      <c r="P165" s="36"/>
      <c r="Q165" s="16">
        <f>M165*P165</f>
        <v>0</v>
      </c>
      <c r="R165" s="34" t="s">
        <v>339</v>
      </c>
      <c r="S165" s="34" t="s">
        <v>102</v>
      </c>
      <c r="T165" s="36">
        <v>1.8</v>
      </c>
      <c r="U165" s="167">
        <f>Rutas[[#This Row],[Precio x Galón ($/gal)]]*Rutas[[#This Row],[Volumen de Combustible (gal)]]</f>
        <v>108</v>
      </c>
      <c r="V165" s="36"/>
      <c r="W165" s="36"/>
      <c r="X165" s="36"/>
      <c r="Y165" s="145">
        <f>U165+SUM(V165:X165)</f>
        <v>108</v>
      </c>
      <c r="Z165" s="567"/>
      <c r="AA165" s="12">
        <v>60</v>
      </c>
      <c r="AB165" s="12">
        <f>IFERROR(M165/AA165,0)</f>
        <v>0</v>
      </c>
      <c r="AC165" s="12">
        <f>IFERROR(Q165/M165,0)</f>
        <v>0</v>
      </c>
      <c r="AD165" s="34"/>
    </row>
    <row r="166" spans="1:30" ht="16" x14ac:dyDescent="0.2">
      <c r="A166" s="47"/>
      <c r="B166" s="303"/>
      <c r="C166" s="176">
        <f t="shared" si="33"/>
        <v>163</v>
      </c>
      <c r="D166" s="146">
        <v>45677</v>
      </c>
      <c r="E166" s="37">
        <v>45680</v>
      </c>
      <c r="F166" s="65" t="s">
        <v>213</v>
      </c>
      <c r="G166" s="11" t="str">
        <f ca="1">IF(AND(E166&lt;&gt;"",E166&lt;TODAY()),"Disponible",IFERROR(INDEX(Vehiculos[Estado Vehiculo],MATCH(F166,Vehiculos[Placa Vehiculo],0)),""))</f>
        <v>Disponible</v>
      </c>
      <c r="H166" s="34" t="s">
        <v>240</v>
      </c>
      <c r="I166" s="34" t="s">
        <v>338</v>
      </c>
      <c r="J166" s="34" t="s">
        <v>317</v>
      </c>
      <c r="K166" s="39">
        <v>392652</v>
      </c>
      <c r="L166" s="39">
        <v>393784</v>
      </c>
      <c r="M166" s="15">
        <f t="shared" si="41"/>
        <v>1132</v>
      </c>
      <c r="N166" s="15"/>
      <c r="O166" s="39"/>
      <c r="P166" s="36"/>
      <c r="Q166" s="16">
        <f t="shared" si="42"/>
        <v>0</v>
      </c>
      <c r="R166" s="34" t="s">
        <v>339</v>
      </c>
      <c r="S166" s="34" t="s">
        <v>102</v>
      </c>
      <c r="T166" s="36">
        <v>1.8</v>
      </c>
      <c r="U166" s="167">
        <f>Rutas[[#This Row],[Precio x Galón ($/gal)]]*Rutas[[#This Row],[Volumen de Combustible (gal)]]</f>
        <v>99</v>
      </c>
      <c r="V166" s="36"/>
      <c r="W166" s="36"/>
      <c r="X166" s="36"/>
      <c r="Y166" s="145">
        <f t="shared" si="43"/>
        <v>99</v>
      </c>
      <c r="Z166" s="567"/>
      <c r="AA166" s="12">
        <v>55</v>
      </c>
      <c r="AB166" s="12">
        <f t="shared" si="44"/>
        <v>20.581818181818182</v>
      </c>
      <c r="AC166" s="12">
        <f t="shared" si="45"/>
        <v>0</v>
      </c>
      <c r="AD166" s="34"/>
    </row>
    <row r="167" spans="1:30" ht="16" x14ac:dyDescent="0.2">
      <c r="A167" s="47"/>
      <c r="B167" s="303"/>
      <c r="C167" s="176">
        <f t="shared" si="33"/>
        <v>164</v>
      </c>
      <c r="D167" s="146">
        <v>45680</v>
      </c>
      <c r="E167" s="37">
        <v>45684</v>
      </c>
      <c r="F167" s="65" t="s">
        <v>213</v>
      </c>
      <c r="G167" s="11" t="str">
        <f ca="1">IF(AND(E167&lt;&gt;"",E167&lt;TODAY()),"Disponible",IFERROR(INDEX(Vehiculos[Estado Vehiculo],MATCH(F167,Vehiculos[Placa Vehiculo],0)),""))</f>
        <v>Disponible</v>
      </c>
      <c r="H167" s="34" t="s">
        <v>232</v>
      </c>
      <c r="I167" s="34" t="s">
        <v>338</v>
      </c>
      <c r="J167" s="34" t="s">
        <v>317</v>
      </c>
      <c r="K167" s="39"/>
      <c r="L167" s="39"/>
      <c r="M167" s="15">
        <f>L167-K167</f>
        <v>0</v>
      </c>
      <c r="N167" s="451">
        <v>312</v>
      </c>
      <c r="O167" s="39"/>
      <c r="P167" s="36"/>
      <c r="Q167" s="16">
        <f>M167*P167</f>
        <v>0</v>
      </c>
      <c r="R167" s="34" t="s">
        <v>339</v>
      </c>
      <c r="S167" s="34" t="s">
        <v>102</v>
      </c>
      <c r="T167" s="36">
        <v>1.8</v>
      </c>
      <c r="U167" s="167">
        <f>Rutas[[#This Row],[Precio x Galón ($/gal)]]*Rutas[[#This Row],[Volumen de Combustible (gal)]]</f>
        <v>108</v>
      </c>
      <c r="V167" s="36"/>
      <c r="W167" s="36"/>
      <c r="X167" s="36"/>
      <c r="Y167" s="145">
        <f>U167+SUM(V167:X167)</f>
        <v>108</v>
      </c>
      <c r="Z167" s="567"/>
      <c r="AA167" s="12">
        <v>60</v>
      </c>
      <c r="AB167" s="12">
        <f>IFERROR(M167/AA167,0)</f>
        <v>0</v>
      </c>
      <c r="AC167" s="12">
        <f>IFERROR(Q167/M167,0)</f>
        <v>0</v>
      </c>
      <c r="AD167" s="34"/>
    </row>
    <row r="168" spans="1:30" ht="16" x14ac:dyDescent="0.2">
      <c r="A168" s="47"/>
      <c r="B168" s="303"/>
      <c r="C168" s="176">
        <f t="shared" si="33"/>
        <v>165</v>
      </c>
      <c r="D168" s="90">
        <v>45658</v>
      </c>
      <c r="E168" s="90">
        <v>45667</v>
      </c>
      <c r="F168" s="68" t="s">
        <v>365</v>
      </c>
      <c r="G168" s="379" t="str">
        <f ca="1">IF(AND(E168&lt;&gt;"",E168&lt;TODAY()),"Disponible",IFERROR(INDEX(Vehiculos[Estado Vehiculo],MATCH(F168,Vehiculos[Placa Vehiculo],0)),""))</f>
        <v>Disponible</v>
      </c>
      <c r="H168" s="89" t="s">
        <v>234</v>
      </c>
      <c r="I168" s="89" t="s">
        <v>338</v>
      </c>
      <c r="J168" s="89" t="s">
        <v>274</v>
      </c>
      <c r="K168" s="380"/>
      <c r="L168" s="380"/>
      <c r="M168" s="381">
        <f>L168-K168</f>
        <v>0</v>
      </c>
      <c r="N168" s="381"/>
      <c r="O168" s="380"/>
      <c r="P168" s="92"/>
      <c r="Q168" s="382">
        <f>M168*P168</f>
        <v>0</v>
      </c>
      <c r="R168" s="89" t="s">
        <v>340</v>
      </c>
      <c r="S168" s="89" t="s">
        <v>102</v>
      </c>
      <c r="T168" s="92">
        <v>1.8</v>
      </c>
      <c r="U168" s="266">
        <f>Rutas[[#This Row],[Precio x Galón ($/gal)]]*Rutas[[#This Row],[Volumen de Combustible (gal)]]</f>
        <v>117</v>
      </c>
      <c r="V168" s="92"/>
      <c r="W168" s="92"/>
      <c r="X168" s="92"/>
      <c r="Y168" s="382">
        <f>U168+SUM(V168:X168)</f>
        <v>117</v>
      </c>
      <c r="Z168" s="567"/>
      <c r="AA168" s="382">
        <v>65</v>
      </c>
      <c r="AB168" s="382">
        <f>IFERROR(M168/AA168,0)</f>
        <v>0</v>
      </c>
      <c r="AC168" s="382">
        <f>IFERROR(Q168/M168,0)</f>
        <v>0</v>
      </c>
      <c r="AD168" s="89"/>
    </row>
    <row r="169" spans="1:30" ht="16" x14ac:dyDescent="0.2">
      <c r="A169" s="47"/>
      <c r="B169" s="303"/>
      <c r="C169" s="176">
        <f t="shared" si="33"/>
        <v>166</v>
      </c>
      <c r="D169" s="146">
        <v>45667</v>
      </c>
      <c r="E169" s="37">
        <v>45673</v>
      </c>
      <c r="F169" s="65" t="s">
        <v>365</v>
      </c>
      <c r="G169" s="11" t="str">
        <f ca="1">IF(AND(E169&lt;&gt;"",E169&lt;TODAY()),"Disponible",IFERROR(INDEX(Vehiculos[Estado Vehiculo],MATCH(F169,Vehiculos[Placa Vehiculo],0)),""))</f>
        <v>Disponible</v>
      </c>
      <c r="H169" s="34" t="s">
        <v>234</v>
      </c>
      <c r="I169" s="34" t="s">
        <v>338</v>
      </c>
      <c r="J169" s="34" t="s">
        <v>274</v>
      </c>
      <c r="K169" s="39"/>
      <c r="L169" s="39"/>
      <c r="M169" s="15">
        <f>L169-K169</f>
        <v>0</v>
      </c>
      <c r="N169" s="15"/>
      <c r="O169" s="39"/>
      <c r="P169" s="36"/>
      <c r="Q169" s="16">
        <f>M169*P169</f>
        <v>0</v>
      </c>
      <c r="R169" s="34" t="s">
        <v>340</v>
      </c>
      <c r="S169" s="34" t="s">
        <v>102</v>
      </c>
      <c r="T169" s="36">
        <v>1.8</v>
      </c>
      <c r="U169" s="167">
        <f>Rutas[[#This Row],[Precio x Galón ($/gal)]]*Rutas[[#This Row],[Volumen de Combustible (gal)]]</f>
        <v>126</v>
      </c>
      <c r="V169" s="36"/>
      <c r="W169" s="36"/>
      <c r="X169" s="36"/>
      <c r="Y169" s="145">
        <f>U169+SUM(V169:X169)</f>
        <v>126</v>
      </c>
      <c r="Z169" s="567"/>
      <c r="AA169" s="12">
        <v>70</v>
      </c>
      <c r="AB169" s="12">
        <f>IFERROR(M169/AA169,0)</f>
        <v>0</v>
      </c>
      <c r="AC169" s="12">
        <f>IFERROR(Q169/M169,0)</f>
        <v>0</v>
      </c>
      <c r="AD169" s="34"/>
    </row>
    <row r="170" spans="1:30" ht="16" x14ac:dyDescent="0.2">
      <c r="A170" s="47"/>
      <c r="B170" s="303"/>
      <c r="C170" s="176">
        <f t="shared" si="33"/>
        <v>167</v>
      </c>
      <c r="D170" s="146">
        <v>45673</v>
      </c>
      <c r="E170" s="37">
        <v>45680</v>
      </c>
      <c r="F170" s="65" t="s">
        <v>365</v>
      </c>
      <c r="G170" s="11" t="str">
        <f ca="1">IF(AND(E170&lt;&gt;"",E170&lt;TODAY()),"Disponible",IFERROR(INDEX(Vehiculos[Estado Vehiculo],MATCH(F170,Vehiculos[Placa Vehiculo],0)),""))</f>
        <v>Disponible</v>
      </c>
      <c r="H170" s="34" t="s">
        <v>234</v>
      </c>
      <c r="I170" s="34" t="s">
        <v>338</v>
      </c>
      <c r="J170" s="34" t="s">
        <v>274</v>
      </c>
      <c r="K170" s="39"/>
      <c r="L170" s="39"/>
      <c r="M170" s="15">
        <f>L170-K170</f>
        <v>0</v>
      </c>
      <c r="N170" s="15"/>
      <c r="O170" s="39"/>
      <c r="P170" s="36"/>
      <c r="Q170" s="16">
        <f>M170*P170</f>
        <v>0</v>
      </c>
      <c r="R170" s="34" t="s">
        <v>340</v>
      </c>
      <c r="S170" s="34" t="s">
        <v>102</v>
      </c>
      <c r="T170" s="36">
        <v>1.8</v>
      </c>
      <c r="U170" s="167">
        <f>Rutas[[#This Row],[Precio x Galón ($/gal)]]*Rutas[[#This Row],[Volumen de Combustible (gal)]]</f>
        <v>108</v>
      </c>
      <c r="V170" s="36"/>
      <c r="W170" s="36"/>
      <c r="X170" s="36"/>
      <c r="Y170" s="145">
        <f>U170+SUM(V170:X170)</f>
        <v>108</v>
      </c>
      <c r="Z170" s="567"/>
      <c r="AA170" s="12">
        <v>60</v>
      </c>
      <c r="AB170" s="12">
        <f>IFERROR(M170/AA170,0)</f>
        <v>0</v>
      </c>
      <c r="AC170" s="12">
        <f>IFERROR(Q170/M170,0)</f>
        <v>0</v>
      </c>
      <c r="AD170" s="34"/>
    </row>
    <row r="171" spans="1:30" ht="16" x14ac:dyDescent="0.2">
      <c r="A171" s="47"/>
      <c r="B171" s="303"/>
      <c r="C171" s="176">
        <f t="shared" si="33"/>
        <v>168</v>
      </c>
      <c r="D171" s="146">
        <v>45680</v>
      </c>
      <c r="E171" s="37">
        <v>45684</v>
      </c>
      <c r="F171" s="65" t="s">
        <v>365</v>
      </c>
      <c r="G171" s="11" t="str">
        <f ca="1">IF(AND(E171&lt;&gt;"",E171&lt;TODAY()),"Disponible",IFERROR(INDEX(Vehiculos[Estado Vehiculo],MATCH(F171,Vehiculos[Placa Vehiculo],0)),""))</f>
        <v>Disponible</v>
      </c>
      <c r="H171" s="34" t="s">
        <v>234</v>
      </c>
      <c r="I171" s="34" t="s">
        <v>338</v>
      </c>
      <c r="J171" s="34" t="s">
        <v>274</v>
      </c>
      <c r="K171" s="39"/>
      <c r="L171" s="39"/>
      <c r="M171" s="15">
        <f>L171-K171</f>
        <v>0</v>
      </c>
      <c r="N171" s="15"/>
      <c r="O171" s="39"/>
      <c r="P171" s="36"/>
      <c r="Q171" s="16">
        <f>M171*P171</f>
        <v>0</v>
      </c>
      <c r="R171" s="34" t="s">
        <v>340</v>
      </c>
      <c r="S171" s="34" t="s">
        <v>102</v>
      </c>
      <c r="T171" s="36">
        <v>1.8</v>
      </c>
      <c r="U171" s="167">
        <f>Rutas[[#This Row],[Precio x Galón ($/gal)]]*Rutas[[#This Row],[Volumen de Combustible (gal)]]</f>
        <v>99</v>
      </c>
      <c r="V171" s="36"/>
      <c r="W171" s="36"/>
      <c r="X171" s="36"/>
      <c r="Y171" s="145">
        <f>U171+SUM(V171:X171)</f>
        <v>99</v>
      </c>
      <c r="Z171" s="567"/>
      <c r="AA171" s="12">
        <v>55</v>
      </c>
      <c r="AB171" s="12">
        <f>IFERROR(M171/AA171,0)</f>
        <v>0</v>
      </c>
      <c r="AC171" s="12">
        <f>IFERROR(Q171/M171,0)</f>
        <v>0</v>
      </c>
      <c r="AD171" s="34"/>
    </row>
    <row r="172" spans="1:30" ht="16" x14ac:dyDescent="0.2">
      <c r="A172" s="47"/>
      <c r="B172" s="303"/>
      <c r="C172" s="176">
        <f t="shared" si="33"/>
        <v>169</v>
      </c>
      <c r="D172" s="146">
        <v>45684</v>
      </c>
      <c r="E172" s="37">
        <v>45687</v>
      </c>
      <c r="F172" s="65" t="s">
        <v>365</v>
      </c>
      <c r="G172" s="11" t="str">
        <f ca="1">IF(AND(E172&lt;&gt;"",E172&lt;TODAY()),"Disponible",IFERROR(INDEX(Vehiculos[Estado Vehiculo],MATCH(F172,Vehiculos[Placa Vehiculo],0)),""))</f>
        <v>Disponible</v>
      </c>
      <c r="H172" s="34" t="s">
        <v>240</v>
      </c>
      <c r="I172" s="34" t="s">
        <v>338</v>
      </c>
      <c r="J172" s="34" t="s">
        <v>274</v>
      </c>
      <c r="K172" s="39">
        <v>348396</v>
      </c>
      <c r="L172" s="39">
        <v>348945</v>
      </c>
      <c r="M172" s="15">
        <f t="shared" si="41"/>
        <v>549</v>
      </c>
      <c r="N172" s="451">
        <v>310</v>
      </c>
      <c r="O172" s="39"/>
      <c r="P172" s="36"/>
      <c r="Q172" s="16">
        <f t="shared" si="42"/>
        <v>0</v>
      </c>
      <c r="R172" s="34" t="s">
        <v>340</v>
      </c>
      <c r="S172" s="34" t="s">
        <v>102</v>
      </c>
      <c r="T172" s="36">
        <v>1.8</v>
      </c>
      <c r="U172" s="167">
        <f>Rutas[[#This Row],[Precio x Galón ($/gal)]]*Rutas[[#This Row],[Volumen de Combustible (gal)]]</f>
        <v>126</v>
      </c>
      <c r="V172" s="36"/>
      <c r="W172" s="36"/>
      <c r="X172" s="36"/>
      <c r="Y172" s="145">
        <f t="shared" si="43"/>
        <v>126</v>
      </c>
      <c r="Z172" s="567"/>
      <c r="AA172" s="12">
        <v>70</v>
      </c>
      <c r="AB172" s="12">
        <f t="shared" si="44"/>
        <v>7.8428571428571425</v>
      </c>
      <c r="AC172" s="12">
        <f t="shared" si="45"/>
        <v>0</v>
      </c>
      <c r="AD172" s="34"/>
    </row>
    <row r="173" spans="1:30" ht="16" x14ac:dyDescent="0.2">
      <c r="A173" s="47"/>
      <c r="B173" s="303"/>
      <c r="C173" s="176">
        <f t="shared" si="33"/>
        <v>170</v>
      </c>
      <c r="D173" s="146"/>
      <c r="E173" s="37"/>
      <c r="F173" s="65"/>
      <c r="G173" s="11" t="str">
        <f ca="1">IF(AND(E173&lt;&gt;"",E173&lt;TODAY()),"Disponible",IFERROR(INDEX(Vehiculos[Estado Vehiculo],MATCH(F173,Vehiculos[Placa Vehiculo],0)),""))</f>
        <v/>
      </c>
      <c r="H173" s="34"/>
      <c r="I173" s="34"/>
      <c r="J173" s="34"/>
      <c r="K173" s="39"/>
      <c r="L173" s="39"/>
      <c r="M173" s="15">
        <f>L173-K173</f>
        <v>0</v>
      </c>
      <c r="N173" s="15"/>
      <c r="O173" s="39"/>
      <c r="P173" s="36"/>
      <c r="Q173" s="16">
        <f>M173*P173</f>
        <v>0</v>
      </c>
      <c r="R173" s="34"/>
      <c r="S173" s="34"/>
      <c r="T173" s="36"/>
      <c r="U173" s="167"/>
      <c r="V173" s="36"/>
      <c r="W173" s="36"/>
      <c r="X173" s="36"/>
      <c r="Y173" s="145">
        <f>U173+SUM(V173:X173)</f>
        <v>0</v>
      </c>
      <c r="Z173" s="567"/>
      <c r="AA173" s="12"/>
      <c r="AB173" s="12">
        <f>IFERROR(M173/AA173,0)</f>
        <v>0</v>
      </c>
      <c r="AC173" s="12">
        <f>IFERROR(Q173/M173,0)</f>
        <v>0</v>
      </c>
      <c r="AD173" s="34"/>
    </row>
    <row r="174" spans="1:30" ht="16" x14ac:dyDescent="0.2">
      <c r="A174" s="47"/>
      <c r="B174" s="303"/>
      <c r="C174" s="176">
        <f t="shared" si="33"/>
        <v>171</v>
      </c>
      <c r="D174" s="146"/>
      <c r="E174" s="37"/>
      <c r="F174" s="65"/>
      <c r="G174" s="11" t="str">
        <f ca="1">IF(AND(E174&lt;&gt;"",E174&lt;TODAY()),"Disponible",IFERROR(INDEX(Vehiculos[Estado Vehiculo],MATCH(F174,Vehiculos[Placa Vehiculo],0)),""))</f>
        <v/>
      </c>
      <c r="H174" s="34"/>
      <c r="I174" s="34"/>
      <c r="J174" s="34"/>
      <c r="K174" s="39"/>
      <c r="L174" s="39"/>
      <c r="M174" s="15">
        <f t="shared" si="41"/>
        <v>0</v>
      </c>
      <c r="N174" s="15"/>
      <c r="O174" s="39"/>
      <c r="P174" s="36"/>
      <c r="Q174" s="16">
        <f t="shared" si="42"/>
        <v>0</v>
      </c>
      <c r="R174" s="34"/>
      <c r="S174" s="34"/>
      <c r="T174" s="36"/>
      <c r="U174" s="167">
        <f>Rutas[[#This Row],[Precio x Galón ($/gal)]]*Rutas[[#This Row],[Volumen de Combustible (gal)]]</f>
        <v>0</v>
      </c>
      <c r="V174" s="36"/>
      <c r="W174" s="36"/>
      <c r="X174" s="36"/>
      <c r="Y174" s="145">
        <f t="shared" si="43"/>
        <v>0</v>
      </c>
      <c r="Z174" s="567"/>
      <c r="AA174" s="12"/>
      <c r="AB174" s="12">
        <f t="shared" si="44"/>
        <v>0</v>
      </c>
      <c r="AC174" s="12">
        <f t="shared" si="45"/>
        <v>0</v>
      </c>
      <c r="AD174" s="34"/>
    </row>
    <row r="175" spans="1:30" ht="16" x14ac:dyDescent="0.2">
      <c r="A175" s="47"/>
      <c r="B175" s="303"/>
      <c r="C175" s="176">
        <f t="shared" si="33"/>
        <v>172</v>
      </c>
      <c r="D175" s="177">
        <v>45661</v>
      </c>
      <c r="E175" s="177">
        <v>45664</v>
      </c>
      <c r="F175" s="178" t="s">
        <v>306</v>
      </c>
      <c r="G175" s="179" t="str">
        <f ca="1">IF(AND(E175&lt;&gt;"",E175&lt;TODAY()),"Disponible",IFERROR(INDEX(Vehiculos[Estado Vehiculo],MATCH(F175,Vehiculos[Placa Vehiculo],0)),""))</f>
        <v>Disponible</v>
      </c>
      <c r="H175" s="180" t="s">
        <v>242</v>
      </c>
      <c r="I175" s="180" t="s">
        <v>273</v>
      </c>
      <c r="J175" s="180" t="s">
        <v>274</v>
      </c>
      <c r="K175" s="181">
        <v>1187</v>
      </c>
      <c r="L175" s="181">
        <v>1199</v>
      </c>
      <c r="M175" s="182">
        <f t="shared" si="41"/>
        <v>12</v>
      </c>
      <c r="N175" s="182">
        <f>Rutas[[#This Row],[Kms Recorridos]]</f>
        <v>12</v>
      </c>
      <c r="O175" s="181"/>
      <c r="P175" s="183"/>
      <c r="Q175" s="184">
        <f t="shared" si="42"/>
        <v>0</v>
      </c>
      <c r="R175" s="180" t="s">
        <v>273</v>
      </c>
      <c r="S175" s="180" t="s">
        <v>102</v>
      </c>
      <c r="T175" s="183">
        <v>1.8</v>
      </c>
      <c r="U175" s="186">
        <f>Rutas[[#This Row],[Precio x Galón ($/gal)]]*Rutas[[#This Row],[Volumen de Combustible (gal)]]</f>
        <v>16.758000000000003</v>
      </c>
      <c r="V175" s="183"/>
      <c r="W175" s="183"/>
      <c r="X175" s="183"/>
      <c r="Y175" s="184">
        <f t="shared" si="43"/>
        <v>16.758000000000003</v>
      </c>
      <c r="Z175" s="567"/>
      <c r="AA175" s="184">
        <v>9.31</v>
      </c>
      <c r="AB175" s="184">
        <f t="shared" si="44"/>
        <v>1.2889366272824918</v>
      </c>
      <c r="AC175" s="184">
        <f t="shared" si="45"/>
        <v>0</v>
      </c>
      <c r="AD175" s="180"/>
    </row>
    <row r="176" spans="1:30" ht="16" x14ac:dyDescent="0.2">
      <c r="A176" s="47"/>
      <c r="B176" s="303"/>
      <c r="C176" s="176">
        <f t="shared" si="33"/>
        <v>173</v>
      </c>
      <c r="D176" s="146">
        <f>E175</f>
        <v>45664</v>
      </c>
      <c r="E176" s="37">
        <v>45669</v>
      </c>
      <c r="F176" s="65" t="s">
        <v>306</v>
      </c>
      <c r="G176" s="11" t="str">
        <f ca="1">IF(AND(E176&lt;&gt;"",E176&lt;TODAY()),"Disponible",IFERROR(INDEX(Vehiculos[Estado Vehiculo],MATCH(F176,Vehiculos[Placa Vehiculo],0)),""))</f>
        <v>Disponible</v>
      </c>
      <c r="H176" s="34" t="s">
        <v>242</v>
      </c>
      <c r="I176" s="34" t="s">
        <v>273</v>
      </c>
      <c r="J176" s="34" t="s">
        <v>274</v>
      </c>
      <c r="K176" s="39">
        <f>L175</f>
        <v>1199</v>
      </c>
      <c r="L176" s="39">
        <v>1216</v>
      </c>
      <c r="M176" s="15">
        <f t="shared" si="41"/>
        <v>17</v>
      </c>
      <c r="N176" s="15">
        <f>Rutas[[#This Row],[Kms Recorridos]]</f>
        <v>17</v>
      </c>
      <c r="O176" s="39"/>
      <c r="P176" s="36"/>
      <c r="Q176" s="16">
        <f t="shared" si="42"/>
        <v>0</v>
      </c>
      <c r="R176" s="34" t="s">
        <v>273</v>
      </c>
      <c r="S176" s="34" t="s">
        <v>102</v>
      </c>
      <c r="T176" s="36">
        <v>1.8</v>
      </c>
      <c r="U176" s="167">
        <f>Rutas[[#This Row],[Precio x Galón ($/gal)]]*Rutas[[#This Row],[Volumen de Combustible (gal)]]</f>
        <v>10.098000000000001</v>
      </c>
      <c r="V176" s="36"/>
      <c r="W176" s="36"/>
      <c r="X176" s="36"/>
      <c r="Y176" s="145">
        <f t="shared" si="43"/>
        <v>10.098000000000001</v>
      </c>
      <c r="Z176" s="567"/>
      <c r="AA176" s="12">
        <v>5.61</v>
      </c>
      <c r="AB176" s="12">
        <f t="shared" si="44"/>
        <v>3.0303030303030303</v>
      </c>
      <c r="AC176" s="12">
        <f t="shared" si="45"/>
        <v>0</v>
      </c>
      <c r="AD176" s="34"/>
    </row>
    <row r="177" spans="1:30" ht="16" x14ac:dyDescent="0.2">
      <c r="A177" s="47"/>
      <c r="B177" s="303"/>
      <c r="C177" s="176">
        <f t="shared" si="33"/>
        <v>174</v>
      </c>
      <c r="D177" s="146">
        <f>E176</f>
        <v>45669</v>
      </c>
      <c r="E177" s="37">
        <v>45673</v>
      </c>
      <c r="F177" s="65" t="s">
        <v>306</v>
      </c>
      <c r="G177" s="11" t="str">
        <f ca="1">IF(AND(E177&lt;&gt;"",E177&lt;TODAY()),"Disponible",IFERROR(INDEX(Vehiculos[Estado Vehiculo],MATCH(F177,Vehiculos[Placa Vehiculo],0)),""))</f>
        <v>Disponible</v>
      </c>
      <c r="H177" s="34" t="s">
        <v>242</v>
      </c>
      <c r="I177" s="34" t="s">
        <v>273</v>
      </c>
      <c r="J177" s="34" t="s">
        <v>274</v>
      </c>
      <c r="K177" s="39">
        <f>L176</f>
        <v>1216</v>
      </c>
      <c r="L177" s="39">
        <v>1227</v>
      </c>
      <c r="M177" s="15">
        <f t="shared" si="41"/>
        <v>11</v>
      </c>
      <c r="N177" s="15">
        <f>Rutas[[#This Row],[Kms Recorridos]]</f>
        <v>11</v>
      </c>
      <c r="O177" s="39"/>
      <c r="P177" s="36"/>
      <c r="Q177" s="16">
        <f t="shared" si="42"/>
        <v>0</v>
      </c>
      <c r="R177" s="34" t="s">
        <v>273</v>
      </c>
      <c r="S177" s="34" t="s">
        <v>102</v>
      </c>
      <c r="T177" s="36">
        <v>1.8</v>
      </c>
      <c r="U177" s="167">
        <f>Rutas[[#This Row],[Precio x Galón ($/gal)]]*Rutas[[#This Row],[Volumen de Combustible (gal)]]</f>
        <v>13.895999999999999</v>
      </c>
      <c r="V177" s="36"/>
      <c r="W177" s="36"/>
      <c r="X177" s="36"/>
      <c r="Y177" s="145">
        <f t="shared" si="43"/>
        <v>13.895999999999999</v>
      </c>
      <c r="Z177" s="567"/>
      <c r="AA177" s="12">
        <v>7.72</v>
      </c>
      <c r="AB177" s="12">
        <f t="shared" si="44"/>
        <v>1.4248704663212435</v>
      </c>
      <c r="AC177" s="12">
        <f t="shared" si="45"/>
        <v>0</v>
      </c>
      <c r="AD177" s="34"/>
    </row>
    <row r="178" spans="1:30" ht="16" x14ac:dyDescent="0.2">
      <c r="A178" s="47"/>
      <c r="B178" s="303"/>
      <c r="C178" s="176">
        <f t="shared" si="33"/>
        <v>175</v>
      </c>
      <c r="D178" s="146">
        <f>E177</f>
        <v>45673</v>
      </c>
      <c r="E178" s="37">
        <v>45679</v>
      </c>
      <c r="F178" s="65" t="s">
        <v>306</v>
      </c>
      <c r="G178" s="11" t="str">
        <f ca="1">IF(AND(E178&lt;&gt;"",E178&lt;TODAY()),"Disponible",IFERROR(INDEX(Vehiculos[Estado Vehiculo],MATCH(F178,Vehiculos[Placa Vehiculo],0)),""))</f>
        <v>Disponible</v>
      </c>
      <c r="H178" s="34" t="s">
        <v>242</v>
      </c>
      <c r="I178" s="34" t="s">
        <v>273</v>
      </c>
      <c r="J178" s="34" t="s">
        <v>274</v>
      </c>
      <c r="K178" s="39">
        <f>L177</f>
        <v>1227</v>
      </c>
      <c r="L178" s="39">
        <v>1244</v>
      </c>
      <c r="M178" s="15">
        <f t="shared" si="41"/>
        <v>17</v>
      </c>
      <c r="N178" s="15">
        <f>Rutas[[#This Row],[Kms Recorridos]]</f>
        <v>17</v>
      </c>
      <c r="O178" s="39"/>
      <c r="P178" s="36"/>
      <c r="Q178" s="16">
        <f t="shared" si="42"/>
        <v>0</v>
      </c>
      <c r="R178" s="34" t="s">
        <v>273</v>
      </c>
      <c r="S178" s="34" t="s">
        <v>102</v>
      </c>
      <c r="T178" s="36">
        <v>1.8</v>
      </c>
      <c r="U178" s="167">
        <f>Rutas[[#This Row],[Precio x Galón ($/gal)]]*Rutas[[#This Row],[Volumen de Combustible (gal)]]</f>
        <v>7.9380000000000006</v>
      </c>
      <c r="V178" s="36"/>
      <c r="W178" s="36"/>
      <c r="X178" s="36"/>
      <c r="Y178" s="145">
        <f t="shared" si="43"/>
        <v>7.9380000000000006</v>
      </c>
      <c r="Z178" s="567"/>
      <c r="AA178" s="12">
        <v>4.41</v>
      </c>
      <c r="AB178" s="12">
        <f t="shared" si="44"/>
        <v>3.8548752834467117</v>
      </c>
      <c r="AC178" s="12">
        <f t="shared" si="45"/>
        <v>0</v>
      </c>
      <c r="AD178" s="34"/>
    </row>
    <row r="179" spans="1:30" ht="16" x14ac:dyDescent="0.2">
      <c r="A179" s="47"/>
      <c r="B179" s="303"/>
      <c r="C179" s="176">
        <f t="shared" si="33"/>
        <v>176</v>
      </c>
      <c r="D179" s="146">
        <f>E178</f>
        <v>45679</v>
      </c>
      <c r="E179" s="37">
        <v>45685</v>
      </c>
      <c r="F179" s="65" t="s">
        <v>306</v>
      </c>
      <c r="G179" s="11" t="str">
        <f ca="1">IF(AND(E179&lt;&gt;"",E179&lt;TODAY()),"Disponible",IFERROR(INDEX(Vehiculos[Estado Vehiculo],MATCH(F179,Vehiculos[Placa Vehiculo],0)),""))</f>
        <v>Disponible</v>
      </c>
      <c r="H179" s="34" t="s">
        <v>233</v>
      </c>
      <c r="I179" s="34" t="s">
        <v>273</v>
      </c>
      <c r="J179" s="34" t="s">
        <v>274</v>
      </c>
      <c r="K179" s="39">
        <f>L178</f>
        <v>1244</v>
      </c>
      <c r="L179" s="39">
        <v>1259</v>
      </c>
      <c r="M179" s="15">
        <f t="shared" si="41"/>
        <v>15</v>
      </c>
      <c r="N179" s="15">
        <f>Rutas[[#This Row],[Kms Recorridos]]</f>
        <v>15</v>
      </c>
      <c r="O179" s="39"/>
      <c r="P179" s="36"/>
      <c r="Q179" s="16">
        <f t="shared" si="42"/>
        <v>0</v>
      </c>
      <c r="R179" s="34" t="s">
        <v>273</v>
      </c>
      <c r="S179" s="34" t="s">
        <v>102</v>
      </c>
      <c r="T179" s="36">
        <v>1.8</v>
      </c>
      <c r="U179" s="167">
        <f>Rutas[[#This Row],[Precio x Galón ($/gal)]]*Rutas[[#This Row],[Volumen de Combustible (gal)]]</f>
        <v>15.75</v>
      </c>
      <c r="V179" s="36"/>
      <c r="W179" s="36"/>
      <c r="X179" s="36"/>
      <c r="Y179" s="145">
        <f t="shared" si="43"/>
        <v>15.75</v>
      </c>
      <c r="Z179" s="567"/>
      <c r="AA179" s="12">
        <v>8.75</v>
      </c>
      <c r="AB179" s="12">
        <f t="shared" si="44"/>
        <v>1.7142857142857142</v>
      </c>
      <c r="AC179" s="12">
        <f t="shared" si="45"/>
        <v>0</v>
      </c>
      <c r="AD179" s="34"/>
    </row>
    <row r="180" spans="1:30" ht="16" x14ac:dyDescent="0.2">
      <c r="A180" s="47"/>
      <c r="B180" s="303"/>
      <c r="C180" s="176">
        <f t="shared" si="33"/>
        <v>177</v>
      </c>
      <c r="D180" s="146">
        <f>E179</f>
        <v>45685</v>
      </c>
      <c r="E180" s="37">
        <v>45687</v>
      </c>
      <c r="F180" s="65" t="s">
        <v>306</v>
      </c>
      <c r="G180" s="11" t="str">
        <f ca="1">IF(AND(E180&lt;&gt;"",E180&lt;TODAY()),"Disponible",IFERROR(INDEX(Vehiculos[Estado Vehiculo],MATCH(F180,Vehiculos[Placa Vehiculo],0)),""))</f>
        <v>Disponible</v>
      </c>
      <c r="H180" s="34" t="s">
        <v>250</v>
      </c>
      <c r="I180" s="34" t="s">
        <v>273</v>
      </c>
      <c r="J180" s="34" t="s">
        <v>274</v>
      </c>
      <c r="K180" s="39">
        <f>L179</f>
        <v>1259</v>
      </c>
      <c r="L180" s="39">
        <v>1274</v>
      </c>
      <c r="M180" s="15">
        <f t="shared" si="41"/>
        <v>15</v>
      </c>
      <c r="N180" s="15">
        <f>Rutas[[#This Row],[Kms Recorridos]]</f>
        <v>15</v>
      </c>
      <c r="O180" s="39"/>
      <c r="P180" s="36"/>
      <c r="Q180" s="16">
        <f t="shared" si="42"/>
        <v>0</v>
      </c>
      <c r="R180" s="34" t="s">
        <v>273</v>
      </c>
      <c r="S180" s="34" t="s">
        <v>102</v>
      </c>
      <c r="T180" s="36">
        <v>1.8</v>
      </c>
      <c r="U180" s="167">
        <f>Rutas[[#This Row],[Precio x Galón ($/gal)]]*Rutas[[#This Row],[Volumen de Combustible (gal)]]</f>
        <v>14.346</v>
      </c>
      <c r="V180" s="36"/>
      <c r="W180" s="36"/>
      <c r="X180" s="36"/>
      <c r="Y180" s="145">
        <f t="shared" si="43"/>
        <v>14.346</v>
      </c>
      <c r="Z180" s="567"/>
      <c r="AA180" s="12">
        <v>7.97</v>
      </c>
      <c r="AB180" s="12">
        <f t="shared" si="44"/>
        <v>1.8820577164366374</v>
      </c>
      <c r="AC180" s="12">
        <f t="shared" si="45"/>
        <v>0</v>
      </c>
      <c r="AD180" s="34"/>
    </row>
    <row r="181" spans="1:30" ht="16" x14ac:dyDescent="0.2">
      <c r="A181" s="47"/>
      <c r="B181" s="303"/>
      <c r="C181" s="176">
        <f t="shared" si="33"/>
        <v>178</v>
      </c>
      <c r="D181" s="177">
        <v>45659</v>
      </c>
      <c r="E181" s="177">
        <v>45666</v>
      </c>
      <c r="F181" s="178" t="s">
        <v>307</v>
      </c>
      <c r="G181" s="179" t="str">
        <f ca="1">IF(AND(E181&lt;&gt;"",E181&lt;TODAY()),"Disponible",IFERROR(INDEX(Vehiculos[Estado Vehiculo],MATCH(F181,Vehiculos[Placa Vehiculo],0)),""))</f>
        <v>Disponible</v>
      </c>
      <c r="H181" s="180" t="s">
        <v>247</v>
      </c>
      <c r="I181" s="180" t="s">
        <v>273</v>
      </c>
      <c r="J181" s="180" t="s">
        <v>274</v>
      </c>
      <c r="K181" s="181">
        <v>3957</v>
      </c>
      <c r="L181" s="181">
        <v>3984</v>
      </c>
      <c r="M181" s="182">
        <f t="shared" si="41"/>
        <v>27</v>
      </c>
      <c r="N181" s="182">
        <f>Rutas[[#This Row],[Kms Recorridos]]</f>
        <v>27</v>
      </c>
      <c r="O181" s="181"/>
      <c r="P181" s="183"/>
      <c r="Q181" s="184">
        <f t="shared" si="42"/>
        <v>0</v>
      </c>
      <c r="R181" s="180" t="s">
        <v>273</v>
      </c>
      <c r="S181" s="180" t="s">
        <v>102</v>
      </c>
      <c r="T181" s="183">
        <v>1.8</v>
      </c>
      <c r="U181" s="186">
        <f>Rutas[[#This Row],[Precio x Galón ($/gal)]]*Rutas[[#This Row],[Volumen de Combustible (gal)]]</f>
        <v>25.884</v>
      </c>
      <c r="V181" s="183"/>
      <c r="W181" s="183"/>
      <c r="X181" s="183"/>
      <c r="Y181" s="184">
        <f t="shared" si="43"/>
        <v>25.884</v>
      </c>
      <c r="Z181" s="567"/>
      <c r="AA181" s="184">
        <v>14.38</v>
      </c>
      <c r="AB181" s="184">
        <f t="shared" si="44"/>
        <v>1.8776077885952711</v>
      </c>
      <c r="AC181" s="184">
        <f t="shared" si="45"/>
        <v>0</v>
      </c>
      <c r="AD181" s="180"/>
    </row>
    <row r="182" spans="1:30" ht="16" x14ac:dyDescent="0.2">
      <c r="A182" s="47"/>
      <c r="B182" s="303"/>
      <c r="C182" s="176">
        <f t="shared" si="33"/>
        <v>179</v>
      </c>
      <c r="D182" s="146">
        <f>E181</f>
        <v>45666</v>
      </c>
      <c r="E182" s="37">
        <v>45682</v>
      </c>
      <c r="F182" s="65" t="s">
        <v>307</v>
      </c>
      <c r="G182" s="11" t="str">
        <f ca="1">IF(AND(E182&lt;&gt;"",E182&lt;TODAY()),"Disponible",IFERROR(INDEX(Vehiculos[Estado Vehiculo],MATCH(F182,Vehiculos[Placa Vehiculo],0)),""))</f>
        <v>Disponible</v>
      </c>
      <c r="H182" s="34" t="s">
        <v>247</v>
      </c>
      <c r="I182" s="34" t="s">
        <v>273</v>
      </c>
      <c r="J182" s="34" t="s">
        <v>274</v>
      </c>
      <c r="K182" s="39">
        <v>3984</v>
      </c>
      <c r="L182" s="39">
        <v>4042</v>
      </c>
      <c r="M182" s="15">
        <f t="shared" si="41"/>
        <v>58</v>
      </c>
      <c r="N182" s="15">
        <f>Rutas[[#This Row],[Kms Recorridos]]</f>
        <v>58</v>
      </c>
      <c r="O182" s="39"/>
      <c r="P182" s="36"/>
      <c r="Q182" s="16">
        <f t="shared" si="42"/>
        <v>0</v>
      </c>
      <c r="R182" s="34" t="s">
        <v>273</v>
      </c>
      <c r="S182" s="34" t="s">
        <v>102</v>
      </c>
      <c r="T182" s="36">
        <v>1.8</v>
      </c>
      <c r="U182" s="167">
        <f>Rutas[[#This Row],[Precio x Galón ($/gal)]]*Rutas[[#This Row],[Volumen de Combustible (gal)]]</f>
        <v>20.844000000000001</v>
      </c>
      <c r="V182" s="36"/>
      <c r="W182" s="36"/>
      <c r="X182" s="36"/>
      <c r="Y182" s="145">
        <f t="shared" si="43"/>
        <v>20.844000000000001</v>
      </c>
      <c r="Z182" s="567"/>
      <c r="AA182" s="12">
        <v>11.58</v>
      </c>
      <c r="AB182" s="12">
        <f t="shared" si="44"/>
        <v>5.0086355785837648</v>
      </c>
      <c r="AC182" s="12">
        <f t="shared" si="45"/>
        <v>0</v>
      </c>
      <c r="AD182" s="34"/>
    </row>
    <row r="183" spans="1:30" ht="16" x14ac:dyDescent="0.2">
      <c r="A183" s="47"/>
      <c r="B183" s="303"/>
      <c r="C183" s="176">
        <f t="shared" si="33"/>
        <v>180</v>
      </c>
      <c r="D183" s="146">
        <f>E182</f>
        <v>45682</v>
      </c>
      <c r="E183" s="37">
        <v>45687</v>
      </c>
      <c r="F183" s="65" t="s">
        <v>307</v>
      </c>
      <c r="G183" s="11" t="str">
        <f ca="1">IF(AND(E183&lt;&gt;"",E183&lt;TODAY()),"Disponible",IFERROR(INDEX(Vehiculos[Estado Vehiculo],MATCH(F183,Vehiculos[Placa Vehiculo],0)),""))</f>
        <v>Disponible</v>
      </c>
      <c r="H183" s="34" t="s">
        <v>247</v>
      </c>
      <c r="I183" s="34" t="s">
        <v>273</v>
      </c>
      <c r="J183" s="34" t="s">
        <v>274</v>
      </c>
      <c r="K183" s="39">
        <v>4042</v>
      </c>
      <c r="L183" s="39">
        <v>4084</v>
      </c>
      <c r="M183" s="15">
        <f t="shared" si="41"/>
        <v>42</v>
      </c>
      <c r="N183" s="15">
        <f>Rutas[[#This Row],[Kms Recorridos]]</f>
        <v>42</v>
      </c>
      <c r="O183" s="39"/>
      <c r="P183" s="36"/>
      <c r="Q183" s="16">
        <f t="shared" si="42"/>
        <v>0</v>
      </c>
      <c r="R183" s="34" t="s">
        <v>273</v>
      </c>
      <c r="S183" s="34" t="s">
        <v>102</v>
      </c>
      <c r="T183" s="36">
        <v>1.8</v>
      </c>
      <c r="U183" s="167">
        <f>Rutas[[#This Row],[Precio x Galón ($/gal)]]*Rutas[[#This Row],[Volumen de Combustible (gal)]]</f>
        <v>19.728000000000002</v>
      </c>
      <c r="V183" s="36"/>
      <c r="W183" s="36"/>
      <c r="X183" s="36"/>
      <c r="Y183" s="145">
        <f t="shared" si="43"/>
        <v>19.728000000000002</v>
      </c>
      <c r="Z183" s="567"/>
      <c r="AA183" s="12">
        <v>10.96</v>
      </c>
      <c r="AB183" s="12">
        <f t="shared" si="44"/>
        <v>3.8321167883211675</v>
      </c>
      <c r="AC183" s="12">
        <f t="shared" si="45"/>
        <v>0</v>
      </c>
      <c r="AD183" s="34"/>
    </row>
    <row r="184" spans="1:30" ht="16" x14ac:dyDescent="0.2">
      <c r="A184" s="47"/>
      <c r="B184" s="303"/>
      <c r="C184" s="176">
        <f t="shared" si="33"/>
        <v>181</v>
      </c>
      <c r="D184" s="177">
        <v>45658</v>
      </c>
      <c r="E184" s="177">
        <v>45662</v>
      </c>
      <c r="F184" s="178" t="s">
        <v>308</v>
      </c>
      <c r="G184" s="179" t="str">
        <f ca="1">IF(AND(E184&lt;&gt;"",E184&lt;TODAY()),"Disponible",IFERROR(INDEX(Vehiculos[Estado Vehiculo],MATCH(F184,Vehiculos[Placa Vehiculo],0)),""))</f>
        <v>Disponible</v>
      </c>
      <c r="H184" s="180" t="s">
        <v>239</v>
      </c>
      <c r="I184" s="180" t="s">
        <v>273</v>
      </c>
      <c r="J184" s="180" t="s">
        <v>274</v>
      </c>
      <c r="K184" s="181">
        <v>185</v>
      </c>
      <c r="L184" s="181">
        <v>213</v>
      </c>
      <c r="M184" s="182">
        <f t="shared" si="41"/>
        <v>28</v>
      </c>
      <c r="N184" s="182">
        <f>Rutas[[#This Row],[Kms Recorridos]]</f>
        <v>28</v>
      </c>
      <c r="O184" s="181"/>
      <c r="P184" s="183"/>
      <c r="Q184" s="184">
        <f t="shared" si="42"/>
        <v>0</v>
      </c>
      <c r="R184" s="180" t="s">
        <v>273</v>
      </c>
      <c r="S184" s="180" t="s">
        <v>102</v>
      </c>
      <c r="T184" s="183">
        <v>1.8</v>
      </c>
      <c r="U184" s="186">
        <f>Rutas[[#This Row],[Precio x Galón ($/gal)]]*Rutas[[#This Row],[Volumen de Combustible (gal)]]</f>
        <v>9.072000000000001</v>
      </c>
      <c r="V184" s="183"/>
      <c r="W184" s="183"/>
      <c r="X184" s="183"/>
      <c r="Y184" s="184">
        <f t="shared" si="43"/>
        <v>9.072000000000001</v>
      </c>
      <c r="Z184" s="567"/>
      <c r="AA184" s="184">
        <v>5.04</v>
      </c>
      <c r="AB184" s="184">
        <f t="shared" si="44"/>
        <v>5.5555555555555554</v>
      </c>
      <c r="AC184" s="184">
        <f t="shared" si="45"/>
        <v>0</v>
      </c>
      <c r="AD184" s="180"/>
    </row>
    <row r="185" spans="1:30" ht="16" x14ac:dyDescent="0.2">
      <c r="A185" s="47"/>
      <c r="B185" s="303"/>
      <c r="C185" s="176">
        <f t="shared" si="33"/>
        <v>182</v>
      </c>
      <c r="D185" s="146">
        <f>E184</f>
        <v>45662</v>
      </c>
      <c r="E185" s="37">
        <v>45664</v>
      </c>
      <c r="F185" s="65" t="s">
        <v>308</v>
      </c>
      <c r="G185" s="11" t="str">
        <f ca="1">IF(AND(E185&lt;&gt;"",E185&lt;TODAY()),"Disponible",IFERROR(INDEX(Vehiculos[Estado Vehiculo],MATCH(F185,Vehiculos[Placa Vehiculo],0)),""))</f>
        <v>Disponible</v>
      </c>
      <c r="H185" s="34" t="s">
        <v>245</v>
      </c>
      <c r="I185" s="34" t="s">
        <v>273</v>
      </c>
      <c r="J185" s="34" t="s">
        <v>274</v>
      </c>
      <c r="K185" s="39">
        <f>L184</f>
        <v>213</v>
      </c>
      <c r="L185" s="39">
        <v>231</v>
      </c>
      <c r="M185" s="15">
        <f t="shared" si="41"/>
        <v>18</v>
      </c>
      <c r="N185" s="15">
        <f>Rutas[[#This Row],[Kms Recorridos]]</f>
        <v>18</v>
      </c>
      <c r="O185" s="39"/>
      <c r="P185" s="36"/>
      <c r="Q185" s="16">
        <f t="shared" si="42"/>
        <v>0</v>
      </c>
      <c r="R185" s="34" t="s">
        <v>273</v>
      </c>
      <c r="S185" s="34" t="s">
        <v>102</v>
      </c>
      <c r="T185" s="36">
        <v>1.8</v>
      </c>
      <c r="U185" s="167">
        <f>Rutas[[#This Row],[Precio x Galón ($/gal)]]*Rutas[[#This Row],[Volumen de Combustible (gal)]]</f>
        <v>18.774000000000001</v>
      </c>
      <c r="V185" s="36"/>
      <c r="W185" s="36"/>
      <c r="X185" s="36"/>
      <c r="Y185" s="145">
        <f t="shared" si="43"/>
        <v>18.774000000000001</v>
      </c>
      <c r="Z185" s="567"/>
      <c r="AA185" s="12">
        <v>10.43</v>
      </c>
      <c r="AB185" s="12">
        <f t="shared" si="44"/>
        <v>1.7257909875359541</v>
      </c>
      <c r="AC185" s="12">
        <f t="shared" si="45"/>
        <v>0</v>
      </c>
      <c r="AD185" s="34"/>
    </row>
    <row r="186" spans="1:30" ht="16" x14ac:dyDescent="0.2">
      <c r="A186" s="47"/>
      <c r="B186" s="303"/>
      <c r="C186" s="176">
        <f t="shared" si="33"/>
        <v>183</v>
      </c>
      <c r="D186" s="146">
        <f t="shared" ref="D186:D193" si="46">E185</f>
        <v>45664</v>
      </c>
      <c r="E186" s="37">
        <v>45666</v>
      </c>
      <c r="F186" s="65" t="s">
        <v>308</v>
      </c>
      <c r="G186" s="11" t="str">
        <f ca="1">IF(AND(E186&lt;&gt;"",E186&lt;TODAY()),"Disponible",IFERROR(INDEX(Vehiculos[Estado Vehiculo],MATCH(F186,Vehiculos[Placa Vehiculo],0)),""))</f>
        <v>Disponible</v>
      </c>
      <c r="H186" s="34" t="s">
        <v>245</v>
      </c>
      <c r="I186" s="34" t="s">
        <v>273</v>
      </c>
      <c r="J186" s="34" t="s">
        <v>274</v>
      </c>
      <c r="K186" s="39">
        <f t="shared" ref="K186:K193" si="47">L185</f>
        <v>231</v>
      </c>
      <c r="L186" s="39">
        <v>242</v>
      </c>
      <c r="M186" s="15">
        <f t="shared" si="41"/>
        <v>11</v>
      </c>
      <c r="N186" s="15">
        <f>Rutas[[#This Row],[Kms Recorridos]]</f>
        <v>11</v>
      </c>
      <c r="O186" s="39"/>
      <c r="P186" s="36"/>
      <c r="Q186" s="16">
        <f t="shared" si="42"/>
        <v>0</v>
      </c>
      <c r="R186" s="34" t="s">
        <v>273</v>
      </c>
      <c r="S186" s="34" t="s">
        <v>102</v>
      </c>
      <c r="T186" s="36">
        <v>1.8</v>
      </c>
      <c r="U186" s="167">
        <f>Rutas[[#This Row],[Precio x Galón ($/gal)]]*Rutas[[#This Row],[Volumen de Combustible (gal)]]</f>
        <v>11.43</v>
      </c>
      <c r="V186" s="36"/>
      <c r="W186" s="36"/>
      <c r="X186" s="36"/>
      <c r="Y186" s="145">
        <f t="shared" si="43"/>
        <v>11.43</v>
      </c>
      <c r="Z186" s="567"/>
      <c r="AA186" s="12">
        <v>6.35</v>
      </c>
      <c r="AB186" s="12">
        <f t="shared" si="44"/>
        <v>1.7322834645669292</v>
      </c>
      <c r="AC186" s="12">
        <f t="shared" si="45"/>
        <v>0</v>
      </c>
      <c r="AD186" s="34"/>
    </row>
    <row r="187" spans="1:30" ht="16" x14ac:dyDescent="0.2">
      <c r="A187" s="47"/>
      <c r="B187" s="303"/>
      <c r="C187" s="176">
        <f t="shared" si="33"/>
        <v>184</v>
      </c>
      <c r="D187" s="146">
        <f t="shared" si="46"/>
        <v>45666</v>
      </c>
      <c r="E187" s="37">
        <v>45668</v>
      </c>
      <c r="F187" s="65" t="s">
        <v>308</v>
      </c>
      <c r="G187" s="11" t="str">
        <f ca="1">IF(AND(E187&lt;&gt;"",E187&lt;TODAY()),"Disponible",IFERROR(INDEX(Vehiculos[Estado Vehiculo],MATCH(F187,Vehiculos[Placa Vehiculo],0)),""))</f>
        <v>Disponible</v>
      </c>
      <c r="H187" s="34" t="s">
        <v>245</v>
      </c>
      <c r="I187" s="34" t="s">
        <v>273</v>
      </c>
      <c r="J187" s="34" t="s">
        <v>274</v>
      </c>
      <c r="K187" s="39">
        <f t="shared" si="47"/>
        <v>242</v>
      </c>
      <c r="L187" s="39">
        <v>254.2</v>
      </c>
      <c r="M187" s="15">
        <f t="shared" si="41"/>
        <v>12.199999999999989</v>
      </c>
      <c r="N187" s="15">
        <f>Rutas[[#This Row],[Kms Recorridos]]</f>
        <v>12.199999999999989</v>
      </c>
      <c r="O187" s="39"/>
      <c r="P187" s="36"/>
      <c r="Q187" s="16">
        <f t="shared" si="42"/>
        <v>0</v>
      </c>
      <c r="R187" s="34" t="s">
        <v>273</v>
      </c>
      <c r="S187" s="34" t="s">
        <v>102</v>
      </c>
      <c r="T187" s="36">
        <v>1.8</v>
      </c>
      <c r="U187" s="167">
        <f>Rutas[[#This Row],[Precio x Galón ($/gal)]]*Rutas[[#This Row],[Volumen de Combustible (gal)]]</f>
        <v>7.11</v>
      </c>
      <c r="V187" s="36"/>
      <c r="W187" s="36"/>
      <c r="X187" s="36"/>
      <c r="Y187" s="145">
        <f t="shared" si="43"/>
        <v>7.11</v>
      </c>
      <c r="Z187" s="567"/>
      <c r="AA187" s="12">
        <v>3.95</v>
      </c>
      <c r="AB187" s="12">
        <f t="shared" si="44"/>
        <v>3.0886075949367058</v>
      </c>
      <c r="AC187" s="12">
        <f t="shared" si="45"/>
        <v>0</v>
      </c>
      <c r="AD187" s="34"/>
    </row>
    <row r="188" spans="1:30" ht="16" x14ac:dyDescent="0.2">
      <c r="A188" s="47"/>
      <c r="B188" s="303"/>
      <c r="C188" s="176">
        <f t="shared" si="33"/>
        <v>185</v>
      </c>
      <c r="D188" s="146">
        <f t="shared" si="46"/>
        <v>45668</v>
      </c>
      <c r="E188" s="37">
        <v>45672</v>
      </c>
      <c r="F188" s="65" t="s">
        <v>308</v>
      </c>
      <c r="G188" s="11" t="str">
        <f ca="1">IF(AND(E188&lt;&gt;"",E188&lt;TODAY()),"Disponible",IFERROR(INDEX(Vehiculos[Estado Vehiculo],MATCH(F188,Vehiculos[Placa Vehiculo],0)),""))</f>
        <v>Disponible</v>
      </c>
      <c r="H188" s="34" t="s">
        <v>245</v>
      </c>
      <c r="I188" s="34" t="s">
        <v>273</v>
      </c>
      <c r="J188" s="34" t="s">
        <v>274</v>
      </c>
      <c r="K188" s="39">
        <f t="shared" si="47"/>
        <v>254.2</v>
      </c>
      <c r="L188" s="39">
        <v>287</v>
      </c>
      <c r="M188" s="15">
        <f t="shared" si="41"/>
        <v>32.800000000000011</v>
      </c>
      <c r="N188" s="15">
        <f>Rutas[[#This Row],[Kms Recorridos]]</f>
        <v>32.800000000000011</v>
      </c>
      <c r="O188" s="39"/>
      <c r="P188" s="36"/>
      <c r="Q188" s="16">
        <f t="shared" si="42"/>
        <v>0</v>
      </c>
      <c r="R188" s="34" t="s">
        <v>273</v>
      </c>
      <c r="S188" s="34" t="s">
        <v>102</v>
      </c>
      <c r="T188" s="36">
        <v>1.8</v>
      </c>
      <c r="U188" s="167">
        <f>Rutas[[#This Row],[Precio x Galón ($/gal)]]*Rutas[[#This Row],[Volumen de Combustible (gal)]]</f>
        <v>26.082000000000001</v>
      </c>
      <c r="V188" s="36"/>
      <c r="W188" s="36"/>
      <c r="X188" s="36"/>
      <c r="Y188" s="145">
        <f t="shared" si="43"/>
        <v>26.082000000000001</v>
      </c>
      <c r="Z188" s="567"/>
      <c r="AA188" s="12">
        <v>14.49</v>
      </c>
      <c r="AB188" s="12">
        <f t="shared" si="44"/>
        <v>2.2636300897170472</v>
      </c>
      <c r="AC188" s="12">
        <f t="shared" si="45"/>
        <v>0</v>
      </c>
      <c r="AD188" s="34"/>
    </row>
    <row r="189" spans="1:30" ht="16" x14ac:dyDescent="0.2">
      <c r="A189" s="47"/>
      <c r="B189" s="303"/>
      <c r="C189" s="176">
        <f t="shared" si="33"/>
        <v>186</v>
      </c>
      <c r="D189" s="146">
        <f t="shared" si="46"/>
        <v>45672</v>
      </c>
      <c r="E189" s="37">
        <v>45676</v>
      </c>
      <c r="F189" s="65" t="s">
        <v>308</v>
      </c>
      <c r="G189" s="11" t="str">
        <f ca="1">IF(AND(E189&lt;&gt;"",E189&lt;TODAY()),"Disponible",IFERROR(INDEX(Vehiculos[Estado Vehiculo],MATCH(F189,Vehiculos[Placa Vehiculo],0)),""))</f>
        <v>Disponible</v>
      </c>
      <c r="H189" s="34" t="s">
        <v>239</v>
      </c>
      <c r="I189" s="34" t="s">
        <v>273</v>
      </c>
      <c r="J189" s="34" t="s">
        <v>274</v>
      </c>
      <c r="K189" s="39">
        <f t="shared" si="47"/>
        <v>287</v>
      </c>
      <c r="L189" s="39">
        <v>295</v>
      </c>
      <c r="M189" s="15">
        <f t="shared" si="41"/>
        <v>8</v>
      </c>
      <c r="N189" s="15">
        <f>Rutas[[#This Row],[Kms Recorridos]]</f>
        <v>8</v>
      </c>
      <c r="O189" s="39"/>
      <c r="P189" s="36"/>
      <c r="Q189" s="16">
        <f t="shared" si="42"/>
        <v>0</v>
      </c>
      <c r="R189" s="34" t="s">
        <v>273</v>
      </c>
      <c r="S189" s="34" t="s">
        <v>102</v>
      </c>
      <c r="T189" s="36">
        <v>1.8</v>
      </c>
      <c r="U189" s="167">
        <f>Rutas[[#This Row],[Precio x Galón ($/gal)]]*Rutas[[#This Row],[Volumen de Combustible (gal)]]</f>
        <v>18.63</v>
      </c>
      <c r="V189" s="36"/>
      <c r="W189" s="36"/>
      <c r="X189" s="36"/>
      <c r="Y189" s="145">
        <f t="shared" si="43"/>
        <v>18.63</v>
      </c>
      <c r="Z189" s="567"/>
      <c r="AA189" s="12">
        <v>10.35</v>
      </c>
      <c r="AB189" s="12">
        <f t="shared" si="44"/>
        <v>0.77294685990338163</v>
      </c>
      <c r="AC189" s="12">
        <f t="shared" si="45"/>
        <v>0</v>
      </c>
      <c r="AD189" s="34"/>
    </row>
    <row r="190" spans="1:30" ht="16" x14ac:dyDescent="0.2">
      <c r="A190" s="47"/>
      <c r="B190" s="303"/>
      <c r="C190" s="176">
        <f t="shared" si="33"/>
        <v>187</v>
      </c>
      <c r="D190" s="146">
        <f t="shared" si="46"/>
        <v>45676</v>
      </c>
      <c r="E190" s="37">
        <v>45681</v>
      </c>
      <c r="F190" s="65" t="s">
        <v>308</v>
      </c>
      <c r="G190" s="11" t="str">
        <f ca="1">IF(AND(E190&lt;&gt;"",E190&lt;TODAY()),"Disponible",IFERROR(INDEX(Vehiculos[Estado Vehiculo],MATCH(F190,Vehiculos[Placa Vehiculo],0)),""))</f>
        <v>Disponible</v>
      </c>
      <c r="H190" s="34" t="s">
        <v>239</v>
      </c>
      <c r="I190" s="34" t="s">
        <v>273</v>
      </c>
      <c r="J190" s="34" t="s">
        <v>274</v>
      </c>
      <c r="K190" s="39">
        <f t="shared" si="47"/>
        <v>295</v>
      </c>
      <c r="L190" s="39">
        <v>318</v>
      </c>
      <c r="M190" s="15">
        <f t="shared" si="41"/>
        <v>23</v>
      </c>
      <c r="N190" s="15">
        <f>Rutas[[#This Row],[Kms Recorridos]]</f>
        <v>23</v>
      </c>
      <c r="O190" s="39"/>
      <c r="P190" s="36"/>
      <c r="Q190" s="16">
        <f t="shared" si="42"/>
        <v>0</v>
      </c>
      <c r="R190" s="34" t="s">
        <v>273</v>
      </c>
      <c r="S190" s="34" t="s">
        <v>102</v>
      </c>
      <c r="T190" s="36">
        <v>1.8</v>
      </c>
      <c r="U190" s="167">
        <f>Rutas[[#This Row],[Precio x Galón ($/gal)]]*Rutas[[#This Row],[Volumen de Combustible (gal)]]</f>
        <v>21.546000000000003</v>
      </c>
      <c r="V190" s="36"/>
      <c r="W190" s="36"/>
      <c r="X190" s="36"/>
      <c r="Y190" s="145">
        <f t="shared" si="43"/>
        <v>21.546000000000003</v>
      </c>
      <c r="Z190" s="567"/>
      <c r="AA190" s="12">
        <v>11.97</v>
      </c>
      <c r="AB190" s="12">
        <f t="shared" si="44"/>
        <v>1.921470342522974</v>
      </c>
      <c r="AC190" s="12">
        <f t="shared" si="45"/>
        <v>0</v>
      </c>
      <c r="AD190" s="34"/>
    </row>
    <row r="191" spans="1:30" ht="16" x14ac:dyDescent="0.2">
      <c r="A191" s="47"/>
      <c r="B191" s="303"/>
      <c r="C191" s="176">
        <f t="shared" si="33"/>
        <v>188</v>
      </c>
      <c r="D191" s="146">
        <f t="shared" si="46"/>
        <v>45681</v>
      </c>
      <c r="E191" s="37">
        <v>45683</v>
      </c>
      <c r="F191" s="65" t="s">
        <v>308</v>
      </c>
      <c r="G191" s="11" t="str">
        <f ca="1">IF(AND(E191&lt;&gt;"",E191&lt;TODAY()),"Disponible",IFERROR(INDEX(Vehiculos[Estado Vehiculo],MATCH(F191,Vehiculos[Placa Vehiculo],0)),""))</f>
        <v>Disponible</v>
      </c>
      <c r="H191" s="34" t="s">
        <v>237</v>
      </c>
      <c r="I191" s="34" t="s">
        <v>273</v>
      </c>
      <c r="J191" s="34" t="s">
        <v>274</v>
      </c>
      <c r="K191" s="39">
        <f t="shared" si="47"/>
        <v>318</v>
      </c>
      <c r="L191" s="39">
        <v>346</v>
      </c>
      <c r="M191" s="15">
        <f t="shared" si="41"/>
        <v>28</v>
      </c>
      <c r="N191" s="15">
        <f>Rutas[[#This Row],[Kms Recorridos]]</f>
        <v>28</v>
      </c>
      <c r="O191" s="39"/>
      <c r="P191" s="36"/>
      <c r="Q191" s="16">
        <f t="shared" si="42"/>
        <v>0</v>
      </c>
      <c r="R191" s="34" t="s">
        <v>273</v>
      </c>
      <c r="S191" s="34" t="s">
        <v>102</v>
      </c>
      <c r="T191" s="36">
        <v>1.8</v>
      </c>
      <c r="U191" s="167">
        <f>Rutas[[#This Row],[Precio x Galón ($/gal)]]*Rutas[[#This Row],[Volumen de Combustible (gal)]]</f>
        <v>11.933999999999999</v>
      </c>
      <c r="V191" s="36"/>
      <c r="W191" s="36"/>
      <c r="X191" s="36"/>
      <c r="Y191" s="145">
        <f t="shared" si="43"/>
        <v>11.933999999999999</v>
      </c>
      <c r="Z191" s="567"/>
      <c r="AA191" s="12">
        <v>6.63</v>
      </c>
      <c r="AB191" s="12">
        <f t="shared" si="44"/>
        <v>4.2232277526395174</v>
      </c>
      <c r="AC191" s="12">
        <f t="shared" si="45"/>
        <v>0</v>
      </c>
      <c r="AD191" s="34"/>
    </row>
    <row r="192" spans="1:30" ht="16" x14ac:dyDescent="0.2">
      <c r="A192" s="47"/>
      <c r="B192" s="303"/>
      <c r="C192" s="176">
        <f t="shared" si="33"/>
        <v>189</v>
      </c>
      <c r="D192" s="146">
        <f t="shared" si="46"/>
        <v>45683</v>
      </c>
      <c r="E192" s="37">
        <v>45685</v>
      </c>
      <c r="F192" s="65" t="s">
        <v>308</v>
      </c>
      <c r="G192" s="11" t="str">
        <f ca="1">IF(AND(E192&lt;&gt;"",E192&lt;TODAY()),"Disponible",IFERROR(INDEX(Vehiculos[Estado Vehiculo],MATCH(F192,Vehiculos[Placa Vehiculo],0)),""))</f>
        <v>Disponible</v>
      </c>
      <c r="H192" s="34" t="s">
        <v>237</v>
      </c>
      <c r="I192" s="34" t="s">
        <v>273</v>
      </c>
      <c r="J192" s="34" t="s">
        <v>274</v>
      </c>
      <c r="K192" s="39">
        <f t="shared" si="47"/>
        <v>346</v>
      </c>
      <c r="L192" s="39">
        <v>358</v>
      </c>
      <c r="M192" s="15">
        <f t="shared" si="41"/>
        <v>12</v>
      </c>
      <c r="N192" s="15">
        <f>Rutas[[#This Row],[Kms Recorridos]]</f>
        <v>12</v>
      </c>
      <c r="O192" s="39"/>
      <c r="P192" s="36"/>
      <c r="Q192" s="16">
        <f t="shared" si="42"/>
        <v>0</v>
      </c>
      <c r="R192" s="34" t="s">
        <v>273</v>
      </c>
      <c r="S192" s="34" t="s">
        <v>102</v>
      </c>
      <c r="T192" s="36">
        <v>1.8</v>
      </c>
      <c r="U192" s="167">
        <f>Rutas[[#This Row],[Precio x Galón ($/gal)]]*Rutas[[#This Row],[Volumen de Combustible (gal)]]</f>
        <v>11.628</v>
      </c>
      <c r="V192" s="36"/>
      <c r="W192" s="36"/>
      <c r="X192" s="36"/>
      <c r="Y192" s="145">
        <f t="shared" si="43"/>
        <v>11.628</v>
      </c>
      <c r="Z192" s="567"/>
      <c r="AA192" s="12">
        <v>6.46</v>
      </c>
      <c r="AB192" s="12">
        <f t="shared" si="44"/>
        <v>1.8575851393188854</v>
      </c>
      <c r="AC192" s="12">
        <f t="shared" si="45"/>
        <v>0</v>
      </c>
      <c r="AD192" s="34"/>
    </row>
    <row r="193" spans="1:30" ht="16" x14ac:dyDescent="0.2">
      <c r="A193" s="47"/>
      <c r="B193" s="303"/>
      <c r="C193" s="176">
        <f t="shared" si="33"/>
        <v>190</v>
      </c>
      <c r="D193" s="146">
        <f t="shared" si="46"/>
        <v>45685</v>
      </c>
      <c r="E193" s="37">
        <v>45687</v>
      </c>
      <c r="F193" s="65" t="s">
        <v>308</v>
      </c>
      <c r="G193" s="11" t="str">
        <f ca="1">IF(AND(E193&lt;&gt;"",E193&lt;TODAY()),"Disponible",IFERROR(INDEX(Vehiculos[Estado Vehiculo],MATCH(F193,Vehiculos[Placa Vehiculo],0)),""))</f>
        <v>Disponible</v>
      </c>
      <c r="H193" s="34" t="s">
        <v>237</v>
      </c>
      <c r="I193" s="34" t="s">
        <v>273</v>
      </c>
      <c r="J193" s="34" t="s">
        <v>274</v>
      </c>
      <c r="K193" s="39">
        <f t="shared" si="47"/>
        <v>358</v>
      </c>
      <c r="L193" s="39">
        <v>370</v>
      </c>
      <c r="M193" s="15">
        <f t="shared" si="41"/>
        <v>12</v>
      </c>
      <c r="N193" s="15">
        <f>Rutas[[#This Row],[Kms Recorridos]]</f>
        <v>12</v>
      </c>
      <c r="O193" s="39"/>
      <c r="P193" s="36"/>
      <c r="Q193" s="16">
        <f t="shared" si="42"/>
        <v>0</v>
      </c>
      <c r="R193" s="34" t="s">
        <v>273</v>
      </c>
      <c r="S193" s="34" t="s">
        <v>102</v>
      </c>
      <c r="T193" s="36">
        <v>1.8</v>
      </c>
      <c r="U193" s="167">
        <f>Rutas[[#This Row],[Precio x Galón ($/gal)]]*Rutas[[#This Row],[Volumen de Combustible (gal)]]</f>
        <v>12.366</v>
      </c>
      <c r="V193" s="36"/>
      <c r="W193" s="36"/>
      <c r="X193" s="36"/>
      <c r="Y193" s="145">
        <f t="shared" si="43"/>
        <v>12.366</v>
      </c>
      <c r="Z193" s="567"/>
      <c r="AA193" s="12">
        <v>6.87</v>
      </c>
      <c r="AB193" s="12">
        <f t="shared" si="44"/>
        <v>1.7467248908296944</v>
      </c>
      <c r="AC193" s="12">
        <f t="shared" si="45"/>
        <v>0</v>
      </c>
      <c r="AD193" s="34"/>
    </row>
    <row r="194" spans="1:30" ht="16" x14ac:dyDescent="0.2">
      <c r="A194" s="47"/>
      <c r="B194" s="303"/>
      <c r="C194" s="176">
        <f t="shared" si="33"/>
        <v>191</v>
      </c>
      <c r="D194" s="177">
        <v>45663</v>
      </c>
      <c r="E194" s="177">
        <v>45665</v>
      </c>
      <c r="F194" s="178" t="s">
        <v>310</v>
      </c>
      <c r="G194" s="179" t="str">
        <f ca="1">IF(AND(E194&lt;&gt;"",E194&lt;TODAY()),"Disponible",IFERROR(INDEX(Vehiculos[Estado Vehiculo],MATCH(F194,Vehiculos[Placa Vehiculo],0)),""))</f>
        <v>Disponible</v>
      </c>
      <c r="H194" s="180" t="s">
        <v>236</v>
      </c>
      <c r="I194" s="180" t="s">
        <v>273</v>
      </c>
      <c r="J194" s="180" t="s">
        <v>274</v>
      </c>
      <c r="K194" s="181">
        <v>2778</v>
      </c>
      <c r="L194" s="181">
        <v>2832</v>
      </c>
      <c r="M194" s="182">
        <f t="shared" si="41"/>
        <v>54</v>
      </c>
      <c r="N194" s="182">
        <f>Rutas[[#This Row],[Kms Recorridos]]</f>
        <v>54</v>
      </c>
      <c r="O194" s="181"/>
      <c r="P194" s="183"/>
      <c r="Q194" s="184">
        <f t="shared" si="42"/>
        <v>0</v>
      </c>
      <c r="R194" s="180" t="s">
        <v>273</v>
      </c>
      <c r="S194" s="180" t="s">
        <v>102</v>
      </c>
      <c r="T194" s="183">
        <v>1.8</v>
      </c>
      <c r="U194" s="186">
        <f>Rutas[[#This Row],[Precio x Galón ($/gal)]]*Rutas[[#This Row],[Volumen de Combustible (gal)]]</f>
        <v>23.796000000000003</v>
      </c>
      <c r="V194" s="183"/>
      <c r="W194" s="183"/>
      <c r="X194" s="183"/>
      <c r="Y194" s="184">
        <f t="shared" si="43"/>
        <v>23.796000000000003</v>
      </c>
      <c r="Z194" s="567"/>
      <c r="AA194" s="184">
        <v>13.22</v>
      </c>
      <c r="AB194" s="184">
        <f t="shared" si="44"/>
        <v>4.0847201210287443</v>
      </c>
      <c r="AC194" s="184">
        <f t="shared" si="45"/>
        <v>0</v>
      </c>
      <c r="AD194" s="180"/>
    </row>
    <row r="195" spans="1:30" ht="16" x14ac:dyDescent="0.2">
      <c r="A195" s="47"/>
      <c r="B195" s="303"/>
      <c r="C195" s="176">
        <f t="shared" si="33"/>
        <v>192</v>
      </c>
      <c r="D195" s="146">
        <f>E194</f>
        <v>45665</v>
      </c>
      <c r="E195" s="37">
        <v>45671</v>
      </c>
      <c r="F195" s="65" t="s">
        <v>310</v>
      </c>
      <c r="G195" s="11" t="str">
        <f ca="1">IF(AND(E195&lt;&gt;"",E195&lt;TODAY()),"Disponible",IFERROR(INDEX(Vehiculos[Estado Vehiculo],MATCH(F195,Vehiculos[Placa Vehiculo],0)),""))</f>
        <v>Disponible</v>
      </c>
      <c r="H195" s="34" t="s">
        <v>236</v>
      </c>
      <c r="I195" s="34" t="s">
        <v>273</v>
      </c>
      <c r="J195" s="34" t="s">
        <v>274</v>
      </c>
      <c r="K195" s="39">
        <f>L194</f>
        <v>2832</v>
      </c>
      <c r="L195" s="39">
        <v>2847</v>
      </c>
      <c r="M195" s="15">
        <f t="shared" si="41"/>
        <v>15</v>
      </c>
      <c r="N195" s="15">
        <f>Rutas[[#This Row],[Kms Recorridos]]</f>
        <v>15</v>
      </c>
      <c r="O195" s="39"/>
      <c r="P195" s="36"/>
      <c r="Q195" s="16">
        <f t="shared" si="42"/>
        <v>0</v>
      </c>
      <c r="R195" s="34" t="s">
        <v>273</v>
      </c>
      <c r="S195" s="34" t="s">
        <v>102</v>
      </c>
      <c r="T195" s="36">
        <v>1.8</v>
      </c>
      <c r="U195" s="167">
        <f>Rutas[[#This Row],[Precio x Galón ($/gal)]]*Rutas[[#This Row],[Volumen de Combustible (gal)]]</f>
        <v>16.541999999999998</v>
      </c>
      <c r="V195" s="36"/>
      <c r="W195" s="36"/>
      <c r="X195" s="36"/>
      <c r="Y195" s="145">
        <f t="shared" si="43"/>
        <v>16.541999999999998</v>
      </c>
      <c r="Z195" s="567"/>
      <c r="AA195" s="12">
        <v>9.19</v>
      </c>
      <c r="AB195" s="12">
        <f t="shared" si="44"/>
        <v>1.632208922742111</v>
      </c>
      <c r="AC195" s="12">
        <f t="shared" si="45"/>
        <v>0</v>
      </c>
      <c r="AD195" s="34"/>
    </row>
    <row r="196" spans="1:30" ht="16" x14ac:dyDescent="0.2">
      <c r="A196" s="47"/>
      <c r="B196" s="303"/>
      <c r="C196" s="176">
        <f t="shared" ref="C196:C259" si="48">ROW(A193)</f>
        <v>193</v>
      </c>
      <c r="D196" s="146">
        <f>E195</f>
        <v>45671</v>
      </c>
      <c r="E196" s="37">
        <v>45674</v>
      </c>
      <c r="F196" s="65" t="s">
        <v>310</v>
      </c>
      <c r="G196" s="11" t="str">
        <f ca="1">IF(AND(E196&lt;&gt;"",E196&lt;TODAY()),"Disponible",IFERROR(INDEX(Vehiculos[Estado Vehiculo],MATCH(F196,Vehiculos[Placa Vehiculo],0)),""))</f>
        <v>Disponible</v>
      </c>
      <c r="H196" s="34" t="s">
        <v>246</v>
      </c>
      <c r="I196" s="34" t="s">
        <v>273</v>
      </c>
      <c r="J196" s="34" t="s">
        <v>274</v>
      </c>
      <c r="K196" s="39">
        <f>L195</f>
        <v>2847</v>
      </c>
      <c r="L196" s="39">
        <v>2899</v>
      </c>
      <c r="M196" s="15">
        <f t="shared" si="41"/>
        <v>52</v>
      </c>
      <c r="N196" s="15">
        <f>Rutas[[#This Row],[Kms Recorridos]]</f>
        <v>52</v>
      </c>
      <c r="O196" s="39"/>
      <c r="P196" s="36"/>
      <c r="Q196" s="16">
        <f t="shared" si="42"/>
        <v>0</v>
      </c>
      <c r="R196" s="34" t="s">
        <v>273</v>
      </c>
      <c r="S196" s="34" t="s">
        <v>102</v>
      </c>
      <c r="T196" s="36">
        <v>1.8</v>
      </c>
      <c r="U196" s="167">
        <f>Rutas[[#This Row],[Precio x Galón ($/gal)]]*Rutas[[#This Row],[Volumen de Combustible (gal)]]</f>
        <v>25.091999999999999</v>
      </c>
      <c r="V196" s="36"/>
      <c r="W196" s="36"/>
      <c r="X196" s="36"/>
      <c r="Y196" s="145">
        <f t="shared" si="43"/>
        <v>25.091999999999999</v>
      </c>
      <c r="Z196" s="567"/>
      <c r="AA196" s="12">
        <v>13.94</v>
      </c>
      <c r="AB196" s="12">
        <f t="shared" si="44"/>
        <v>3.7302725968436157</v>
      </c>
      <c r="AC196" s="12">
        <f t="shared" si="45"/>
        <v>0</v>
      </c>
      <c r="AD196" s="34"/>
    </row>
    <row r="197" spans="1:30" ht="16" x14ac:dyDescent="0.2">
      <c r="A197" s="47"/>
      <c r="B197" s="303"/>
      <c r="C197" s="176">
        <f t="shared" si="48"/>
        <v>194</v>
      </c>
      <c r="D197" s="146">
        <f>E196</f>
        <v>45674</v>
      </c>
      <c r="E197" s="37">
        <v>45678</v>
      </c>
      <c r="F197" s="65" t="s">
        <v>310</v>
      </c>
      <c r="G197" s="11" t="str">
        <f ca="1">IF(AND(E197&lt;&gt;"",E197&lt;TODAY()),"Disponible",IFERROR(INDEX(Vehiculos[Estado Vehiculo],MATCH(F197,Vehiculos[Placa Vehiculo],0)),""))</f>
        <v>Disponible</v>
      </c>
      <c r="H197" s="34" t="s">
        <v>246</v>
      </c>
      <c r="I197" s="34" t="s">
        <v>273</v>
      </c>
      <c r="J197" s="34" t="s">
        <v>274</v>
      </c>
      <c r="K197" s="39">
        <f>L196</f>
        <v>2899</v>
      </c>
      <c r="L197" s="39">
        <v>2925</v>
      </c>
      <c r="M197" s="15">
        <f t="shared" si="41"/>
        <v>26</v>
      </c>
      <c r="N197" s="15">
        <f>Rutas[[#This Row],[Kms Recorridos]]</f>
        <v>26</v>
      </c>
      <c r="O197" s="39"/>
      <c r="P197" s="36"/>
      <c r="Q197" s="16">
        <f t="shared" si="42"/>
        <v>0</v>
      </c>
      <c r="R197" s="34" t="s">
        <v>273</v>
      </c>
      <c r="S197" s="34" t="s">
        <v>102</v>
      </c>
      <c r="T197" s="36">
        <v>1.8</v>
      </c>
      <c r="U197" s="167">
        <f>Rutas[[#This Row],[Precio x Galón ($/gal)]]*Rutas[[#This Row],[Volumen de Combustible (gal)]]</f>
        <v>24.965999999999998</v>
      </c>
      <c r="V197" s="36"/>
      <c r="W197" s="36"/>
      <c r="X197" s="36"/>
      <c r="Y197" s="145">
        <f t="shared" si="43"/>
        <v>24.965999999999998</v>
      </c>
      <c r="Z197" s="567"/>
      <c r="AA197" s="12">
        <v>13.87</v>
      </c>
      <c r="AB197" s="12">
        <f t="shared" si="44"/>
        <v>1.8745493871665466</v>
      </c>
      <c r="AC197" s="12">
        <f t="shared" si="45"/>
        <v>0</v>
      </c>
      <c r="AD197" s="34"/>
    </row>
    <row r="198" spans="1:30" ht="16" x14ac:dyDescent="0.2">
      <c r="A198" s="47"/>
      <c r="B198" s="303"/>
      <c r="C198" s="176">
        <f t="shared" si="48"/>
        <v>195</v>
      </c>
      <c r="D198" s="146">
        <f>E197</f>
        <v>45678</v>
      </c>
      <c r="E198" s="37">
        <v>45683</v>
      </c>
      <c r="F198" s="65" t="s">
        <v>310</v>
      </c>
      <c r="G198" s="11" t="str">
        <f ca="1">IF(AND(E198&lt;&gt;"",E198&lt;TODAY()),"Disponible",IFERROR(INDEX(Vehiculos[Estado Vehiculo],MATCH(F198,Vehiculos[Placa Vehiculo],0)),""))</f>
        <v>Disponible</v>
      </c>
      <c r="H198" s="34" t="s">
        <v>231</v>
      </c>
      <c r="I198" s="34" t="s">
        <v>273</v>
      </c>
      <c r="J198" s="34" t="s">
        <v>274</v>
      </c>
      <c r="K198" s="39">
        <f>L197</f>
        <v>2925</v>
      </c>
      <c r="L198" s="39">
        <v>2958</v>
      </c>
      <c r="M198" s="15">
        <f t="shared" si="41"/>
        <v>33</v>
      </c>
      <c r="N198" s="15">
        <f>Rutas[[#This Row],[Kms Recorridos]]</f>
        <v>33</v>
      </c>
      <c r="O198" s="39"/>
      <c r="P198" s="36"/>
      <c r="Q198" s="16">
        <f t="shared" si="42"/>
        <v>0</v>
      </c>
      <c r="R198" s="34" t="s">
        <v>273</v>
      </c>
      <c r="S198" s="34" t="s">
        <v>102</v>
      </c>
      <c r="T198" s="36">
        <v>1.8</v>
      </c>
      <c r="U198" s="167">
        <f>Rutas[[#This Row],[Precio x Galón ($/gal)]]*Rutas[[#This Row],[Volumen de Combustible (gal)]]</f>
        <v>30.438000000000002</v>
      </c>
      <c r="V198" s="36"/>
      <c r="W198" s="36"/>
      <c r="X198" s="36"/>
      <c r="Y198" s="145">
        <f t="shared" si="43"/>
        <v>30.438000000000002</v>
      </c>
      <c r="Z198" s="567"/>
      <c r="AA198" s="12">
        <v>16.91</v>
      </c>
      <c r="AB198" s="12">
        <f t="shared" si="44"/>
        <v>1.9515079834417504</v>
      </c>
      <c r="AC198" s="12">
        <f t="shared" si="45"/>
        <v>0</v>
      </c>
      <c r="AD198" s="34"/>
    </row>
    <row r="199" spans="1:30" ht="16" x14ac:dyDescent="0.2">
      <c r="A199" s="47"/>
      <c r="B199" s="303"/>
      <c r="C199" s="176">
        <f t="shared" si="48"/>
        <v>196</v>
      </c>
      <c r="D199" s="146">
        <f>E198</f>
        <v>45683</v>
      </c>
      <c r="E199" s="37">
        <v>45687</v>
      </c>
      <c r="F199" s="65" t="s">
        <v>310</v>
      </c>
      <c r="G199" s="11" t="str">
        <f ca="1">IF(AND(E199&lt;&gt;"",E199&lt;TODAY()),"Disponible",IFERROR(INDEX(Vehiculos[Estado Vehiculo],MATCH(F199,Vehiculos[Placa Vehiculo],0)),""))</f>
        <v>Disponible</v>
      </c>
      <c r="H199" s="34" t="s">
        <v>231</v>
      </c>
      <c r="I199" s="34" t="s">
        <v>273</v>
      </c>
      <c r="J199" s="34" t="s">
        <v>274</v>
      </c>
      <c r="K199" s="39">
        <f>L198</f>
        <v>2958</v>
      </c>
      <c r="L199" s="39">
        <v>3000</v>
      </c>
      <c r="M199" s="15">
        <f t="shared" si="41"/>
        <v>42</v>
      </c>
      <c r="N199" s="15">
        <f>Rutas[[#This Row],[Kms Recorridos]]</f>
        <v>42</v>
      </c>
      <c r="O199" s="39"/>
      <c r="P199" s="36"/>
      <c r="Q199" s="16">
        <f t="shared" si="42"/>
        <v>0</v>
      </c>
      <c r="R199" s="34" t="s">
        <v>273</v>
      </c>
      <c r="S199" s="34" t="s">
        <v>102</v>
      </c>
      <c r="T199" s="36">
        <v>1.8</v>
      </c>
      <c r="U199" s="167">
        <f>Rutas[[#This Row],[Precio x Galón ($/gal)]]*Rutas[[#This Row],[Volumen de Combustible (gal)]]</f>
        <v>29.538</v>
      </c>
      <c r="V199" s="36"/>
      <c r="W199" s="36"/>
      <c r="X199" s="36"/>
      <c r="Y199" s="145">
        <f t="shared" si="43"/>
        <v>29.538</v>
      </c>
      <c r="Z199" s="567"/>
      <c r="AA199" s="12">
        <v>16.41</v>
      </c>
      <c r="AB199" s="12">
        <f t="shared" si="44"/>
        <v>2.5594149908592323</v>
      </c>
      <c r="AC199" s="12">
        <f t="shared" si="45"/>
        <v>0</v>
      </c>
      <c r="AD199" s="34"/>
    </row>
    <row r="200" spans="1:30" ht="16" x14ac:dyDescent="0.2">
      <c r="A200" s="47"/>
      <c r="B200" s="303"/>
      <c r="C200" s="176">
        <f t="shared" si="48"/>
        <v>197</v>
      </c>
      <c r="D200" s="177">
        <v>45671</v>
      </c>
      <c r="E200" s="177">
        <v>45686</v>
      </c>
      <c r="F200" s="178" t="s">
        <v>311</v>
      </c>
      <c r="G200" s="179" t="str">
        <f ca="1">IF(AND(E200&lt;&gt;"",E200&lt;TODAY()),"Disponible",IFERROR(INDEX(Vehiculos[Estado Vehiculo],MATCH(F200,Vehiculos[Placa Vehiculo],0)),""))</f>
        <v>Disponible</v>
      </c>
      <c r="H200" s="180" t="s">
        <v>305</v>
      </c>
      <c r="I200" s="180" t="s">
        <v>273</v>
      </c>
      <c r="J200" s="180" t="s">
        <v>274</v>
      </c>
      <c r="K200" s="181">
        <v>1063</v>
      </c>
      <c r="L200" s="181">
        <v>1091</v>
      </c>
      <c r="M200" s="182">
        <f t="shared" si="41"/>
        <v>28</v>
      </c>
      <c r="N200" s="182">
        <f>Rutas[[#This Row],[Kms Recorridos]]</f>
        <v>28</v>
      </c>
      <c r="O200" s="181"/>
      <c r="P200" s="183"/>
      <c r="Q200" s="184">
        <f t="shared" si="42"/>
        <v>0</v>
      </c>
      <c r="R200" s="180" t="s">
        <v>273</v>
      </c>
      <c r="S200" s="180" t="s">
        <v>102</v>
      </c>
      <c r="T200" s="183">
        <v>1.8</v>
      </c>
      <c r="U200" s="186">
        <f>Rutas[[#This Row],[Precio x Galón ($/gal)]]*Rutas[[#This Row],[Volumen de Combustible (gal)]]</f>
        <v>20.07</v>
      </c>
      <c r="V200" s="183"/>
      <c r="W200" s="183"/>
      <c r="X200" s="183"/>
      <c r="Y200" s="184">
        <f t="shared" si="43"/>
        <v>20.07</v>
      </c>
      <c r="Z200" s="567"/>
      <c r="AA200" s="184">
        <v>11.15</v>
      </c>
      <c r="AB200" s="184">
        <f t="shared" si="44"/>
        <v>2.5112107623318383</v>
      </c>
      <c r="AC200" s="184">
        <f t="shared" si="45"/>
        <v>0</v>
      </c>
      <c r="AD200" s="180"/>
    </row>
    <row r="201" spans="1:30" ht="16" x14ac:dyDescent="0.2">
      <c r="A201" s="47"/>
      <c r="B201" s="303"/>
      <c r="C201" s="176">
        <f t="shared" si="48"/>
        <v>198</v>
      </c>
      <c r="D201" s="146">
        <v>45686</v>
      </c>
      <c r="E201" s="37" t="s">
        <v>315</v>
      </c>
      <c r="F201" s="65" t="s">
        <v>311</v>
      </c>
      <c r="G201" s="11" t="str">
        <f ca="1">IF(AND(E201&lt;&gt;"",E201&lt;TODAY()),"Disponible",IFERROR(INDEX(Vehiculos[Estado Vehiculo],MATCH(F201,Vehiculos[Placa Vehiculo],0)),""))</f>
        <v>Disponible</v>
      </c>
      <c r="H201" s="34" t="s">
        <v>247</v>
      </c>
      <c r="I201" s="34" t="s">
        <v>273</v>
      </c>
      <c r="J201" s="34" t="s">
        <v>274</v>
      </c>
      <c r="K201" s="39">
        <f>L200</f>
        <v>1091</v>
      </c>
      <c r="L201" s="39">
        <v>1120</v>
      </c>
      <c r="M201" s="15">
        <f t="shared" si="41"/>
        <v>29</v>
      </c>
      <c r="N201" s="15">
        <f>Rutas[[#This Row],[Kms Recorridos]]</f>
        <v>29</v>
      </c>
      <c r="O201" s="39"/>
      <c r="P201" s="36"/>
      <c r="Q201" s="16">
        <f t="shared" si="42"/>
        <v>0</v>
      </c>
      <c r="R201" s="34" t="s">
        <v>273</v>
      </c>
      <c r="S201" s="34" t="s">
        <v>102</v>
      </c>
      <c r="T201" s="36">
        <v>1.8</v>
      </c>
      <c r="U201" s="167">
        <f>Rutas[[#This Row],[Precio x Galón ($/gal)]]*Rutas[[#This Row],[Volumen de Combustible (gal)]]</f>
        <v>28.962</v>
      </c>
      <c r="V201" s="36"/>
      <c r="W201" s="36"/>
      <c r="X201" s="36"/>
      <c r="Y201" s="145">
        <f t="shared" si="43"/>
        <v>28.962</v>
      </c>
      <c r="Z201" s="567"/>
      <c r="AA201" s="12">
        <v>16.09</v>
      </c>
      <c r="AB201" s="12">
        <f t="shared" si="44"/>
        <v>1.8023617153511498</v>
      </c>
      <c r="AC201" s="12">
        <f t="shared" si="45"/>
        <v>0</v>
      </c>
      <c r="AD201" s="34"/>
    </row>
    <row r="202" spans="1:30" ht="16" x14ac:dyDescent="0.2">
      <c r="A202" s="47"/>
      <c r="B202" s="303"/>
      <c r="C202" s="176">
        <f t="shared" si="48"/>
        <v>199</v>
      </c>
      <c r="D202" s="177">
        <v>45659</v>
      </c>
      <c r="E202" s="177">
        <v>45666</v>
      </c>
      <c r="F202" s="178" t="s">
        <v>312</v>
      </c>
      <c r="G202" s="179" t="str">
        <f ca="1">IF(AND(E202&lt;&gt;"",E202&lt;TODAY()),"Disponible",IFERROR(INDEX(Vehiculos[Estado Vehiculo],MATCH(F202,Vehiculos[Placa Vehiculo],0)),""))</f>
        <v>Disponible</v>
      </c>
      <c r="H202" s="180" t="s">
        <v>229</v>
      </c>
      <c r="I202" s="180" t="s">
        <v>273</v>
      </c>
      <c r="J202" s="180" t="s">
        <v>274</v>
      </c>
      <c r="K202" s="181">
        <v>3142</v>
      </c>
      <c r="L202" s="181">
        <v>3150</v>
      </c>
      <c r="M202" s="182">
        <f t="shared" si="41"/>
        <v>8</v>
      </c>
      <c r="N202" s="182">
        <f>Rutas[[#This Row],[Kms Recorridos]]</f>
        <v>8</v>
      </c>
      <c r="O202" s="181"/>
      <c r="P202" s="183"/>
      <c r="Q202" s="184">
        <f t="shared" si="42"/>
        <v>0</v>
      </c>
      <c r="R202" s="180" t="s">
        <v>273</v>
      </c>
      <c r="S202" s="180" t="s">
        <v>102</v>
      </c>
      <c r="T202" s="183">
        <v>1.8</v>
      </c>
      <c r="U202" s="167">
        <f>Rutas[[#This Row],[Precio x Galón ($/gal)]]*Rutas[[#This Row],[Volumen de Combustible (gal)]]</f>
        <v>35.225999999999999</v>
      </c>
      <c r="V202" s="183"/>
      <c r="W202" s="183"/>
      <c r="X202" s="183"/>
      <c r="Y202" s="184">
        <f t="shared" si="43"/>
        <v>35.225999999999999</v>
      </c>
      <c r="Z202" s="567"/>
      <c r="AA202" s="184">
        <v>19.57</v>
      </c>
      <c r="AB202" s="184">
        <f t="shared" si="44"/>
        <v>0.40878896269800713</v>
      </c>
      <c r="AC202" s="184">
        <f t="shared" si="45"/>
        <v>0</v>
      </c>
      <c r="AD202" s="180"/>
    </row>
    <row r="203" spans="1:30" ht="16" x14ac:dyDescent="0.2">
      <c r="A203" s="47"/>
      <c r="B203" s="303"/>
      <c r="C203" s="176">
        <f t="shared" si="48"/>
        <v>200</v>
      </c>
      <c r="D203" s="146">
        <f>E202</f>
        <v>45666</v>
      </c>
      <c r="E203" s="37">
        <v>45668</v>
      </c>
      <c r="F203" s="65" t="s">
        <v>312</v>
      </c>
      <c r="G203" s="11" t="str">
        <f ca="1">IF(AND(E203&lt;&gt;"",E203&lt;TODAY()),"Disponible",IFERROR(INDEX(Vehiculos[Estado Vehiculo],MATCH(F203,Vehiculos[Placa Vehiculo],0)),""))</f>
        <v>Disponible</v>
      </c>
      <c r="H203" s="34" t="s">
        <v>229</v>
      </c>
      <c r="I203" s="34" t="s">
        <v>273</v>
      </c>
      <c r="J203" s="34" t="s">
        <v>274</v>
      </c>
      <c r="K203" s="39">
        <v>3155</v>
      </c>
      <c r="L203" s="39">
        <v>3163</v>
      </c>
      <c r="M203" s="15">
        <f t="shared" si="41"/>
        <v>8</v>
      </c>
      <c r="N203" s="15">
        <f>Rutas[[#This Row],[Kms Recorridos]]</f>
        <v>8</v>
      </c>
      <c r="O203" s="39"/>
      <c r="P203" s="36"/>
      <c r="Q203" s="16">
        <f t="shared" si="42"/>
        <v>0</v>
      </c>
      <c r="R203" s="34" t="s">
        <v>273</v>
      </c>
      <c r="S203" s="34" t="s">
        <v>102</v>
      </c>
      <c r="T203" s="36">
        <v>1.8</v>
      </c>
      <c r="U203" s="167">
        <f>Rutas[[#This Row],[Precio x Galón ($/gal)]]*Rutas[[#This Row],[Volumen de Combustible (gal)]]</f>
        <v>32.921999999999997</v>
      </c>
      <c r="V203" s="36"/>
      <c r="W203" s="36"/>
      <c r="X203" s="36"/>
      <c r="Y203" s="145">
        <f t="shared" si="43"/>
        <v>32.921999999999997</v>
      </c>
      <c r="Z203" s="567"/>
      <c r="AA203" s="12">
        <v>18.29</v>
      </c>
      <c r="AB203" s="12">
        <f t="shared" si="44"/>
        <v>0.43739748496446146</v>
      </c>
      <c r="AC203" s="12">
        <f t="shared" si="45"/>
        <v>0</v>
      </c>
      <c r="AD203" s="34"/>
    </row>
    <row r="204" spans="1:30" ht="16" x14ac:dyDescent="0.2">
      <c r="A204" s="47"/>
      <c r="B204" s="303"/>
      <c r="C204" s="176">
        <f t="shared" si="48"/>
        <v>201</v>
      </c>
      <c r="D204" s="146">
        <f>E203</f>
        <v>45668</v>
      </c>
      <c r="E204" s="37">
        <v>45673</v>
      </c>
      <c r="F204" s="65" t="s">
        <v>312</v>
      </c>
      <c r="G204" s="11" t="str">
        <f ca="1">IF(AND(E204&lt;&gt;"",E204&lt;TODAY()),"Disponible",IFERROR(INDEX(Vehiculos[Estado Vehiculo],MATCH(F204,Vehiculos[Placa Vehiculo],0)),""))</f>
        <v>Disponible</v>
      </c>
      <c r="H204" s="34" t="s">
        <v>238</v>
      </c>
      <c r="I204" s="34" t="s">
        <v>273</v>
      </c>
      <c r="J204" s="34" t="s">
        <v>274</v>
      </c>
      <c r="K204" s="39">
        <v>3163</v>
      </c>
      <c r="L204" s="39">
        <v>3167</v>
      </c>
      <c r="M204" s="15">
        <f t="shared" si="41"/>
        <v>4</v>
      </c>
      <c r="N204" s="15">
        <f>Rutas[[#This Row],[Kms Recorridos]]</f>
        <v>4</v>
      </c>
      <c r="O204" s="39"/>
      <c r="P204" s="36"/>
      <c r="Q204" s="16">
        <f t="shared" si="42"/>
        <v>0</v>
      </c>
      <c r="R204" s="34" t="s">
        <v>273</v>
      </c>
      <c r="S204" s="34" t="s">
        <v>102</v>
      </c>
      <c r="T204" s="36">
        <v>1.8</v>
      </c>
      <c r="U204" s="167">
        <f>Rutas[[#This Row],[Precio x Galón ($/gal)]]*Rutas[[#This Row],[Volumen de Combustible (gal)]]</f>
        <v>17.135999999999999</v>
      </c>
      <c r="V204" s="36"/>
      <c r="W204" s="36"/>
      <c r="X204" s="36"/>
      <c r="Y204" s="145">
        <f t="shared" si="43"/>
        <v>17.135999999999999</v>
      </c>
      <c r="Z204" s="567"/>
      <c r="AA204" s="12">
        <v>9.52</v>
      </c>
      <c r="AB204" s="12">
        <f t="shared" si="44"/>
        <v>0.42016806722689076</v>
      </c>
      <c r="AC204" s="12">
        <f t="shared" si="45"/>
        <v>0</v>
      </c>
      <c r="AD204" s="34"/>
    </row>
    <row r="205" spans="1:30" ht="16" x14ac:dyDescent="0.2">
      <c r="A205" s="47"/>
      <c r="B205" s="303"/>
      <c r="C205" s="176">
        <f t="shared" si="48"/>
        <v>202</v>
      </c>
      <c r="D205" s="146">
        <f>E204</f>
        <v>45673</v>
      </c>
      <c r="E205" s="37">
        <v>45680</v>
      </c>
      <c r="F205" s="65" t="s">
        <v>312</v>
      </c>
      <c r="G205" s="11" t="str">
        <f ca="1">IF(AND(E205&lt;&gt;"",E205&lt;TODAY()),"Disponible",IFERROR(INDEX(Vehiculos[Estado Vehiculo],MATCH(F205,Vehiculos[Placa Vehiculo],0)),""))</f>
        <v>Disponible</v>
      </c>
      <c r="H205" s="34" t="s">
        <v>238</v>
      </c>
      <c r="I205" s="34" t="s">
        <v>273</v>
      </c>
      <c r="J205" s="34" t="s">
        <v>274</v>
      </c>
      <c r="K205" s="39">
        <v>3169</v>
      </c>
      <c r="L205" s="39">
        <v>3172</v>
      </c>
      <c r="M205" s="15">
        <f t="shared" si="41"/>
        <v>3</v>
      </c>
      <c r="N205" s="15">
        <f>Rutas[[#This Row],[Kms Recorridos]]</f>
        <v>3</v>
      </c>
      <c r="O205" s="39"/>
      <c r="P205" s="36"/>
      <c r="Q205" s="16">
        <f t="shared" si="42"/>
        <v>0</v>
      </c>
      <c r="R205" s="34" t="s">
        <v>273</v>
      </c>
      <c r="S205" s="34" t="s">
        <v>102</v>
      </c>
      <c r="T205" s="36">
        <v>1.8</v>
      </c>
      <c r="U205" s="167">
        <f>Rutas[[#This Row],[Precio x Galón ($/gal)]]*Rutas[[#This Row],[Volumen de Combustible (gal)]]</f>
        <v>19.314</v>
      </c>
      <c r="V205" s="36"/>
      <c r="W205" s="36"/>
      <c r="X205" s="36"/>
      <c r="Y205" s="145">
        <f t="shared" si="43"/>
        <v>19.314</v>
      </c>
      <c r="Z205" s="567"/>
      <c r="AA205" s="12">
        <v>10.73</v>
      </c>
      <c r="AB205" s="12">
        <f t="shared" si="44"/>
        <v>0.27958993476234856</v>
      </c>
      <c r="AC205" s="12">
        <f t="shared" si="45"/>
        <v>0</v>
      </c>
      <c r="AD205" s="34"/>
    </row>
    <row r="206" spans="1:30" ht="16" x14ac:dyDescent="0.2">
      <c r="A206" s="47"/>
      <c r="B206" s="303"/>
      <c r="C206" s="176">
        <f t="shared" si="48"/>
        <v>203</v>
      </c>
      <c r="D206" s="146">
        <f>E205</f>
        <v>45680</v>
      </c>
      <c r="E206" s="37">
        <v>45687</v>
      </c>
      <c r="F206" s="65" t="s">
        <v>312</v>
      </c>
      <c r="G206" s="11" t="str">
        <f ca="1">IF(AND(E206&lt;&gt;"",E206&lt;TODAY()),"Disponible",IFERROR(INDEX(Vehiculos[Estado Vehiculo],MATCH(F206,Vehiculos[Placa Vehiculo],0)),""))</f>
        <v>Disponible</v>
      </c>
      <c r="H206" s="34" t="s">
        <v>238</v>
      </c>
      <c r="I206" s="34" t="s">
        <v>273</v>
      </c>
      <c r="J206" s="34" t="s">
        <v>274</v>
      </c>
      <c r="K206" s="39">
        <v>3172</v>
      </c>
      <c r="L206" s="39">
        <v>3173</v>
      </c>
      <c r="M206" s="15">
        <f t="shared" si="41"/>
        <v>1</v>
      </c>
      <c r="N206" s="15">
        <f>Rutas[[#This Row],[Kms Recorridos]]</f>
        <v>1</v>
      </c>
      <c r="O206" s="39"/>
      <c r="P206" s="36"/>
      <c r="Q206" s="16">
        <f t="shared" si="42"/>
        <v>0</v>
      </c>
      <c r="R206" s="34" t="s">
        <v>273</v>
      </c>
      <c r="S206" s="34" t="s">
        <v>102</v>
      </c>
      <c r="T206" s="36">
        <v>1.8</v>
      </c>
      <c r="U206" s="167">
        <f>Rutas[[#This Row],[Precio x Galón ($/gal)]]*Rutas[[#This Row],[Volumen de Combustible (gal)]]</f>
        <v>20.321999999999999</v>
      </c>
      <c r="V206" s="36"/>
      <c r="W206" s="36"/>
      <c r="X206" s="36"/>
      <c r="Y206" s="145">
        <f t="shared" si="43"/>
        <v>20.321999999999999</v>
      </c>
      <c r="Z206" s="567"/>
      <c r="AA206" s="12">
        <v>11.29</v>
      </c>
      <c r="AB206" s="12">
        <f t="shared" si="44"/>
        <v>8.8573959255978746E-2</v>
      </c>
      <c r="AC206" s="12">
        <f t="shared" si="45"/>
        <v>0</v>
      </c>
      <c r="AD206" s="34"/>
    </row>
    <row r="207" spans="1:30" ht="16" x14ac:dyDescent="0.2">
      <c r="A207" s="47"/>
      <c r="B207" s="303"/>
      <c r="C207" s="176">
        <f t="shared" si="48"/>
        <v>204</v>
      </c>
      <c r="D207" s="177">
        <v>45659</v>
      </c>
      <c r="E207" s="177">
        <v>45685</v>
      </c>
      <c r="F207" s="178" t="s">
        <v>313</v>
      </c>
      <c r="G207" s="179" t="str">
        <f ca="1">IF(AND(E207&lt;&gt;"",E207&lt;TODAY()),"Disponible",IFERROR(INDEX(Vehiculos[Estado Vehiculo],MATCH(F207,Vehiculos[Placa Vehiculo],0)),""))</f>
        <v>Disponible</v>
      </c>
      <c r="H207" s="180" t="s">
        <v>250</v>
      </c>
      <c r="I207" s="180" t="s">
        <v>273</v>
      </c>
      <c r="J207" s="180" t="s">
        <v>274</v>
      </c>
      <c r="K207" s="181">
        <v>2474.1999999999998</v>
      </c>
      <c r="L207" s="181">
        <v>2505</v>
      </c>
      <c r="M207" s="182">
        <f t="shared" si="41"/>
        <v>30.800000000000182</v>
      </c>
      <c r="N207" s="182">
        <f>Rutas[[#This Row],[Kms Recorridos]]</f>
        <v>30.800000000000182</v>
      </c>
      <c r="O207" s="181"/>
      <c r="P207" s="183"/>
      <c r="Q207" s="184">
        <f t="shared" si="42"/>
        <v>0</v>
      </c>
      <c r="R207" s="180" t="s">
        <v>273</v>
      </c>
      <c r="S207" s="180" t="s">
        <v>102</v>
      </c>
      <c r="T207" s="183">
        <v>1.8</v>
      </c>
      <c r="U207" s="186"/>
      <c r="V207" s="183"/>
      <c r="W207" s="183"/>
      <c r="X207" s="183"/>
      <c r="Y207" s="184">
        <f t="shared" si="43"/>
        <v>0</v>
      </c>
      <c r="Z207" s="567"/>
      <c r="AA207" s="184">
        <v>12.15</v>
      </c>
      <c r="AB207" s="184">
        <f t="shared" si="44"/>
        <v>2.5349794238683279</v>
      </c>
      <c r="AC207" s="184">
        <f t="shared" si="45"/>
        <v>0</v>
      </c>
      <c r="AD207" s="180"/>
    </row>
    <row r="208" spans="1:30" ht="16" x14ac:dyDescent="0.2">
      <c r="A208" s="47"/>
      <c r="B208" s="303"/>
      <c r="C208" s="176">
        <f t="shared" si="48"/>
        <v>205</v>
      </c>
      <c r="D208" s="146">
        <f>E207</f>
        <v>45685</v>
      </c>
      <c r="E208" s="37">
        <v>45686</v>
      </c>
      <c r="F208" s="65" t="s">
        <v>313</v>
      </c>
      <c r="G208" s="11" t="str">
        <f ca="1">IF(AND(E208&lt;&gt;"",E208&lt;TODAY()),"Disponible",IFERROR(INDEX(Vehiculos[Estado Vehiculo],MATCH(F208,Vehiculos[Placa Vehiculo],0)),""))</f>
        <v>Disponible</v>
      </c>
      <c r="H208" s="34" t="s">
        <v>250</v>
      </c>
      <c r="I208" s="34" t="s">
        <v>273</v>
      </c>
      <c r="J208" s="34" t="s">
        <v>274</v>
      </c>
      <c r="K208" s="39">
        <v>2505</v>
      </c>
      <c r="L208" s="39">
        <v>2531</v>
      </c>
      <c r="M208" s="15">
        <f t="shared" si="41"/>
        <v>26</v>
      </c>
      <c r="N208" s="15">
        <f>Rutas[[#This Row],[Kms Recorridos]]</f>
        <v>26</v>
      </c>
      <c r="O208" s="39"/>
      <c r="P208" s="36"/>
      <c r="Q208" s="16">
        <f t="shared" si="42"/>
        <v>0</v>
      </c>
      <c r="R208" s="34" t="s">
        <v>273</v>
      </c>
      <c r="S208" s="34" t="s">
        <v>102</v>
      </c>
      <c r="T208" s="36">
        <v>1.8</v>
      </c>
      <c r="U208" s="167"/>
      <c r="V208" s="36"/>
      <c r="W208" s="36"/>
      <c r="X208" s="36"/>
      <c r="Y208" s="145">
        <f t="shared" si="43"/>
        <v>0</v>
      </c>
      <c r="Z208" s="567"/>
      <c r="AA208" s="12">
        <v>16.96</v>
      </c>
      <c r="AB208" s="12">
        <f t="shared" si="44"/>
        <v>1.5330188679245282</v>
      </c>
      <c r="AC208" s="12">
        <f t="shared" si="45"/>
        <v>0</v>
      </c>
      <c r="AD208" s="34"/>
    </row>
    <row r="209" spans="1:30" ht="16" x14ac:dyDescent="0.2">
      <c r="A209" s="47"/>
      <c r="B209" s="303"/>
      <c r="C209" s="176">
        <f t="shared" si="48"/>
        <v>206</v>
      </c>
      <c r="D209" s="146">
        <f>E208</f>
        <v>45686</v>
      </c>
      <c r="E209" s="37">
        <v>45687</v>
      </c>
      <c r="F209" s="65" t="s">
        <v>313</v>
      </c>
      <c r="G209" s="11" t="str">
        <f ca="1">IF(AND(E209&lt;&gt;"",E209&lt;TODAY()),"Disponible",IFERROR(INDEX(Vehiculos[Estado Vehiculo],MATCH(F209,Vehiculos[Placa Vehiculo],0)),""))</f>
        <v>Disponible</v>
      </c>
      <c r="H209" s="34" t="s">
        <v>250</v>
      </c>
      <c r="I209" s="34" t="s">
        <v>273</v>
      </c>
      <c r="J209" s="34" t="s">
        <v>274</v>
      </c>
      <c r="K209" s="39">
        <v>2531</v>
      </c>
      <c r="L209" s="39">
        <v>2547</v>
      </c>
      <c r="M209" s="15">
        <f t="shared" si="41"/>
        <v>16</v>
      </c>
      <c r="N209" s="15">
        <f>Rutas[[#This Row],[Kms Recorridos]]</f>
        <v>16</v>
      </c>
      <c r="O209" s="39"/>
      <c r="P209" s="36"/>
      <c r="Q209" s="16">
        <f t="shared" si="42"/>
        <v>0</v>
      </c>
      <c r="R209" s="34" t="s">
        <v>273</v>
      </c>
      <c r="S209" s="34" t="s">
        <v>102</v>
      </c>
      <c r="T209" s="36">
        <v>1.8</v>
      </c>
      <c r="U209" s="167"/>
      <c r="V209" s="36"/>
      <c r="W209" s="36"/>
      <c r="X209" s="36"/>
      <c r="Y209" s="145">
        <f t="shared" si="43"/>
        <v>0</v>
      </c>
      <c r="Z209" s="567"/>
      <c r="AA209" s="12">
        <v>11.92</v>
      </c>
      <c r="AB209" s="12">
        <f t="shared" si="44"/>
        <v>1.3422818791946309</v>
      </c>
      <c r="AC209" s="12">
        <f t="shared" si="45"/>
        <v>0</v>
      </c>
      <c r="AD209" s="34"/>
    </row>
    <row r="210" spans="1:30" ht="16" x14ac:dyDescent="0.2">
      <c r="A210" s="47"/>
      <c r="B210" s="303"/>
      <c r="C210" s="176">
        <f t="shared" si="48"/>
        <v>207</v>
      </c>
      <c r="D210" s="146"/>
      <c r="E210" s="37"/>
      <c r="F210" s="65"/>
      <c r="G210" s="11" t="str">
        <f ca="1">IF(AND(E210&lt;&gt;"",E210&lt;TODAY()),"Disponible",IFERROR(INDEX(Vehiculos[Estado Vehiculo],MATCH(F210,Vehiculos[Placa Vehiculo],0)),""))</f>
        <v/>
      </c>
      <c r="H210" s="34"/>
      <c r="I210" s="34"/>
      <c r="J210" s="34"/>
      <c r="K210" s="39"/>
      <c r="L210" s="39"/>
      <c r="M210" s="15"/>
      <c r="N210" s="15"/>
      <c r="O210" s="39"/>
      <c r="P210" s="36"/>
      <c r="Q210" s="16">
        <f t="shared" si="42"/>
        <v>0</v>
      </c>
      <c r="R210" s="34"/>
      <c r="S210" s="34"/>
      <c r="T210" s="36"/>
      <c r="U210" s="167"/>
      <c r="V210" s="36"/>
      <c r="W210" s="36"/>
      <c r="X210" s="36"/>
      <c r="Y210" s="145">
        <f t="shared" si="43"/>
        <v>0</v>
      </c>
      <c r="Z210" s="567"/>
      <c r="AA210" s="12"/>
      <c r="AB210" s="12">
        <f t="shared" si="44"/>
        <v>0</v>
      </c>
      <c r="AC210" s="12">
        <f t="shared" si="45"/>
        <v>0</v>
      </c>
      <c r="AD210" s="34"/>
    </row>
    <row r="211" spans="1:30" s="175" customFormat="1" ht="17" thickBot="1" x14ac:dyDescent="0.25">
      <c r="A211" s="174"/>
      <c r="B211" s="304"/>
      <c r="C211" s="176">
        <f t="shared" si="48"/>
        <v>208</v>
      </c>
      <c r="D211" s="156"/>
      <c r="E211" s="157"/>
      <c r="F211" s="158"/>
      <c r="G211" s="159" t="str">
        <f ca="1">IF(AND(E211&lt;&gt;"",E211&lt;TODAY()),"Disponible",IFERROR(INDEX(Vehiculos[Estado Vehiculo],MATCH(F211,Vehiculos[Placa Vehiculo],0)),""))</f>
        <v/>
      </c>
      <c r="H211" s="160"/>
      <c r="I211" s="160"/>
      <c r="J211" s="160"/>
      <c r="K211" s="161"/>
      <c r="L211" s="161"/>
      <c r="M211" s="162"/>
      <c r="N211" s="162"/>
      <c r="O211" s="161"/>
      <c r="P211" s="163"/>
      <c r="Q211" s="164">
        <f t="shared" si="42"/>
        <v>0</v>
      </c>
      <c r="R211" s="160"/>
      <c r="S211" s="160"/>
      <c r="T211" s="163"/>
      <c r="U211" s="163"/>
      <c r="V211" s="163"/>
      <c r="W211" s="163"/>
      <c r="X211" s="163"/>
      <c r="Y211" s="165">
        <f t="shared" si="43"/>
        <v>0</v>
      </c>
      <c r="Z211" s="568"/>
      <c r="AA211" s="166">
        <f>IFERROR(U211/T211,0)</f>
        <v>0</v>
      </c>
      <c r="AB211" s="166">
        <f t="shared" si="44"/>
        <v>0</v>
      </c>
      <c r="AC211" s="166">
        <f t="shared" si="45"/>
        <v>0</v>
      </c>
      <c r="AD211" s="160"/>
    </row>
    <row r="212" spans="1:30" ht="17" thickTop="1" x14ac:dyDescent="0.2">
      <c r="A212" s="47"/>
      <c r="B212" s="305"/>
      <c r="C212" s="176">
        <f t="shared" si="48"/>
        <v>209</v>
      </c>
      <c r="D212" s="177">
        <v>45691</v>
      </c>
      <c r="E212" s="177">
        <v>45695</v>
      </c>
      <c r="F212" s="178" t="s">
        <v>208</v>
      </c>
      <c r="G212" s="179" t="str">
        <f ca="1">IF(AND(E212&lt;&gt;"",E212&lt;TODAY()),"Disponible",IFERROR(INDEX(Vehiculos[Estado Vehiculo],MATCH(F212,Vehiculos[Placa Vehiculo],0)),""))</f>
        <v>Disponible</v>
      </c>
      <c r="H212" s="180" t="s">
        <v>242</v>
      </c>
      <c r="I212" s="180" t="s">
        <v>273</v>
      </c>
      <c r="J212" s="180" t="s">
        <v>274</v>
      </c>
      <c r="K212" s="181">
        <v>76113</v>
      </c>
      <c r="L212" s="181">
        <v>76850</v>
      </c>
      <c r="M212" s="182">
        <f t="shared" ref="M212:M218" si="49">L212-K212</f>
        <v>737</v>
      </c>
      <c r="N212" s="182"/>
      <c r="O212" s="181"/>
      <c r="P212" s="183"/>
      <c r="Q212" s="184">
        <f t="shared" ref="Q212:Q219" si="50">M212*P212</f>
        <v>0</v>
      </c>
      <c r="R212" s="180" t="s">
        <v>273</v>
      </c>
      <c r="S212" s="180" t="s">
        <v>102</v>
      </c>
      <c r="T212" s="183">
        <v>1.8</v>
      </c>
      <c r="U212" s="186">
        <f>Rutas[[#This Row],[Precio x Galón ($/gal)]]*Rutas[[#This Row],[Volumen de Combustible (gal)]]</f>
        <v>184.23</v>
      </c>
      <c r="V212" s="183"/>
      <c r="W212" s="183"/>
      <c r="X212" s="183"/>
      <c r="Y212" s="184">
        <f t="shared" ref="Y212:Y218" si="51">U212+SUM(V212:X212)</f>
        <v>184.23</v>
      </c>
      <c r="Z212" s="567"/>
      <c r="AA212" s="184">
        <v>102.35</v>
      </c>
      <c r="AB212" s="184">
        <f t="shared" ref="AB212:AB218" si="52">IFERROR(M212/AA212,0)</f>
        <v>7.2007816316560822</v>
      </c>
      <c r="AC212" s="184">
        <f t="shared" ref="AC212:AC218" si="53">IFERROR(Q212/M212,0)</f>
        <v>0</v>
      </c>
      <c r="AD212" s="180"/>
    </row>
    <row r="213" spans="1:30" ht="16" x14ac:dyDescent="0.2">
      <c r="A213" s="47"/>
      <c r="B213" s="305"/>
      <c r="C213" s="176">
        <f t="shared" si="48"/>
        <v>210</v>
      </c>
      <c r="D213" s="146">
        <f t="shared" ref="D213:D218" si="54">E212</f>
        <v>45695</v>
      </c>
      <c r="E213" s="37">
        <v>45702</v>
      </c>
      <c r="F213" s="65" t="s">
        <v>208</v>
      </c>
      <c r="G213" s="11" t="str">
        <f ca="1">IF(AND(E213&lt;&gt;"",E213&lt;TODAY()),"Disponible",IFERROR(INDEX(Vehiculos[Estado Vehiculo],MATCH(F213,Vehiculos[Placa Vehiculo],0)),""))</f>
        <v>Disponible</v>
      </c>
      <c r="H213" s="34" t="s">
        <v>242</v>
      </c>
      <c r="I213" s="34" t="s">
        <v>273</v>
      </c>
      <c r="J213" s="34" t="s">
        <v>274</v>
      </c>
      <c r="K213" s="39">
        <v>76850</v>
      </c>
      <c r="L213" s="39">
        <v>77460</v>
      </c>
      <c r="M213" s="15">
        <f t="shared" si="49"/>
        <v>610</v>
      </c>
      <c r="N213" s="15"/>
      <c r="O213" s="39"/>
      <c r="P213" s="36"/>
      <c r="Q213" s="16">
        <f t="shared" si="50"/>
        <v>0</v>
      </c>
      <c r="R213" s="34" t="s">
        <v>273</v>
      </c>
      <c r="S213" s="34" t="s">
        <v>102</v>
      </c>
      <c r="T213" s="36">
        <v>1.8</v>
      </c>
      <c r="U213" s="167">
        <f>Rutas[[#This Row],[Precio x Galón ($/gal)]]*Rutas[[#This Row],[Volumen de Combustible (gal)]]</f>
        <v>197.85599999999999</v>
      </c>
      <c r="V213" s="36"/>
      <c r="W213" s="36"/>
      <c r="X213" s="36"/>
      <c r="Y213" s="145">
        <f t="shared" si="51"/>
        <v>197.85599999999999</v>
      </c>
      <c r="Z213" s="567"/>
      <c r="AA213" s="12">
        <v>109.92</v>
      </c>
      <c r="AB213" s="12">
        <f t="shared" si="52"/>
        <v>5.549490538573508</v>
      </c>
      <c r="AC213" s="12">
        <f t="shared" si="53"/>
        <v>0</v>
      </c>
      <c r="AD213" s="34"/>
    </row>
    <row r="214" spans="1:30" ht="16" x14ac:dyDescent="0.2">
      <c r="A214" s="47"/>
      <c r="B214" s="305"/>
      <c r="C214" s="176">
        <f t="shared" si="48"/>
        <v>211</v>
      </c>
      <c r="D214" s="146">
        <f t="shared" si="54"/>
        <v>45702</v>
      </c>
      <c r="E214" s="37">
        <v>45705</v>
      </c>
      <c r="F214" s="65" t="s">
        <v>208</v>
      </c>
      <c r="G214" s="11" t="str">
        <f ca="1">IF(AND(E214&lt;&gt;"",E214&lt;TODAY()),"Disponible",IFERROR(INDEX(Vehiculos[Estado Vehiculo],MATCH(F214,Vehiculos[Placa Vehiculo],0)),""))</f>
        <v>Disponible</v>
      </c>
      <c r="H214" s="34" t="s">
        <v>246</v>
      </c>
      <c r="I214" s="34" t="s">
        <v>273</v>
      </c>
      <c r="J214" s="34" t="s">
        <v>274</v>
      </c>
      <c r="K214" s="39">
        <v>77460</v>
      </c>
      <c r="L214" s="39">
        <v>78030</v>
      </c>
      <c r="M214" s="15">
        <f t="shared" si="49"/>
        <v>570</v>
      </c>
      <c r="N214" s="15"/>
      <c r="O214" s="39"/>
      <c r="P214" s="36"/>
      <c r="Q214" s="16">
        <f t="shared" si="50"/>
        <v>0</v>
      </c>
      <c r="R214" s="34" t="s">
        <v>273</v>
      </c>
      <c r="S214" s="34" t="s">
        <v>102</v>
      </c>
      <c r="T214" s="36">
        <v>1.8</v>
      </c>
      <c r="U214" s="167">
        <f>Rutas[[#This Row],[Precio x Galón ($/gal)]]*Rutas[[#This Row],[Volumen de Combustible (gal)]]</f>
        <v>167.202</v>
      </c>
      <c r="V214" s="36"/>
      <c r="W214" s="36"/>
      <c r="X214" s="36"/>
      <c r="Y214" s="145">
        <f t="shared" si="51"/>
        <v>167.202</v>
      </c>
      <c r="Z214" s="567"/>
      <c r="AA214" s="12">
        <v>92.89</v>
      </c>
      <c r="AB214" s="12">
        <f t="shared" si="52"/>
        <v>6.13629023576273</v>
      </c>
      <c r="AC214" s="12">
        <f t="shared" si="53"/>
        <v>0</v>
      </c>
      <c r="AD214" s="34"/>
    </row>
    <row r="215" spans="1:30" ht="16" x14ac:dyDescent="0.2">
      <c r="A215" s="47"/>
      <c r="B215" s="305"/>
      <c r="C215" s="176">
        <f t="shared" si="48"/>
        <v>212</v>
      </c>
      <c r="D215" s="146">
        <f t="shared" si="54"/>
        <v>45705</v>
      </c>
      <c r="E215" s="37">
        <v>45708</v>
      </c>
      <c r="F215" s="65" t="s">
        <v>208</v>
      </c>
      <c r="G215" s="11" t="str">
        <f ca="1">IF(AND(E215&lt;&gt;"",E215&lt;TODAY()),"Disponible",IFERROR(INDEX(Vehiculos[Estado Vehiculo],MATCH(F215,Vehiculos[Placa Vehiculo],0)),""))</f>
        <v>Disponible</v>
      </c>
      <c r="H215" s="34" t="s">
        <v>246</v>
      </c>
      <c r="I215" s="34" t="s">
        <v>273</v>
      </c>
      <c r="J215" s="34" t="s">
        <v>274</v>
      </c>
      <c r="K215" s="39">
        <v>78030</v>
      </c>
      <c r="L215" s="39">
        <v>78590</v>
      </c>
      <c r="M215" s="15">
        <f t="shared" si="49"/>
        <v>560</v>
      </c>
      <c r="N215" s="15"/>
      <c r="O215" s="39"/>
      <c r="P215" s="36"/>
      <c r="Q215" s="16">
        <f t="shared" si="50"/>
        <v>0</v>
      </c>
      <c r="R215" s="34" t="s">
        <v>273</v>
      </c>
      <c r="S215" s="34" t="s">
        <v>102</v>
      </c>
      <c r="T215" s="36">
        <v>1.8</v>
      </c>
      <c r="U215" s="167">
        <f>Rutas[[#This Row],[Precio x Galón ($/gal)]]*Rutas[[#This Row],[Volumen de Combustible (gal)]]</f>
        <v>201.744</v>
      </c>
      <c r="V215" s="36"/>
      <c r="W215" s="36"/>
      <c r="X215" s="36"/>
      <c r="Y215" s="145">
        <f t="shared" si="51"/>
        <v>201.744</v>
      </c>
      <c r="Z215" s="567"/>
      <c r="AA215" s="12">
        <v>112.08</v>
      </c>
      <c r="AB215" s="12">
        <f t="shared" si="52"/>
        <v>4.9964311206281229</v>
      </c>
      <c r="AC215" s="12">
        <f t="shared" si="53"/>
        <v>0</v>
      </c>
      <c r="AD215" s="34"/>
    </row>
    <row r="216" spans="1:30" ht="16" x14ac:dyDescent="0.2">
      <c r="A216" s="47"/>
      <c r="B216" s="305"/>
      <c r="C216" s="176">
        <f t="shared" si="48"/>
        <v>213</v>
      </c>
      <c r="D216" s="146">
        <f t="shared" si="54"/>
        <v>45708</v>
      </c>
      <c r="E216" s="37">
        <v>45711</v>
      </c>
      <c r="F216" s="65" t="s">
        <v>208</v>
      </c>
      <c r="G216" s="11" t="str">
        <f ca="1">IF(AND(E216&lt;&gt;"",E216&lt;TODAY()),"Disponible",IFERROR(INDEX(Vehiculos[Estado Vehiculo],MATCH(F216,Vehiculos[Placa Vehiculo],0)),""))</f>
        <v>Disponible</v>
      </c>
      <c r="H216" s="34" t="s">
        <v>231</v>
      </c>
      <c r="I216" s="34" t="s">
        <v>273</v>
      </c>
      <c r="J216" s="34" t="s">
        <v>274</v>
      </c>
      <c r="K216" s="39">
        <v>78590</v>
      </c>
      <c r="L216" s="39">
        <v>79150</v>
      </c>
      <c r="M216" s="15">
        <f t="shared" si="49"/>
        <v>560</v>
      </c>
      <c r="N216" s="15"/>
      <c r="O216" s="39"/>
      <c r="P216" s="36"/>
      <c r="Q216" s="16">
        <f t="shared" si="50"/>
        <v>0</v>
      </c>
      <c r="R216" s="34" t="s">
        <v>273</v>
      </c>
      <c r="S216" s="34" t="s">
        <v>102</v>
      </c>
      <c r="T216" s="36">
        <v>1.8</v>
      </c>
      <c r="U216" s="167">
        <f>Rutas[[#This Row],[Precio x Galón ($/gal)]]*Rutas[[#This Row],[Volumen de Combustible (gal)]]</f>
        <v>204.98400000000001</v>
      </c>
      <c r="V216" s="36"/>
      <c r="W216" s="36"/>
      <c r="X216" s="36"/>
      <c r="Y216" s="145">
        <f t="shared" si="51"/>
        <v>204.98400000000001</v>
      </c>
      <c r="Z216" s="567"/>
      <c r="AA216" s="12">
        <v>113.88</v>
      </c>
      <c r="AB216" s="12">
        <f t="shared" si="52"/>
        <v>4.9174569722514931</v>
      </c>
      <c r="AC216" s="12">
        <f t="shared" si="53"/>
        <v>0</v>
      </c>
      <c r="AD216" s="34"/>
    </row>
    <row r="217" spans="1:30" ht="16" x14ac:dyDescent="0.2">
      <c r="A217" s="47"/>
      <c r="B217" s="305"/>
      <c r="C217" s="176">
        <f t="shared" si="48"/>
        <v>214</v>
      </c>
      <c r="D217" s="146">
        <f t="shared" si="54"/>
        <v>45711</v>
      </c>
      <c r="E217" s="37">
        <v>45714</v>
      </c>
      <c r="F217" s="65" t="s">
        <v>208</v>
      </c>
      <c r="G217" s="11" t="str">
        <f ca="1">IF(AND(E217&lt;&gt;"",E217&lt;TODAY()),"Disponible",IFERROR(INDEX(Vehiculos[Estado Vehiculo],MATCH(F217,Vehiculos[Placa Vehiculo],0)),""))</f>
        <v>Disponible</v>
      </c>
      <c r="H217" s="34" t="s">
        <v>231</v>
      </c>
      <c r="I217" s="34" t="s">
        <v>273</v>
      </c>
      <c r="J217" s="34" t="s">
        <v>274</v>
      </c>
      <c r="K217" s="39">
        <v>79150</v>
      </c>
      <c r="L217" s="39">
        <v>79710</v>
      </c>
      <c r="M217" s="15">
        <f t="shared" si="49"/>
        <v>560</v>
      </c>
      <c r="N217" s="15"/>
      <c r="O217" s="39"/>
      <c r="P217" s="36"/>
      <c r="Q217" s="16">
        <f t="shared" si="50"/>
        <v>0</v>
      </c>
      <c r="R217" s="34" t="s">
        <v>273</v>
      </c>
      <c r="S217" s="34" t="s">
        <v>102</v>
      </c>
      <c r="T217" s="36">
        <v>1.8</v>
      </c>
      <c r="U217" s="167">
        <f>Rutas[[#This Row],[Precio x Galón ($/gal)]]*Rutas[[#This Row],[Volumen de Combustible (gal)]]</f>
        <v>185.238</v>
      </c>
      <c r="V217" s="36"/>
      <c r="W217" s="36"/>
      <c r="X217" s="36"/>
      <c r="Y217" s="145">
        <f t="shared" si="51"/>
        <v>185.238</v>
      </c>
      <c r="Z217" s="567"/>
      <c r="AA217" s="12">
        <v>102.91</v>
      </c>
      <c r="AB217" s="12">
        <f t="shared" si="52"/>
        <v>5.4416480419784277</v>
      </c>
      <c r="AC217" s="12">
        <f t="shared" si="53"/>
        <v>0</v>
      </c>
      <c r="AD217" s="34"/>
    </row>
    <row r="218" spans="1:30" ht="16" x14ac:dyDescent="0.2">
      <c r="A218" s="47"/>
      <c r="B218" s="305"/>
      <c r="C218" s="176">
        <f t="shared" si="48"/>
        <v>215</v>
      </c>
      <c r="D218" s="146">
        <f t="shared" si="54"/>
        <v>45714</v>
      </c>
      <c r="E218" s="37">
        <v>45716</v>
      </c>
      <c r="F218" s="65" t="s">
        <v>208</v>
      </c>
      <c r="G218" s="11" t="str">
        <f ca="1">IF(AND(E218&lt;&gt;"",E218&lt;TODAY()),"Disponible",IFERROR(INDEX(Vehiculos[Estado Vehiculo],MATCH(F218,Vehiculos[Placa Vehiculo],0)),""))</f>
        <v>Disponible</v>
      </c>
      <c r="H218" s="34" t="s">
        <v>231</v>
      </c>
      <c r="I218" s="34" t="s">
        <v>273</v>
      </c>
      <c r="J218" s="34" t="s">
        <v>274</v>
      </c>
      <c r="K218" s="39">
        <v>79710</v>
      </c>
      <c r="L218" s="39">
        <v>80190</v>
      </c>
      <c r="M218" s="15">
        <f t="shared" si="49"/>
        <v>480</v>
      </c>
      <c r="N218" s="452">
        <v>400</v>
      </c>
      <c r="O218" s="39"/>
      <c r="P218" s="36"/>
      <c r="Q218" s="16">
        <f t="shared" si="50"/>
        <v>0</v>
      </c>
      <c r="R218" s="34" t="s">
        <v>273</v>
      </c>
      <c r="S218" s="34" t="s">
        <v>102</v>
      </c>
      <c r="T218" s="36">
        <v>1.8</v>
      </c>
      <c r="U218" s="167">
        <f>Rutas[[#This Row],[Precio x Galón ($/gal)]]*Rutas[[#This Row],[Volumen de Combustible (gal)]]</f>
        <v>172.29599999999999</v>
      </c>
      <c r="V218" s="36"/>
      <c r="W218" s="36"/>
      <c r="X218" s="36"/>
      <c r="Y218" s="145">
        <f t="shared" si="51"/>
        <v>172.29599999999999</v>
      </c>
      <c r="Z218" s="567"/>
      <c r="AA218" s="12">
        <v>95.72</v>
      </c>
      <c r="AB218" s="12">
        <f t="shared" si="52"/>
        <v>5.0146259924780612</v>
      </c>
      <c r="AC218" s="12">
        <f t="shared" si="53"/>
        <v>0</v>
      </c>
      <c r="AD218" s="34"/>
    </row>
    <row r="219" spans="1:30" ht="16" x14ac:dyDescent="0.2">
      <c r="A219" s="47"/>
      <c r="B219" s="305"/>
      <c r="C219" s="176">
        <f t="shared" si="48"/>
        <v>216</v>
      </c>
      <c r="D219" s="177">
        <v>45695</v>
      </c>
      <c r="E219" s="177">
        <v>45698</v>
      </c>
      <c r="F219" s="178" t="s">
        <v>210</v>
      </c>
      <c r="G219" s="179" t="str">
        <f ca="1">IF(AND(E219&lt;&gt;"",E219&lt;TODAY()),"Disponible",IFERROR(INDEX(Vehiculos[Estado Vehiculo],MATCH(F219,Vehiculos[Placa Vehiculo],0)),""))</f>
        <v>Disponible</v>
      </c>
      <c r="H219" s="180" t="s">
        <v>247</v>
      </c>
      <c r="I219" s="180" t="s">
        <v>273</v>
      </c>
      <c r="J219" s="180" t="s">
        <v>274</v>
      </c>
      <c r="K219" s="181">
        <v>6111</v>
      </c>
      <c r="L219" s="181">
        <v>6181</v>
      </c>
      <c r="M219" s="182">
        <f t="shared" ref="M219:M225" si="55">L219-K219</f>
        <v>70</v>
      </c>
      <c r="N219" s="182"/>
      <c r="O219" s="181"/>
      <c r="P219" s="183"/>
      <c r="Q219" s="184">
        <f t="shared" si="50"/>
        <v>0</v>
      </c>
      <c r="R219" s="180" t="s">
        <v>273</v>
      </c>
      <c r="S219" s="180" t="s">
        <v>102</v>
      </c>
      <c r="T219" s="183">
        <v>1.8</v>
      </c>
      <c r="U219" s="186">
        <f>Rutas[[#This Row],[Precio x Galón ($/gal)]]*Rutas[[#This Row],[Volumen de Combustible (gal)]]</f>
        <v>210.20400000000001</v>
      </c>
      <c r="V219" s="183"/>
      <c r="W219" s="183"/>
      <c r="X219" s="183"/>
      <c r="Y219" s="184">
        <f t="shared" ref="Y219:Y225" si="56">U219+SUM(V219:X219)</f>
        <v>210.20400000000001</v>
      </c>
      <c r="Z219" s="567"/>
      <c r="AA219" s="184">
        <v>116.78</v>
      </c>
      <c r="AB219" s="184">
        <f t="shared" ref="AB219:AB225" si="57">IFERROR(M219/AA219,0)</f>
        <v>0.59941770851173148</v>
      </c>
      <c r="AC219" s="184">
        <f t="shared" ref="AC219:AC225" si="58">IFERROR(Q219/M219,0)</f>
        <v>0</v>
      </c>
      <c r="AD219" s="180"/>
    </row>
    <row r="220" spans="1:30" ht="16" x14ac:dyDescent="0.2">
      <c r="A220" s="47"/>
      <c r="B220" s="305"/>
      <c r="C220" s="176">
        <f t="shared" si="48"/>
        <v>217</v>
      </c>
      <c r="D220" s="146">
        <f>E219</f>
        <v>45698</v>
      </c>
      <c r="E220" s="37">
        <v>45703</v>
      </c>
      <c r="F220" s="65" t="s">
        <v>210</v>
      </c>
      <c r="G220" s="11" t="str">
        <f ca="1">IF(AND(E220&lt;&gt;"",E220&lt;TODAY()),"Disponible",IFERROR(INDEX(Vehiculos[Estado Vehiculo],MATCH(F220,Vehiculos[Placa Vehiculo],0)),""))</f>
        <v>Disponible</v>
      </c>
      <c r="H220" s="34" t="s">
        <v>233</v>
      </c>
      <c r="I220" s="34" t="s">
        <v>273</v>
      </c>
      <c r="J220" s="34" t="s">
        <v>274</v>
      </c>
      <c r="K220" s="39">
        <f>L219</f>
        <v>6181</v>
      </c>
      <c r="L220" s="39">
        <v>6262</v>
      </c>
      <c r="M220" s="15">
        <f t="shared" si="55"/>
        <v>81</v>
      </c>
      <c r="N220" s="15"/>
      <c r="O220" s="39"/>
      <c r="P220" s="36"/>
      <c r="Q220" s="16">
        <f t="shared" ref="Q220:Q225" si="59">M220*P220</f>
        <v>0</v>
      </c>
      <c r="R220" s="34" t="s">
        <v>273</v>
      </c>
      <c r="S220" s="34" t="s">
        <v>102</v>
      </c>
      <c r="T220" s="36">
        <v>1.8</v>
      </c>
      <c r="U220" s="167">
        <f>Rutas[[#This Row],[Precio x Galón ($/gal)]]*Rutas[[#This Row],[Volumen de Combustible (gal)]]</f>
        <v>190.512</v>
      </c>
      <c r="V220" s="36"/>
      <c r="W220" s="36"/>
      <c r="X220" s="36"/>
      <c r="Y220" s="145">
        <f t="shared" si="56"/>
        <v>190.512</v>
      </c>
      <c r="Z220" s="567"/>
      <c r="AA220" s="12">
        <v>105.84</v>
      </c>
      <c r="AB220" s="12">
        <f t="shared" si="57"/>
        <v>0.76530612244897955</v>
      </c>
      <c r="AC220" s="12">
        <f t="shared" si="58"/>
        <v>0</v>
      </c>
      <c r="AD220" s="34"/>
    </row>
    <row r="221" spans="1:30" ht="16" x14ac:dyDescent="0.2">
      <c r="A221" s="47"/>
      <c r="B221" s="305"/>
      <c r="C221" s="176">
        <f t="shared" si="48"/>
        <v>218</v>
      </c>
      <c r="D221" s="146">
        <f>E220</f>
        <v>45703</v>
      </c>
      <c r="E221" s="37">
        <v>45705</v>
      </c>
      <c r="F221" s="65" t="s">
        <v>210</v>
      </c>
      <c r="G221" s="11" t="str">
        <f ca="1">IF(AND(E221&lt;&gt;"",E221&lt;TODAY()),"Disponible",IFERROR(INDEX(Vehiculos[Estado Vehiculo],MATCH(F221,Vehiculos[Placa Vehiculo],0)),""))</f>
        <v>Disponible</v>
      </c>
      <c r="H221" s="34" t="s">
        <v>233</v>
      </c>
      <c r="I221" s="34" t="s">
        <v>273</v>
      </c>
      <c r="J221" s="34" t="s">
        <v>274</v>
      </c>
      <c r="K221" s="39">
        <f>L220</f>
        <v>6262</v>
      </c>
      <c r="L221" s="39">
        <v>6273</v>
      </c>
      <c r="M221" s="15">
        <f t="shared" si="55"/>
        <v>11</v>
      </c>
      <c r="N221" s="15"/>
      <c r="O221" s="39"/>
      <c r="P221" s="36"/>
      <c r="Q221" s="16">
        <f t="shared" si="59"/>
        <v>0</v>
      </c>
      <c r="R221" s="34" t="s">
        <v>273</v>
      </c>
      <c r="S221" s="34" t="s">
        <v>102</v>
      </c>
      <c r="T221" s="36">
        <v>1.8</v>
      </c>
      <c r="U221" s="167">
        <f>Rutas[[#This Row],[Precio x Galón ($/gal)]]*Rutas[[#This Row],[Volumen de Combustible (gal)]]</f>
        <v>199.8</v>
      </c>
      <c r="V221" s="36"/>
      <c r="W221" s="36"/>
      <c r="X221" s="36"/>
      <c r="Y221" s="145">
        <f t="shared" si="56"/>
        <v>199.8</v>
      </c>
      <c r="Z221" s="567"/>
      <c r="AA221" s="12">
        <v>111</v>
      </c>
      <c r="AB221" s="12">
        <f t="shared" si="57"/>
        <v>9.90990990990991E-2</v>
      </c>
      <c r="AC221" s="12">
        <f t="shared" si="58"/>
        <v>0</v>
      </c>
      <c r="AD221" s="34"/>
    </row>
    <row r="222" spans="1:30" ht="16" x14ac:dyDescent="0.2">
      <c r="A222" s="47"/>
      <c r="B222" s="305"/>
      <c r="C222" s="176">
        <f t="shared" si="48"/>
        <v>219</v>
      </c>
      <c r="D222" s="146">
        <f>E221</f>
        <v>45705</v>
      </c>
      <c r="E222" s="37">
        <v>45711</v>
      </c>
      <c r="F222" s="65" t="s">
        <v>210</v>
      </c>
      <c r="G222" s="11" t="str">
        <f ca="1">IF(AND(E222&lt;&gt;"",E222&lt;TODAY()),"Disponible",IFERROR(INDEX(Vehiculos[Estado Vehiculo],MATCH(F222,Vehiculos[Placa Vehiculo],0)),""))</f>
        <v>Disponible</v>
      </c>
      <c r="H222" s="34" t="s">
        <v>250</v>
      </c>
      <c r="I222" s="34" t="s">
        <v>273</v>
      </c>
      <c r="J222" s="34" t="s">
        <v>274</v>
      </c>
      <c r="K222" s="39">
        <f>L221</f>
        <v>6273</v>
      </c>
      <c r="L222" s="39">
        <v>6386</v>
      </c>
      <c r="M222" s="15">
        <f t="shared" si="55"/>
        <v>113</v>
      </c>
      <c r="N222" s="15"/>
      <c r="O222" s="39"/>
      <c r="P222" s="36"/>
      <c r="Q222" s="16">
        <f t="shared" si="59"/>
        <v>0</v>
      </c>
      <c r="R222" s="34" t="s">
        <v>273</v>
      </c>
      <c r="S222" s="34" t="s">
        <v>102</v>
      </c>
      <c r="T222" s="36">
        <v>1.8</v>
      </c>
      <c r="U222" s="167">
        <f>Rutas[[#This Row],[Precio x Galón ($/gal)]]*Rutas[[#This Row],[Volumen de Combustible (gal)]]</f>
        <v>35.028000000000006</v>
      </c>
      <c r="V222" s="36"/>
      <c r="W222" s="36"/>
      <c r="X222" s="36"/>
      <c r="Y222" s="145">
        <f t="shared" si="56"/>
        <v>35.028000000000006</v>
      </c>
      <c r="Z222" s="567"/>
      <c r="AA222" s="12">
        <v>19.46</v>
      </c>
      <c r="AB222" s="12">
        <f t="shared" si="57"/>
        <v>5.8067831449126412</v>
      </c>
      <c r="AC222" s="12">
        <f t="shared" si="58"/>
        <v>0</v>
      </c>
      <c r="AD222" s="34"/>
    </row>
    <row r="223" spans="1:30" ht="16" x14ac:dyDescent="0.2">
      <c r="A223" s="47"/>
      <c r="B223" s="305"/>
      <c r="C223" s="176">
        <f t="shared" si="48"/>
        <v>220</v>
      </c>
      <c r="D223" s="146">
        <f>E222</f>
        <v>45711</v>
      </c>
      <c r="E223" s="37">
        <v>45714</v>
      </c>
      <c r="F223" s="65" t="s">
        <v>210</v>
      </c>
      <c r="G223" s="11" t="str">
        <f ca="1">IF(AND(E223&lt;&gt;"",E223&lt;TODAY()),"Disponible",IFERROR(INDEX(Vehiculos[Estado Vehiculo],MATCH(F223,Vehiculos[Placa Vehiculo],0)),""))</f>
        <v>Disponible</v>
      </c>
      <c r="H223" s="34" t="s">
        <v>250</v>
      </c>
      <c r="I223" s="34" t="s">
        <v>273</v>
      </c>
      <c r="J223" s="34" t="s">
        <v>274</v>
      </c>
      <c r="K223" s="39">
        <f>L222</f>
        <v>6386</v>
      </c>
      <c r="L223" s="39">
        <v>6443</v>
      </c>
      <c r="M223" s="15">
        <f t="shared" si="55"/>
        <v>57</v>
      </c>
      <c r="N223" s="15"/>
      <c r="O223" s="39"/>
      <c r="P223" s="36"/>
      <c r="Q223" s="16">
        <f t="shared" si="59"/>
        <v>0</v>
      </c>
      <c r="R223" s="34" t="s">
        <v>273</v>
      </c>
      <c r="S223" s="34" t="s">
        <v>102</v>
      </c>
      <c r="T223" s="36">
        <v>1.8</v>
      </c>
      <c r="U223" s="167">
        <f>Rutas[[#This Row],[Precio x Galón ($/gal)]]*Rutas[[#This Row],[Volumen de Combustible (gal)]]</f>
        <v>174.38399999999999</v>
      </c>
      <c r="V223" s="36"/>
      <c r="W223" s="36"/>
      <c r="X223" s="36"/>
      <c r="Y223" s="145">
        <f t="shared" si="56"/>
        <v>174.38399999999999</v>
      </c>
      <c r="Z223" s="567"/>
      <c r="AA223" s="12">
        <v>96.88</v>
      </c>
      <c r="AB223" s="12">
        <f t="shared" si="57"/>
        <v>0.58835672997522714</v>
      </c>
      <c r="AC223" s="12">
        <f t="shared" si="58"/>
        <v>0</v>
      </c>
      <c r="AD223" s="34"/>
    </row>
    <row r="224" spans="1:30" ht="16" x14ac:dyDescent="0.2">
      <c r="A224" s="47"/>
      <c r="B224" s="305"/>
      <c r="C224" s="176">
        <f t="shared" si="48"/>
        <v>221</v>
      </c>
      <c r="D224" s="146">
        <f>E223</f>
        <v>45714</v>
      </c>
      <c r="E224" s="37">
        <v>45716</v>
      </c>
      <c r="F224" s="65" t="s">
        <v>210</v>
      </c>
      <c r="G224" s="11" t="str">
        <f ca="1">IF(AND(E224&lt;&gt;"",E224&lt;TODAY()),"Disponible",IFERROR(INDEX(Vehiculos[Estado Vehiculo],MATCH(F224,Vehiculos[Placa Vehiculo],0)),""))</f>
        <v>Disponible</v>
      </c>
      <c r="H224" s="34" t="s">
        <v>250</v>
      </c>
      <c r="I224" s="34" t="s">
        <v>273</v>
      </c>
      <c r="J224" s="34" t="s">
        <v>274</v>
      </c>
      <c r="K224" s="39">
        <f>L223</f>
        <v>6443</v>
      </c>
      <c r="L224" s="39">
        <v>6499</v>
      </c>
      <c r="M224" s="15">
        <f t="shared" si="55"/>
        <v>56</v>
      </c>
      <c r="N224" s="451">
        <v>440</v>
      </c>
      <c r="O224" s="39"/>
      <c r="P224" s="36"/>
      <c r="Q224" s="16">
        <f t="shared" si="59"/>
        <v>0</v>
      </c>
      <c r="R224" s="34" t="s">
        <v>273</v>
      </c>
      <c r="S224" s="34" t="s">
        <v>102</v>
      </c>
      <c r="T224" s="36">
        <v>1.8</v>
      </c>
      <c r="U224" s="167">
        <f>Rutas[[#This Row],[Precio x Galón ($/gal)]]*Rutas[[#This Row],[Volumen de Combustible (gal)]]</f>
        <v>170.982</v>
      </c>
      <c r="V224" s="36"/>
      <c r="W224" s="36"/>
      <c r="X224" s="36"/>
      <c r="Y224" s="145">
        <f t="shared" si="56"/>
        <v>170.982</v>
      </c>
      <c r="Z224" s="567"/>
      <c r="AA224" s="12">
        <v>94.99</v>
      </c>
      <c r="AB224" s="12">
        <f t="shared" si="57"/>
        <v>0.58953574060427416</v>
      </c>
      <c r="AC224" s="12">
        <f t="shared" si="58"/>
        <v>0</v>
      </c>
      <c r="AD224" s="34"/>
    </row>
    <row r="225" spans="1:30" ht="16" x14ac:dyDescent="0.2">
      <c r="A225" s="47"/>
      <c r="B225" s="305"/>
      <c r="C225" s="176">
        <f t="shared" si="48"/>
        <v>222</v>
      </c>
      <c r="D225" s="177">
        <v>45689</v>
      </c>
      <c r="E225" s="177">
        <v>45693</v>
      </c>
      <c r="F225" s="178" t="s">
        <v>209</v>
      </c>
      <c r="G225" s="179" t="str">
        <f ca="1">IF(AND(E225&lt;&gt;"",E225&lt;TODAY()),"Disponible",IFERROR(INDEX(Vehiculos[Estado Vehiculo],MATCH(F225,Vehiculos[Placa Vehiculo],0)),""))</f>
        <v>Disponible</v>
      </c>
      <c r="H225" s="180" t="s">
        <v>241</v>
      </c>
      <c r="I225" s="180" t="s">
        <v>273</v>
      </c>
      <c r="J225" s="180" t="s">
        <v>274</v>
      </c>
      <c r="K225" s="181">
        <v>75160</v>
      </c>
      <c r="L225" s="181">
        <v>75930</v>
      </c>
      <c r="M225" s="182">
        <f t="shared" si="55"/>
        <v>770</v>
      </c>
      <c r="N225" s="182"/>
      <c r="O225" s="181"/>
      <c r="P225" s="183"/>
      <c r="Q225" s="184">
        <f t="shared" si="59"/>
        <v>0</v>
      </c>
      <c r="R225" s="180" t="s">
        <v>273</v>
      </c>
      <c r="S225" s="180" t="s">
        <v>102</v>
      </c>
      <c r="T225" s="183">
        <v>1.8</v>
      </c>
      <c r="U225" s="186">
        <f>Rutas[[#This Row],[Precio x Galón ($/gal)]]*Rutas[[#This Row],[Volumen de Combustible (gal)]]</f>
        <v>255.6</v>
      </c>
      <c r="V225" s="183"/>
      <c r="W225" s="183"/>
      <c r="X225" s="183"/>
      <c r="Y225" s="184">
        <f t="shared" si="56"/>
        <v>255.6</v>
      </c>
      <c r="Z225" s="567"/>
      <c r="AA225" s="184">
        <v>142</v>
      </c>
      <c r="AB225" s="184">
        <f t="shared" si="57"/>
        <v>5.422535211267606</v>
      </c>
      <c r="AC225" s="184">
        <f t="shared" si="58"/>
        <v>0</v>
      </c>
      <c r="AD225" s="180"/>
    </row>
    <row r="226" spans="1:30" ht="16" x14ac:dyDescent="0.2">
      <c r="A226" s="47"/>
      <c r="B226" s="305"/>
      <c r="C226" s="176">
        <f t="shared" si="48"/>
        <v>223</v>
      </c>
      <c r="D226" s="146">
        <f t="shared" ref="D226:D231" si="60">E225</f>
        <v>45693</v>
      </c>
      <c r="E226" s="37">
        <v>45699</v>
      </c>
      <c r="F226" s="65" t="s">
        <v>209</v>
      </c>
      <c r="G226" s="11" t="str">
        <f ca="1">IF(AND(E226&lt;&gt;"",E226&lt;TODAY()),"Disponible",IFERROR(INDEX(Vehiculos[Estado Vehiculo],MATCH(F226,Vehiculos[Placa Vehiculo],0)),""))</f>
        <v>Disponible</v>
      </c>
      <c r="H226" s="34" t="s">
        <v>241</v>
      </c>
      <c r="I226" s="34" t="s">
        <v>273</v>
      </c>
      <c r="J226" s="34" t="s">
        <v>274</v>
      </c>
      <c r="K226" s="39">
        <f t="shared" ref="K226:K231" si="61">L225</f>
        <v>75930</v>
      </c>
      <c r="L226" s="39">
        <v>77090</v>
      </c>
      <c r="M226" s="15">
        <f t="shared" ref="M226:M273" si="62">L226-K226</f>
        <v>1160</v>
      </c>
      <c r="N226" s="15"/>
      <c r="O226" s="39"/>
      <c r="P226" s="36"/>
      <c r="Q226" s="16">
        <f t="shared" ref="Q226:Q273" si="63">M226*P226</f>
        <v>0</v>
      </c>
      <c r="R226" s="34" t="s">
        <v>273</v>
      </c>
      <c r="S226" s="34" t="s">
        <v>102</v>
      </c>
      <c r="T226" s="36">
        <v>1.8</v>
      </c>
      <c r="U226" s="167">
        <f>Rutas[[#This Row],[Precio x Galón ($/gal)]]*Rutas[[#This Row],[Volumen de Combustible (gal)]]</f>
        <v>242.85599999999999</v>
      </c>
      <c r="V226" s="36"/>
      <c r="W226" s="36"/>
      <c r="X226" s="36"/>
      <c r="Y226" s="145">
        <f t="shared" ref="Y226:Y273" si="64">U226+SUM(V226:X226)</f>
        <v>242.85599999999999</v>
      </c>
      <c r="Z226" s="567"/>
      <c r="AA226" s="12">
        <v>134.91999999999999</v>
      </c>
      <c r="AB226" s="12">
        <f t="shared" ref="AB226:AB273" si="65">IFERROR(M226/AA226,0)</f>
        <v>8.597687518529499</v>
      </c>
      <c r="AC226" s="12">
        <f t="shared" ref="AC226:AC273" si="66">IFERROR(Q226/M226,0)</f>
        <v>0</v>
      </c>
      <c r="AD226" s="34"/>
    </row>
    <row r="227" spans="1:30" ht="16" x14ac:dyDescent="0.2">
      <c r="A227" s="47"/>
      <c r="B227" s="305"/>
      <c r="C227" s="176">
        <f t="shared" si="48"/>
        <v>224</v>
      </c>
      <c r="D227" s="146">
        <f t="shared" si="60"/>
        <v>45699</v>
      </c>
      <c r="E227" s="37">
        <v>45702</v>
      </c>
      <c r="F227" s="65" t="s">
        <v>209</v>
      </c>
      <c r="G227" s="11" t="str">
        <f ca="1">IF(AND(E227&lt;&gt;"",E227&lt;TODAY()),"Disponible",IFERROR(INDEX(Vehiculos[Estado Vehiculo],MATCH(F227,Vehiculos[Placa Vehiculo],0)),""))</f>
        <v>Disponible</v>
      </c>
      <c r="H227" s="34" t="s">
        <v>235</v>
      </c>
      <c r="I227" s="34" t="s">
        <v>273</v>
      </c>
      <c r="J227" s="34" t="s">
        <v>274</v>
      </c>
      <c r="K227" s="39">
        <f t="shared" si="61"/>
        <v>77090</v>
      </c>
      <c r="L227" s="39">
        <v>77670</v>
      </c>
      <c r="M227" s="15">
        <f t="shared" si="62"/>
        <v>580</v>
      </c>
      <c r="N227" s="15"/>
      <c r="O227" s="39"/>
      <c r="P227" s="36"/>
      <c r="Q227" s="16">
        <f t="shared" si="63"/>
        <v>0</v>
      </c>
      <c r="R227" s="34" t="s">
        <v>273</v>
      </c>
      <c r="S227" s="34" t="s">
        <v>102</v>
      </c>
      <c r="T227" s="36">
        <v>1.8</v>
      </c>
      <c r="U227" s="167">
        <f>Rutas[[#This Row],[Precio x Galón ($/gal)]]*Rutas[[#This Row],[Volumen de Combustible (gal)]]</f>
        <v>166.64400000000001</v>
      </c>
      <c r="V227" s="36"/>
      <c r="W227" s="36"/>
      <c r="X227" s="36"/>
      <c r="Y227" s="145">
        <f t="shared" si="64"/>
        <v>166.64400000000001</v>
      </c>
      <c r="Z227" s="567"/>
      <c r="AA227" s="12">
        <v>92.58</v>
      </c>
      <c r="AB227" s="12">
        <f t="shared" si="65"/>
        <v>6.2648520198747031</v>
      </c>
      <c r="AC227" s="12">
        <f t="shared" si="66"/>
        <v>0</v>
      </c>
      <c r="AD227" s="34"/>
    </row>
    <row r="228" spans="1:30" ht="16" x14ac:dyDescent="0.2">
      <c r="A228" s="47"/>
      <c r="B228" s="305"/>
      <c r="C228" s="176">
        <f t="shared" si="48"/>
        <v>225</v>
      </c>
      <c r="D228" s="146">
        <f t="shared" si="60"/>
        <v>45702</v>
      </c>
      <c r="E228" s="37">
        <v>45705</v>
      </c>
      <c r="F228" s="65" t="s">
        <v>209</v>
      </c>
      <c r="G228" s="11" t="str">
        <f ca="1">IF(AND(E228&lt;&gt;"",E228&lt;TODAY()),"Disponible",IFERROR(INDEX(Vehiculos[Estado Vehiculo],MATCH(F228,Vehiculos[Placa Vehiculo],0)),""))</f>
        <v>Disponible</v>
      </c>
      <c r="H228" s="34" t="s">
        <v>235</v>
      </c>
      <c r="I228" s="34" t="s">
        <v>273</v>
      </c>
      <c r="J228" s="34" t="s">
        <v>274</v>
      </c>
      <c r="K228" s="39">
        <f t="shared" si="61"/>
        <v>77670</v>
      </c>
      <c r="L228" s="39">
        <v>78250</v>
      </c>
      <c r="M228" s="15">
        <f t="shared" si="62"/>
        <v>580</v>
      </c>
      <c r="N228" s="15"/>
      <c r="O228" s="39"/>
      <c r="P228" s="36"/>
      <c r="Q228" s="16">
        <f t="shared" si="63"/>
        <v>0</v>
      </c>
      <c r="R228" s="34" t="s">
        <v>273</v>
      </c>
      <c r="S228" s="34" t="s">
        <v>102</v>
      </c>
      <c r="T228" s="36">
        <v>1.8</v>
      </c>
      <c r="U228" s="167">
        <f>Rutas[[#This Row],[Precio x Galón ($/gal)]]*Rutas[[#This Row],[Volumen de Combustible (gal)]]</f>
        <v>187.29</v>
      </c>
      <c r="V228" s="36"/>
      <c r="W228" s="36"/>
      <c r="X228" s="36"/>
      <c r="Y228" s="145">
        <f t="shared" si="64"/>
        <v>187.29</v>
      </c>
      <c r="Z228" s="567"/>
      <c r="AA228" s="12">
        <v>104.05</v>
      </c>
      <c r="AB228" s="12">
        <f t="shared" si="65"/>
        <v>5.5742431523306104</v>
      </c>
      <c r="AC228" s="12">
        <f t="shared" si="66"/>
        <v>0</v>
      </c>
      <c r="AD228" s="34"/>
    </row>
    <row r="229" spans="1:30" ht="16" x14ac:dyDescent="0.2">
      <c r="A229" s="47"/>
      <c r="B229" s="305"/>
      <c r="C229" s="176">
        <f t="shared" si="48"/>
        <v>226</v>
      </c>
      <c r="D229" s="146">
        <f t="shared" si="60"/>
        <v>45705</v>
      </c>
      <c r="E229" s="37">
        <v>45712</v>
      </c>
      <c r="F229" s="65" t="s">
        <v>209</v>
      </c>
      <c r="G229" s="11" t="str">
        <f ca="1">IF(AND(E229&lt;&gt;"",E229&lt;TODAY()),"Disponible",IFERROR(INDEX(Vehiculos[Estado Vehiculo],MATCH(F229,Vehiculos[Placa Vehiculo],0)),""))</f>
        <v>Disponible</v>
      </c>
      <c r="H229" s="34" t="s">
        <v>235</v>
      </c>
      <c r="I229" s="34" t="s">
        <v>273</v>
      </c>
      <c r="J229" s="34" t="s">
        <v>274</v>
      </c>
      <c r="K229" s="39">
        <f t="shared" si="61"/>
        <v>78250</v>
      </c>
      <c r="L229" s="39">
        <v>79510</v>
      </c>
      <c r="M229" s="15">
        <f t="shared" si="62"/>
        <v>1260</v>
      </c>
      <c r="N229" s="15"/>
      <c r="O229" s="39"/>
      <c r="P229" s="36"/>
      <c r="Q229" s="16">
        <f t="shared" si="63"/>
        <v>0</v>
      </c>
      <c r="R229" s="34" t="s">
        <v>273</v>
      </c>
      <c r="S229" s="34" t="s">
        <v>102</v>
      </c>
      <c r="T229" s="36">
        <v>1.8</v>
      </c>
      <c r="U229" s="167">
        <f>Rutas[[#This Row],[Precio x Galón ($/gal)]]*Rutas[[#This Row],[Volumen de Combustible (gal)]]</f>
        <v>179.58599999999998</v>
      </c>
      <c r="V229" s="36"/>
      <c r="W229" s="36"/>
      <c r="X229" s="36"/>
      <c r="Y229" s="145">
        <f t="shared" si="64"/>
        <v>179.58599999999998</v>
      </c>
      <c r="Z229" s="567"/>
      <c r="AA229" s="12">
        <v>99.77</v>
      </c>
      <c r="AB229" s="12">
        <f t="shared" si="65"/>
        <v>12.629046807657613</v>
      </c>
      <c r="AC229" s="12">
        <f t="shared" si="66"/>
        <v>0</v>
      </c>
      <c r="AD229" s="34"/>
    </row>
    <row r="230" spans="1:30" ht="16" x14ac:dyDescent="0.2">
      <c r="A230" s="47"/>
      <c r="B230" s="305"/>
      <c r="C230" s="176">
        <f t="shared" si="48"/>
        <v>227</v>
      </c>
      <c r="D230" s="146">
        <f t="shared" si="60"/>
        <v>45712</v>
      </c>
      <c r="E230" s="37">
        <v>45715</v>
      </c>
      <c r="F230" s="65" t="s">
        <v>209</v>
      </c>
      <c r="G230" s="11" t="str">
        <f ca="1">IF(AND(E230&lt;&gt;"",E230&lt;TODAY()),"Disponible",IFERROR(INDEX(Vehiculos[Estado Vehiculo],MATCH(F230,Vehiculos[Placa Vehiculo],0)),""))</f>
        <v>Disponible</v>
      </c>
      <c r="H230" s="34" t="s">
        <v>244</v>
      </c>
      <c r="I230" s="34" t="s">
        <v>273</v>
      </c>
      <c r="J230" s="34" t="s">
        <v>274</v>
      </c>
      <c r="K230" s="39">
        <f t="shared" si="61"/>
        <v>79510</v>
      </c>
      <c r="L230" s="39">
        <v>80080</v>
      </c>
      <c r="M230" s="15">
        <f t="shared" si="62"/>
        <v>570</v>
      </c>
      <c r="N230" s="15"/>
      <c r="O230" s="39"/>
      <c r="P230" s="36"/>
      <c r="Q230" s="16">
        <f t="shared" si="63"/>
        <v>0</v>
      </c>
      <c r="R230" s="34" t="s">
        <v>273</v>
      </c>
      <c r="S230" s="34" t="s">
        <v>102</v>
      </c>
      <c r="T230" s="36">
        <v>1.8</v>
      </c>
      <c r="U230" s="167">
        <f>Rutas[[#This Row],[Precio x Galón ($/gal)]]*Rutas[[#This Row],[Volumen de Combustible (gal)]]</f>
        <v>227.55600000000001</v>
      </c>
      <c r="V230" s="36"/>
      <c r="W230" s="36"/>
      <c r="X230" s="36"/>
      <c r="Y230" s="145">
        <f t="shared" si="64"/>
        <v>227.55600000000001</v>
      </c>
      <c r="Z230" s="567"/>
      <c r="AA230" s="12">
        <v>126.42</v>
      </c>
      <c r="AB230" s="12">
        <f t="shared" si="65"/>
        <v>4.5087802562885617</v>
      </c>
      <c r="AC230" s="12">
        <f t="shared" si="66"/>
        <v>0</v>
      </c>
      <c r="AD230" s="34"/>
    </row>
    <row r="231" spans="1:30" ht="16" x14ac:dyDescent="0.2">
      <c r="A231" s="47"/>
      <c r="B231" s="305"/>
      <c r="C231" s="176">
        <f t="shared" si="48"/>
        <v>228</v>
      </c>
      <c r="D231" s="146">
        <f t="shared" si="60"/>
        <v>45715</v>
      </c>
      <c r="E231" s="37">
        <v>45716</v>
      </c>
      <c r="F231" s="65" t="s">
        <v>209</v>
      </c>
      <c r="G231" s="11" t="str">
        <f ca="1">IF(AND(E231&lt;&gt;"",E231&lt;TODAY()),"Disponible",IFERROR(INDEX(Vehiculos[Estado Vehiculo],MATCH(F231,Vehiculos[Placa Vehiculo],0)),""))</f>
        <v>Disponible</v>
      </c>
      <c r="H231" s="34" t="s">
        <v>244</v>
      </c>
      <c r="I231" s="34" t="s">
        <v>273</v>
      </c>
      <c r="J231" s="34" t="s">
        <v>274</v>
      </c>
      <c r="K231" s="39">
        <f t="shared" si="61"/>
        <v>80080</v>
      </c>
      <c r="L231" s="39">
        <v>80660</v>
      </c>
      <c r="M231" s="15">
        <f t="shared" si="62"/>
        <v>580</v>
      </c>
      <c r="N231" s="451">
        <v>560</v>
      </c>
      <c r="O231" s="39"/>
      <c r="P231" s="36"/>
      <c r="Q231" s="16">
        <f t="shared" si="63"/>
        <v>0</v>
      </c>
      <c r="R231" s="34" t="s">
        <v>273</v>
      </c>
      <c r="S231" s="34" t="s">
        <v>102</v>
      </c>
      <c r="T231" s="36">
        <v>1.8</v>
      </c>
      <c r="U231" s="167">
        <f>Rutas[[#This Row],[Precio x Galón ($/gal)]]*Rutas[[#This Row],[Volumen de Combustible (gal)]]</f>
        <v>198.45000000000002</v>
      </c>
      <c r="V231" s="36"/>
      <c r="W231" s="36"/>
      <c r="X231" s="36"/>
      <c r="Y231" s="145">
        <f t="shared" si="64"/>
        <v>198.45000000000002</v>
      </c>
      <c r="Z231" s="567"/>
      <c r="AA231" s="12">
        <v>110.25</v>
      </c>
      <c r="AB231" s="12">
        <f t="shared" si="65"/>
        <v>5.2607709750566896</v>
      </c>
      <c r="AC231" s="12">
        <f t="shared" si="66"/>
        <v>0</v>
      </c>
      <c r="AD231" s="34"/>
    </row>
    <row r="232" spans="1:30" ht="16" x14ac:dyDescent="0.2">
      <c r="A232" s="47"/>
      <c r="B232" s="305"/>
      <c r="C232" s="176">
        <f t="shared" si="48"/>
        <v>229</v>
      </c>
      <c r="D232" s="177">
        <v>45689</v>
      </c>
      <c r="E232" s="177">
        <v>45692</v>
      </c>
      <c r="F232" s="178" t="s">
        <v>211</v>
      </c>
      <c r="G232" s="179" t="str">
        <f ca="1">IF(AND(E232&lt;&gt;"",E232&lt;TODAY()),"Disponible",IFERROR(INDEX(Vehiculos[Estado Vehiculo],MATCH(F232,Vehiculos[Placa Vehiculo],0)),""))</f>
        <v>Disponible</v>
      </c>
      <c r="H232" s="180" t="s">
        <v>236</v>
      </c>
      <c r="I232" s="180" t="s">
        <v>273</v>
      </c>
      <c r="J232" s="180" t="s">
        <v>274</v>
      </c>
      <c r="K232" s="181">
        <v>2692</v>
      </c>
      <c r="L232" s="181">
        <v>2751</v>
      </c>
      <c r="M232" s="182">
        <f t="shared" si="62"/>
        <v>59</v>
      </c>
      <c r="N232" s="182"/>
      <c r="O232" s="181"/>
      <c r="P232" s="183"/>
      <c r="Q232" s="184">
        <f t="shared" si="63"/>
        <v>0</v>
      </c>
      <c r="R232" s="180" t="s">
        <v>273</v>
      </c>
      <c r="S232" s="180" t="s">
        <v>102</v>
      </c>
      <c r="T232" s="183">
        <v>1.8</v>
      </c>
      <c r="U232" s="186">
        <f>Rutas[[#This Row],[Precio x Galón ($/gal)]]*Rutas[[#This Row],[Volumen de Combustible (gal)]]</f>
        <v>126.77400000000002</v>
      </c>
      <c r="V232" s="183"/>
      <c r="W232" s="183"/>
      <c r="X232" s="183"/>
      <c r="Y232" s="184">
        <f t="shared" si="64"/>
        <v>126.77400000000002</v>
      </c>
      <c r="Z232" s="567"/>
      <c r="AA232" s="184">
        <v>70.430000000000007</v>
      </c>
      <c r="AB232" s="184">
        <f t="shared" si="65"/>
        <v>0.83771120261252296</v>
      </c>
      <c r="AC232" s="184">
        <f t="shared" si="66"/>
        <v>0</v>
      </c>
      <c r="AD232" s="180"/>
    </row>
    <row r="233" spans="1:30" ht="16" x14ac:dyDescent="0.2">
      <c r="A233" s="47"/>
      <c r="B233" s="305"/>
      <c r="C233" s="176">
        <f t="shared" si="48"/>
        <v>230</v>
      </c>
      <c r="D233" s="146">
        <f>E232</f>
        <v>45692</v>
      </c>
      <c r="E233" s="37">
        <v>45694</v>
      </c>
      <c r="F233" s="65" t="s">
        <v>211</v>
      </c>
      <c r="G233" s="11" t="str">
        <f ca="1">IF(AND(E233&lt;&gt;"",E233&lt;TODAY()),"Disponible",IFERROR(INDEX(Vehiculos[Estado Vehiculo],MATCH(F233,Vehiculos[Placa Vehiculo],0)),""))</f>
        <v>Disponible</v>
      </c>
      <c r="H233" s="34" t="s">
        <v>236</v>
      </c>
      <c r="I233" s="34" t="s">
        <v>273</v>
      </c>
      <c r="J233" s="34" t="s">
        <v>274</v>
      </c>
      <c r="K233" s="39">
        <f>L232</f>
        <v>2751</v>
      </c>
      <c r="L233" s="39">
        <v>2792</v>
      </c>
      <c r="M233" s="15">
        <f t="shared" si="62"/>
        <v>41</v>
      </c>
      <c r="N233" s="15"/>
      <c r="O233" s="39"/>
      <c r="P233" s="36"/>
      <c r="Q233" s="16">
        <f t="shared" si="63"/>
        <v>0</v>
      </c>
      <c r="R233" s="34" t="s">
        <v>273</v>
      </c>
      <c r="S233" s="34" t="s">
        <v>102</v>
      </c>
      <c r="T233" s="36">
        <v>1.8</v>
      </c>
      <c r="U233" s="167">
        <f>Rutas[[#This Row],[Precio x Galón ($/gal)]]*Rutas[[#This Row],[Volumen de Combustible (gal)]]</f>
        <v>188.37</v>
      </c>
      <c r="V233" s="36"/>
      <c r="W233" s="36"/>
      <c r="X233" s="36"/>
      <c r="Y233" s="145">
        <f t="shared" si="64"/>
        <v>188.37</v>
      </c>
      <c r="Z233" s="567"/>
      <c r="AA233" s="12">
        <v>104.65</v>
      </c>
      <c r="AB233" s="12">
        <f t="shared" si="65"/>
        <v>0.3917821309125657</v>
      </c>
      <c r="AC233" s="12">
        <f t="shared" si="66"/>
        <v>0</v>
      </c>
      <c r="AD233" s="34"/>
    </row>
    <row r="234" spans="1:30" ht="16" x14ac:dyDescent="0.2">
      <c r="A234" s="47"/>
      <c r="B234" s="305"/>
      <c r="C234" s="176">
        <f t="shared" si="48"/>
        <v>231</v>
      </c>
      <c r="D234" s="146">
        <f>E233</f>
        <v>45694</v>
      </c>
      <c r="E234" s="37">
        <v>45699</v>
      </c>
      <c r="F234" s="65" t="s">
        <v>211</v>
      </c>
      <c r="G234" s="11" t="str">
        <f ca="1">IF(AND(E234&lt;&gt;"",E234&lt;TODAY()),"Disponible",IFERROR(INDEX(Vehiculos[Estado Vehiculo],MATCH(F234,Vehiculos[Placa Vehiculo],0)),""))</f>
        <v>Disponible</v>
      </c>
      <c r="H234" s="34" t="s">
        <v>236</v>
      </c>
      <c r="I234" s="34" t="s">
        <v>273</v>
      </c>
      <c r="J234" s="34" t="s">
        <v>274</v>
      </c>
      <c r="K234" s="39">
        <f>L233</f>
        <v>2792</v>
      </c>
      <c r="L234" s="39">
        <v>2893</v>
      </c>
      <c r="M234" s="15">
        <f t="shared" si="62"/>
        <v>101</v>
      </c>
      <c r="N234" s="15"/>
      <c r="O234" s="39"/>
      <c r="P234" s="36"/>
      <c r="Q234" s="16">
        <f t="shared" si="63"/>
        <v>0</v>
      </c>
      <c r="R234" s="34" t="s">
        <v>273</v>
      </c>
      <c r="S234" s="34" t="s">
        <v>102</v>
      </c>
      <c r="T234" s="36">
        <v>1.8</v>
      </c>
      <c r="U234" s="167">
        <f>Rutas[[#This Row],[Precio x Galón ($/gal)]]*Rutas[[#This Row],[Volumen de Combustible (gal)]]</f>
        <v>129.61800000000002</v>
      </c>
      <c r="V234" s="36"/>
      <c r="W234" s="36"/>
      <c r="X234" s="36"/>
      <c r="Y234" s="145">
        <f t="shared" si="64"/>
        <v>129.61800000000002</v>
      </c>
      <c r="Z234" s="567"/>
      <c r="AA234" s="12">
        <v>72.010000000000005</v>
      </c>
      <c r="AB234" s="12">
        <f t="shared" si="65"/>
        <v>1.4025829745868628</v>
      </c>
      <c r="AC234" s="12">
        <f t="shared" si="66"/>
        <v>0</v>
      </c>
      <c r="AD234" s="34"/>
    </row>
    <row r="235" spans="1:30" ht="16" x14ac:dyDescent="0.2">
      <c r="A235" s="47"/>
      <c r="B235" s="305"/>
      <c r="C235" s="176">
        <f t="shared" si="48"/>
        <v>232</v>
      </c>
      <c r="D235" s="146">
        <f>E234</f>
        <v>45699</v>
      </c>
      <c r="E235" s="37">
        <v>45703</v>
      </c>
      <c r="F235" s="65" t="s">
        <v>211</v>
      </c>
      <c r="G235" s="11" t="str">
        <f ca="1">IF(AND(E235&lt;&gt;"",E235&lt;TODAY()),"Disponible",IFERROR(INDEX(Vehiculos[Estado Vehiculo],MATCH(F235,Vehiculos[Placa Vehiculo],0)),""))</f>
        <v>Disponible</v>
      </c>
      <c r="H235" s="34" t="s">
        <v>246</v>
      </c>
      <c r="I235" s="34" t="s">
        <v>273</v>
      </c>
      <c r="J235" s="34" t="s">
        <v>274</v>
      </c>
      <c r="K235" s="39">
        <f>L234</f>
        <v>2893</v>
      </c>
      <c r="L235" s="39">
        <v>2960</v>
      </c>
      <c r="M235" s="15">
        <f t="shared" si="62"/>
        <v>67</v>
      </c>
      <c r="N235" s="15"/>
      <c r="O235" s="39"/>
      <c r="P235" s="36"/>
      <c r="Q235" s="16">
        <f t="shared" si="63"/>
        <v>0</v>
      </c>
      <c r="R235" s="34" t="s">
        <v>273</v>
      </c>
      <c r="S235" s="34" t="s">
        <v>102</v>
      </c>
      <c r="T235" s="36">
        <v>1.8</v>
      </c>
      <c r="U235" s="167">
        <f>Rutas[[#This Row],[Precio x Galón ($/gal)]]*Rutas[[#This Row],[Volumen de Combustible (gal)]]</f>
        <v>201.22200000000001</v>
      </c>
      <c r="V235" s="36"/>
      <c r="W235" s="36"/>
      <c r="X235" s="36"/>
      <c r="Y235" s="145">
        <f t="shared" si="64"/>
        <v>201.22200000000001</v>
      </c>
      <c r="Z235" s="567"/>
      <c r="AA235" s="12">
        <v>111.79</v>
      </c>
      <c r="AB235" s="12">
        <f t="shared" si="65"/>
        <v>0.59933804454781281</v>
      </c>
      <c r="AC235" s="12">
        <f t="shared" si="66"/>
        <v>0</v>
      </c>
      <c r="AD235" s="34"/>
    </row>
    <row r="236" spans="1:30" ht="16" x14ac:dyDescent="0.2">
      <c r="A236" s="47"/>
      <c r="B236" s="305"/>
      <c r="C236" s="176">
        <f t="shared" si="48"/>
        <v>233</v>
      </c>
      <c r="D236" s="146">
        <f>E235</f>
        <v>45703</v>
      </c>
      <c r="E236" s="37">
        <v>45716</v>
      </c>
      <c r="F236" s="65" t="s">
        <v>211</v>
      </c>
      <c r="G236" s="11" t="str">
        <f ca="1">IF(AND(E236&lt;&gt;"",E236&lt;TODAY()),"Disponible",IFERROR(INDEX(Vehiculos[Estado Vehiculo],MATCH(F236,Vehiculos[Placa Vehiculo],0)),""))</f>
        <v>Disponible</v>
      </c>
      <c r="H236" s="34" t="s">
        <v>242</v>
      </c>
      <c r="I236" s="34" t="s">
        <v>273</v>
      </c>
      <c r="J236" s="34" t="s">
        <v>274</v>
      </c>
      <c r="K236" s="39">
        <f>L235</f>
        <v>2960</v>
      </c>
      <c r="L236" s="39">
        <v>3131</v>
      </c>
      <c r="M236" s="15">
        <f t="shared" si="62"/>
        <v>171</v>
      </c>
      <c r="N236" s="451">
        <v>301</v>
      </c>
      <c r="O236" s="39"/>
      <c r="P236" s="36"/>
      <c r="Q236" s="16">
        <f t="shared" si="63"/>
        <v>0</v>
      </c>
      <c r="R236" s="34" t="s">
        <v>273</v>
      </c>
      <c r="S236" s="34" t="s">
        <v>102</v>
      </c>
      <c r="T236" s="36">
        <v>1.8</v>
      </c>
      <c r="U236" s="167">
        <f>Rutas[[#This Row],[Precio x Galón ($/gal)]]*Rutas[[#This Row],[Volumen de Combustible (gal)]]</f>
        <v>205.63200000000001</v>
      </c>
      <c r="V236" s="36"/>
      <c r="W236" s="36"/>
      <c r="X236" s="36"/>
      <c r="Y236" s="145">
        <f t="shared" si="64"/>
        <v>205.63200000000001</v>
      </c>
      <c r="Z236" s="567"/>
      <c r="AA236" s="12">
        <v>114.24</v>
      </c>
      <c r="AB236" s="12">
        <f t="shared" si="65"/>
        <v>1.4968487394957983</v>
      </c>
      <c r="AC236" s="12">
        <f t="shared" si="66"/>
        <v>0</v>
      </c>
      <c r="AD236" s="34"/>
    </row>
    <row r="237" spans="1:30" s="175" customFormat="1" ht="17" thickBot="1" x14ac:dyDescent="0.25">
      <c r="A237" s="47"/>
      <c r="B237" s="305"/>
      <c r="C237" s="176">
        <f t="shared" si="48"/>
        <v>234</v>
      </c>
      <c r="D237" s="177">
        <v>45692</v>
      </c>
      <c r="E237" s="177">
        <v>45695</v>
      </c>
      <c r="F237" s="178" t="s">
        <v>207</v>
      </c>
      <c r="G237" s="179" t="str">
        <f ca="1">IF(AND(E237&lt;&gt;"",E237&lt;TODAY()),"Disponible",IFERROR(INDEX(Vehiculos[Estado Vehiculo],MATCH(F237,Vehiculos[Placa Vehiculo],0)),""))</f>
        <v>Disponible</v>
      </c>
      <c r="H237" s="180" t="s">
        <v>245</v>
      </c>
      <c r="I237" s="180" t="s">
        <v>273</v>
      </c>
      <c r="J237" s="180" t="s">
        <v>282</v>
      </c>
      <c r="K237" s="181">
        <v>24915</v>
      </c>
      <c r="L237" s="181">
        <v>24991</v>
      </c>
      <c r="M237" s="182">
        <f t="shared" si="62"/>
        <v>76</v>
      </c>
      <c r="N237" s="182"/>
      <c r="O237" s="181"/>
      <c r="P237" s="183"/>
      <c r="Q237" s="184">
        <f t="shared" si="63"/>
        <v>0</v>
      </c>
      <c r="R237" s="180" t="s">
        <v>273</v>
      </c>
      <c r="S237" s="180" t="s">
        <v>102</v>
      </c>
      <c r="T237" s="183">
        <v>1.8</v>
      </c>
      <c r="U237" s="186">
        <f>Rutas[[#This Row],[Precio x Galón ($/gal)]]*Rutas[[#This Row],[Volumen de Combustible (gal)]]</f>
        <v>266.94000000000005</v>
      </c>
      <c r="V237" s="183"/>
      <c r="W237" s="183"/>
      <c r="X237" s="183"/>
      <c r="Y237" s="184">
        <f t="shared" si="64"/>
        <v>266.94000000000005</v>
      </c>
      <c r="Z237" s="567"/>
      <c r="AA237" s="184">
        <v>148.30000000000001</v>
      </c>
      <c r="AB237" s="184">
        <f t="shared" si="65"/>
        <v>0.51247471341874573</v>
      </c>
      <c r="AC237" s="184">
        <f t="shared" si="66"/>
        <v>0</v>
      </c>
      <c r="AD237" s="180"/>
    </row>
    <row r="238" spans="1:30" ht="17" thickTop="1" x14ac:dyDescent="0.2">
      <c r="A238" s="47"/>
      <c r="B238" s="305"/>
      <c r="C238" s="176">
        <f t="shared" si="48"/>
        <v>235</v>
      </c>
      <c r="D238" s="146">
        <f>E237</f>
        <v>45695</v>
      </c>
      <c r="E238" s="37">
        <v>45701</v>
      </c>
      <c r="F238" s="65" t="s">
        <v>207</v>
      </c>
      <c r="G238" s="11" t="str">
        <f ca="1">IF(AND(E238&lt;&gt;"",E238&lt;TODAY()),"Disponible",IFERROR(INDEX(Vehiculos[Estado Vehiculo],MATCH(F238,Vehiculos[Placa Vehiculo],0)),""))</f>
        <v>Disponible</v>
      </c>
      <c r="H238" s="34" t="s">
        <v>245</v>
      </c>
      <c r="I238" s="34" t="s">
        <v>273</v>
      </c>
      <c r="J238" s="34" t="s">
        <v>282</v>
      </c>
      <c r="K238" s="39">
        <f>L237</f>
        <v>24991</v>
      </c>
      <c r="L238" s="39">
        <v>25102</v>
      </c>
      <c r="M238" s="15">
        <f t="shared" si="62"/>
        <v>111</v>
      </c>
      <c r="N238" s="15"/>
      <c r="O238" s="39"/>
      <c r="P238" s="36"/>
      <c r="Q238" s="16">
        <f t="shared" si="63"/>
        <v>0</v>
      </c>
      <c r="R238" s="34" t="s">
        <v>273</v>
      </c>
      <c r="S238" s="34" t="s">
        <v>102</v>
      </c>
      <c r="T238" s="36">
        <v>1.8</v>
      </c>
      <c r="U238" s="167">
        <f>Rutas[[#This Row],[Precio x Galón ($/gal)]]*Rutas[[#This Row],[Volumen de Combustible (gal)]]</f>
        <v>200.57400000000001</v>
      </c>
      <c r="V238" s="36"/>
      <c r="W238" s="36"/>
      <c r="X238" s="36"/>
      <c r="Y238" s="145">
        <f t="shared" si="64"/>
        <v>200.57400000000001</v>
      </c>
      <c r="Z238" s="567"/>
      <c r="AA238" s="12">
        <v>111.43</v>
      </c>
      <c r="AB238" s="12">
        <f t="shared" si="65"/>
        <v>0.99614107511442151</v>
      </c>
      <c r="AC238" s="12">
        <f t="shared" si="66"/>
        <v>0</v>
      </c>
      <c r="AD238" s="34"/>
    </row>
    <row r="239" spans="1:30" ht="16" x14ac:dyDescent="0.2">
      <c r="A239" s="47"/>
      <c r="B239" s="305"/>
      <c r="C239" s="176">
        <f t="shared" si="48"/>
        <v>236</v>
      </c>
      <c r="D239" s="146">
        <f>E238</f>
        <v>45701</v>
      </c>
      <c r="E239" s="37">
        <v>45707</v>
      </c>
      <c r="F239" s="65" t="s">
        <v>207</v>
      </c>
      <c r="G239" s="11" t="str">
        <f ca="1">IF(AND(E239&lt;&gt;"",E239&lt;TODAY()),"Disponible",IFERROR(INDEX(Vehiculos[Estado Vehiculo],MATCH(F239,Vehiculos[Placa Vehiculo],0)),""))</f>
        <v>Disponible</v>
      </c>
      <c r="H239" s="34" t="s">
        <v>245</v>
      </c>
      <c r="I239" s="34" t="s">
        <v>273</v>
      </c>
      <c r="J239" s="34" t="s">
        <v>282</v>
      </c>
      <c r="K239" s="39">
        <f>L238</f>
        <v>25102</v>
      </c>
      <c r="L239" s="39">
        <v>25255</v>
      </c>
      <c r="M239" s="15">
        <f t="shared" si="62"/>
        <v>153</v>
      </c>
      <c r="N239" s="15"/>
      <c r="O239" s="39"/>
      <c r="P239" s="36"/>
      <c r="Q239" s="16">
        <f t="shared" si="63"/>
        <v>0</v>
      </c>
      <c r="R239" s="34" t="s">
        <v>273</v>
      </c>
      <c r="S239" s="34" t="s">
        <v>102</v>
      </c>
      <c r="T239" s="36">
        <v>1.8</v>
      </c>
      <c r="U239" s="167">
        <f>Rutas[[#This Row],[Precio x Galón ($/gal)]]*Rutas[[#This Row],[Volumen de Combustible (gal)]]</f>
        <v>181.458</v>
      </c>
      <c r="V239" s="36"/>
      <c r="W239" s="36"/>
      <c r="X239" s="36"/>
      <c r="Y239" s="145">
        <f t="shared" si="64"/>
        <v>181.458</v>
      </c>
      <c r="Z239" s="567"/>
      <c r="AA239" s="12">
        <v>100.81</v>
      </c>
      <c r="AB239" s="12">
        <f t="shared" si="65"/>
        <v>1.5177065767284992</v>
      </c>
      <c r="AC239" s="12">
        <f t="shared" si="66"/>
        <v>0</v>
      </c>
      <c r="AD239" s="34"/>
    </row>
    <row r="240" spans="1:30" ht="16" x14ac:dyDescent="0.2">
      <c r="A240" s="47"/>
      <c r="B240" s="305"/>
      <c r="C240" s="176">
        <f t="shared" si="48"/>
        <v>237</v>
      </c>
      <c r="D240" s="146">
        <f>E239</f>
        <v>45707</v>
      </c>
      <c r="E240" s="37">
        <v>45712</v>
      </c>
      <c r="F240" s="65" t="s">
        <v>207</v>
      </c>
      <c r="G240" s="11" t="str">
        <f ca="1">IF(AND(E240&lt;&gt;"",E240&lt;TODAY()),"Disponible",IFERROR(INDEX(Vehiculos[Estado Vehiculo],MATCH(F240,Vehiculos[Placa Vehiculo],0)),""))</f>
        <v>Disponible</v>
      </c>
      <c r="H240" s="34" t="s">
        <v>239</v>
      </c>
      <c r="I240" s="34" t="s">
        <v>273</v>
      </c>
      <c r="J240" s="34" t="s">
        <v>282</v>
      </c>
      <c r="K240" s="39">
        <f>L239</f>
        <v>25255</v>
      </c>
      <c r="L240" s="39">
        <v>25347</v>
      </c>
      <c r="M240" s="15">
        <f t="shared" si="62"/>
        <v>92</v>
      </c>
      <c r="N240" s="15"/>
      <c r="O240" s="39"/>
      <c r="P240" s="36"/>
      <c r="Q240" s="16">
        <f t="shared" si="63"/>
        <v>0</v>
      </c>
      <c r="R240" s="34" t="s">
        <v>273</v>
      </c>
      <c r="S240" s="34" t="s">
        <v>102</v>
      </c>
      <c r="T240" s="36">
        <v>1.8</v>
      </c>
      <c r="U240" s="167">
        <f>Rutas[[#This Row],[Precio x Galón ($/gal)]]*Rutas[[#This Row],[Volumen de Combustible (gal)]]</f>
        <v>129.6</v>
      </c>
      <c r="V240" s="36"/>
      <c r="W240" s="36"/>
      <c r="X240" s="36"/>
      <c r="Y240" s="145">
        <f t="shared" si="64"/>
        <v>129.6</v>
      </c>
      <c r="Z240" s="567"/>
      <c r="AA240" s="12">
        <v>72</v>
      </c>
      <c r="AB240" s="12">
        <f t="shared" si="65"/>
        <v>1.2777777777777777</v>
      </c>
      <c r="AC240" s="12">
        <f t="shared" si="66"/>
        <v>0</v>
      </c>
      <c r="AD240" s="34"/>
    </row>
    <row r="241" spans="1:30" ht="16" x14ac:dyDescent="0.2">
      <c r="A241" s="47"/>
      <c r="B241" s="305"/>
      <c r="C241" s="176">
        <f t="shared" si="48"/>
        <v>238</v>
      </c>
      <c r="D241" s="146">
        <f>E240</f>
        <v>45712</v>
      </c>
      <c r="E241" s="37">
        <v>45716</v>
      </c>
      <c r="F241" s="65" t="s">
        <v>207</v>
      </c>
      <c r="G241" s="11" t="str">
        <f ca="1">IF(AND(E241&lt;&gt;"",E241&lt;TODAY()),"Disponible",IFERROR(INDEX(Vehiculos[Estado Vehiculo],MATCH(F241,Vehiculos[Placa Vehiculo],0)),""))</f>
        <v>Disponible</v>
      </c>
      <c r="H241" s="34" t="s">
        <v>237</v>
      </c>
      <c r="I241" s="34" t="s">
        <v>273</v>
      </c>
      <c r="J241" s="34" t="s">
        <v>282</v>
      </c>
      <c r="K241" s="39">
        <f>L240</f>
        <v>25347</v>
      </c>
      <c r="L241" s="39">
        <v>25420</v>
      </c>
      <c r="M241" s="15">
        <f t="shared" si="62"/>
        <v>73</v>
      </c>
      <c r="N241" s="451">
        <v>90</v>
      </c>
      <c r="O241" s="39"/>
      <c r="P241" s="36"/>
      <c r="Q241" s="16">
        <f t="shared" si="63"/>
        <v>0</v>
      </c>
      <c r="R241" s="34" t="s">
        <v>273</v>
      </c>
      <c r="S241" s="34" t="s">
        <v>102</v>
      </c>
      <c r="T241" s="36">
        <v>1.8</v>
      </c>
      <c r="U241" s="167">
        <f>Rutas[[#This Row],[Precio x Galón ($/gal)]]*Rutas[[#This Row],[Volumen de Combustible (gal)]]</f>
        <v>289.29599999999999</v>
      </c>
      <c r="V241" s="36"/>
      <c r="W241" s="36"/>
      <c r="X241" s="36"/>
      <c r="Y241" s="145">
        <f t="shared" si="64"/>
        <v>289.29599999999999</v>
      </c>
      <c r="Z241" s="567"/>
      <c r="AA241" s="12">
        <v>160.72</v>
      </c>
      <c r="AB241" s="12">
        <f t="shared" si="65"/>
        <v>0.45420607267297164</v>
      </c>
      <c r="AC241" s="12">
        <f t="shared" si="66"/>
        <v>0</v>
      </c>
      <c r="AD241" s="34"/>
    </row>
    <row r="242" spans="1:30" ht="16" x14ac:dyDescent="0.2">
      <c r="A242" s="47"/>
      <c r="B242" s="305"/>
      <c r="C242" s="176">
        <f t="shared" si="48"/>
        <v>239</v>
      </c>
      <c r="D242" s="177">
        <v>45689</v>
      </c>
      <c r="E242" s="177">
        <v>45692</v>
      </c>
      <c r="F242" s="178" t="s">
        <v>204</v>
      </c>
      <c r="G242" s="179" t="str">
        <f ca="1">IF(AND(E242&lt;&gt;"",E242&lt;TODAY()),"Disponible",IFERROR(INDEX(Vehiculos[Estado Vehiculo],MATCH(F242,Vehiculos[Placa Vehiculo],0)),""))</f>
        <v>Disponible</v>
      </c>
      <c r="H242" s="180" t="s">
        <v>229</v>
      </c>
      <c r="I242" s="180" t="s">
        <v>273</v>
      </c>
      <c r="J242" s="180" t="s">
        <v>282</v>
      </c>
      <c r="K242" s="181">
        <v>1905</v>
      </c>
      <c r="L242" s="181">
        <v>1967</v>
      </c>
      <c r="M242" s="182">
        <f t="shared" si="62"/>
        <v>62</v>
      </c>
      <c r="N242" s="182"/>
      <c r="O242" s="181"/>
      <c r="P242" s="183"/>
      <c r="Q242" s="184">
        <f t="shared" si="63"/>
        <v>0</v>
      </c>
      <c r="R242" s="180" t="s">
        <v>273</v>
      </c>
      <c r="S242" s="180" t="s">
        <v>102</v>
      </c>
      <c r="T242" s="183">
        <v>1.8</v>
      </c>
      <c r="U242" s="186">
        <f>Rutas[[#This Row],[Precio x Galón ($/gal)]]*Rutas[[#This Row],[Volumen de Combustible (gal)]]</f>
        <v>183.40200000000002</v>
      </c>
      <c r="V242" s="183"/>
      <c r="W242" s="183"/>
      <c r="X242" s="183"/>
      <c r="Y242" s="184">
        <f t="shared" si="64"/>
        <v>183.40200000000002</v>
      </c>
      <c r="Z242" s="567"/>
      <c r="AA242" s="184">
        <v>101.89</v>
      </c>
      <c r="AB242" s="184">
        <f t="shared" si="65"/>
        <v>0.60849936205712041</v>
      </c>
      <c r="AC242" s="184">
        <f t="shared" si="66"/>
        <v>0</v>
      </c>
      <c r="AD242" s="180"/>
    </row>
    <row r="243" spans="1:30" ht="16" x14ac:dyDescent="0.2">
      <c r="A243" s="47"/>
      <c r="B243" s="305"/>
      <c r="C243" s="176">
        <f t="shared" si="48"/>
        <v>240</v>
      </c>
      <c r="D243" s="146">
        <f>E242</f>
        <v>45692</v>
      </c>
      <c r="E243" s="37">
        <v>45698</v>
      </c>
      <c r="F243" s="65" t="s">
        <v>204</v>
      </c>
      <c r="G243" s="11" t="str">
        <f ca="1">IF(AND(E243&lt;&gt;"",E243&lt;TODAY()),"Disponible",IFERROR(INDEX(Vehiculos[Estado Vehiculo],MATCH(F243,Vehiculos[Placa Vehiculo],0)),""))</f>
        <v>Disponible</v>
      </c>
      <c r="H243" s="34" t="s">
        <v>229</v>
      </c>
      <c r="I243" s="34" t="s">
        <v>273</v>
      </c>
      <c r="J243" s="34" t="s">
        <v>282</v>
      </c>
      <c r="K243" s="39">
        <f>L242</f>
        <v>1967</v>
      </c>
      <c r="L243" s="39">
        <v>2090</v>
      </c>
      <c r="M243" s="15">
        <f t="shared" si="62"/>
        <v>123</v>
      </c>
      <c r="N243" s="15"/>
      <c r="O243" s="39"/>
      <c r="P243" s="36"/>
      <c r="Q243" s="16">
        <f t="shared" si="63"/>
        <v>0</v>
      </c>
      <c r="R243" s="34" t="s">
        <v>273</v>
      </c>
      <c r="S243" s="34" t="s">
        <v>102</v>
      </c>
      <c r="T243" s="36">
        <v>1.8</v>
      </c>
      <c r="U243" s="167">
        <f>Rutas[[#This Row],[Precio x Galón ($/gal)]]*Rutas[[#This Row],[Volumen de Combustible (gal)]]</f>
        <v>197.73</v>
      </c>
      <c r="V243" s="36"/>
      <c r="W243" s="36"/>
      <c r="X243" s="36"/>
      <c r="Y243" s="145">
        <f t="shared" si="64"/>
        <v>197.73</v>
      </c>
      <c r="Z243" s="567"/>
      <c r="AA243" s="12">
        <v>109.85</v>
      </c>
      <c r="AB243" s="12">
        <f t="shared" si="65"/>
        <v>1.1197086936731908</v>
      </c>
      <c r="AC243" s="12">
        <f t="shared" si="66"/>
        <v>0</v>
      </c>
      <c r="AD243" s="34"/>
    </row>
    <row r="244" spans="1:30" ht="16" x14ac:dyDescent="0.2">
      <c r="A244" s="47"/>
      <c r="B244" s="305"/>
      <c r="C244" s="176">
        <f t="shared" si="48"/>
        <v>241</v>
      </c>
      <c r="D244" s="146">
        <f>E243</f>
        <v>45698</v>
      </c>
      <c r="E244" s="37">
        <v>45702</v>
      </c>
      <c r="F244" s="65" t="s">
        <v>204</v>
      </c>
      <c r="G244" s="11" t="str">
        <f ca="1">IF(AND(E244&lt;&gt;"",E244&lt;TODAY()),"Disponible",IFERROR(INDEX(Vehiculos[Estado Vehiculo],MATCH(F244,Vehiculos[Placa Vehiculo],0)),""))</f>
        <v>Disponible</v>
      </c>
      <c r="H244" s="34" t="s">
        <v>238</v>
      </c>
      <c r="I244" s="34" t="s">
        <v>273</v>
      </c>
      <c r="J244" s="34" t="s">
        <v>282</v>
      </c>
      <c r="K244" s="39">
        <v>2090</v>
      </c>
      <c r="L244" s="39">
        <v>2172</v>
      </c>
      <c r="M244" s="15">
        <f t="shared" si="62"/>
        <v>82</v>
      </c>
      <c r="N244" s="15"/>
      <c r="O244" s="39"/>
      <c r="P244" s="36"/>
      <c r="Q244" s="16">
        <f t="shared" si="63"/>
        <v>0</v>
      </c>
      <c r="R244" s="34" t="s">
        <v>273</v>
      </c>
      <c r="S244" s="34" t="s">
        <v>102</v>
      </c>
      <c r="T244" s="36">
        <v>1.8</v>
      </c>
      <c r="U244" s="167">
        <f>Rutas[[#This Row],[Precio x Galón ($/gal)]]*Rutas[[#This Row],[Volumen de Combustible (gal)]]</f>
        <v>186.876</v>
      </c>
      <c r="V244" s="36"/>
      <c r="W244" s="36"/>
      <c r="X244" s="36"/>
      <c r="Y244" s="145">
        <f t="shared" si="64"/>
        <v>186.876</v>
      </c>
      <c r="Z244" s="567"/>
      <c r="AA244" s="12">
        <v>103.82</v>
      </c>
      <c r="AB244" s="12">
        <f t="shared" si="65"/>
        <v>0.78982854941244462</v>
      </c>
      <c r="AC244" s="12">
        <f t="shared" si="66"/>
        <v>0</v>
      </c>
      <c r="AD244" s="34"/>
    </row>
    <row r="245" spans="1:30" ht="16" x14ac:dyDescent="0.2">
      <c r="A245" s="47"/>
      <c r="B245" s="305"/>
      <c r="C245" s="176">
        <f t="shared" si="48"/>
        <v>242</v>
      </c>
      <c r="D245" s="146">
        <f>E244</f>
        <v>45702</v>
      </c>
      <c r="E245" s="37">
        <v>45705</v>
      </c>
      <c r="F245" s="65" t="s">
        <v>204</v>
      </c>
      <c r="G245" s="11" t="str">
        <f ca="1">IF(AND(E245&lt;&gt;"",E245&lt;TODAY()),"Disponible",IFERROR(INDEX(Vehiculos[Estado Vehiculo],MATCH(F245,Vehiculos[Placa Vehiculo],0)),""))</f>
        <v>Disponible</v>
      </c>
      <c r="H245" s="34" t="s">
        <v>238</v>
      </c>
      <c r="I245" s="34" t="s">
        <v>273</v>
      </c>
      <c r="J245" s="34" t="s">
        <v>282</v>
      </c>
      <c r="K245" s="39">
        <f>L244</f>
        <v>2172</v>
      </c>
      <c r="L245" s="39">
        <v>2231</v>
      </c>
      <c r="M245" s="15">
        <f t="shared" si="62"/>
        <v>59</v>
      </c>
      <c r="N245" s="15"/>
      <c r="O245" s="39"/>
      <c r="P245" s="36"/>
      <c r="Q245" s="16">
        <f t="shared" si="63"/>
        <v>0</v>
      </c>
      <c r="R245" s="34" t="s">
        <v>273</v>
      </c>
      <c r="S245" s="34" t="s">
        <v>102</v>
      </c>
      <c r="T245" s="36">
        <v>1.8</v>
      </c>
      <c r="U245" s="167">
        <f>Rutas[[#This Row],[Precio x Galón ($/gal)]]*Rutas[[#This Row],[Volumen de Combustible (gal)]]</f>
        <v>246.47400000000002</v>
      </c>
      <c r="V245" s="36"/>
      <c r="W245" s="36"/>
      <c r="X245" s="36"/>
      <c r="Y245" s="145">
        <f t="shared" si="64"/>
        <v>246.47400000000002</v>
      </c>
      <c r="Z245" s="567"/>
      <c r="AA245" s="12">
        <v>136.93</v>
      </c>
      <c r="AB245" s="12">
        <f t="shared" si="65"/>
        <v>0.43087709048418898</v>
      </c>
      <c r="AC245" s="12">
        <f t="shared" si="66"/>
        <v>0</v>
      </c>
      <c r="AD245" s="34"/>
    </row>
    <row r="246" spans="1:30" ht="16" x14ac:dyDescent="0.2">
      <c r="A246" s="47"/>
      <c r="B246" s="305"/>
      <c r="C246" s="176">
        <f t="shared" si="48"/>
        <v>243</v>
      </c>
      <c r="D246" s="146">
        <f>E245</f>
        <v>45705</v>
      </c>
      <c r="E246" s="37">
        <v>45712</v>
      </c>
      <c r="F246" s="65" t="s">
        <v>204</v>
      </c>
      <c r="G246" s="11" t="str">
        <f ca="1">IF(AND(E246&lt;&gt;"",E246&lt;TODAY()),"Disponible",IFERROR(INDEX(Vehiculos[Estado Vehiculo],MATCH(F246,Vehiculos[Placa Vehiculo],0)),""))</f>
        <v>Disponible</v>
      </c>
      <c r="H246" s="34" t="s">
        <v>238</v>
      </c>
      <c r="I246" s="34" t="s">
        <v>273</v>
      </c>
      <c r="J246" s="34" t="s">
        <v>282</v>
      </c>
      <c r="K246" s="39">
        <f>L245</f>
        <v>2231</v>
      </c>
      <c r="L246" s="39">
        <v>2291</v>
      </c>
      <c r="M246" s="15">
        <f t="shared" si="62"/>
        <v>60</v>
      </c>
      <c r="N246" s="15"/>
      <c r="O246" s="39"/>
      <c r="P246" s="36"/>
      <c r="Q246" s="16">
        <f t="shared" si="63"/>
        <v>0</v>
      </c>
      <c r="R246" s="34" t="s">
        <v>273</v>
      </c>
      <c r="S246" s="34" t="s">
        <v>102</v>
      </c>
      <c r="T246" s="36">
        <v>1.8</v>
      </c>
      <c r="U246" s="167">
        <f>Rutas[[#This Row],[Precio x Galón ($/gal)]]*Rutas[[#This Row],[Volumen de Combustible (gal)]]</f>
        <v>167.54400000000001</v>
      </c>
      <c r="V246" s="36"/>
      <c r="W246" s="36"/>
      <c r="X246" s="36"/>
      <c r="Y246" s="145">
        <f t="shared" si="64"/>
        <v>167.54400000000001</v>
      </c>
      <c r="Z246" s="567"/>
      <c r="AA246" s="12">
        <v>93.08</v>
      </c>
      <c r="AB246" s="12">
        <f t="shared" si="65"/>
        <v>0.64460678985818654</v>
      </c>
      <c r="AC246" s="12">
        <f t="shared" si="66"/>
        <v>0</v>
      </c>
      <c r="AD246" s="34"/>
    </row>
    <row r="247" spans="1:30" ht="16" x14ac:dyDescent="0.2">
      <c r="A247" s="47"/>
      <c r="B247" s="305"/>
      <c r="C247" s="176">
        <f t="shared" si="48"/>
        <v>244</v>
      </c>
      <c r="D247" s="146">
        <v>45712</v>
      </c>
      <c r="E247" s="37">
        <v>45716</v>
      </c>
      <c r="F247" s="65" t="s">
        <v>204</v>
      </c>
      <c r="G247" s="11" t="str">
        <f ca="1">IF(AND(E247&lt;&gt;"",E247&lt;TODAY()),"Disponible",IFERROR(INDEX(Vehiculos[Estado Vehiculo],MATCH(F247,Vehiculos[Placa Vehiculo],0)),""))</f>
        <v>Disponible</v>
      </c>
      <c r="H247" s="34" t="s">
        <v>247</v>
      </c>
      <c r="I247" s="34" t="s">
        <v>273</v>
      </c>
      <c r="J247" s="34" t="s">
        <v>282</v>
      </c>
      <c r="K247" s="39">
        <f>L246</f>
        <v>2291</v>
      </c>
      <c r="L247" s="39">
        <v>2358</v>
      </c>
      <c r="M247" s="15">
        <f t="shared" si="62"/>
        <v>67</v>
      </c>
      <c r="N247" s="451">
        <v>457</v>
      </c>
      <c r="O247" s="39"/>
      <c r="P247" s="36"/>
      <c r="Q247" s="16">
        <f t="shared" si="63"/>
        <v>0</v>
      </c>
      <c r="R247" s="34" t="s">
        <v>273</v>
      </c>
      <c r="S247" s="34" t="s">
        <v>102</v>
      </c>
      <c r="T247" s="36">
        <v>1.8</v>
      </c>
      <c r="U247" s="167">
        <f>Rutas[[#This Row],[Precio x Galón ($/gal)]]*Rutas[[#This Row],[Volumen de Combustible (gal)]]</f>
        <v>174.636</v>
      </c>
      <c r="V247" s="36"/>
      <c r="W247" s="36"/>
      <c r="X247" s="36"/>
      <c r="Y247" s="145">
        <f t="shared" si="64"/>
        <v>174.636</v>
      </c>
      <c r="Z247" s="567"/>
      <c r="AA247" s="12">
        <v>97.02</v>
      </c>
      <c r="AB247" s="12">
        <f t="shared" si="65"/>
        <v>0.69057926200783348</v>
      </c>
      <c r="AC247" s="12">
        <f t="shared" si="66"/>
        <v>0</v>
      </c>
      <c r="AD247" s="34"/>
    </row>
    <row r="248" spans="1:30" ht="16" x14ac:dyDescent="0.2">
      <c r="A248" s="47"/>
      <c r="B248" s="305"/>
      <c r="C248" s="176">
        <f t="shared" si="48"/>
        <v>245</v>
      </c>
      <c r="D248" s="177">
        <v>45694</v>
      </c>
      <c r="E248" s="177">
        <v>45699</v>
      </c>
      <c r="F248" s="178" t="s">
        <v>286</v>
      </c>
      <c r="G248" s="179" t="str">
        <f ca="1">IF(AND(E248&lt;&gt;"",E248&lt;TODAY()),"Disponible",IFERROR(INDEX(Vehiculos[Estado Vehiculo],MATCH(F248,Vehiculos[Placa Vehiculo],0)),""))</f>
        <v>Disponible</v>
      </c>
      <c r="H248" s="180" t="s">
        <v>288</v>
      </c>
      <c r="I248" s="180" t="s">
        <v>273</v>
      </c>
      <c r="J248" s="180" t="s">
        <v>290</v>
      </c>
      <c r="K248" s="181">
        <v>7857</v>
      </c>
      <c r="L248" s="181">
        <v>7916</v>
      </c>
      <c r="M248" s="182">
        <f t="shared" si="62"/>
        <v>59</v>
      </c>
      <c r="N248" s="182"/>
      <c r="O248" s="181"/>
      <c r="P248" s="183"/>
      <c r="Q248" s="184">
        <f t="shared" si="63"/>
        <v>0</v>
      </c>
      <c r="R248" s="180" t="s">
        <v>273</v>
      </c>
      <c r="S248" s="180" t="s">
        <v>102</v>
      </c>
      <c r="T248" s="183">
        <v>1.8</v>
      </c>
      <c r="U248" s="186">
        <f>Rutas[[#This Row],[Precio x Galón ($/gal)]]*Rutas[[#This Row],[Volumen de Combustible (gal)]]</f>
        <v>57.492000000000004</v>
      </c>
      <c r="V248" s="183"/>
      <c r="W248" s="183"/>
      <c r="X248" s="183"/>
      <c r="Y248" s="184">
        <f t="shared" si="64"/>
        <v>57.492000000000004</v>
      </c>
      <c r="Z248" s="567"/>
      <c r="AA248" s="184">
        <v>31.94</v>
      </c>
      <c r="AB248" s="184">
        <f t="shared" si="65"/>
        <v>1.8472135253600501</v>
      </c>
      <c r="AC248" s="184">
        <f t="shared" si="66"/>
        <v>0</v>
      </c>
      <c r="AD248" s="180"/>
    </row>
    <row r="249" spans="1:30" ht="16" x14ac:dyDescent="0.2">
      <c r="A249" s="47"/>
      <c r="B249" s="305"/>
      <c r="C249" s="176">
        <f t="shared" si="48"/>
        <v>246</v>
      </c>
      <c r="D249" s="146">
        <v>45699</v>
      </c>
      <c r="E249" s="37">
        <v>45704</v>
      </c>
      <c r="F249" s="65" t="s">
        <v>286</v>
      </c>
      <c r="G249" s="11" t="str">
        <f ca="1">IF(AND(E249&lt;&gt;"",E249&lt;TODAY()),"Disponible",IFERROR(INDEX(Vehiculos[Estado Vehiculo],MATCH(F249,Vehiculos[Placa Vehiculo],0)),""))</f>
        <v>Disponible</v>
      </c>
      <c r="H249" s="34" t="s">
        <v>288</v>
      </c>
      <c r="I249" s="34" t="s">
        <v>273</v>
      </c>
      <c r="J249" s="34" t="s">
        <v>290</v>
      </c>
      <c r="K249" s="39">
        <v>7916</v>
      </c>
      <c r="L249" s="39">
        <v>7977</v>
      </c>
      <c r="M249" s="15">
        <f t="shared" si="62"/>
        <v>61</v>
      </c>
      <c r="N249" s="15"/>
      <c r="O249" s="39"/>
      <c r="P249" s="36"/>
      <c r="Q249" s="16">
        <f t="shared" si="63"/>
        <v>0</v>
      </c>
      <c r="R249" s="34" t="s">
        <v>273</v>
      </c>
      <c r="S249" s="34" t="s">
        <v>102</v>
      </c>
      <c r="T249" s="36">
        <v>1.8</v>
      </c>
      <c r="U249" s="167">
        <f>Rutas[[#This Row],[Precio x Galón ($/gal)]]*Rutas[[#This Row],[Volumen de Combustible (gal)]]</f>
        <v>29.069999999999997</v>
      </c>
      <c r="V249" s="36"/>
      <c r="W249" s="36"/>
      <c r="X249" s="36"/>
      <c r="Y249" s="145">
        <f t="shared" si="64"/>
        <v>29.069999999999997</v>
      </c>
      <c r="Z249" s="567"/>
      <c r="AA249" s="12">
        <v>16.149999999999999</v>
      </c>
      <c r="AB249" s="12">
        <f t="shared" si="65"/>
        <v>3.7770897832817343</v>
      </c>
      <c r="AC249" s="12">
        <f t="shared" si="66"/>
        <v>0</v>
      </c>
      <c r="AD249" s="34"/>
    </row>
    <row r="250" spans="1:30" ht="16" x14ac:dyDescent="0.2">
      <c r="A250" s="47"/>
      <c r="B250" s="305"/>
      <c r="C250" s="176">
        <f t="shared" si="48"/>
        <v>247</v>
      </c>
      <c r="D250" s="146">
        <v>45704</v>
      </c>
      <c r="E250" s="37">
        <v>45704</v>
      </c>
      <c r="F250" s="65" t="s">
        <v>286</v>
      </c>
      <c r="G250" s="11" t="str">
        <f ca="1">IF(AND(E250&lt;&gt;"",E250&lt;TODAY()),"Disponible",IFERROR(INDEX(Vehiculos[Estado Vehiculo],MATCH(F250,Vehiculos[Placa Vehiculo],0)),""))</f>
        <v>Disponible</v>
      </c>
      <c r="H250" s="34" t="s">
        <v>288</v>
      </c>
      <c r="I250" s="34" t="s">
        <v>273</v>
      </c>
      <c r="J250" s="34" t="s">
        <v>290</v>
      </c>
      <c r="K250" s="39">
        <v>7977</v>
      </c>
      <c r="L250" s="39">
        <v>8102</v>
      </c>
      <c r="M250" s="15">
        <f t="shared" ref="M250:M257" si="67">L250-K250</f>
        <v>125</v>
      </c>
      <c r="N250" s="15"/>
      <c r="O250" s="39"/>
      <c r="P250" s="36"/>
      <c r="Q250" s="16">
        <f t="shared" ref="Q250:Q257" si="68">M250*P250</f>
        <v>0</v>
      </c>
      <c r="R250" s="34" t="s">
        <v>273</v>
      </c>
      <c r="S250" s="34" t="s">
        <v>102</v>
      </c>
      <c r="T250" s="36">
        <v>1.8</v>
      </c>
      <c r="U250" s="167">
        <f>Rutas[[#This Row],[Precio x Galón ($/gal)]]*Rutas[[#This Row],[Volumen de Combustible (gal)]]</f>
        <v>29.933999999999997</v>
      </c>
      <c r="V250" s="36"/>
      <c r="W250" s="36"/>
      <c r="X250" s="36"/>
      <c r="Y250" s="145">
        <f t="shared" ref="Y250:Y257" si="69">U250+SUM(V250:X250)</f>
        <v>29.933999999999997</v>
      </c>
      <c r="Z250" s="567"/>
      <c r="AA250" s="12">
        <v>16.63</v>
      </c>
      <c r="AB250" s="12">
        <f t="shared" ref="AB250:AB257" si="70">IFERROR(M250/AA250,0)</f>
        <v>7.5165363800360803</v>
      </c>
      <c r="AC250" s="12">
        <f t="shared" ref="AC250:AC257" si="71">IFERROR(Q250/M250,0)</f>
        <v>0</v>
      </c>
      <c r="AD250" s="34"/>
    </row>
    <row r="251" spans="1:30" ht="16" x14ac:dyDescent="0.2">
      <c r="A251" s="47"/>
      <c r="B251" s="305"/>
      <c r="C251" s="176">
        <f t="shared" si="48"/>
        <v>248</v>
      </c>
      <c r="D251" s="90">
        <v>45689</v>
      </c>
      <c r="E251" s="90">
        <v>45692</v>
      </c>
      <c r="F251" s="68" t="s">
        <v>365</v>
      </c>
      <c r="G251" s="379" t="str">
        <f ca="1">IF(AND(E251&lt;&gt;"",E251&lt;TODAY()),"Disponible",IFERROR(INDEX(Vehiculos[Estado Vehiculo],MATCH(F251,Vehiculos[Placa Vehiculo],0)),""))</f>
        <v>Disponible</v>
      </c>
      <c r="H251" s="89" t="s">
        <v>234</v>
      </c>
      <c r="I251" s="89" t="s">
        <v>338</v>
      </c>
      <c r="J251" s="89" t="s">
        <v>274</v>
      </c>
      <c r="K251" s="380"/>
      <c r="L251" s="380"/>
      <c r="M251" s="381">
        <f t="shared" si="67"/>
        <v>0</v>
      </c>
      <c r="N251" s="381"/>
      <c r="O251" s="380"/>
      <c r="P251" s="92"/>
      <c r="Q251" s="382">
        <f t="shared" si="68"/>
        <v>0</v>
      </c>
      <c r="R251" s="89" t="s">
        <v>340</v>
      </c>
      <c r="S251" s="89" t="s">
        <v>102</v>
      </c>
      <c r="T251" s="92">
        <v>1.8</v>
      </c>
      <c r="U251" s="266">
        <f>Rutas[[#This Row],[Precio x Galón ($/gal)]]*Rutas[[#This Row],[Volumen de Combustible (gal)]]</f>
        <v>108</v>
      </c>
      <c r="V251" s="92"/>
      <c r="W251" s="92"/>
      <c r="X251" s="92"/>
      <c r="Y251" s="382">
        <f t="shared" si="69"/>
        <v>108</v>
      </c>
      <c r="Z251" s="567"/>
      <c r="AA251" s="382">
        <v>60</v>
      </c>
      <c r="AB251" s="382">
        <f t="shared" si="70"/>
        <v>0</v>
      </c>
      <c r="AC251" s="382">
        <f t="shared" si="71"/>
        <v>0</v>
      </c>
      <c r="AD251" s="89"/>
    </row>
    <row r="252" spans="1:30" ht="16" x14ac:dyDescent="0.2">
      <c r="A252" s="47"/>
      <c r="B252" s="305"/>
      <c r="C252" s="176">
        <f t="shared" si="48"/>
        <v>249</v>
      </c>
      <c r="D252" s="146">
        <v>45692</v>
      </c>
      <c r="E252" s="37">
        <v>45696</v>
      </c>
      <c r="F252" s="65" t="s">
        <v>365</v>
      </c>
      <c r="G252" s="11" t="str">
        <f ca="1">IF(AND(E252&lt;&gt;"",E252&lt;TODAY()),"Disponible",IFERROR(INDEX(Vehiculos[Estado Vehiculo],MATCH(F252,Vehiculos[Placa Vehiculo],0)),""))</f>
        <v>Disponible</v>
      </c>
      <c r="H252" s="34" t="s">
        <v>234</v>
      </c>
      <c r="I252" s="34" t="s">
        <v>338</v>
      </c>
      <c r="J252" s="34" t="s">
        <v>274</v>
      </c>
      <c r="K252" s="39"/>
      <c r="L252" s="39"/>
      <c r="M252" s="15">
        <f t="shared" si="67"/>
        <v>0</v>
      </c>
      <c r="N252" s="15"/>
      <c r="O252" s="39"/>
      <c r="P252" s="36"/>
      <c r="Q252" s="16">
        <f t="shared" si="68"/>
        <v>0</v>
      </c>
      <c r="R252" s="34" t="s">
        <v>340</v>
      </c>
      <c r="S252" s="34" t="s">
        <v>102</v>
      </c>
      <c r="T252" s="36">
        <v>1.8</v>
      </c>
      <c r="U252" s="167">
        <f>Rutas[[#This Row],[Precio x Galón ($/gal)]]*Rutas[[#This Row],[Volumen de Combustible (gal)]]</f>
        <v>108</v>
      </c>
      <c r="V252" s="36"/>
      <c r="W252" s="36"/>
      <c r="X252" s="36"/>
      <c r="Y252" s="145">
        <f t="shared" si="69"/>
        <v>108</v>
      </c>
      <c r="Z252" s="567"/>
      <c r="AA252" s="12">
        <v>60</v>
      </c>
      <c r="AB252" s="12">
        <f t="shared" si="70"/>
        <v>0</v>
      </c>
      <c r="AC252" s="12">
        <f t="shared" si="71"/>
        <v>0</v>
      </c>
      <c r="AD252" s="34"/>
    </row>
    <row r="253" spans="1:30" ht="16" x14ac:dyDescent="0.2">
      <c r="A253" s="47"/>
      <c r="B253" s="305"/>
      <c r="C253" s="176">
        <f t="shared" si="48"/>
        <v>250</v>
      </c>
      <c r="D253" s="146">
        <v>45696</v>
      </c>
      <c r="E253" s="37">
        <v>45698</v>
      </c>
      <c r="F253" s="65" t="s">
        <v>365</v>
      </c>
      <c r="G253" s="11" t="str">
        <f ca="1">IF(AND(E253&lt;&gt;"",E253&lt;TODAY()),"Disponible",IFERROR(INDEX(Vehiculos[Estado Vehiculo],MATCH(F253,Vehiculos[Placa Vehiculo],0)),""))</f>
        <v>Disponible</v>
      </c>
      <c r="H253" s="34" t="s">
        <v>234</v>
      </c>
      <c r="I253" s="34" t="s">
        <v>338</v>
      </c>
      <c r="J253" s="34" t="s">
        <v>274</v>
      </c>
      <c r="K253" s="39"/>
      <c r="L253" s="39"/>
      <c r="M253" s="15">
        <f t="shared" si="67"/>
        <v>0</v>
      </c>
      <c r="N253" s="15"/>
      <c r="O253" s="39"/>
      <c r="P253" s="36"/>
      <c r="Q253" s="16">
        <f t="shared" si="68"/>
        <v>0</v>
      </c>
      <c r="R253" s="34" t="s">
        <v>340</v>
      </c>
      <c r="S253" s="34" t="s">
        <v>102</v>
      </c>
      <c r="T253" s="36">
        <v>1.8</v>
      </c>
      <c r="U253" s="167">
        <f>Rutas[[#This Row],[Precio x Galón ($/gal)]]*Rutas[[#This Row],[Volumen de Combustible (gal)]]</f>
        <v>99</v>
      </c>
      <c r="V253" s="36"/>
      <c r="W253" s="36"/>
      <c r="X253" s="36"/>
      <c r="Y253" s="145">
        <f t="shared" si="69"/>
        <v>99</v>
      </c>
      <c r="Z253" s="567"/>
      <c r="AA253" s="12">
        <v>55</v>
      </c>
      <c r="AB253" s="12">
        <f t="shared" si="70"/>
        <v>0</v>
      </c>
      <c r="AC253" s="12">
        <f t="shared" si="71"/>
        <v>0</v>
      </c>
      <c r="AD253" s="34"/>
    </row>
    <row r="254" spans="1:30" ht="16" x14ac:dyDescent="0.2">
      <c r="A254" s="47"/>
      <c r="B254" s="305"/>
      <c r="C254" s="176">
        <f t="shared" si="48"/>
        <v>251</v>
      </c>
      <c r="D254" s="146">
        <v>45698</v>
      </c>
      <c r="E254" s="37">
        <v>45708</v>
      </c>
      <c r="F254" s="65" t="s">
        <v>365</v>
      </c>
      <c r="G254" s="11" t="str">
        <f ca="1">IF(AND(E254&lt;&gt;"",E254&lt;TODAY()),"Disponible",IFERROR(INDEX(Vehiculos[Estado Vehiculo],MATCH(F254,Vehiculos[Placa Vehiculo],0)),""))</f>
        <v>Disponible</v>
      </c>
      <c r="H254" s="34" t="s">
        <v>240</v>
      </c>
      <c r="I254" s="34" t="s">
        <v>338</v>
      </c>
      <c r="J254" s="34" t="s">
        <v>274</v>
      </c>
      <c r="K254" s="39">
        <v>349663</v>
      </c>
      <c r="L254" s="39">
        <v>351257</v>
      </c>
      <c r="M254" s="15">
        <f t="shared" si="67"/>
        <v>1594</v>
      </c>
      <c r="N254" s="15"/>
      <c r="O254" s="39"/>
      <c r="P254" s="36"/>
      <c r="Q254" s="16">
        <f t="shared" si="68"/>
        <v>0</v>
      </c>
      <c r="R254" s="34" t="s">
        <v>340</v>
      </c>
      <c r="S254" s="34" t="s">
        <v>102</v>
      </c>
      <c r="T254" s="36">
        <v>1.8</v>
      </c>
      <c r="U254" s="167">
        <f>Rutas[[#This Row],[Precio x Galón ($/gal)]]*Rutas[[#This Row],[Volumen de Combustible (gal)]]</f>
        <v>126</v>
      </c>
      <c r="V254" s="36"/>
      <c r="W254" s="36"/>
      <c r="X254" s="36"/>
      <c r="Y254" s="145">
        <f t="shared" si="69"/>
        <v>126</v>
      </c>
      <c r="Z254" s="567"/>
      <c r="AA254" s="12">
        <v>70</v>
      </c>
      <c r="AB254" s="12">
        <f t="shared" si="70"/>
        <v>22.771428571428572</v>
      </c>
      <c r="AC254" s="12">
        <f t="shared" si="71"/>
        <v>0</v>
      </c>
      <c r="AD254" s="34"/>
    </row>
    <row r="255" spans="1:30" ht="16" x14ac:dyDescent="0.2">
      <c r="A255" s="47"/>
      <c r="B255" s="305"/>
      <c r="C255" s="176">
        <f t="shared" si="48"/>
        <v>252</v>
      </c>
      <c r="D255" s="146">
        <v>45708</v>
      </c>
      <c r="E255" s="37">
        <v>45711</v>
      </c>
      <c r="F255" s="65" t="s">
        <v>365</v>
      </c>
      <c r="G255" s="11" t="str">
        <f ca="1">IF(AND(E255&lt;&gt;"",E255&lt;TODAY()),"Disponible",IFERROR(INDEX(Vehiculos[Estado Vehiculo],MATCH(F255,Vehiculos[Placa Vehiculo],0)),""))</f>
        <v>Disponible</v>
      </c>
      <c r="H255" s="34" t="s">
        <v>234</v>
      </c>
      <c r="I255" s="34" t="s">
        <v>338</v>
      </c>
      <c r="J255" s="34" t="s">
        <v>274</v>
      </c>
      <c r="K255" s="39"/>
      <c r="L255" s="39"/>
      <c r="M255" s="15">
        <f t="shared" si="67"/>
        <v>0</v>
      </c>
      <c r="N255" s="15"/>
      <c r="O255" s="39"/>
      <c r="P255" s="36"/>
      <c r="Q255" s="16">
        <f t="shared" si="68"/>
        <v>0</v>
      </c>
      <c r="R255" s="34" t="s">
        <v>339</v>
      </c>
      <c r="S255" s="34" t="s">
        <v>102</v>
      </c>
      <c r="T255" s="36">
        <v>1.8</v>
      </c>
      <c r="U255" s="167">
        <f>Rutas[[#This Row],[Precio x Galón ($/gal)]]*Rutas[[#This Row],[Volumen de Combustible (gal)]]</f>
        <v>108</v>
      </c>
      <c r="V255" s="36"/>
      <c r="W255" s="36"/>
      <c r="X255" s="36"/>
      <c r="Y255" s="145">
        <f t="shared" si="69"/>
        <v>108</v>
      </c>
      <c r="Z255" s="567"/>
      <c r="AA255" s="12">
        <v>60</v>
      </c>
      <c r="AB255" s="12">
        <f t="shared" si="70"/>
        <v>0</v>
      </c>
      <c r="AC255" s="12">
        <f t="shared" si="71"/>
        <v>0</v>
      </c>
      <c r="AD255" s="34"/>
    </row>
    <row r="256" spans="1:30" ht="16" x14ac:dyDescent="0.2">
      <c r="A256" s="47"/>
      <c r="B256" s="305"/>
      <c r="C256" s="176">
        <f t="shared" si="48"/>
        <v>253</v>
      </c>
      <c r="D256" s="146">
        <v>45711</v>
      </c>
      <c r="E256" s="37">
        <v>45714</v>
      </c>
      <c r="F256" s="65" t="s">
        <v>365</v>
      </c>
      <c r="G256" s="11" t="str">
        <f ca="1">IF(AND(E256&lt;&gt;"",E256&lt;TODAY()),"Disponible",IFERROR(INDEX(Vehiculos[Estado Vehiculo],MATCH(F256,Vehiculos[Placa Vehiculo],0)),""))</f>
        <v>Disponible</v>
      </c>
      <c r="H256" s="34" t="s">
        <v>234</v>
      </c>
      <c r="I256" s="34" t="s">
        <v>338</v>
      </c>
      <c r="J256" s="34" t="s">
        <v>274</v>
      </c>
      <c r="K256" s="39"/>
      <c r="L256" s="39"/>
      <c r="M256" s="15">
        <f t="shared" si="67"/>
        <v>0</v>
      </c>
      <c r="N256" s="15"/>
      <c r="O256" s="39"/>
      <c r="P256" s="36"/>
      <c r="Q256" s="16">
        <f t="shared" si="68"/>
        <v>0</v>
      </c>
      <c r="R256" s="34" t="s">
        <v>340</v>
      </c>
      <c r="S256" s="34" t="s">
        <v>102</v>
      </c>
      <c r="T256" s="36">
        <v>1.8</v>
      </c>
      <c r="U256" s="167">
        <f>Rutas[[#This Row],[Precio x Galón ($/gal)]]*Rutas[[#This Row],[Volumen de Combustible (gal)]]</f>
        <v>117</v>
      </c>
      <c r="V256" s="36"/>
      <c r="W256" s="36"/>
      <c r="X256" s="36"/>
      <c r="Y256" s="145">
        <f t="shared" si="69"/>
        <v>117</v>
      </c>
      <c r="Z256" s="567"/>
      <c r="AA256" s="12">
        <v>65</v>
      </c>
      <c r="AB256" s="12">
        <f t="shared" si="70"/>
        <v>0</v>
      </c>
      <c r="AC256" s="12">
        <f t="shared" si="71"/>
        <v>0</v>
      </c>
      <c r="AD256" s="34"/>
    </row>
    <row r="257" spans="1:30" ht="16" x14ac:dyDescent="0.2">
      <c r="A257" s="47"/>
      <c r="B257" s="305"/>
      <c r="C257" s="176">
        <f t="shared" si="48"/>
        <v>254</v>
      </c>
      <c r="D257" s="146">
        <v>45714</v>
      </c>
      <c r="E257" s="37">
        <v>45716</v>
      </c>
      <c r="F257" s="65" t="s">
        <v>365</v>
      </c>
      <c r="G257" s="11" t="str">
        <f ca="1">IF(AND(E257&lt;&gt;"",E257&lt;TODAY()),"Disponible",IFERROR(INDEX(Vehiculos[Estado Vehiculo],MATCH(F257,Vehiculos[Placa Vehiculo],0)),""))</f>
        <v>Disponible</v>
      </c>
      <c r="H257" s="34" t="s">
        <v>234</v>
      </c>
      <c r="I257" s="34" t="s">
        <v>338</v>
      </c>
      <c r="J257" s="34" t="s">
        <v>274</v>
      </c>
      <c r="K257" s="39"/>
      <c r="L257" s="39"/>
      <c r="M257" s="15">
        <f t="shared" si="67"/>
        <v>0</v>
      </c>
      <c r="N257" s="451">
        <v>280</v>
      </c>
      <c r="O257" s="39"/>
      <c r="P257" s="36"/>
      <c r="Q257" s="16">
        <f t="shared" si="68"/>
        <v>0</v>
      </c>
      <c r="R257" s="34" t="s">
        <v>340</v>
      </c>
      <c r="S257" s="34" t="s">
        <v>102</v>
      </c>
      <c r="T257" s="36">
        <v>1.8</v>
      </c>
      <c r="U257" s="167">
        <f>Rutas[[#This Row],[Precio x Galón ($/gal)]]*Rutas[[#This Row],[Volumen de Combustible (gal)]]</f>
        <v>108</v>
      </c>
      <c r="V257" s="36"/>
      <c r="W257" s="36"/>
      <c r="X257" s="36"/>
      <c r="Y257" s="145">
        <f t="shared" si="69"/>
        <v>108</v>
      </c>
      <c r="Z257" s="567"/>
      <c r="AA257" s="12">
        <v>60</v>
      </c>
      <c r="AB257" s="12">
        <f t="shared" si="70"/>
        <v>0</v>
      </c>
      <c r="AC257" s="12">
        <f t="shared" si="71"/>
        <v>0</v>
      </c>
      <c r="AD257" s="34"/>
    </row>
    <row r="258" spans="1:30" ht="16" x14ac:dyDescent="0.2">
      <c r="A258" s="47"/>
      <c r="B258" s="305"/>
      <c r="C258" s="176">
        <f t="shared" si="48"/>
        <v>255</v>
      </c>
      <c r="D258" s="90">
        <v>45689</v>
      </c>
      <c r="E258" s="90">
        <v>45692</v>
      </c>
      <c r="F258" s="68" t="s">
        <v>213</v>
      </c>
      <c r="G258" s="379" t="str">
        <f ca="1">IF(AND(E258&lt;&gt;"",E258&lt;TODAY()),"Disponible",IFERROR(INDEX(Vehiculos[Estado Vehiculo],MATCH(F258,Vehiculos[Placa Vehiculo],0)),""))</f>
        <v>Disponible</v>
      </c>
      <c r="H258" s="89" t="s">
        <v>232</v>
      </c>
      <c r="I258" s="89" t="s">
        <v>338</v>
      </c>
      <c r="J258" s="89" t="s">
        <v>317</v>
      </c>
      <c r="K258" s="380"/>
      <c r="L258" s="380"/>
      <c r="M258" s="381">
        <f t="shared" ref="M258:M263" si="72">L258-K258</f>
        <v>0</v>
      </c>
      <c r="N258" s="381"/>
      <c r="O258" s="380"/>
      <c r="P258" s="92"/>
      <c r="Q258" s="382">
        <f t="shared" ref="Q258:Q263" si="73">M258*P258</f>
        <v>0</v>
      </c>
      <c r="R258" s="89" t="s">
        <v>339</v>
      </c>
      <c r="S258" s="89" t="s">
        <v>102</v>
      </c>
      <c r="T258" s="92">
        <v>1.8</v>
      </c>
      <c r="U258" s="266">
        <f>Rutas[[#This Row],[Precio x Galón ($/gal)]]*Rutas[[#This Row],[Volumen de Combustible (gal)]]</f>
        <v>108</v>
      </c>
      <c r="V258" s="92"/>
      <c r="W258" s="92"/>
      <c r="X258" s="92"/>
      <c r="Y258" s="382">
        <f t="shared" ref="Y258:Y263" si="74">U258+SUM(V258:X258)</f>
        <v>108</v>
      </c>
      <c r="Z258" s="567"/>
      <c r="AA258" s="382">
        <v>60</v>
      </c>
      <c r="AB258" s="382">
        <f t="shared" ref="AB258:AB263" si="75">IFERROR(M258/AA258,0)</f>
        <v>0</v>
      </c>
      <c r="AC258" s="382">
        <f t="shared" ref="AC258:AC263" si="76">IFERROR(Q258/M258,0)</f>
        <v>0</v>
      </c>
      <c r="AD258" s="89"/>
    </row>
    <row r="259" spans="1:30" ht="16" x14ac:dyDescent="0.2">
      <c r="A259" s="47"/>
      <c r="B259" s="305"/>
      <c r="C259" s="176">
        <f t="shared" si="48"/>
        <v>256</v>
      </c>
      <c r="D259" s="146">
        <v>45692</v>
      </c>
      <c r="E259" s="37">
        <v>45696</v>
      </c>
      <c r="F259" s="65" t="s">
        <v>213</v>
      </c>
      <c r="G259" s="11" t="str">
        <f ca="1">IF(AND(E259&lt;&gt;"",E259&lt;TODAY()),"Disponible",IFERROR(INDEX(Vehiculos[Estado Vehiculo],MATCH(F259,Vehiculos[Placa Vehiculo],0)),""))</f>
        <v>Disponible</v>
      </c>
      <c r="H259" s="34" t="s">
        <v>232</v>
      </c>
      <c r="I259" s="34" t="s">
        <v>338</v>
      </c>
      <c r="J259" s="34" t="s">
        <v>317</v>
      </c>
      <c r="K259" s="39"/>
      <c r="L259" s="39"/>
      <c r="M259" s="15">
        <f t="shared" si="72"/>
        <v>0</v>
      </c>
      <c r="N259" s="15"/>
      <c r="O259" s="39"/>
      <c r="P259" s="36"/>
      <c r="Q259" s="16">
        <f t="shared" si="73"/>
        <v>0</v>
      </c>
      <c r="R259" s="34" t="s">
        <v>339</v>
      </c>
      <c r="S259" s="34" t="s">
        <v>102</v>
      </c>
      <c r="T259" s="36">
        <v>1.8</v>
      </c>
      <c r="U259" s="167">
        <f>Rutas[[#This Row],[Precio x Galón ($/gal)]]*Rutas[[#This Row],[Volumen de Combustible (gal)]]</f>
        <v>108</v>
      </c>
      <c r="V259" s="36"/>
      <c r="W259" s="36"/>
      <c r="X259" s="36"/>
      <c r="Y259" s="145">
        <f t="shared" si="74"/>
        <v>108</v>
      </c>
      <c r="Z259" s="567"/>
      <c r="AA259" s="12">
        <v>60</v>
      </c>
      <c r="AB259" s="12">
        <f t="shared" si="75"/>
        <v>0</v>
      </c>
      <c r="AC259" s="12">
        <f t="shared" si="76"/>
        <v>0</v>
      </c>
      <c r="AD259" s="34"/>
    </row>
    <row r="260" spans="1:30" ht="16" x14ac:dyDescent="0.2">
      <c r="A260" s="47"/>
      <c r="B260" s="305"/>
      <c r="C260" s="176">
        <f t="shared" ref="C260:C323" si="77">ROW(A257)</f>
        <v>257</v>
      </c>
      <c r="D260" s="146">
        <v>45696</v>
      </c>
      <c r="E260" s="37">
        <v>45702</v>
      </c>
      <c r="F260" s="65" t="s">
        <v>213</v>
      </c>
      <c r="G260" s="11" t="str">
        <f ca="1">IF(AND(E260&lt;&gt;"",E260&lt;TODAY()),"Disponible",IFERROR(INDEX(Vehiculos[Estado Vehiculo],MATCH(F260,Vehiculos[Placa Vehiculo],0)),""))</f>
        <v>Disponible</v>
      </c>
      <c r="H260" s="34" t="s">
        <v>232</v>
      </c>
      <c r="I260" s="34" t="s">
        <v>338</v>
      </c>
      <c r="J260" s="34" t="s">
        <v>317</v>
      </c>
      <c r="K260" s="39"/>
      <c r="L260" s="39"/>
      <c r="M260" s="15">
        <f t="shared" si="72"/>
        <v>0</v>
      </c>
      <c r="N260" s="15"/>
      <c r="O260" s="39"/>
      <c r="P260" s="36"/>
      <c r="Q260" s="16">
        <f t="shared" si="73"/>
        <v>0</v>
      </c>
      <c r="R260" s="34" t="s">
        <v>339</v>
      </c>
      <c r="S260" s="34" t="s">
        <v>102</v>
      </c>
      <c r="T260" s="36">
        <v>1.8</v>
      </c>
      <c r="U260" s="167">
        <f>Rutas[[#This Row],[Precio x Galón ($/gal)]]*Rutas[[#This Row],[Volumen de Combustible (gal)]]</f>
        <v>99</v>
      </c>
      <c r="V260" s="36"/>
      <c r="W260" s="36"/>
      <c r="X260" s="36"/>
      <c r="Y260" s="145">
        <f t="shared" si="74"/>
        <v>99</v>
      </c>
      <c r="Z260" s="567"/>
      <c r="AA260" s="12">
        <v>55</v>
      </c>
      <c r="AB260" s="12">
        <f t="shared" si="75"/>
        <v>0</v>
      </c>
      <c r="AC260" s="12">
        <f t="shared" si="76"/>
        <v>0</v>
      </c>
      <c r="AD260" s="34"/>
    </row>
    <row r="261" spans="1:30" ht="16" x14ac:dyDescent="0.2">
      <c r="A261" s="47"/>
      <c r="B261" s="305"/>
      <c r="C261" s="176">
        <f t="shared" si="77"/>
        <v>258</v>
      </c>
      <c r="D261" s="146">
        <v>45702</v>
      </c>
      <c r="E261" s="37">
        <v>45706</v>
      </c>
      <c r="F261" s="65" t="s">
        <v>213</v>
      </c>
      <c r="G261" s="11" t="str">
        <f ca="1">IF(AND(E261&lt;&gt;"",E261&lt;TODAY()),"Disponible",IFERROR(INDEX(Vehiculos[Estado Vehiculo],MATCH(F261,Vehiculos[Placa Vehiculo],0)),""))</f>
        <v>Disponible</v>
      </c>
      <c r="H261" s="34" t="s">
        <v>232</v>
      </c>
      <c r="I261" s="34" t="s">
        <v>338</v>
      </c>
      <c r="J261" s="34" t="s">
        <v>317</v>
      </c>
      <c r="K261" s="39"/>
      <c r="L261" s="39"/>
      <c r="M261" s="15">
        <f t="shared" si="72"/>
        <v>0</v>
      </c>
      <c r="N261" s="15"/>
      <c r="O261" s="39"/>
      <c r="P261" s="36"/>
      <c r="Q261" s="16">
        <f t="shared" si="73"/>
        <v>0</v>
      </c>
      <c r="R261" s="34" t="s">
        <v>339</v>
      </c>
      <c r="S261" s="34" t="s">
        <v>102</v>
      </c>
      <c r="T261" s="36">
        <v>1.8</v>
      </c>
      <c r="U261" s="167">
        <f>Rutas[[#This Row],[Precio x Galón ($/gal)]]*Rutas[[#This Row],[Volumen de Combustible (gal)]]</f>
        <v>108</v>
      </c>
      <c r="V261" s="36"/>
      <c r="W261" s="36"/>
      <c r="X261" s="36"/>
      <c r="Y261" s="145">
        <f t="shared" si="74"/>
        <v>108</v>
      </c>
      <c r="Z261" s="567"/>
      <c r="AA261" s="12">
        <v>60</v>
      </c>
      <c r="AB261" s="12">
        <f t="shared" si="75"/>
        <v>0</v>
      </c>
      <c r="AC261" s="12">
        <f t="shared" si="76"/>
        <v>0</v>
      </c>
      <c r="AD261" s="34"/>
    </row>
    <row r="262" spans="1:30" ht="16" x14ac:dyDescent="0.2">
      <c r="A262" s="47"/>
      <c r="B262" s="305"/>
      <c r="C262" s="176">
        <f t="shared" si="77"/>
        <v>259</v>
      </c>
      <c r="D262" s="146">
        <v>45706</v>
      </c>
      <c r="E262" s="37">
        <v>45711</v>
      </c>
      <c r="F262" s="65" t="s">
        <v>213</v>
      </c>
      <c r="G262" s="11" t="str">
        <f ca="1">IF(AND(E262&lt;&gt;"",E262&lt;TODAY()),"Disponible",IFERROR(INDEX(Vehiculos[Estado Vehiculo],MATCH(F262,Vehiculos[Placa Vehiculo],0)),""))</f>
        <v>Disponible</v>
      </c>
      <c r="H262" s="34" t="s">
        <v>232</v>
      </c>
      <c r="I262" s="34" t="s">
        <v>338</v>
      </c>
      <c r="J262" s="34" t="s">
        <v>317</v>
      </c>
      <c r="K262" s="39"/>
      <c r="L262" s="39"/>
      <c r="M262" s="15">
        <f t="shared" si="72"/>
        <v>0</v>
      </c>
      <c r="N262" s="15"/>
      <c r="O262" s="39"/>
      <c r="P262" s="36"/>
      <c r="Q262" s="16">
        <f t="shared" si="73"/>
        <v>0</v>
      </c>
      <c r="R262" s="34" t="s">
        <v>339</v>
      </c>
      <c r="S262" s="34" t="s">
        <v>102</v>
      </c>
      <c r="T262" s="36">
        <v>1.8</v>
      </c>
      <c r="U262" s="167">
        <f>Rutas[[#This Row],[Precio x Galón ($/gal)]]*Rutas[[#This Row],[Volumen de Combustible (gal)]]</f>
        <v>108</v>
      </c>
      <c r="V262" s="36"/>
      <c r="W262" s="36"/>
      <c r="X262" s="36"/>
      <c r="Y262" s="145">
        <f t="shared" si="74"/>
        <v>108</v>
      </c>
      <c r="Z262" s="567"/>
      <c r="AA262" s="12">
        <v>60</v>
      </c>
      <c r="AB262" s="12">
        <f t="shared" si="75"/>
        <v>0</v>
      </c>
      <c r="AC262" s="12">
        <f t="shared" si="76"/>
        <v>0</v>
      </c>
      <c r="AD262" s="34"/>
    </row>
    <row r="263" spans="1:30" ht="16" x14ac:dyDescent="0.2">
      <c r="A263" s="47"/>
      <c r="B263" s="305"/>
      <c r="C263" s="176">
        <f t="shared" si="77"/>
        <v>260</v>
      </c>
      <c r="D263" s="146">
        <v>45711</v>
      </c>
      <c r="E263" s="37">
        <v>45714</v>
      </c>
      <c r="F263" s="65" t="s">
        <v>213</v>
      </c>
      <c r="G263" s="11" t="str">
        <f ca="1">IF(AND(E263&lt;&gt;"",E263&lt;TODAY()),"Disponible",IFERROR(INDEX(Vehiculos[Estado Vehiculo],MATCH(F263,Vehiculos[Placa Vehiculo],0)),""))</f>
        <v>Disponible</v>
      </c>
      <c r="H263" s="34" t="s">
        <v>232</v>
      </c>
      <c r="I263" s="34" t="s">
        <v>338</v>
      </c>
      <c r="J263" s="34" t="s">
        <v>317</v>
      </c>
      <c r="K263" s="39"/>
      <c r="L263" s="39"/>
      <c r="M263" s="15">
        <f t="shared" si="72"/>
        <v>0</v>
      </c>
      <c r="N263" s="15"/>
      <c r="O263" s="39"/>
      <c r="P263" s="36"/>
      <c r="Q263" s="16">
        <f t="shared" si="73"/>
        <v>0</v>
      </c>
      <c r="R263" s="34" t="s">
        <v>339</v>
      </c>
      <c r="S263" s="34" t="s">
        <v>102</v>
      </c>
      <c r="T263" s="36">
        <v>1.8</v>
      </c>
      <c r="U263" s="167">
        <f>Rutas[[#This Row],[Precio x Galón ($/gal)]]*Rutas[[#This Row],[Volumen de Combustible (gal)]]</f>
        <v>117</v>
      </c>
      <c r="V263" s="36"/>
      <c r="W263" s="36"/>
      <c r="X263" s="36"/>
      <c r="Y263" s="145">
        <f t="shared" si="74"/>
        <v>117</v>
      </c>
      <c r="Z263" s="567"/>
      <c r="AA263" s="12">
        <v>65</v>
      </c>
      <c r="AB263" s="12">
        <f t="shared" si="75"/>
        <v>0</v>
      </c>
      <c r="AC263" s="12">
        <f t="shared" si="76"/>
        <v>0</v>
      </c>
      <c r="AD263" s="34"/>
    </row>
    <row r="264" spans="1:30" ht="16" x14ac:dyDescent="0.2">
      <c r="A264" s="47"/>
      <c r="B264" s="305"/>
      <c r="C264" s="176">
        <f t="shared" si="77"/>
        <v>261</v>
      </c>
      <c r="D264" s="146">
        <v>45714</v>
      </c>
      <c r="E264" s="37">
        <v>45716</v>
      </c>
      <c r="F264" s="65" t="s">
        <v>213</v>
      </c>
      <c r="G264" s="11" t="str">
        <f ca="1">IF(AND(E264&lt;&gt;"",E264&lt;TODAY()),"Disponible",IFERROR(INDEX(Vehiculos[Estado Vehiculo],MATCH(F264,Vehiculos[Placa Vehiculo],0)),""))</f>
        <v>Disponible</v>
      </c>
      <c r="H264" s="34" t="s">
        <v>240</v>
      </c>
      <c r="I264" s="34" t="s">
        <v>338</v>
      </c>
      <c r="J264" s="34" t="s">
        <v>317</v>
      </c>
      <c r="K264" s="39">
        <v>397142</v>
      </c>
      <c r="L264" s="39">
        <v>399241</v>
      </c>
      <c r="M264" s="15">
        <f>L264-K264</f>
        <v>2099</v>
      </c>
      <c r="N264" s="451">
        <v>280</v>
      </c>
      <c r="O264" s="39"/>
      <c r="P264" s="36"/>
      <c r="Q264" s="16">
        <f>M264*P264</f>
        <v>0</v>
      </c>
      <c r="R264" s="34" t="s">
        <v>339</v>
      </c>
      <c r="S264" s="34" t="s">
        <v>102</v>
      </c>
      <c r="T264" s="36">
        <v>1.8</v>
      </c>
      <c r="U264" s="167">
        <f>Rutas[[#This Row],[Precio x Galón ($/gal)]]*Rutas[[#This Row],[Volumen de Combustible (gal)]]</f>
        <v>108</v>
      </c>
      <c r="V264" s="36"/>
      <c r="W264" s="36"/>
      <c r="X264" s="36"/>
      <c r="Y264" s="145">
        <f>U264+SUM(V264:X264)</f>
        <v>108</v>
      </c>
      <c r="Z264" s="567"/>
      <c r="AA264" s="12">
        <v>60</v>
      </c>
      <c r="AB264" s="12">
        <f>IFERROR(M264/AA264,0)</f>
        <v>34.983333333333334</v>
      </c>
      <c r="AC264" s="12">
        <f>IFERROR(Q264/M264,0)</f>
        <v>0</v>
      </c>
      <c r="AD264" s="34"/>
    </row>
    <row r="265" spans="1:30" ht="16" x14ac:dyDescent="0.2">
      <c r="A265" s="47"/>
      <c r="B265" s="305"/>
      <c r="C265" s="176">
        <f t="shared" si="77"/>
        <v>262</v>
      </c>
      <c r="D265" s="146"/>
      <c r="E265" s="37"/>
      <c r="F265" s="65"/>
      <c r="G265" s="11" t="str">
        <f ca="1">IF(AND(E265&lt;&gt;"",E265&lt;TODAY()),"Disponible",IFERROR(INDEX(Vehiculos[Estado Vehiculo],MATCH(F265,Vehiculos[Placa Vehiculo],0)),""))</f>
        <v/>
      </c>
      <c r="H265" s="34"/>
      <c r="I265" s="34"/>
      <c r="J265" s="34"/>
      <c r="K265" s="39"/>
      <c r="L265" s="39"/>
      <c r="M265" s="15">
        <f>L265-K265</f>
        <v>0</v>
      </c>
      <c r="N265" s="15"/>
      <c r="O265" s="39"/>
      <c r="P265" s="36"/>
      <c r="Q265" s="16">
        <f>M265*P265</f>
        <v>0</v>
      </c>
      <c r="R265" s="34"/>
      <c r="S265" s="34"/>
      <c r="T265" s="36"/>
      <c r="U265" s="167"/>
      <c r="V265" s="36"/>
      <c r="W265" s="36"/>
      <c r="X265" s="36"/>
      <c r="Y265" s="145">
        <f>U265+SUM(V265:X265)</f>
        <v>0</v>
      </c>
      <c r="Z265" s="567"/>
      <c r="AA265" s="12"/>
      <c r="AB265" s="12">
        <f>IFERROR(M265/AA265,0)</f>
        <v>0</v>
      </c>
      <c r="AC265" s="12">
        <f>IFERROR(Q265/M265,0)</f>
        <v>0</v>
      </c>
      <c r="AD265" s="34"/>
    </row>
    <row r="266" spans="1:30" ht="16" x14ac:dyDescent="0.2">
      <c r="A266" s="47"/>
      <c r="B266" s="305"/>
      <c r="C266" s="176">
        <f t="shared" si="77"/>
        <v>263</v>
      </c>
      <c r="D266" s="177">
        <v>45691</v>
      </c>
      <c r="E266" s="177">
        <v>45695</v>
      </c>
      <c r="F266" s="178" t="s">
        <v>306</v>
      </c>
      <c r="G266" s="179" t="str">
        <f ca="1">IF(AND(E266&lt;&gt;"",E266&lt;TODAY()),"Disponible",IFERROR(INDEX(Vehiculos[Estado Vehiculo],MATCH(F266,Vehiculos[Placa Vehiculo],0)),""))</f>
        <v>Disponible</v>
      </c>
      <c r="H266" s="180" t="s">
        <v>242</v>
      </c>
      <c r="I266" s="180" t="s">
        <v>273</v>
      </c>
      <c r="J266" s="180" t="s">
        <v>274</v>
      </c>
      <c r="K266" s="181">
        <v>1277</v>
      </c>
      <c r="L266" s="181">
        <v>1291.3</v>
      </c>
      <c r="M266" s="182">
        <f>L266-K266</f>
        <v>14.299999999999955</v>
      </c>
      <c r="N266" s="182">
        <f>Rutas[[#This Row],[Kms Recorridos]]</f>
        <v>14.299999999999955</v>
      </c>
      <c r="O266" s="181"/>
      <c r="P266" s="183"/>
      <c r="Q266" s="184">
        <f>M266*P266</f>
        <v>0</v>
      </c>
      <c r="R266" s="180" t="s">
        <v>273</v>
      </c>
      <c r="S266" s="180" t="s">
        <v>102</v>
      </c>
      <c r="T266" s="183">
        <v>1.8</v>
      </c>
      <c r="U266" s="186">
        <f>Rutas[[#This Row],[Precio x Galón ($/gal)]]*Rutas[[#This Row],[Volumen de Combustible (gal)]]</f>
        <v>15.840000000000002</v>
      </c>
      <c r="V266" s="183"/>
      <c r="W266" s="183"/>
      <c r="X266" s="183"/>
      <c r="Y266" s="184">
        <f>U266+SUM(V266:X266)</f>
        <v>15.840000000000002</v>
      </c>
      <c r="Z266" s="567"/>
      <c r="AA266" s="184">
        <v>8.8000000000000007</v>
      </c>
      <c r="AB266" s="184">
        <f>IFERROR(M266/AA266,0)</f>
        <v>1.6249999999999947</v>
      </c>
      <c r="AC266" s="184">
        <f>IFERROR(Q266/M266,0)</f>
        <v>0</v>
      </c>
      <c r="AD266" s="180"/>
    </row>
    <row r="267" spans="1:30" ht="16" x14ac:dyDescent="0.2">
      <c r="A267" s="47"/>
      <c r="B267" s="305"/>
      <c r="C267" s="176">
        <f t="shared" si="77"/>
        <v>264</v>
      </c>
      <c r="D267" s="146">
        <f>E266</f>
        <v>45695</v>
      </c>
      <c r="E267" s="37">
        <v>45703</v>
      </c>
      <c r="F267" s="65" t="s">
        <v>306</v>
      </c>
      <c r="G267" s="11" t="str">
        <f ca="1">IF(AND(E267&lt;&gt;"",E267&lt;TODAY()),"Disponible",IFERROR(INDEX(Vehiculos[Estado Vehiculo],MATCH(F267,Vehiculos[Placa Vehiculo],0)),""))</f>
        <v>Disponible</v>
      </c>
      <c r="H267" s="34" t="s">
        <v>242</v>
      </c>
      <c r="I267" s="34" t="s">
        <v>273</v>
      </c>
      <c r="J267" s="34" t="s">
        <v>274</v>
      </c>
      <c r="K267" s="307">
        <v>1291</v>
      </c>
      <c r="L267" s="307">
        <v>1309</v>
      </c>
      <c r="M267" s="308">
        <f t="shared" si="62"/>
        <v>18</v>
      </c>
      <c r="N267" s="308">
        <f>Rutas[[#This Row],[Kms Recorridos]]</f>
        <v>18</v>
      </c>
      <c r="O267" s="307"/>
      <c r="P267" s="167"/>
      <c r="Q267" s="309">
        <f t="shared" si="63"/>
        <v>0</v>
      </c>
      <c r="R267" s="34" t="s">
        <v>273</v>
      </c>
      <c r="S267" s="34" t="s">
        <v>102</v>
      </c>
      <c r="T267" s="167">
        <v>1.8</v>
      </c>
      <c r="U267" s="167">
        <f>Rutas[[#This Row],[Precio x Galón ($/gal)]]*Rutas[[#This Row],[Volumen de Combustible (gal)]]</f>
        <v>12.888</v>
      </c>
      <c r="V267" s="167"/>
      <c r="W267" s="167"/>
      <c r="X267" s="167"/>
      <c r="Y267" s="310">
        <f t="shared" si="64"/>
        <v>12.888</v>
      </c>
      <c r="Z267" s="569"/>
      <c r="AA267" s="311">
        <v>7.16</v>
      </c>
      <c r="AB267" s="311">
        <f t="shared" si="65"/>
        <v>2.5139664804469275</v>
      </c>
      <c r="AC267" s="311">
        <f t="shared" si="66"/>
        <v>0</v>
      </c>
      <c r="AD267" s="34"/>
    </row>
    <row r="268" spans="1:30" ht="16" x14ac:dyDescent="0.2">
      <c r="A268" s="47"/>
      <c r="B268" s="305"/>
      <c r="C268" s="176">
        <f t="shared" si="77"/>
        <v>265</v>
      </c>
      <c r="D268" s="146">
        <f>E267</f>
        <v>45703</v>
      </c>
      <c r="E268" s="37">
        <v>45716</v>
      </c>
      <c r="F268" s="65" t="s">
        <v>306</v>
      </c>
      <c r="G268" s="11" t="str">
        <f ca="1">IF(AND(E268&lt;&gt;"",E268&lt;TODAY()),"Disponible",IFERROR(INDEX(Vehiculos[Estado Vehiculo],MATCH(F268,Vehiculos[Placa Vehiculo],0)),""))</f>
        <v>Disponible</v>
      </c>
      <c r="H268" s="34" t="s">
        <v>242</v>
      </c>
      <c r="I268" s="34" t="s">
        <v>273</v>
      </c>
      <c r="J268" s="34" t="s">
        <v>274</v>
      </c>
      <c r="K268" s="39">
        <v>1309</v>
      </c>
      <c r="L268" s="39">
        <v>1367</v>
      </c>
      <c r="M268" s="15">
        <f t="shared" si="62"/>
        <v>58</v>
      </c>
      <c r="N268" s="15">
        <f>Rutas[[#This Row],[Kms Recorridos]]</f>
        <v>58</v>
      </c>
      <c r="O268" s="39"/>
      <c r="P268" s="36"/>
      <c r="Q268" s="16">
        <f t="shared" si="63"/>
        <v>0</v>
      </c>
      <c r="R268" s="34" t="s">
        <v>273</v>
      </c>
      <c r="S268" s="34" t="s">
        <v>102</v>
      </c>
      <c r="T268" s="36">
        <v>1.8</v>
      </c>
      <c r="U268" s="167">
        <f>Rutas[[#This Row],[Precio x Galón ($/gal)]]*Rutas[[#This Row],[Volumen de Combustible (gal)]]</f>
        <v>14.129999999999999</v>
      </c>
      <c r="V268" s="36"/>
      <c r="W268" s="36"/>
      <c r="X268" s="36"/>
      <c r="Y268" s="145">
        <f t="shared" si="64"/>
        <v>14.129999999999999</v>
      </c>
      <c r="Z268" s="567"/>
      <c r="AA268" s="12">
        <v>7.85</v>
      </c>
      <c r="AB268" s="12">
        <f t="shared" si="65"/>
        <v>7.3885350318471339</v>
      </c>
      <c r="AC268" s="12">
        <f t="shared" si="66"/>
        <v>0</v>
      </c>
      <c r="AD268" s="34"/>
    </row>
    <row r="269" spans="1:30" ht="16" x14ac:dyDescent="0.2">
      <c r="A269" s="47"/>
      <c r="B269" s="305"/>
      <c r="C269" s="176">
        <f t="shared" si="77"/>
        <v>266</v>
      </c>
      <c r="D269" s="177">
        <v>45690</v>
      </c>
      <c r="E269" s="177">
        <v>45695</v>
      </c>
      <c r="F269" s="178" t="s">
        <v>307</v>
      </c>
      <c r="G269" s="179" t="str">
        <f ca="1">IF(AND(E269&lt;&gt;"",E269&lt;TODAY()),"Disponible",IFERROR(INDEX(Vehiculos[Estado Vehiculo],MATCH(F269,Vehiculos[Placa Vehiculo],0)),""))</f>
        <v>Disponible</v>
      </c>
      <c r="H269" s="180" t="s">
        <v>247</v>
      </c>
      <c r="I269" s="180" t="s">
        <v>273</v>
      </c>
      <c r="J269" s="180" t="s">
        <v>274</v>
      </c>
      <c r="K269" s="181">
        <v>4066</v>
      </c>
      <c r="L269" s="181">
        <v>4091</v>
      </c>
      <c r="M269" s="182">
        <f t="shared" si="62"/>
        <v>25</v>
      </c>
      <c r="N269" s="182">
        <f>Rutas[[#This Row],[Kms Recorridos]]</f>
        <v>25</v>
      </c>
      <c r="O269" s="181"/>
      <c r="P269" s="183"/>
      <c r="Q269" s="184">
        <f t="shared" si="63"/>
        <v>0</v>
      </c>
      <c r="R269" s="180" t="s">
        <v>273</v>
      </c>
      <c r="S269" s="180" t="s">
        <v>102</v>
      </c>
      <c r="T269" s="183">
        <v>1.8</v>
      </c>
      <c r="U269" s="186">
        <f>Rutas[[#This Row],[Precio x Galón ($/gal)]]*Rutas[[#This Row],[Volumen de Combustible (gal)]]</f>
        <v>17.190000000000001</v>
      </c>
      <c r="V269" s="183"/>
      <c r="W269" s="183"/>
      <c r="X269" s="183"/>
      <c r="Y269" s="184">
        <f t="shared" si="64"/>
        <v>17.190000000000001</v>
      </c>
      <c r="Z269" s="567"/>
      <c r="AA269" s="184">
        <v>9.5500000000000007</v>
      </c>
      <c r="AB269" s="184">
        <f t="shared" si="65"/>
        <v>2.6178010471204187</v>
      </c>
      <c r="AC269" s="184">
        <f t="shared" si="66"/>
        <v>0</v>
      </c>
      <c r="AD269" s="180"/>
    </row>
    <row r="270" spans="1:30" ht="16" x14ac:dyDescent="0.2">
      <c r="A270" s="47"/>
      <c r="B270" s="305"/>
      <c r="C270" s="176">
        <f t="shared" si="77"/>
        <v>267</v>
      </c>
      <c r="D270" s="146">
        <f>E269</f>
        <v>45695</v>
      </c>
      <c r="E270" s="37">
        <v>45698</v>
      </c>
      <c r="F270" s="65" t="s">
        <v>307</v>
      </c>
      <c r="G270" s="11" t="str">
        <f ca="1">IF(AND(E270&lt;&gt;"",E270&lt;TODAY()),"Disponible",IFERROR(INDEX(Vehiculos[Estado Vehiculo],MATCH(F270,Vehiculos[Placa Vehiculo],0)),""))</f>
        <v>Disponible</v>
      </c>
      <c r="H270" s="34" t="s">
        <v>247</v>
      </c>
      <c r="I270" s="34" t="s">
        <v>273</v>
      </c>
      <c r="J270" s="34" t="s">
        <v>274</v>
      </c>
      <c r="K270" s="39">
        <f>L269</f>
        <v>4091</v>
      </c>
      <c r="L270" s="39">
        <v>4108</v>
      </c>
      <c r="M270" s="15">
        <f t="shared" si="62"/>
        <v>17</v>
      </c>
      <c r="N270" s="15">
        <f>Rutas[[#This Row],[Kms Recorridos]]</f>
        <v>17</v>
      </c>
      <c r="O270" s="39"/>
      <c r="P270" s="36"/>
      <c r="Q270" s="16">
        <f t="shared" si="63"/>
        <v>0</v>
      </c>
      <c r="R270" s="34" t="s">
        <v>273</v>
      </c>
      <c r="S270" s="34" t="s">
        <v>102</v>
      </c>
      <c r="T270" s="36">
        <v>1.8</v>
      </c>
      <c r="U270" s="167">
        <f>Rutas[[#This Row],[Precio x Galón ($/gal)]]*Rutas[[#This Row],[Volumen de Combustible (gal)]]</f>
        <v>18.666</v>
      </c>
      <c r="V270" s="36"/>
      <c r="W270" s="36"/>
      <c r="X270" s="36"/>
      <c r="Y270" s="145">
        <f t="shared" si="64"/>
        <v>18.666</v>
      </c>
      <c r="Z270" s="567"/>
      <c r="AA270" s="12">
        <v>10.37</v>
      </c>
      <c r="AB270" s="12">
        <f t="shared" si="65"/>
        <v>1.639344262295082</v>
      </c>
      <c r="AC270" s="12">
        <f t="shared" si="66"/>
        <v>0</v>
      </c>
      <c r="AD270" s="34"/>
    </row>
    <row r="271" spans="1:30" ht="16" x14ac:dyDescent="0.2">
      <c r="A271" s="47"/>
      <c r="B271" s="305"/>
      <c r="C271" s="176">
        <f t="shared" si="77"/>
        <v>268</v>
      </c>
      <c r="D271" s="146">
        <f>E270</f>
        <v>45698</v>
      </c>
      <c r="E271" s="37">
        <v>45703</v>
      </c>
      <c r="F271" s="65" t="s">
        <v>307</v>
      </c>
      <c r="G271" s="11" t="str">
        <f ca="1">IF(AND(E271&lt;&gt;"",E271&lt;TODAY()),"Disponible",IFERROR(INDEX(Vehiculos[Estado Vehiculo],MATCH(F271,Vehiculos[Placa Vehiculo],0)),""))</f>
        <v>Disponible</v>
      </c>
      <c r="H271" s="34" t="s">
        <v>233</v>
      </c>
      <c r="I271" s="34" t="s">
        <v>273</v>
      </c>
      <c r="J271" s="34" t="s">
        <v>274</v>
      </c>
      <c r="K271" s="39">
        <f>L270</f>
        <v>4108</v>
      </c>
      <c r="L271" s="39">
        <v>4133</v>
      </c>
      <c r="M271" s="15">
        <f t="shared" si="62"/>
        <v>25</v>
      </c>
      <c r="N271" s="15">
        <f>Rutas[[#This Row],[Kms Recorridos]]</f>
        <v>25</v>
      </c>
      <c r="O271" s="39"/>
      <c r="P271" s="36"/>
      <c r="Q271" s="16">
        <f t="shared" si="63"/>
        <v>0</v>
      </c>
      <c r="R271" s="34" t="s">
        <v>273</v>
      </c>
      <c r="S271" s="34" t="s">
        <v>102</v>
      </c>
      <c r="T271" s="36">
        <v>1.8</v>
      </c>
      <c r="U271" s="167">
        <f>Rutas[[#This Row],[Precio x Galón ($/gal)]]*Rutas[[#This Row],[Volumen de Combustible (gal)]]</f>
        <v>11.754000000000001</v>
      </c>
      <c r="V271" s="36"/>
      <c r="W271" s="36"/>
      <c r="X271" s="36"/>
      <c r="Y271" s="145">
        <f t="shared" si="64"/>
        <v>11.754000000000001</v>
      </c>
      <c r="Z271" s="567"/>
      <c r="AA271" s="12">
        <v>6.53</v>
      </c>
      <c r="AB271" s="12">
        <f t="shared" si="65"/>
        <v>3.8284839203675345</v>
      </c>
      <c r="AC271" s="12">
        <f t="shared" si="66"/>
        <v>0</v>
      </c>
      <c r="AD271" s="34"/>
    </row>
    <row r="272" spans="1:30" ht="16" x14ac:dyDescent="0.2">
      <c r="A272" s="47"/>
      <c r="B272" s="305"/>
      <c r="C272" s="176">
        <f t="shared" si="77"/>
        <v>269</v>
      </c>
      <c r="D272" s="146">
        <f>E271</f>
        <v>45703</v>
      </c>
      <c r="E272" s="37">
        <v>45712</v>
      </c>
      <c r="F272" s="65" t="s">
        <v>307</v>
      </c>
      <c r="G272" s="11" t="str">
        <f ca="1">IF(AND(E272&lt;&gt;"",E272&lt;TODAY()),"Disponible",IFERROR(INDEX(Vehiculos[Estado Vehiculo],MATCH(F272,Vehiculos[Placa Vehiculo],0)),""))</f>
        <v>Disponible</v>
      </c>
      <c r="H272" s="34" t="s">
        <v>233</v>
      </c>
      <c r="I272" s="34" t="s">
        <v>273</v>
      </c>
      <c r="J272" s="34" t="s">
        <v>274</v>
      </c>
      <c r="K272" s="39">
        <f>L271</f>
        <v>4133</v>
      </c>
      <c r="L272" s="39">
        <v>4167</v>
      </c>
      <c r="M272" s="15">
        <f t="shared" si="62"/>
        <v>34</v>
      </c>
      <c r="N272" s="15">
        <f>Rutas[[#This Row],[Kms Recorridos]]</f>
        <v>34</v>
      </c>
      <c r="O272" s="39"/>
      <c r="P272" s="36"/>
      <c r="Q272" s="16">
        <f t="shared" si="63"/>
        <v>0</v>
      </c>
      <c r="R272" s="34" t="s">
        <v>273</v>
      </c>
      <c r="S272" s="34" t="s">
        <v>102</v>
      </c>
      <c r="T272" s="36">
        <v>1.8</v>
      </c>
      <c r="U272" s="167">
        <f>Rutas[[#This Row],[Precio x Galón ($/gal)]]*Rutas[[#This Row],[Volumen de Combustible (gal)]]</f>
        <v>19.8</v>
      </c>
      <c r="V272" s="36"/>
      <c r="W272" s="36"/>
      <c r="X272" s="36"/>
      <c r="Y272" s="145">
        <f t="shared" si="64"/>
        <v>19.8</v>
      </c>
      <c r="Z272" s="567"/>
      <c r="AA272" s="12">
        <v>11</v>
      </c>
      <c r="AB272" s="12">
        <f t="shared" si="65"/>
        <v>3.0909090909090908</v>
      </c>
      <c r="AC272" s="12">
        <f t="shared" si="66"/>
        <v>0</v>
      </c>
      <c r="AD272" s="34"/>
    </row>
    <row r="273" spans="1:30" ht="16" x14ac:dyDescent="0.2">
      <c r="A273" s="47"/>
      <c r="B273" s="305"/>
      <c r="C273" s="176">
        <f t="shared" si="77"/>
        <v>270</v>
      </c>
      <c r="D273" s="146">
        <f>E272</f>
        <v>45712</v>
      </c>
      <c r="E273" s="37">
        <v>45716</v>
      </c>
      <c r="F273" s="65" t="s">
        <v>307</v>
      </c>
      <c r="G273" s="11" t="str">
        <f ca="1">IF(AND(E273&lt;&gt;"",E273&lt;TODAY()),"Disponible",IFERROR(INDEX(Vehiculos[Estado Vehiculo],MATCH(F273,Vehiculos[Placa Vehiculo],0)),""))</f>
        <v>Disponible</v>
      </c>
      <c r="H273" s="34" t="s">
        <v>247</v>
      </c>
      <c r="I273" s="34" t="s">
        <v>273</v>
      </c>
      <c r="J273" s="34" t="s">
        <v>274</v>
      </c>
      <c r="K273" s="39">
        <f>L272</f>
        <v>4167</v>
      </c>
      <c r="L273" s="39">
        <v>4193</v>
      </c>
      <c r="M273" s="15">
        <f t="shared" si="62"/>
        <v>26</v>
      </c>
      <c r="N273" s="15">
        <f>Rutas[[#This Row],[Kms Recorridos]]</f>
        <v>26</v>
      </c>
      <c r="O273" s="39"/>
      <c r="P273" s="36"/>
      <c r="Q273" s="16">
        <f t="shared" si="63"/>
        <v>0</v>
      </c>
      <c r="R273" s="34" t="s">
        <v>273</v>
      </c>
      <c r="S273" s="34" t="s">
        <v>102</v>
      </c>
      <c r="T273" s="36">
        <v>1.8</v>
      </c>
      <c r="U273" s="167">
        <f>Rutas[[#This Row],[Precio x Galón ($/gal)]]*Rutas[[#This Row],[Volumen de Combustible (gal)]]</f>
        <v>32.364000000000004</v>
      </c>
      <c r="V273" s="36"/>
      <c r="W273" s="36"/>
      <c r="X273" s="36"/>
      <c r="Y273" s="145">
        <f t="shared" si="64"/>
        <v>32.364000000000004</v>
      </c>
      <c r="Z273" s="567"/>
      <c r="AA273" s="12">
        <v>17.98</v>
      </c>
      <c r="AB273" s="12">
        <f t="shared" si="65"/>
        <v>1.4460511679644048</v>
      </c>
      <c r="AC273" s="12">
        <f t="shared" si="66"/>
        <v>0</v>
      </c>
      <c r="AD273" s="34"/>
    </row>
    <row r="274" spans="1:30" ht="16" x14ac:dyDescent="0.2">
      <c r="A274" s="47"/>
      <c r="B274" s="305"/>
      <c r="C274" s="176">
        <f t="shared" si="77"/>
        <v>271</v>
      </c>
      <c r="D274" s="177">
        <v>45692</v>
      </c>
      <c r="E274" s="177">
        <v>45707</v>
      </c>
      <c r="F274" s="178" t="s">
        <v>308</v>
      </c>
      <c r="G274" s="179" t="str">
        <f ca="1">IF(AND(E274&lt;&gt;"",E274&lt;TODAY()),"Disponible",IFERROR(INDEX(Vehiculos[Estado Vehiculo],MATCH(F274,Vehiculos[Placa Vehiculo],0)),""))</f>
        <v>Disponible</v>
      </c>
      <c r="H274" s="180" t="s">
        <v>245</v>
      </c>
      <c r="I274" s="180" t="s">
        <v>273</v>
      </c>
      <c r="J274" s="180" t="s">
        <v>274</v>
      </c>
      <c r="K274" s="181">
        <v>217</v>
      </c>
      <c r="L274" s="181">
        <v>262</v>
      </c>
      <c r="M274" s="182">
        <f t="shared" ref="M274:M291" si="78">L274-K274</f>
        <v>45</v>
      </c>
      <c r="N274" s="182">
        <f>Rutas[[#This Row],[Kms Recorridos]]</f>
        <v>45</v>
      </c>
      <c r="O274" s="181"/>
      <c r="P274" s="183"/>
      <c r="Q274" s="184">
        <f t="shared" ref="Q274:Q293" si="79">M274*P274</f>
        <v>0</v>
      </c>
      <c r="R274" s="180" t="s">
        <v>273</v>
      </c>
      <c r="S274" s="180" t="s">
        <v>102</v>
      </c>
      <c r="T274" s="183">
        <v>1.8</v>
      </c>
      <c r="U274" s="186">
        <f>Rutas[[#This Row],[Precio x Galón ($/gal)]]*Rutas[[#This Row],[Volumen de Combustible (gal)]]</f>
        <v>18.341999999999999</v>
      </c>
      <c r="V274" s="183"/>
      <c r="W274" s="183"/>
      <c r="X274" s="183"/>
      <c r="Y274" s="184">
        <f t="shared" ref="Y274:Y293" si="80">U274+SUM(V274:X274)</f>
        <v>18.341999999999999</v>
      </c>
      <c r="Z274" s="567"/>
      <c r="AA274" s="184">
        <v>10.19</v>
      </c>
      <c r="AB274" s="184">
        <f t="shared" ref="AB274:AB293" si="81">IFERROR(M274/AA274,0)</f>
        <v>4.4160942100098142</v>
      </c>
      <c r="AC274" s="184">
        <f t="shared" ref="AC274:AC293" si="82">IFERROR(Q274/M274,0)</f>
        <v>0</v>
      </c>
      <c r="AD274" s="180"/>
    </row>
    <row r="275" spans="1:30" ht="16" x14ac:dyDescent="0.2">
      <c r="A275" s="47"/>
      <c r="B275" s="305"/>
      <c r="C275" s="176">
        <f t="shared" si="77"/>
        <v>272</v>
      </c>
      <c r="D275" s="146">
        <f>E274</f>
        <v>45707</v>
      </c>
      <c r="E275" s="37">
        <v>45712</v>
      </c>
      <c r="F275" s="65" t="s">
        <v>308</v>
      </c>
      <c r="G275" s="11" t="str">
        <f ca="1">IF(AND(E275&lt;&gt;"",E275&lt;TODAY()),"Disponible",IFERROR(INDEX(Vehiculos[Estado Vehiculo],MATCH(F275,Vehiculos[Placa Vehiculo],0)),""))</f>
        <v>Disponible</v>
      </c>
      <c r="H275" s="34" t="s">
        <v>239</v>
      </c>
      <c r="I275" s="34" t="s">
        <v>273</v>
      </c>
      <c r="J275" s="34" t="s">
        <v>274</v>
      </c>
      <c r="K275" s="39">
        <f>L274</f>
        <v>262</v>
      </c>
      <c r="L275" s="39">
        <v>283</v>
      </c>
      <c r="M275" s="15">
        <f t="shared" si="78"/>
        <v>21</v>
      </c>
      <c r="N275" s="15">
        <f>Rutas[[#This Row],[Kms Recorridos]]</f>
        <v>21</v>
      </c>
      <c r="O275" s="39"/>
      <c r="P275" s="36"/>
      <c r="Q275" s="16">
        <f t="shared" si="79"/>
        <v>0</v>
      </c>
      <c r="R275" s="34" t="s">
        <v>273</v>
      </c>
      <c r="S275" s="34" t="s">
        <v>102</v>
      </c>
      <c r="T275" s="36">
        <v>1.8</v>
      </c>
      <c r="U275" s="167">
        <f>Rutas[[#This Row],[Precio x Galón ($/gal)]]*Rutas[[#This Row],[Volumen de Combustible (gal)]]</f>
        <v>8.3339999999999996</v>
      </c>
      <c r="V275" s="36"/>
      <c r="W275" s="36"/>
      <c r="X275" s="36"/>
      <c r="Y275" s="145">
        <f t="shared" si="80"/>
        <v>8.3339999999999996</v>
      </c>
      <c r="Z275" s="567"/>
      <c r="AA275" s="12">
        <v>4.63</v>
      </c>
      <c r="AB275" s="12">
        <f t="shared" si="81"/>
        <v>4.5356371490280782</v>
      </c>
      <c r="AC275" s="12">
        <f t="shared" si="82"/>
        <v>0</v>
      </c>
      <c r="AD275" s="34"/>
    </row>
    <row r="276" spans="1:30" ht="16" x14ac:dyDescent="0.2">
      <c r="A276" s="47"/>
      <c r="B276" s="305"/>
      <c r="C276" s="176">
        <f t="shared" si="77"/>
        <v>273</v>
      </c>
      <c r="D276" s="146">
        <f>E275</f>
        <v>45712</v>
      </c>
      <c r="E276" s="37">
        <v>45716</v>
      </c>
      <c r="F276" s="65" t="s">
        <v>308</v>
      </c>
      <c r="G276" s="11" t="str">
        <f ca="1">IF(AND(E276&lt;&gt;"",E276&lt;TODAY()),"Disponible",IFERROR(INDEX(Vehiculos[Estado Vehiculo],MATCH(F276,Vehiculos[Placa Vehiculo],0)),""))</f>
        <v>Disponible</v>
      </c>
      <c r="H276" s="34" t="s">
        <v>237</v>
      </c>
      <c r="I276" s="34" t="s">
        <v>273</v>
      </c>
      <c r="J276" s="34" t="s">
        <v>274</v>
      </c>
      <c r="K276" s="39">
        <f>L275</f>
        <v>283</v>
      </c>
      <c r="L276" s="39">
        <v>294.10000000000002</v>
      </c>
      <c r="M276" s="15">
        <f t="shared" si="78"/>
        <v>11.100000000000023</v>
      </c>
      <c r="N276" s="15">
        <f>Rutas[[#This Row],[Kms Recorridos]]</f>
        <v>11.100000000000023</v>
      </c>
      <c r="O276" s="39"/>
      <c r="P276" s="36"/>
      <c r="Q276" s="16">
        <f t="shared" si="79"/>
        <v>0</v>
      </c>
      <c r="R276" s="34" t="s">
        <v>273</v>
      </c>
      <c r="S276" s="34" t="s">
        <v>102</v>
      </c>
      <c r="T276" s="36">
        <v>1.8</v>
      </c>
      <c r="U276" s="167">
        <f>Rutas[[#This Row],[Precio x Galón ($/gal)]]*Rutas[[#This Row],[Volumen de Combustible (gal)]]</f>
        <v>17.496000000000002</v>
      </c>
      <c r="V276" s="36"/>
      <c r="W276" s="36"/>
      <c r="X276" s="36"/>
      <c r="Y276" s="145">
        <f t="shared" si="80"/>
        <v>17.496000000000002</v>
      </c>
      <c r="Z276" s="567"/>
      <c r="AA276" s="12">
        <v>9.7200000000000006</v>
      </c>
      <c r="AB276" s="12">
        <f t="shared" si="81"/>
        <v>1.1419753086419775</v>
      </c>
      <c r="AC276" s="12">
        <f t="shared" si="82"/>
        <v>0</v>
      </c>
      <c r="AD276" s="34"/>
    </row>
    <row r="277" spans="1:30" ht="16" x14ac:dyDescent="0.2">
      <c r="A277" s="47"/>
      <c r="B277" s="305"/>
      <c r="C277" s="176">
        <f t="shared" si="77"/>
        <v>274</v>
      </c>
      <c r="D277" s="177">
        <v>45694</v>
      </c>
      <c r="E277" s="177">
        <v>45699</v>
      </c>
      <c r="F277" s="178" t="s">
        <v>313</v>
      </c>
      <c r="G277" s="179" t="str">
        <f ca="1">IF(AND(E277&lt;&gt;"",E277&lt;TODAY()),"Disponible",IFERROR(INDEX(Vehiculos[Estado Vehiculo],MATCH(F277,Vehiculos[Placa Vehiculo],0)),""))</f>
        <v>Disponible</v>
      </c>
      <c r="H277" s="180" t="s">
        <v>236</v>
      </c>
      <c r="I277" s="180" t="s">
        <v>273</v>
      </c>
      <c r="J277" s="180" t="s">
        <v>274</v>
      </c>
      <c r="K277" s="181">
        <v>2575</v>
      </c>
      <c r="L277" s="181">
        <v>2615</v>
      </c>
      <c r="M277" s="182">
        <f t="shared" si="78"/>
        <v>40</v>
      </c>
      <c r="N277" s="182">
        <f>Rutas[[#This Row],[Kms Recorridos]]</f>
        <v>40</v>
      </c>
      <c r="O277" s="181"/>
      <c r="P277" s="183"/>
      <c r="Q277" s="184">
        <f t="shared" si="79"/>
        <v>0</v>
      </c>
      <c r="R277" s="180" t="s">
        <v>273</v>
      </c>
      <c r="S277" s="180" t="s">
        <v>102</v>
      </c>
      <c r="T277" s="183">
        <v>1.8</v>
      </c>
      <c r="U277" s="186">
        <f>Rutas[[#This Row],[Precio x Galón ($/gal)]]*Rutas[[#This Row],[Volumen de Combustible (gal)]]</f>
        <v>20.123999999999999</v>
      </c>
      <c r="V277" s="183"/>
      <c r="W277" s="183"/>
      <c r="X277" s="183"/>
      <c r="Y277" s="184">
        <f t="shared" si="80"/>
        <v>20.123999999999999</v>
      </c>
      <c r="Z277" s="567"/>
      <c r="AA277" s="184">
        <v>11.18</v>
      </c>
      <c r="AB277" s="184">
        <f t="shared" si="81"/>
        <v>3.5778175313059033</v>
      </c>
      <c r="AC277" s="184">
        <f t="shared" si="82"/>
        <v>0</v>
      </c>
      <c r="AD277" s="180"/>
    </row>
    <row r="278" spans="1:30" ht="16" x14ac:dyDescent="0.2">
      <c r="A278" s="47"/>
      <c r="B278" s="305"/>
      <c r="C278" s="176">
        <f t="shared" si="77"/>
        <v>275</v>
      </c>
      <c r="D278" s="146">
        <f>E277</f>
        <v>45699</v>
      </c>
      <c r="E278" s="37">
        <v>45702</v>
      </c>
      <c r="F278" s="65" t="s">
        <v>313</v>
      </c>
      <c r="G278" s="11" t="str">
        <f ca="1">IF(AND(E278&lt;&gt;"",E278&lt;TODAY()),"Disponible",IFERROR(INDEX(Vehiculos[Estado Vehiculo],MATCH(F278,Vehiculos[Placa Vehiculo],0)),""))</f>
        <v>Disponible</v>
      </c>
      <c r="H278" s="34" t="s">
        <v>246</v>
      </c>
      <c r="I278" s="34" t="s">
        <v>273</v>
      </c>
      <c r="J278" s="34" t="s">
        <v>274</v>
      </c>
      <c r="K278" s="39">
        <v>2615</v>
      </c>
      <c r="L278" s="39">
        <v>2638</v>
      </c>
      <c r="M278" s="15">
        <f t="shared" si="78"/>
        <v>23</v>
      </c>
      <c r="N278" s="15">
        <f>Rutas[[#This Row],[Kms Recorridos]]</f>
        <v>23</v>
      </c>
      <c r="O278" s="39"/>
      <c r="P278" s="36"/>
      <c r="Q278" s="16">
        <f t="shared" si="79"/>
        <v>0</v>
      </c>
      <c r="R278" s="34" t="s">
        <v>273</v>
      </c>
      <c r="S278" s="34" t="s">
        <v>102</v>
      </c>
      <c r="T278" s="36">
        <v>1.8</v>
      </c>
      <c r="U278" s="167">
        <f>Rutas[[#This Row],[Precio x Galón ($/gal)]]*Rutas[[#This Row],[Volumen de Combustible (gal)]]</f>
        <v>30.743999999999996</v>
      </c>
      <c r="V278" s="36"/>
      <c r="W278" s="36"/>
      <c r="X278" s="36"/>
      <c r="Y278" s="145">
        <f t="shared" si="80"/>
        <v>30.743999999999996</v>
      </c>
      <c r="Z278" s="567"/>
      <c r="AA278" s="12">
        <v>17.079999999999998</v>
      </c>
      <c r="AB278" s="12">
        <f t="shared" si="81"/>
        <v>1.3466042154566746</v>
      </c>
      <c r="AC278" s="12">
        <f t="shared" si="82"/>
        <v>0</v>
      </c>
      <c r="AD278" s="34"/>
    </row>
    <row r="279" spans="1:30" ht="16" x14ac:dyDescent="0.2">
      <c r="A279" s="47"/>
      <c r="B279" s="305"/>
      <c r="C279" s="176">
        <f t="shared" si="77"/>
        <v>276</v>
      </c>
      <c r="D279" s="146">
        <f>E278</f>
        <v>45702</v>
      </c>
      <c r="E279" s="37">
        <v>45705</v>
      </c>
      <c r="F279" s="65" t="s">
        <v>313</v>
      </c>
      <c r="G279" s="11" t="str">
        <f ca="1">IF(AND(E279&lt;&gt;"",E279&lt;TODAY()),"Disponible",IFERROR(INDEX(Vehiculos[Estado Vehiculo],MATCH(F279,Vehiculos[Placa Vehiculo],0)),""))</f>
        <v>Disponible</v>
      </c>
      <c r="H279" s="34" t="s">
        <v>246</v>
      </c>
      <c r="I279" s="34" t="s">
        <v>273</v>
      </c>
      <c r="J279" s="34" t="s">
        <v>274</v>
      </c>
      <c r="K279" s="39">
        <v>2638</v>
      </c>
      <c r="L279" s="39">
        <v>2660</v>
      </c>
      <c r="M279" s="15">
        <f t="shared" si="78"/>
        <v>22</v>
      </c>
      <c r="N279" s="15">
        <f>Rutas[[#This Row],[Kms Recorridos]]</f>
        <v>22</v>
      </c>
      <c r="O279" s="39"/>
      <c r="P279" s="36"/>
      <c r="Q279" s="16">
        <f t="shared" si="79"/>
        <v>0</v>
      </c>
      <c r="R279" s="34" t="s">
        <v>273</v>
      </c>
      <c r="S279" s="34" t="s">
        <v>102</v>
      </c>
      <c r="T279" s="36">
        <v>1.8</v>
      </c>
      <c r="U279" s="167">
        <f>Rutas[[#This Row],[Precio x Galón ($/gal)]]*Rutas[[#This Row],[Volumen de Combustible (gal)]]</f>
        <v>28.224</v>
      </c>
      <c r="V279" s="36"/>
      <c r="W279" s="36"/>
      <c r="X279" s="36"/>
      <c r="Y279" s="145">
        <f t="shared" si="80"/>
        <v>28.224</v>
      </c>
      <c r="Z279" s="567"/>
      <c r="AA279" s="12">
        <v>15.68</v>
      </c>
      <c r="AB279" s="12">
        <f t="shared" si="81"/>
        <v>1.403061224489796</v>
      </c>
      <c r="AC279" s="12">
        <f t="shared" si="82"/>
        <v>0</v>
      </c>
      <c r="AD279" s="34"/>
    </row>
    <row r="280" spans="1:30" ht="16" x14ac:dyDescent="0.2">
      <c r="A280" s="47"/>
      <c r="B280" s="305"/>
      <c r="C280" s="176">
        <f t="shared" si="77"/>
        <v>277</v>
      </c>
      <c r="D280" s="146">
        <f>E279</f>
        <v>45705</v>
      </c>
      <c r="E280" s="37">
        <v>45716</v>
      </c>
      <c r="F280" s="65" t="s">
        <v>313</v>
      </c>
      <c r="G280" s="11" t="str">
        <f ca="1">IF(AND(E280&lt;&gt;"",E280&lt;TODAY()),"Disponible",IFERROR(INDEX(Vehiculos[Estado Vehiculo],MATCH(F280,Vehiculos[Placa Vehiculo],0)),""))</f>
        <v>Disponible</v>
      </c>
      <c r="H280" s="34" t="s">
        <v>246</v>
      </c>
      <c r="I280" s="34" t="s">
        <v>273</v>
      </c>
      <c r="J280" s="34" t="s">
        <v>274</v>
      </c>
      <c r="K280" s="39">
        <v>2660</v>
      </c>
      <c r="L280" s="39">
        <v>2690</v>
      </c>
      <c r="M280" s="15">
        <f t="shared" si="78"/>
        <v>30</v>
      </c>
      <c r="N280" s="15">
        <f>Rutas[[#This Row],[Kms Recorridos]]</f>
        <v>30</v>
      </c>
      <c r="O280" s="39"/>
      <c r="P280" s="36"/>
      <c r="Q280" s="16">
        <f t="shared" si="79"/>
        <v>0</v>
      </c>
      <c r="R280" s="34" t="s">
        <v>273</v>
      </c>
      <c r="S280" s="34" t="s">
        <v>102</v>
      </c>
      <c r="T280" s="36">
        <v>1.8</v>
      </c>
      <c r="U280" s="167">
        <f>Rutas[[#This Row],[Precio x Galón ($/gal)]]*Rutas[[#This Row],[Volumen de Combustible (gal)]]</f>
        <v>24.228000000000002</v>
      </c>
      <c r="V280" s="36"/>
      <c r="W280" s="36"/>
      <c r="X280" s="36"/>
      <c r="Y280" s="145">
        <f t="shared" si="80"/>
        <v>24.228000000000002</v>
      </c>
      <c r="Z280" s="567"/>
      <c r="AA280" s="12">
        <v>13.46</v>
      </c>
      <c r="AB280" s="12">
        <f t="shared" si="81"/>
        <v>2.2288261515601784</v>
      </c>
      <c r="AC280" s="12">
        <f t="shared" si="82"/>
        <v>0</v>
      </c>
      <c r="AD280" s="34"/>
    </row>
    <row r="281" spans="1:30" ht="16" x14ac:dyDescent="0.2">
      <c r="A281" s="47"/>
      <c r="B281" s="305"/>
      <c r="C281" s="176">
        <f t="shared" si="77"/>
        <v>278</v>
      </c>
      <c r="D281" s="177">
        <v>45995</v>
      </c>
      <c r="E281" s="177">
        <v>45700</v>
      </c>
      <c r="F281" s="178" t="s">
        <v>311</v>
      </c>
      <c r="G281" s="179" t="str">
        <f ca="1">IF(AND(E281&lt;&gt;"",E281&lt;TODAY()),"Disponible",IFERROR(INDEX(Vehiculos[Estado Vehiculo],MATCH(F281,Vehiculos[Placa Vehiculo],0)),""))</f>
        <v>Disponible</v>
      </c>
      <c r="H281" s="180" t="s">
        <v>229</v>
      </c>
      <c r="I281" s="180" t="s">
        <v>273</v>
      </c>
      <c r="J281" s="180" t="s">
        <v>274</v>
      </c>
      <c r="K281" s="181">
        <v>1130</v>
      </c>
      <c r="L281" s="181">
        <v>1169</v>
      </c>
      <c r="M281" s="182">
        <f t="shared" si="78"/>
        <v>39</v>
      </c>
      <c r="N281" s="182">
        <f>Rutas[[#This Row],[Kms Recorridos]]</f>
        <v>39</v>
      </c>
      <c r="O281" s="181"/>
      <c r="P281" s="183"/>
      <c r="Q281" s="184">
        <f t="shared" si="79"/>
        <v>0</v>
      </c>
      <c r="R281" s="180" t="s">
        <v>273</v>
      </c>
      <c r="S281" s="180" t="s">
        <v>102</v>
      </c>
      <c r="T281" s="183">
        <v>1.8</v>
      </c>
      <c r="U281" s="186">
        <f>Rutas[[#This Row],[Precio x Galón ($/gal)]]*Rutas[[#This Row],[Volumen de Combustible (gal)]]</f>
        <v>39.725999999999999</v>
      </c>
      <c r="V281" s="183"/>
      <c r="W281" s="183"/>
      <c r="X281" s="183"/>
      <c r="Y281" s="184">
        <f t="shared" si="80"/>
        <v>39.725999999999999</v>
      </c>
      <c r="Z281" s="567"/>
      <c r="AA281" s="184">
        <v>22.07</v>
      </c>
      <c r="AB281" s="184">
        <f t="shared" si="81"/>
        <v>1.7671046669687358</v>
      </c>
      <c r="AC281" s="184">
        <f t="shared" si="82"/>
        <v>0</v>
      </c>
      <c r="AD281" s="180"/>
    </row>
    <row r="282" spans="1:30" ht="16" x14ac:dyDescent="0.2">
      <c r="A282" s="47"/>
      <c r="B282" s="305"/>
      <c r="C282" s="176">
        <f t="shared" si="77"/>
        <v>279</v>
      </c>
      <c r="D282" s="146">
        <f>E281</f>
        <v>45700</v>
      </c>
      <c r="E282" s="37">
        <v>45702</v>
      </c>
      <c r="F282" s="65" t="s">
        <v>311</v>
      </c>
      <c r="G282" s="11" t="str">
        <f ca="1">IF(AND(E282&lt;&gt;"",E282&lt;TODAY()),"Disponible",IFERROR(INDEX(Vehiculos[Estado Vehiculo],MATCH(F282,Vehiculos[Placa Vehiculo],0)),""))</f>
        <v>Disponible</v>
      </c>
      <c r="H282" s="34" t="s">
        <v>242</v>
      </c>
      <c r="I282" s="34" t="s">
        <v>273</v>
      </c>
      <c r="J282" s="34" t="s">
        <v>274</v>
      </c>
      <c r="K282" s="39">
        <f>L281</f>
        <v>1169</v>
      </c>
      <c r="L282" s="39">
        <v>1187</v>
      </c>
      <c r="M282" s="15">
        <f t="shared" si="78"/>
        <v>18</v>
      </c>
      <c r="N282" s="15">
        <f>Rutas[[#This Row],[Kms Recorridos]]</f>
        <v>18</v>
      </c>
      <c r="O282" s="39"/>
      <c r="P282" s="36"/>
      <c r="Q282" s="16">
        <f t="shared" si="79"/>
        <v>0</v>
      </c>
      <c r="R282" s="34" t="s">
        <v>273</v>
      </c>
      <c r="S282" s="34" t="s">
        <v>102</v>
      </c>
      <c r="T282" s="36">
        <v>1.8</v>
      </c>
      <c r="U282" s="167">
        <f>Rutas[[#This Row],[Precio x Galón ($/gal)]]*Rutas[[#This Row],[Volumen de Combustible (gal)]]</f>
        <v>13.788</v>
      </c>
      <c r="V282" s="36"/>
      <c r="W282" s="36"/>
      <c r="X282" s="36"/>
      <c r="Y282" s="145">
        <f t="shared" si="80"/>
        <v>13.788</v>
      </c>
      <c r="Z282" s="567"/>
      <c r="AA282" s="12">
        <v>7.66</v>
      </c>
      <c r="AB282" s="12">
        <f t="shared" si="81"/>
        <v>2.3498694516971277</v>
      </c>
      <c r="AC282" s="12">
        <f t="shared" si="82"/>
        <v>0</v>
      </c>
      <c r="AD282" s="34"/>
    </row>
    <row r="283" spans="1:30" ht="16" x14ac:dyDescent="0.2">
      <c r="A283" s="47"/>
      <c r="B283" s="305"/>
      <c r="C283" s="176">
        <f t="shared" si="77"/>
        <v>280</v>
      </c>
      <c r="D283" s="146">
        <f>E282</f>
        <v>45702</v>
      </c>
      <c r="E283" s="37">
        <v>45705</v>
      </c>
      <c r="F283" s="65" t="s">
        <v>311</v>
      </c>
      <c r="G283" s="11" t="str">
        <f ca="1">IF(AND(E283&lt;&gt;"",E283&lt;TODAY()),"Disponible",IFERROR(INDEX(Vehiculos[Estado Vehiculo],MATCH(F283,Vehiculos[Placa Vehiculo],0)),""))</f>
        <v>Disponible</v>
      </c>
      <c r="H283" s="34" t="s">
        <v>235</v>
      </c>
      <c r="I283" s="34" t="s">
        <v>273</v>
      </c>
      <c r="J283" s="34" t="s">
        <v>274</v>
      </c>
      <c r="K283" s="39">
        <f>L282</f>
        <v>1187</v>
      </c>
      <c r="L283" s="39">
        <v>1211</v>
      </c>
      <c r="M283" s="15">
        <f t="shared" si="78"/>
        <v>24</v>
      </c>
      <c r="N283" s="15">
        <f>Rutas[[#This Row],[Kms Recorridos]]</f>
        <v>24</v>
      </c>
      <c r="O283" s="39"/>
      <c r="P283" s="36"/>
      <c r="Q283" s="16">
        <f t="shared" si="79"/>
        <v>0</v>
      </c>
      <c r="R283" s="34" t="s">
        <v>273</v>
      </c>
      <c r="S283" s="34" t="s">
        <v>102</v>
      </c>
      <c r="T283" s="36">
        <v>1.8</v>
      </c>
      <c r="U283" s="167">
        <f>Rutas[[#This Row],[Precio x Galón ($/gal)]]*Rutas[[#This Row],[Volumen de Combustible (gal)]]</f>
        <v>10.242000000000001</v>
      </c>
      <c r="V283" s="36"/>
      <c r="W283" s="36"/>
      <c r="X283" s="36"/>
      <c r="Y283" s="145">
        <f t="shared" si="80"/>
        <v>10.242000000000001</v>
      </c>
      <c r="Z283" s="567"/>
      <c r="AA283" s="12">
        <v>5.69</v>
      </c>
      <c r="AB283" s="12">
        <f t="shared" si="81"/>
        <v>4.2179261862917397</v>
      </c>
      <c r="AC283" s="12">
        <f t="shared" si="82"/>
        <v>0</v>
      </c>
      <c r="AD283" s="34"/>
    </row>
    <row r="284" spans="1:30" ht="16" x14ac:dyDescent="0.2">
      <c r="A284" s="47"/>
      <c r="B284" s="305"/>
      <c r="C284" s="176">
        <f t="shared" si="77"/>
        <v>281</v>
      </c>
      <c r="D284" s="146">
        <f>E283</f>
        <v>45705</v>
      </c>
      <c r="E284" s="37">
        <v>45709</v>
      </c>
      <c r="F284" s="65" t="s">
        <v>311</v>
      </c>
      <c r="G284" s="11" t="str">
        <f ca="1">IF(AND(E284&lt;&gt;"",E284&lt;TODAY()),"Disponible",IFERROR(INDEX(Vehiculos[Estado Vehiculo],MATCH(F284,Vehiculos[Placa Vehiculo],0)),""))</f>
        <v>Disponible</v>
      </c>
      <c r="H284" s="34" t="s">
        <v>235</v>
      </c>
      <c r="I284" s="34" t="s">
        <v>273</v>
      </c>
      <c r="J284" s="34" t="s">
        <v>274</v>
      </c>
      <c r="K284" s="39">
        <f>L283</f>
        <v>1211</v>
      </c>
      <c r="L284" s="39">
        <v>1241</v>
      </c>
      <c r="M284" s="15">
        <f t="shared" si="78"/>
        <v>30</v>
      </c>
      <c r="N284" s="15">
        <f>Rutas[[#This Row],[Kms Recorridos]]</f>
        <v>30</v>
      </c>
      <c r="O284" s="39"/>
      <c r="P284" s="36"/>
      <c r="Q284" s="16">
        <f t="shared" si="79"/>
        <v>0</v>
      </c>
      <c r="R284" s="34" t="s">
        <v>273</v>
      </c>
      <c r="S284" s="34" t="s">
        <v>102</v>
      </c>
      <c r="T284" s="36">
        <v>1.8</v>
      </c>
      <c r="U284" s="167">
        <f>Rutas[[#This Row],[Precio x Galón ($/gal)]]*Rutas[[#This Row],[Volumen de Combustible (gal)]]</f>
        <v>26.46</v>
      </c>
      <c r="V284" s="36"/>
      <c r="W284" s="36"/>
      <c r="X284" s="36"/>
      <c r="Y284" s="145">
        <f t="shared" si="80"/>
        <v>26.46</v>
      </c>
      <c r="Z284" s="567"/>
      <c r="AA284" s="12">
        <v>14.7</v>
      </c>
      <c r="AB284" s="12">
        <f t="shared" si="81"/>
        <v>2.0408163265306123</v>
      </c>
      <c r="AC284" s="12">
        <f t="shared" si="82"/>
        <v>0</v>
      </c>
      <c r="AD284" s="34"/>
    </row>
    <row r="285" spans="1:30" ht="16" x14ac:dyDescent="0.2">
      <c r="A285" s="47"/>
      <c r="B285" s="305"/>
      <c r="C285" s="176">
        <f t="shared" si="77"/>
        <v>282</v>
      </c>
      <c r="D285" s="146">
        <f>E284</f>
        <v>45709</v>
      </c>
      <c r="E285" s="37">
        <v>45714</v>
      </c>
      <c r="F285" s="65" t="s">
        <v>311</v>
      </c>
      <c r="G285" s="11" t="str">
        <f ca="1">IF(AND(E285&lt;&gt;"",E285&lt;TODAY()),"Disponible",IFERROR(INDEX(Vehiculos[Estado Vehiculo],MATCH(F285,Vehiculos[Placa Vehiculo],0)),""))</f>
        <v>Disponible</v>
      </c>
      <c r="H285" s="34" t="s">
        <v>231</v>
      </c>
      <c r="I285" s="34" t="s">
        <v>273</v>
      </c>
      <c r="J285" s="34" t="s">
        <v>274</v>
      </c>
      <c r="K285" s="39">
        <f>L284</f>
        <v>1241</v>
      </c>
      <c r="L285" s="39">
        <v>1277</v>
      </c>
      <c r="M285" s="15">
        <f t="shared" si="78"/>
        <v>36</v>
      </c>
      <c r="N285" s="15">
        <f>Rutas[[#This Row],[Kms Recorridos]]</f>
        <v>36</v>
      </c>
      <c r="O285" s="39"/>
      <c r="P285" s="36"/>
      <c r="Q285" s="16">
        <f t="shared" si="79"/>
        <v>0</v>
      </c>
      <c r="R285" s="34" t="s">
        <v>273</v>
      </c>
      <c r="S285" s="34" t="s">
        <v>102</v>
      </c>
      <c r="T285" s="36">
        <v>1.8</v>
      </c>
      <c r="U285" s="167">
        <f>Rutas[[#This Row],[Precio x Galón ($/gal)]]*Rutas[[#This Row],[Volumen de Combustible (gal)]]</f>
        <v>38.286000000000001</v>
      </c>
      <c r="V285" s="36"/>
      <c r="W285" s="36"/>
      <c r="X285" s="36"/>
      <c r="Y285" s="145">
        <f t="shared" si="80"/>
        <v>38.286000000000001</v>
      </c>
      <c r="Z285" s="567"/>
      <c r="AA285" s="12">
        <v>21.27</v>
      </c>
      <c r="AB285" s="12">
        <f t="shared" si="81"/>
        <v>1.692524682651622</v>
      </c>
      <c r="AC285" s="12">
        <f t="shared" si="82"/>
        <v>0</v>
      </c>
      <c r="AD285" s="34"/>
    </row>
    <row r="286" spans="1:30" ht="16" x14ac:dyDescent="0.2">
      <c r="A286" s="47"/>
      <c r="B286" s="305"/>
      <c r="C286" s="176">
        <f t="shared" si="77"/>
        <v>283</v>
      </c>
      <c r="D286" s="146">
        <f>E285</f>
        <v>45714</v>
      </c>
      <c r="E286" s="37">
        <v>45716</v>
      </c>
      <c r="F286" s="65" t="s">
        <v>311</v>
      </c>
      <c r="G286" s="11" t="str">
        <f ca="1">IF(AND(E286&lt;&gt;"",E286&lt;TODAY()),"Disponible",IFERROR(INDEX(Vehiculos[Estado Vehiculo],MATCH(F286,Vehiculos[Placa Vehiculo],0)),""))</f>
        <v>Disponible</v>
      </c>
      <c r="H286" s="34" t="s">
        <v>231</v>
      </c>
      <c r="I286" s="34" t="s">
        <v>273</v>
      </c>
      <c r="J286" s="34" t="s">
        <v>274</v>
      </c>
      <c r="K286" s="39">
        <f>L285</f>
        <v>1277</v>
      </c>
      <c r="L286" s="39">
        <v>1305</v>
      </c>
      <c r="M286" s="15">
        <f t="shared" si="78"/>
        <v>28</v>
      </c>
      <c r="N286" s="15">
        <f>Rutas[[#This Row],[Kms Recorridos]]</f>
        <v>28</v>
      </c>
      <c r="O286" s="39"/>
      <c r="P286" s="36"/>
      <c r="Q286" s="16">
        <f t="shared" si="79"/>
        <v>0</v>
      </c>
      <c r="R286" s="34" t="s">
        <v>273</v>
      </c>
      <c r="S286" s="34" t="s">
        <v>102</v>
      </c>
      <c r="T286" s="36">
        <v>1.8</v>
      </c>
      <c r="U286" s="167">
        <f>Rutas[[#This Row],[Precio x Galón ($/gal)]]*Rutas[[#This Row],[Volumen de Combustible (gal)]]</f>
        <v>26.981999999999999</v>
      </c>
      <c r="V286" s="36"/>
      <c r="W286" s="36"/>
      <c r="X286" s="36"/>
      <c r="Y286" s="145">
        <f t="shared" si="80"/>
        <v>26.981999999999999</v>
      </c>
      <c r="Z286" s="567"/>
      <c r="AA286" s="12">
        <v>14.99</v>
      </c>
      <c r="AB286" s="12">
        <f t="shared" si="81"/>
        <v>1.867911941294196</v>
      </c>
      <c r="AC286" s="12">
        <f t="shared" si="82"/>
        <v>0</v>
      </c>
      <c r="AD286" s="34"/>
    </row>
    <row r="287" spans="1:30" ht="16" x14ac:dyDescent="0.2">
      <c r="A287" s="47"/>
      <c r="B287" s="305"/>
      <c r="C287" s="176">
        <f t="shared" si="77"/>
        <v>284</v>
      </c>
      <c r="D287" s="177">
        <v>45698</v>
      </c>
      <c r="E287" s="177">
        <v>45702</v>
      </c>
      <c r="F287" s="178" t="s">
        <v>312</v>
      </c>
      <c r="G287" s="179" t="str">
        <f ca="1">IF(AND(E287&lt;&gt;"",E287&lt;TODAY()),"Disponible",IFERROR(INDEX(Vehiculos[Estado Vehiculo],MATCH(F287,Vehiculos[Placa Vehiculo],0)),""))</f>
        <v>Disponible</v>
      </c>
      <c r="H287" s="180" t="s">
        <v>238</v>
      </c>
      <c r="I287" s="180" t="s">
        <v>273</v>
      </c>
      <c r="J287" s="180" t="s">
        <v>274</v>
      </c>
      <c r="K287" s="181">
        <v>3175</v>
      </c>
      <c r="L287" s="181">
        <v>3190</v>
      </c>
      <c r="M287" s="182">
        <f t="shared" si="78"/>
        <v>15</v>
      </c>
      <c r="N287" s="182">
        <f>Rutas[[#This Row],[Kms Recorridos]]</f>
        <v>15</v>
      </c>
      <c r="O287" s="181"/>
      <c r="P287" s="183"/>
      <c r="Q287" s="184">
        <f t="shared" si="79"/>
        <v>0</v>
      </c>
      <c r="R287" s="180" t="s">
        <v>273</v>
      </c>
      <c r="S287" s="180" t="s">
        <v>102</v>
      </c>
      <c r="T287" s="183">
        <v>1.8</v>
      </c>
      <c r="U287" s="186">
        <f>Rutas[[#This Row],[Precio x Galón ($/gal)]]*Rutas[[#This Row],[Volumen de Combustible (gal)]]</f>
        <v>17.046000000000003</v>
      </c>
      <c r="V287" s="183"/>
      <c r="W287" s="183"/>
      <c r="X287" s="183"/>
      <c r="Y287" s="184">
        <f t="shared" si="80"/>
        <v>17.046000000000003</v>
      </c>
      <c r="Z287" s="567"/>
      <c r="AA287" s="184">
        <v>9.4700000000000006</v>
      </c>
      <c r="AB287" s="184">
        <f t="shared" si="81"/>
        <v>1.583949313621964</v>
      </c>
      <c r="AC287" s="184">
        <f t="shared" si="82"/>
        <v>0</v>
      </c>
      <c r="AD287" s="180"/>
    </row>
    <row r="288" spans="1:30" ht="16" x14ac:dyDescent="0.2">
      <c r="A288" s="47"/>
      <c r="B288" s="305"/>
      <c r="C288" s="176">
        <f t="shared" si="77"/>
        <v>285</v>
      </c>
      <c r="D288" s="146">
        <f>E287</f>
        <v>45702</v>
      </c>
      <c r="E288" s="37">
        <v>45705</v>
      </c>
      <c r="F288" s="65" t="s">
        <v>312</v>
      </c>
      <c r="G288" s="11" t="str">
        <f ca="1">IF(AND(E288&lt;&gt;"",E288&lt;TODAY()),"Disponible",IFERROR(INDEX(Vehiculos[Estado Vehiculo],MATCH(F288,Vehiculos[Placa Vehiculo],0)),""))</f>
        <v>Disponible</v>
      </c>
      <c r="H288" s="34" t="s">
        <v>238</v>
      </c>
      <c r="I288" s="34" t="s">
        <v>273</v>
      </c>
      <c r="J288" s="34" t="s">
        <v>274</v>
      </c>
      <c r="K288" s="39">
        <f>L287</f>
        <v>3190</v>
      </c>
      <c r="L288" s="39">
        <v>3210</v>
      </c>
      <c r="M288" s="15">
        <f t="shared" si="78"/>
        <v>20</v>
      </c>
      <c r="N288" s="15">
        <f>Rutas[[#This Row],[Kms Recorridos]]</f>
        <v>20</v>
      </c>
      <c r="O288" s="39"/>
      <c r="P288" s="36"/>
      <c r="Q288" s="16">
        <f t="shared" si="79"/>
        <v>0</v>
      </c>
      <c r="R288" s="34" t="s">
        <v>273</v>
      </c>
      <c r="S288" s="34" t="s">
        <v>102</v>
      </c>
      <c r="T288" s="36">
        <v>1.8</v>
      </c>
      <c r="U288" s="167">
        <f>Rutas[[#This Row],[Precio x Galón ($/gal)]]*Rutas[[#This Row],[Volumen de Combustible (gal)]]</f>
        <v>37.134</v>
      </c>
      <c r="V288" s="36"/>
      <c r="W288" s="36"/>
      <c r="X288" s="36"/>
      <c r="Y288" s="145">
        <f t="shared" si="80"/>
        <v>37.134</v>
      </c>
      <c r="Z288" s="567"/>
      <c r="AA288" s="12">
        <v>20.63</v>
      </c>
      <c r="AB288" s="12">
        <f t="shared" si="81"/>
        <v>0.96946194861851676</v>
      </c>
      <c r="AC288" s="12">
        <f t="shared" si="82"/>
        <v>0</v>
      </c>
      <c r="AD288" s="34"/>
    </row>
    <row r="289" spans="1:30" ht="16" x14ac:dyDescent="0.2">
      <c r="A289" s="47"/>
      <c r="B289" s="305"/>
      <c r="C289" s="176">
        <f t="shared" si="77"/>
        <v>286</v>
      </c>
      <c r="D289" s="146">
        <f>E288</f>
        <v>45705</v>
      </c>
      <c r="E289" s="37">
        <v>45711</v>
      </c>
      <c r="F289" s="65" t="s">
        <v>312</v>
      </c>
      <c r="G289" s="11" t="str">
        <f ca="1">IF(AND(E289&lt;&gt;"",E289&lt;TODAY()),"Disponible",IFERROR(INDEX(Vehiculos[Estado Vehiculo],MATCH(F289,Vehiculos[Placa Vehiculo],0)),""))</f>
        <v>Disponible</v>
      </c>
      <c r="H289" s="34" t="s">
        <v>238</v>
      </c>
      <c r="I289" s="34" t="s">
        <v>273</v>
      </c>
      <c r="J289" s="34" t="s">
        <v>274</v>
      </c>
      <c r="K289" s="39">
        <f>L288</f>
        <v>3210</v>
      </c>
      <c r="L289" s="39">
        <v>3250</v>
      </c>
      <c r="M289" s="15">
        <f t="shared" si="78"/>
        <v>40</v>
      </c>
      <c r="N289" s="15">
        <f>Rutas[[#This Row],[Kms Recorridos]]</f>
        <v>40</v>
      </c>
      <c r="O289" s="39"/>
      <c r="P289" s="36"/>
      <c r="Q289" s="16">
        <f t="shared" si="79"/>
        <v>0</v>
      </c>
      <c r="R289" s="34" t="s">
        <v>273</v>
      </c>
      <c r="S289" s="34" t="s">
        <v>102</v>
      </c>
      <c r="T289" s="36">
        <v>1.8</v>
      </c>
      <c r="U289" s="167">
        <f>Rutas[[#This Row],[Precio x Galón ($/gal)]]*Rutas[[#This Row],[Volumen de Combustible (gal)]]</f>
        <v>21.546000000000003</v>
      </c>
      <c r="V289" s="36"/>
      <c r="W289" s="36"/>
      <c r="X289" s="36"/>
      <c r="Y289" s="145">
        <f t="shared" si="80"/>
        <v>21.546000000000003</v>
      </c>
      <c r="Z289" s="567"/>
      <c r="AA289" s="12">
        <v>11.97</v>
      </c>
      <c r="AB289" s="12">
        <f t="shared" si="81"/>
        <v>3.3416875522138678</v>
      </c>
      <c r="AC289" s="12">
        <f t="shared" si="82"/>
        <v>0</v>
      </c>
      <c r="AD289" s="34"/>
    </row>
    <row r="290" spans="1:30" ht="16" x14ac:dyDescent="0.2">
      <c r="A290" s="47"/>
      <c r="B290" s="305"/>
      <c r="C290" s="176">
        <f t="shared" si="77"/>
        <v>287</v>
      </c>
      <c r="D290" s="146">
        <f>E289</f>
        <v>45711</v>
      </c>
      <c r="E290" s="37">
        <v>45714</v>
      </c>
      <c r="F290" s="65" t="s">
        <v>312</v>
      </c>
      <c r="G290" s="11" t="str">
        <f ca="1">IF(AND(E290&lt;&gt;"",E290&lt;TODAY()),"Disponible",IFERROR(INDEX(Vehiculos[Estado Vehiculo],MATCH(F290,Vehiculos[Placa Vehiculo],0)),""))</f>
        <v>Disponible</v>
      </c>
      <c r="H290" s="34" t="s">
        <v>250</v>
      </c>
      <c r="I290" s="34" t="s">
        <v>273</v>
      </c>
      <c r="J290" s="34" t="s">
        <v>274</v>
      </c>
      <c r="K290" s="39">
        <f>L289</f>
        <v>3250</v>
      </c>
      <c r="L290" s="39">
        <v>3285</v>
      </c>
      <c r="M290" s="15">
        <f t="shared" si="78"/>
        <v>35</v>
      </c>
      <c r="N290" s="15">
        <f>Rutas[[#This Row],[Kms Recorridos]]</f>
        <v>35</v>
      </c>
      <c r="O290" s="39"/>
      <c r="P290" s="36"/>
      <c r="Q290" s="16">
        <f t="shared" si="79"/>
        <v>0</v>
      </c>
      <c r="R290" s="34" t="s">
        <v>273</v>
      </c>
      <c r="S290" s="34" t="s">
        <v>102</v>
      </c>
      <c r="T290" s="36">
        <v>1.8</v>
      </c>
      <c r="U290" s="167">
        <f>Rutas[[#This Row],[Precio x Galón ($/gal)]]*Rutas[[#This Row],[Volumen de Combustible (gal)]]</f>
        <v>31.5</v>
      </c>
      <c r="V290" s="36"/>
      <c r="W290" s="36"/>
      <c r="X290" s="36"/>
      <c r="Y290" s="145">
        <f t="shared" si="80"/>
        <v>31.5</v>
      </c>
      <c r="Z290" s="567"/>
      <c r="AA290" s="12">
        <v>17.5</v>
      </c>
      <c r="AB290" s="12">
        <f t="shared" si="81"/>
        <v>2</v>
      </c>
      <c r="AC290" s="12">
        <f t="shared" si="82"/>
        <v>0</v>
      </c>
      <c r="AD290" s="34"/>
    </row>
    <row r="291" spans="1:30" ht="16" x14ac:dyDescent="0.2">
      <c r="A291" s="47"/>
      <c r="B291" s="305"/>
      <c r="C291" s="176">
        <f t="shared" si="77"/>
        <v>288</v>
      </c>
      <c r="D291" s="146">
        <f>E290</f>
        <v>45714</v>
      </c>
      <c r="E291" s="37">
        <v>45716</v>
      </c>
      <c r="F291" s="65" t="s">
        <v>312</v>
      </c>
      <c r="G291" s="11" t="str">
        <f ca="1">IF(AND(E291&lt;&gt;"",E291&lt;TODAY()),"Disponible",IFERROR(INDEX(Vehiculos[Estado Vehiculo],MATCH(F291,Vehiculos[Placa Vehiculo],0)),""))</f>
        <v>Disponible</v>
      </c>
      <c r="H291" s="34" t="s">
        <v>250</v>
      </c>
      <c r="I291" s="34" t="s">
        <v>273</v>
      </c>
      <c r="J291" s="34" t="s">
        <v>274</v>
      </c>
      <c r="K291" s="39">
        <v>3285</v>
      </c>
      <c r="L291" s="39">
        <v>3292</v>
      </c>
      <c r="M291" s="15">
        <f t="shared" si="78"/>
        <v>7</v>
      </c>
      <c r="N291" s="15">
        <f>Rutas[[#This Row],[Kms Recorridos]]</f>
        <v>7</v>
      </c>
      <c r="O291" s="39"/>
      <c r="P291" s="36"/>
      <c r="Q291" s="16">
        <f t="shared" si="79"/>
        <v>0</v>
      </c>
      <c r="R291" s="34" t="s">
        <v>273</v>
      </c>
      <c r="S291" s="34" t="s">
        <v>102</v>
      </c>
      <c r="T291" s="36">
        <v>1.8</v>
      </c>
      <c r="U291" s="167">
        <f>Rutas[[#This Row],[Precio x Galón ($/gal)]]*Rutas[[#This Row],[Volumen de Combustible (gal)]]</f>
        <v>30.240000000000002</v>
      </c>
      <c r="V291" s="36"/>
      <c r="W291" s="36"/>
      <c r="X291" s="36"/>
      <c r="Y291" s="145">
        <f t="shared" si="80"/>
        <v>30.240000000000002</v>
      </c>
      <c r="Z291" s="567"/>
      <c r="AA291" s="12">
        <v>16.8</v>
      </c>
      <c r="AB291" s="12">
        <f t="shared" si="81"/>
        <v>0.41666666666666663</v>
      </c>
      <c r="AC291" s="12">
        <f t="shared" si="82"/>
        <v>0</v>
      </c>
      <c r="AD291" s="34"/>
    </row>
    <row r="292" spans="1:30" ht="17" thickBot="1" x14ac:dyDescent="0.25">
      <c r="A292" s="174"/>
      <c r="B292" s="306"/>
      <c r="C292" s="176">
        <f t="shared" si="77"/>
        <v>289</v>
      </c>
      <c r="D292" s="156"/>
      <c r="E292" s="157"/>
      <c r="F292" s="158"/>
      <c r="G292" s="159" t="str">
        <f ca="1">IF(AND(E292&lt;&gt;"",E292&lt;TODAY()),"Disponible",IFERROR(INDEX(Vehiculos[Estado Vehiculo],MATCH(F292,Vehiculos[Placa Vehiculo],0)),""))</f>
        <v/>
      </c>
      <c r="H292" s="160"/>
      <c r="I292" s="160"/>
      <c r="J292" s="160"/>
      <c r="K292" s="161"/>
      <c r="L292" s="161"/>
      <c r="M292" s="162"/>
      <c r="N292" s="162"/>
      <c r="O292" s="161"/>
      <c r="P292" s="163"/>
      <c r="Q292" s="164">
        <f t="shared" si="79"/>
        <v>0</v>
      </c>
      <c r="R292" s="160"/>
      <c r="S292" s="160"/>
      <c r="T292" s="163"/>
      <c r="U292" s="167">
        <f>Rutas[[#This Row],[Precio x Galón ($/gal)]]*Rutas[[#This Row],[Volumen de Combustible (gal)]]</f>
        <v>0</v>
      </c>
      <c r="V292" s="163"/>
      <c r="W292" s="163"/>
      <c r="X292" s="163"/>
      <c r="Y292" s="165">
        <f t="shared" si="80"/>
        <v>0</v>
      </c>
      <c r="Z292" s="568"/>
      <c r="AA292" s="166"/>
      <c r="AB292" s="166">
        <f t="shared" si="81"/>
        <v>0</v>
      </c>
      <c r="AC292" s="166">
        <f t="shared" si="82"/>
        <v>0</v>
      </c>
      <c r="AD292" s="160"/>
    </row>
    <row r="293" spans="1:30" ht="17" thickTop="1" x14ac:dyDescent="0.2">
      <c r="A293" s="47"/>
      <c r="B293" s="383"/>
      <c r="C293" s="176">
        <f t="shared" si="77"/>
        <v>290</v>
      </c>
      <c r="D293" s="90">
        <v>45717</v>
      </c>
      <c r="E293" s="90">
        <v>45720</v>
      </c>
      <c r="F293" s="68" t="s">
        <v>208</v>
      </c>
      <c r="G293" s="379" t="str">
        <f ca="1">IF(AND(E293&lt;&gt;"",E293&lt;TODAY()),"Disponible",IFERROR(INDEX(Vehiculos[Estado Vehiculo],MATCH(F293,Vehiculos[Placa Vehiculo],0)),""))</f>
        <v>Disponible</v>
      </c>
      <c r="H293" s="89" t="s">
        <v>231</v>
      </c>
      <c r="I293" s="89" t="s">
        <v>273</v>
      </c>
      <c r="J293" s="89" t="s">
        <v>274</v>
      </c>
      <c r="K293" s="380">
        <v>80190</v>
      </c>
      <c r="L293" s="380">
        <v>80756</v>
      </c>
      <c r="M293" s="381">
        <f t="shared" ref="M293:M301" si="83">L293-K293</f>
        <v>566</v>
      </c>
      <c r="N293" s="381"/>
      <c r="O293" s="380"/>
      <c r="P293" s="92"/>
      <c r="Q293" s="382">
        <f t="shared" si="79"/>
        <v>0</v>
      </c>
      <c r="R293" s="89" t="s">
        <v>273</v>
      </c>
      <c r="S293" s="89" t="s">
        <v>102</v>
      </c>
      <c r="T293" s="92">
        <v>1.8</v>
      </c>
      <c r="U293" s="266">
        <f>Rutas[[#This Row],[Precio x Galón ($/gal)]]*Rutas[[#This Row],[Volumen de Combustible (gal)]]</f>
        <v>156.20400000000001</v>
      </c>
      <c r="V293" s="92"/>
      <c r="W293" s="92"/>
      <c r="X293" s="92"/>
      <c r="Y293" s="382">
        <f t="shared" si="80"/>
        <v>156.20400000000001</v>
      </c>
      <c r="Z293" s="567"/>
      <c r="AA293" s="382">
        <v>86.78</v>
      </c>
      <c r="AB293" s="382">
        <f t="shared" si="81"/>
        <v>6.5222401474994234</v>
      </c>
      <c r="AC293" s="382">
        <f t="shared" si="82"/>
        <v>0</v>
      </c>
      <c r="AD293" s="89"/>
    </row>
    <row r="294" spans="1:30" ht="16" x14ac:dyDescent="0.2">
      <c r="A294" s="47"/>
      <c r="B294" s="383"/>
      <c r="C294" s="176">
        <f t="shared" si="77"/>
        <v>291</v>
      </c>
      <c r="D294" s="146">
        <f>E293</f>
        <v>45720</v>
      </c>
      <c r="E294" s="37">
        <v>45722</v>
      </c>
      <c r="F294" s="65" t="s">
        <v>208</v>
      </c>
      <c r="G294" s="11" t="str">
        <f ca="1">IF(AND(E294&lt;&gt;"",E294&lt;TODAY()),"Disponible",IFERROR(INDEX(Vehiculos[Estado Vehiculo],MATCH(F294,Vehiculos[Placa Vehiculo],0)),""))</f>
        <v>Disponible</v>
      </c>
      <c r="H294" s="34" t="s">
        <v>236</v>
      </c>
      <c r="I294" s="34" t="s">
        <v>273</v>
      </c>
      <c r="J294" s="34" t="s">
        <v>274</v>
      </c>
      <c r="K294" s="39">
        <f>L293</f>
        <v>80756</v>
      </c>
      <c r="L294" s="39">
        <v>81108</v>
      </c>
      <c r="M294" s="15">
        <f t="shared" si="83"/>
        <v>352</v>
      </c>
      <c r="N294" s="15"/>
      <c r="O294" s="39"/>
      <c r="P294" s="36"/>
      <c r="Q294" s="16">
        <f t="shared" ref="Q294:Q350" si="84">M294*P294</f>
        <v>0</v>
      </c>
      <c r="R294" s="34" t="s">
        <v>273</v>
      </c>
      <c r="S294" s="34" t="s">
        <v>102</v>
      </c>
      <c r="T294" s="36">
        <v>1.8</v>
      </c>
      <c r="U294" s="167">
        <f>Rutas[[#This Row],[Precio x Galón ($/gal)]]*Rutas[[#This Row],[Volumen de Combustible (gal)]]</f>
        <v>87.75</v>
      </c>
      <c r="V294" s="36"/>
      <c r="W294" s="36"/>
      <c r="X294" s="36"/>
      <c r="Y294" s="145">
        <f t="shared" ref="Y294:Y350" si="85">U294+SUM(V294:X294)</f>
        <v>87.75</v>
      </c>
      <c r="Z294" s="567"/>
      <c r="AA294" s="12">
        <v>48.75</v>
      </c>
      <c r="AB294" s="12">
        <f t="shared" ref="AB294:AB350" si="86">IFERROR(M294/AA294,0)</f>
        <v>7.2205128205128206</v>
      </c>
      <c r="AC294" s="12">
        <f t="shared" ref="AC294:AC350" si="87">IFERROR(Q294/M294,0)</f>
        <v>0</v>
      </c>
      <c r="AD294" s="34"/>
    </row>
    <row r="295" spans="1:30" ht="16" x14ac:dyDescent="0.2">
      <c r="A295" s="47"/>
      <c r="B295" s="383"/>
      <c r="C295" s="176">
        <f t="shared" si="77"/>
        <v>292</v>
      </c>
      <c r="D295" s="146">
        <f t="shared" ref="D295:D300" si="88">E294</f>
        <v>45722</v>
      </c>
      <c r="E295" s="37">
        <v>45725</v>
      </c>
      <c r="F295" s="65" t="s">
        <v>208</v>
      </c>
      <c r="G295" s="11" t="str">
        <f ca="1">IF(AND(E295&lt;&gt;"",E295&lt;TODAY()),"Disponible",IFERROR(INDEX(Vehiculos[Estado Vehiculo],MATCH(F295,Vehiculos[Placa Vehiculo],0)),""))</f>
        <v>Disponible</v>
      </c>
      <c r="H295" s="34" t="s">
        <v>236</v>
      </c>
      <c r="I295" s="34" t="s">
        <v>273</v>
      </c>
      <c r="J295" s="34" t="s">
        <v>274</v>
      </c>
      <c r="K295" s="39">
        <f t="shared" ref="K295:K300" si="89">L294</f>
        <v>81108</v>
      </c>
      <c r="L295" s="39">
        <v>81586</v>
      </c>
      <c r="M295" s="15">
        <f t="shared" si="83"/>
        <v>478</v>
      </c>
      <c r="N295" s="15"/>
      <c r="O295" s="39"/>
      <c r="P295" s="36"/>
      <c r="Q295" s="16">
        <f t="shared" si="84"/>
        <v>0</v>
      </c>
      <c r="R295" s="34" t="s">
        <v>273</v>
      </c>
      <c r="S295" s="34" t="s">
        <v>102</v>
      </c>
      <c r="T295" s="36">
        <v>1.8</v>
      </c>
      <c r="U295" s="167">
        <f>Rutas[[#This Row],[Precio x Galón ($/gal)]]*Rutas[[#This Row],[Volumen de Combustible (gal)]]</f>
        <v>218.68199999999999</v>
      </c>
      <c r="V295" s="36"/>
      <c r="W295" s="36"/>
      <c r="X295" s="36"/>
      <c r="Y295" s="145">
        <f t="shared" si="85"/>
        <v>218.68199999999999</v>
      </c>
      <c r="Z295" s="567"/>
      <c r="AA295" s="12">
        <v>121.49</v>
      </c>
      <c r="AB295" s="12">
        <f t="shared" si="86"/>
        <v>3.9344802041320275</v>
      </c>
      <c r="AC295" s="12">
        <f t="shared" si="87"/>
        <v>0</v>
      </c>
      <c r="AD295" s="34"/>
    </row>
    <row r="296" spans="1:30" ht="16" x14ac:dyDescent="0.2">
      <c r="A296" s="47"/>
      <c r="B296" s="383"/>
      <c r="C296" s="176">
        <f t="shared" si="77"/>
        <v>293</v>
      </c>
      <c r="D296" s="146">
        <f t="shared" si="88"/>
        <v>45725</v>
      </c>
      <c r="E296" s="37">
        <v>45728</v>
      </c>
      <c r="F296" s="65" t="s">
        <v>208</v>
      </c>
      <c r="G296" s="11" t="str">
        <f ca="1">IF(AND(E296&lt;&gt;"",E296&lt;TODAY()),"Disponible",IFERROR(INDEX(Vehiculos[Estado Vehiculo],MATCH(F296,Vehiculos[Placa Vehiculo],0)),""))</f>
        <v>Disponible</v>
      </c>
      <c r="H296" s="34" t="s">
        <v>246</v>
      </c>
      <c r="I296" s="34" t="s">
        <v>273</v>
      </c>
      <c r="J296" s="34" t="s">
        <v>274</v>
      </c>
      <c r="K296" s="39">
        <f t="shared" si="89"/>
        <v>81586</v>
      </c>
      <c r="L296" s="39">
        <v>82155</v>
      </c>
      <c r="M296" s="15">
        <f t="shared" si="83"/>
        <v>569</v>
      </c>
      <c r="N296" s="15"/>
      <c r="O296" s="39"/>
      <c r="P296" s="36"/>
      <c r="Q296" s="16">
        <f t="shared" si="84"/>
        <v>0</v>
      </c>
      <c r="R296" s="34" t="s">
        <v>273</v>
      </c>
      <c r="S296" s="34" t="s">
        <v>102</v>
      </c>
      <c r="T296" s="36">
        <v>1.8</v>
      </c>
      <c r="U296" s="167">
        <f>Rutas[[#This Row],[Precio x Galón ($/gal)]]*Rutas[[#This Row],[Volumen de Combustible (gal)]]</f>
        <v>172.476</v>
      </c>
      <c r="V296" s="36"/>
      <c r="W296" s="36"/>
      <c r="X296" s="36"/>
      <c r="Y296" s="145">
        <f t="shared" si="85"/>
        <v>172.476</v>
      </c>
      <c r="Z296" s="567"/>
      <c r="AA296" s="12">
        <v>95.82</v>
      </c>
      <c r="AB296" s="12">
        <f t="shared" si="86"/>
        <v>5.9382174911292012</v>
      </c>
      <c r="AC296" s="12">
        <f t="shared" si="87"/>
        <v>0</v>
      </c>
      <c r="AD296" s="34"/>
    </row>
    <row r="297" spans="1:30" ht="16" x14ac:dyDescent="0.2">
      <c r="A297" s="47"/>
      <c r="B297" s="383"/>
      <c r="C297" s="176">
        <f t="shared" si="77"/>
        <v>294</v>
      </c>
      <c r="D297" s="146">
        <f t="shared" si="88"/>
        <v>45728</v>
      </c>
      <c r="E297" s="37">
        <v>45731</v>
      </c>
      <c r="F297" s="65" t="s">
        <v>208</v>
      </c>
      <c r="G297" s="11" t="str">
        <f ca="1">IF(AND(E297&lt;&gt;"",E297&lt;TODAY()),"Disponible",IFERROR(INDEX(Vehiculos[Estado Vehiculo],MATCH(F297,Vehiculos[Placa Vehiculo],0)),""))</f>
        <v>Disponible</v>
      </c>
      <c r="H297" s="34" t="s">
        <v>246</v>
      </c>
      <c r="I297" s="34" t="s">
        <v>273</v>
      </c>
      <c r="J297" s="34" t="s">
        <v>274</v>
      </c>
      <c r="K297" s="39">
        <f t="shared" si="89"/>
        <v>82155</v>
      </c>
      <c r="L297" s="39">
        <v>82682</v>
      </c>
      <c r="M297" s="15">
        <f t="shared" si="83"/>
        <v>527</v>
      </c>
      <c r="N297" s="15"/>
      <c r="O297" s="39"/>
      <c r="P297" s="36"/>
      <c r="Q297" s="16">
        <f t="shared" si="84"/>
        <v>0</v>
      </c>
      <c r="R297" s="34" t="s">
        <v>273</v>
      </c>
      <c r="S297" s="34" t="s">
        <v>102</v>
      </c>
      <c r="T297" s="36">
        <v>1.8</v>
      </c>
      <c r="U297" s="167">
        <f>Rutas[[#This Row],[Precio x Galón ($/gal)]]*Rutas[[#This Row],[Volumen de Combustible (gal)]]</f>
        <v>189.95400000000001</v>
      </c>
      <c r="V297" s="36"/>
      <c r="W297" s="36"/>
      <c r="X297" s="36"/>
      <c r="Y297" s="145">
        <f t="shared" si="85"/>
        <v>189.95400000000001</v>
      </c>
      <c r="Z297" s="567"/>
      <c r="AA297" s="12">
        <v>105.53</v>
      </c>
      <c r="AB297" s="12">
        <f t="shared" si="86"/>
        <v>4.9938406140433997</v>
      </c>
      <c r="AC297" s="12">
        <f t="shared" si="87"/>
        <v>0</v>
      </c>
      <c r="AD297" s="34"/>
    </row>
    <row r="298" spans="1:30" ht="16" x14ac:dyDescent="0.2">
      <c r="A298" s="47"/>
      <c r="B298" s="383"/>
      <c r="C298" s="176">
        <f t="shared" si="77"/>
        <v>295</v>
      </c>
      <c r="D298" s="146">
        <f t="shared" si="88"/>
        <v>45731</v>
      </c>
      <c r="E298" s="37">
        <v>45740</v>
      </c>
      <c r="F298" s="65" t="s">
        <v>208</v>
      </c>
      <c r="G298" s="11" t="str">
        <f ca="1">IF(AND(E298&lt;&gt;"",E298&lt;TODAY()),"Disponible",IFERROR(INDEX(Vehiculos[Estado Vehiculo],MATCH(F298,Vehiculos[Placa Vehiculo],0)),""))</f>
        <v>Disponible</v>
      </c>
      <c r="H298" s="34" t="s">
        <v>231</v>
      </c>
      <c r="I298" s="34" t="s">
        <v>273</v>
      </c>
      <c r="J298" s="34" t="s">
        <v>274</v>
      </c>
      <c r="K298" s="39">
        <f t="shared" si="89"/>
        <v>82682</v>
      </c>
      <c r="L298" s="39">
        <v>83340</v>
      </c>
      <c r="M298" s="15">
        <f t="shared" si="83"/>
        <v>658</v>
      </c>
      <c r="N298" s="15"/>
      <c r="O298" s="39"/>
      <c r="P298" s="36"/>
      <c r="Q298" s="16">
        <f t="shared" si="84"/>
        <v>0</v>
      </c>
      <c r="R298" s="34" t="s">
        <v>273</v>
      </c>
      <c r="S298" s="34" t="s">
        <v>102</v>
      </c>
      <c r="T298" s="36">
        <v>1.8</v>
      </c>
      <c r="U298" s="167">
        <f>Rutas[[#This Row],[Precio x Galón ($/gal)]]*Rutas[[#This Row],[Volumen de Combustible (gal)]]</f>
        <v>187.09200000000001</v>
      </c>
      <c r="V298" s="36"/>
      <c r="W298" s="36"/>
      <c r="X298" s="36"/>
      <c r="Y298" s="145">
        <f t="shared" si="85"/>
        <v>187.09200000000001</v>
      </c>
      <c r="Z298" s="567"/>
      <c r="AA298" s="12">
        <v>103.94</v>
      </c>
      <c r="AB298" s="12">
        <f t="shared" si="86"/>
        <v>6.3305753319222626</v>
      </c>
      <c r="AC298" s="12">
        <f t="shared" si="87"/>
        <v>0</v>
      </c>
      <c r="AD298" s="34"/>
    </row>
    <row r="299" spans="1:30" ht="16" x14ac:dyDescent="0.2">
      <c r="A299" s="47"/>
      <c r="B299" s="383"/>
      <c r="C299" s="176">
        <f t="shared" si="77"/>
        <v>296</v>
      </c>
      <c r="D299" s="146">
        <f t="shared" si="88"/>
        <v>45740</v>
      </c>
      <c r="E299" s="37">
        <v>45742</v>
      </c>
      <c r="F299" s="65" t="s">
        <v>208</v>
      </c>
      <c r="G299" s="11" t="str">
        <f ca="1">IF(AND(E299&lt;&gt;"",E299&lt;TODAY()),"Disponible",IFERROR(INDEX(Vehiculos[Estado Vehiculo],MATCH(F299,Vehiculos[Placa Vehiculo],0)),""))</f>
        <v>Disponible</v>
      </c>
      <c r="H299" s="34" t="s">
        <v>231</v>
      </c>
      <c r="I299" s="34" t="s">
        <v>273</v>
      </c>
      <c r="J299" s="34" t="s">
        <v>274</v>
      </c>
      <c r="K299" s="39">
        <f t="shared" si="89"/>
        <v>83340</v>
      </c>
      <c r="L299" s="39">
        <v>83837</v>
      </c>
      <c r="M299" s="15">
        <f t="shared" si="83"/>
        <v>497</v>
      </c>
      <c r="N299" s="15"/>
      <c r="O299" s="39"/>
      <c r="P299" s="36"/>
      <c r="Q299" s="16">
        <f t="shared" si="84"/>
        <v>0</v>
      </c>
      <c r="R299" s="34" t="s">
        <v>273</v>
      </c>
      <c r="S299" s="34" t="s">
        <v>102</v>
      </c>
      <c r="T299" s="36">
        <v>1.8</v>
      </c>
      <c r="U299" s="167">
        <f>Rutas[[#This Row],[Precio x Galón ($/gal)]]*Rutas[[#This Row],[Volumen de Combustible (gal)]]</f>
        <v>208.63800000000001</v>
      </c>
      <c r="V299" s="36"/>
      <c r="W299" s="36"/>
      <c r="X299" s="36"/>
      <c r="Y299" s="145">
        <f t="shared" si="85"/>
        <v>208.63800000000001</v>
      </c>
      <c r="Z299" s="567"/>
      <c r="AA299" s="12">
        <v>115.91</v>
      </c>
      <c r="AB299" s="12">
        <f t="shared" si="86"/>
        <v>4.2878095073764131</v>
      </c>
      <c r="AC299" s="12">
        <f t="shared" si="87"/>
        <v>0</v>
      </c>
      <c r="AD299" s="34"/>
    </row>
    <row r="300" spans="1:30" ht="16" x14ac:dyDescent="0.2">
      <c r="A300" s="47"/>
      <c r="B300" s="383"/>
      <c r="C300" s="176">
        <f t="shared" si="77"/>
        <v>297</v>
      </c>
      <c r="D300" s="146">
        <f t="shared" si="88"/>
        <v>45742</v>
      </c>
      <c r="E300" s="37">
        <v>45745</v>
      </c>
      <c r="F300" s="65" t="s">
        <v>208</v>
      </c>
      <c r="G300" s="11" t="str">
        <f ca="1">IF(AND(E300&lt;&gt;"",E300&lt;TODAY()),"Disponible",IFERROR(INDEX(Vehiculos[Estado Vehiculo],MATCH(F300,Vehiculos[Placa Vehiculo],0)),""))</f>
        <v>Disponible</v>
      </c>
      <c r="H300" s="34" t="s">
        <v>231</v>
      </c>
      <c r="I300" s="34" t="s">
        <v>273</v>
      </c>
      <c r="J300" s="34" t="s">
        <v>274</v>
      </c>
      <c r="K300" s="39">
        <f t="shared" si="89"/>
        <v>83837</v>
      </c>
      <c r="L300" s="39">
        <v>84425</v>
      </c>
      <c r="M300" s="15">
        <f t="shared" si="83"/>
        <v>588</v>
      </c>
      <c r="N300" s="15"/>
      <c r="O300" s="39"/>
      <c r="P300" s="36"/>
      <c r="Q300" s="16">
        <f t="shared" si="84"/>
        <v>0</v>
      </c>
      <c r="R300" s="34" t="s">
        <v>273</v>
      </c>
      <c r="S300" s="34" t="s">
        <v>102</v>
      </c>
      <c r="T300" s="36">
        <v>1.8</v>
      </c>
      <c r="U300" s="167">
        <f>Rutas[[#This Row],[Precio x Galón ($/gal)]]*Rutas[[#This Row],[Volumen de Combustible (gal)]]</f>
        <v>150.804</v>
      </c>
      <c r="V300" s="36"/>
      <c r="W300" s="36"/>
      <c r="X300" s="36"/>
      <c r="Y300" s="145">
        <f t="shared" si="85"/>
        <v>150.804</v>
      </c>
      <c r="Z300" s="567"/>
      <c r="AA300" s="12">
        <v>83.78</v>
      </c>
      <c r="AB300" s="12">
        <f t="shared" si="86"/>
        <v>7.0183814752924327</v>
      </c>
      <c r="AC300" s="12">
        <f t="shared" si="87"/>
        <v>0</v>
      </c>
      <c r="AD300" s="34"/>
    </row>
    <row r="301" spans="1:30" ht="16" x14ac:dyDescent="0.2">
      <c r="A301" s="47"/>
      <c r="B301" s="383"/>
      <c r="C301" s="176">
        <f t="shared" si="77"/>
        <v>298</v>
      </c>
      <c r="D301" s="146">
        <v>45745</v>
      </c>
      <c r="E301" s="37">
        <v>45746</v>
      </c>
      <c r="F301" s="65" t="s">
        <v>208</v>
      </c>
      <c r="G301" s="11" t="str">
        <f ca="1">IF(AND(E301&lt;&gt;"",E301&lt;TODAY()),"Disponible",IFERROR(INDEX(Vehiculos[Estado Vehiculo],MATCH(F301,Vehiculos[Placa Vehiculo],0)),""))</f>
        <v>Disponible</v>
      </c>
      <c r="H301" s="34" t="s">
        <v>231</v>
      </c>
      <c r="I301" s="34" t="s">
        <v>273</v>
      </c>
      <c r="J301" s="34" t="s">
        <v>274</v>
      </c>
      <c r="K301" s="39">
        <f>L300</f>
        <v>84425</v>
      </c>
      <c r="L301" s="39">
        <v>85066</v>
      </c>
      <c r="M301" s="15">
        <f t="shared" si="83"/>
        <v>641</v>
      </c>
      <c r="N301" s="451">
        <v>493</v>
      </c>
      <c r="O301" s="39"/>
      <c r="P301" s="36"/>
      <c r="Q301" s="16">
        <f t="shared" si="84"/>
        <v>0</v>
      </c>
      <c r="R301" s="34" t="s">
        <v>273</v>
      </c>
      <c r="S301" s="34" t="s">
        <v>102</v>
      </c>
      <c r="T301" s="36">
        <v>1.8</v>
      </c>
      <c r="U301" s="167">
        <f>Rutas[[#This Row],[Precio x Galón ($/gal)]]*Rutas[[#This Row],[Volumen de Combustible (gal)]]</f>
        <v>167.04</v>
      </c>
      <c r="V301" s="36"/>
      <c r="W301" s="36"/>
      <c r="X301" s="36"/>
      <c r="Y301" s="145">
        <f t="shared" si="85"/>
        <v>167.04</v>
      </c>
      <c r="Z301" s="567"/>
      <c r="AA301" s="12">
        <v>92.8</v>
      </c>
      <c r="AB301" s="12">
        <f t="shared" si="86"/>
        <v>6.9073275862068968</v>
      </c>
      <c r="AC301" s="12">
        <f t="shared" si="87"/>
        <v>0</v>
      </c>
      <c r="AD301" s="34"/>
    </row>
    <row r="302" spans="1:30" ht="16" x14ac:dyDescent="0.2">
      <c r="A302" s="47"/>
      <c r="B302" s="383"/>
      <c r="C302" s="176">
        <f t="shared" si="77"/>
        <v>299</v>
      </c>
      <c r="D302" s="437"/>
      <c r="E302" s="438"/>
      <c r="F302" s="450"/>
      <c r="G302" s="440" t="str">
        <f ca="1">IF(AND(E302&lt;&gt;"",E302&lt;TODAY()),"Disponible",IFERROR(INDEX(Vehiculos[Estado Vehiculo],MATCH(F302,Vehiculos[Placa Vehiculo],0)),""))</f>
        <v/>
      </c>
      <c r="H302" s="441"/>
      <c r="I302" s="441"/>
      <c r="J302" s="441"/>
      <c r="K302" s="442"/>
      <c r="L302" s="442"/>
      <c r="M302" s="443"/>
      <c r="N302" s="443"/>
      <c r="O302" s="442"/>
      <c r="P302" s="444"/>
      <c r="Q302" s="445">
        <f>M302*P302</f>
        <v>0</v>
      </c>
      <c r="R302" s="441"/>
      <c r="S302" s="441"/>
      <c r="T302" s="444"/>
      <c r="U302" s="444"/>
      <c r="V302" s="444"/>
      <c r="W302" s="444"/>
      <c r="X302" s="444"/>
      <c r="Y302" s="447">
        <f>U302+SUM(V302:X302)</f>
        <v>0</v>
      </c>
      <c r="Z302" s="570"/>
      <c r="AA302" s="448">
        <f>IFERROR(U302/T302,0)</f>
        <v>0</v>
      </c>
      <c r="AB302" s="448">
        <f>IFERROR(M302/AA302,0)</f>
        <v>0</v>
      </c>
      <c r="AC302" s="448">
        <f>IFERROR(Q302/M302,0)</f>
        <v>0</v>
      </c>
      <c r="AD302" s="441"/>
    </row>
    <row r="303" spans="1:30" ht="16" x14ac:dyDescent="0.2">
      <c r="A303" s="47"/>
      <c r="B303" s="383"/>
      <c r="C303" s="176">
        <f t="shared" si="77"/>
        <v>300</v>
      </c>
      <c r="D303" s="90">
        <v>45718</v>
      </c>
      <c r="E303" s="90">
        <v>45721</v>
      </c>
      <c r="F303" s="68" t="s">
        <v>209</v>
      </c>
      <c r="G303" s="379" t="str">
        <f ca="1">IF(AND(E303&lt;&gt;"",E303&lt;TODAY()),"Disponible",IFERROR(INDEX(Vehiculos[Estado Vehiculo],MATCH(F303,Vehiculos[Placa Vehiculo],0)),""))</f>
        <v>Disponible</v>
      </c>
      <c r="H303" s="89" t="s">
        <v>237</v>
      </c>
      <c r="I303" s="89" t="s">
        <v>273</v>
      </c>
      <c r="J303" s="89" t="s">
        <v>274</v>
      </c>
      <c r="K303" s="380">
        <v>80664</v>
      </c>
      <c r="L303" s="380">
        <v>81261</v>
      </c>
      <c r="M303" s="381">
        <f t="shared" ref="M303:M309" si="90">L303-K303</f>
        <v>597</v>
      </c>
      <c r="N303" s="381"/>
      <c r="O303" s="380"/>
      <c r="P303" s="92"/>
      <c r="Q303" s="382">
        <f t="shared" si="84"/>
        <v>0</v>
      </c>
      <c r="R303" s="89" t="s">
        <v>273</v>
      </c>
      <c r="S303" s="89" t="s">
        <v>102</v>
      </c>
      <c r="T303" s="92">
        <v>1.8</v>
      </c>
      <c r="U303" s="266">
        <f>Rutas[[#This Row],[Precio x Galón ($/gal)]]*Rutas[[#This Row],[Volumen de Combustible (gal)]]</f>
        <v>202.12200000000001</v>
      </c>
      <c r="V303" s="92"/>
      <c r="W303" s="92"/>
      <c r="X303" s="92"/>
      <c r="Y303" s="382">
        <f t="shared" si="85"/>
        <v>202.12200000000001</v>
      </c>
      <c r="Z303" s="567"/>
      <c r="AA303" s="382">
        <v>112.29</v>
      </c>
      <c r="AB303" s="382">
        <f t="shared" si="86"/>
        <v>5.3165909698103127</v>
      </c>
      <c r="AC303" s="382">
        <f t="shared" si="87"/>
        <v>0</v>
      </c>
      <c r="AD303" s="89"/>
    </row>
    <row r="304" spans="1:30" ht="16" x14ac:dyDescent="0.2">
      <c r="A304" s="47"/>
      <c r="B304" s="383"/>
      <c r="C304" s="176">
        <f t="shared" si="77"/>
        <v>301</v>
      </c>
      <c r="D304" s="146">
        <f>E303</f>
        <v>45721</v>
      </c>
      <c r="E304" s="37">
        <v>45725</v>
      </c>
      <c r="F304" s="65" t="s">
        <v>209</v>
      </c>
      <c r="G304" s="11" t="str">
        <f ca="1">IF(AND(E304&lt;&gt;"",E304&lt;TODAY()),"Disponible",IFERROR(INDEX(Vehiculos[Estado Vehiculo],MATCH(F304,Vehiculos[Placa Vehiculo],0)),""))</f>
        <v>Disponible</v>
      </c>
      <c r="H304" s="34" t="s">
        <v>241</v>
      </c>
      <c r="I304" s="34" t="s">
        <v>273</v>
      </c>
      <c r="J304" s="34" t="s">
        <v>274</v>
      </c>
      <c r="K304" s="39">
        <f>L303</f>
        <v>81261</v>
      </c>
      <c r="L304" s="39">
        <v>82010</v>
      </c>
      <c r="M304" s="15">
        <f t="shared" si="90"/>
        <v>749</v>
      </c>
      <c r="N304" s="15"/>
      <c r="O304" s="39"/>
      <c r="P304" s="36"/>
      <c r="Q304" s="16">
        <f t="shared" si="84"/>
        <v>0</v>
      </c>
      <c r="R304" s="34" t="s">
        <v>273</v>
      </c>
      <c r="S304" s="34" t="s">
        <v>102</v>
      </c>
      <c r="T304" s="36">
        <v>1.8</v>
      </c>
      <c r="U304" s="167">
        <f>Rutas[[#This Row],[Precio x Galón ($/gal)]]*Rutas[[#This Row],[Volumen de Combustible (gal)]]</f>
        <v>196.95600000000002</v>
      </c>
      <c r="V304" s="36"/>
      <c r="W304" s="36"/>
      <c r="X304" s="36"/>
      <c r="Y304" s="145">
        <f t="shared" si="85"/>
        <v>196.95600000000002</v>
      </c>
      <c r="Z304" s="567"/>
      <c r="AA304" s="12">
        <v>109.42</v>
      </c>
      <c r="AB304" s="12">
        <f t="shared" si="86"/>
        <v>6.8451836958508494</v>
      </c>
      <c r="AC304" s="12">
        <f t="shared" si="87"/>
        <v>0</v>
      </c>
      <c r="AD304" s="34"/>
    </row>
    <row r="305" spans="1:30" ht="16" x14ac:dyDescent="0.2">
      <c r="A305" s="47"/>
      <c r="B305" s="383"/>
      <c r="C305" s="176">
        <f t="shared" si="77"/>
        <v>302</v>
      </c>
      <c r="D305" s="146">
        <f>E304</f>
        <v>45725</v>
      </c>
      <c r="E305" s="37">
        <v>45731</v>
      </c>
      <c r="F305" s="65" t="s">
        <v>209</v>
      </c>
      <c r="G305" s="11" t="str">
        <f ca="1">IF(AND(E305&lt;&gt;"",E305&lt;TODAY()),"Disponible",IFERROR(INDEX(Vehiculos[Estado Vehiculo],MATCH(F305,Vehiculos[Placa Vehiculo],0)),""))</f>
        <v>Disponible</v>
      </c>
      <c r="H305" s="34" t="s">
        <v>241</v>
      </c>
      <c r="I305" s="34" t="s">
        <v>273</v>
      </c>
      <c r="J305" s="34" t="s">
        <v>274</v>
      </c>
      <c r="K305" s="39">
        <f>L304</f>
        <v>82010</v>
      </c>
      <c r="L305" s="39">
        <v>82495</v>
      </c>
      <c r="M305" s="15">
        <f t="shared" si="90"/>
        <v>485</v>
      </c>
      <c r="N305" s="15"/>
      <c r="O305" s="39"/>
      <c r="P305" s="36"/>
      <c r="Q305" s="16">
        <f t="shared" si="84"/>
        <v>0</v>
      </c>
      <c r="R305" s="34" t="s">
        <v>273</v>
      </c>
      <c r="S305" s="34" t="s">
        <v>102</v>
      </c>
      <c r="T305" s="36">
        <v>1.8</v>
      </c>
      <c r="U305" s="167">
        <f>Rutas[[#This Row],[Precio x Galón ($/gal)]]*Rutas[[#This Row],[Volumen de Combustible (gal)]]</f>
        <v>244.60199999999998</v>
      </c>
      <c r="V305" s="36"/>
      <c r="W305" s="36"/>
      <c r="X305" s="36"/>
      <c r="Y305" s="145">
        <f t="shared" si="85"/>
        <v>244.60199999999998</v>
      </c>
      <c r="Z305" s="567"/>
      <c r="AA305" s="12">
        <v>135.88999999999999</v>
      </c>
      <c r="AB305" s="12">
        <f t="shared" si="86"/>
        <v>3.5690632128927815</v>
      </c>
      <c r="AC305" s="12">
        <f t="shared" si="87"/>
        <v>0</v>
      </c>
      <c r="AD305" s="34"/>
    </row>
    <row r="306" spans="1:30" ht="16" x14ac:dyDescent="0.2">
      <c r="A306" s="47"/>
      <c r="B306" s="383"/>
      <c r="C306" s="176">
        <f t="shared" si="77"/>
        <v>303</v>
      </c>
      <c r="D306" s="146">
        <f>E305</f>
        <v>45731</v>
      </c>
      <c r="E306" s="37">
        <v>45738</v>
      </c>
      <c r="F306" s="65" t="s">
        <v>209</v>
      </c>
      <c r="G306" s="11" t="str">
        <f ca="1">IF(AND(E306&lt;&gt;"",E306&lt;TODAY()),"Disponible",IFERROR(INDEX(Vehiculos[Estado Vehiculo],MATCH(F306,Vehiculos[Placa Vehiculo],0)),""))</f>
        <v>Disponible</v>
      </c>
      <c r="H306" s="34" t="s">
        <v>289</v>
      </c>
      <c r="I306" s="34" t="s">
        <v>273</v>
      </c>
      <c r="J306" s="34" t="s">
        <v>274</v>
      </c>
      <c r="K306" s="39">
        <f>L305</f>
        <v>82495</v>
      </c>
      <c r="L306" s="39">
        <v>83152</v>
      </c>
      <c r="M306" s="15">
        <f t="shared" si="90"/>
        <v>657</v>
      </c>
      <c r="N306" s="15"/>
      <c r="O306" s="39"/>
      <c r="P306" s="36"/>
      <c r="Q306" s="16">
        <f t="shared" si="84"/>
        <v>0</v>
      </c>
      <c r="R306" s="34" t="s">
        <v>273</v>
      </c>
      <c r="S306" s="34" t="s">
        <v>102</v>
      </c>
      <c r="T306" s="36">
        <v>1.8</v>
      </c>
      <c r="U306" s="167">
        <f>Rutas[[#This Row],[Precio x Galón ($/gal)]]*Rutas[[#This Row],[Volumen de Combustible (gal)]]</f>
        <v>159.678</v>
      </c>
      <c r="V306" s="36"/>
      <c r="W306" s="36"/>
      <c r="X306" s="36"/>
      <c r="Y306" s="145">
        <f t="shared" si="85"/>
        <v>159.678</v>
      </c>
      <c r="Z306" s="567"/>
      <c r="AA306" s="12">
        <v>88.71</v>
      </c>
      <c r="AB306" s="12">
        <f t="shared" si="86"/>
        <v>7.4061548867095031</v>
      </c>
      <c r="AC306" s="12">
        <f t="shared" si="87"/>
        <v>0</v>
      </c>
      <c r="AD306" s="34"/>
    </row>
    <row r="307" spans="1:30" ht="16" x14ac:dyDescent="0.2">
      <c r="A307" s="47"/>
      <c r="B307" s="383"/>
      <c r="C307" s="176">
        <f t="shared" si="77"/>
        <v>304</v>
      </c>
      <c r="D307" s="146">
        <f>E306</f>
        <v>45738</v>
      </c>
      <c r="E307" s="37">
        <v>45741</v>
      </c>
      <c r="F307" s="65" t="s">
        <v>209</v>
      </c>
      <c r="G307" s="11" t="str">
        <f ca="1">IF(AND(E307&lt;&gt;"",E307&lt;TODAY()),"Disponible",IFERROR(INDEX(Vehiculos[Estado Vehiculo],MATCH(F307,Vehiculos[Placa Vehiculo],0)),""))</f>
        <v>Disponible</v>
      </c>
      <c r="H307" s="34" t="s">
        <v>244</v>
      </c>
      <c r="I307" s="34" t="s">
        <v>273</v>
      </c>
      <c r="J307" s="34" t="s">
        <v>274</v>
      </c>
      <c r="K307" s="39">
        <f>L306</f>
        <v>83152</v>
      </c>
      <c r="L307" s="39">
        <v>83764</v>
      </c>
      <c r="M307" s="15">
        <f t="shared" si="90"/>
        <v>612</v>
      </c>
      <c r="N307" s="15"/>
      <c r="O307" s="39"/>
      <c r="P307" s="36"/>
      <c r="Q307" s="16">
        <f t="shared" si="84"/>
        <v>0</v>
      </c>
      <c r="R307" s="34" t="s">
        <v>273</v>
      </c>
      <c r="S307" s="34" t="s">
        <v>102</v>
      </c>
      <c r="T307" s="36">
        <v>1.8</v>
      </c>
      <c r="U307" s="167">
        <f>Rutas[[#This Row],[Precio x Galón ($/gal)]]*Rutas[[#This Row],[Volumen de Combustible (gal)]]</f>
        <v>216.63</v>
      </c>
      <c r="V307" s="36"/>
      <c r="W307" s="36"/>
      <c r="X307" s="36"/>
      <c r="Y307" s="145">
        <f t="shared" si="85"/>
        <v>216.63</v>
      </c>
      <c r="Z307" s="567"/>
      <c r="AA307" s="12">
        <v>120.35</v>
      </c>
      <c r="AB307" s="12">
        <f t="shared" si="86"/>
        <v>5.0851682592438721</v>
      </c>
      <c r="AC307" s="12">
        <f t="shared" si="87"/>
        <v>0</v>
      </c>
      <c r="AD307" s="34"/>
    </row>
    <row r="308" spans="1:30" ht="16" x14ac:dyDescent="0.2">
      <c r="A308" s="47"/>
      <c r="B308" s="383"/>
      <c r="C308" s="176">
        <f t="shared" si="77"/>
        <v>305</v>
      </c>
      <c r="D308" s="146">
        <f>E307</f>
        <v>45741</v>
      </c>
      <c r="E308" s="37">
        <v>45744</v>
      </c>
      <c r="F308" s="65" t="s">
        <v>209</v>
      </c>
      <c r="G308" s="11" t="str">
        <f ca="1">IF(AND(E308&lt;&gt;"",E308&lt;TODAY()),"Disponible",IFERROR(INDEX(Vehiculos[Estado Vehiculo],MATCH(F308,Vehiculos[Placa Vehiculo],0)),""))</f>
        <v>Disponible</v>
      </c>
      <c r="H308" s="34" t="s">
        <v>244</v>
      </c>
      <c r="I308" s="34" t="s">
        <v>273</v>
      </c>
      <c r="J308" s="34" t="s">
        <v>274</v>
      </c>
      <c r="K308" s="39">
        <f>L307</f>
        <v>83764</v>
      </c>
      <c r="L308" s="39">
        <v>84422</v>
      </c>
      <c r="M308" s="15">
        <f t="shared" si="90"/>
        <v>658</v>
      </c>
      <c r="N308" s="451">
        <v>453</v>
      </c>
      <c r="O308" s="39"/>
      <c r="P308" s="36"/>
      <c r="Q308" s="16">
        <f t="shared" si="84"/>
        <v>0</v>
      </c>
      <c r="R308" s="34" t="s">
        <v>273</v>
      </c>
      <c r="S308" s="34" t="s">
        <v>102</v>
      </c>
      <c r="T308" s="36">
        <v>1.8</v>
      </c>
      <c r="U308" s="167">
        <f>Rutas[[#This Row],[Precio x Galón ($/gal)]]*Rutas[[#This Row],[Volumen de Combustible (gal)]]</f>
        <v>213.768</v>
      </c>
      <c r="V308" s="36"/>
      <c r="W308" s="36"/>
      <c r="X308" s="36"/>
      <c r="Y308" s="145">
        <f t="shared" si="85"/>
        <v>213.768</v>
      </c>
      <c r="Z308" s="567"/>
      <c r="AA308" s="12">
        <v>118.76</v>
      </c>
      <c r="AB308" s="12">
        <f t="shared" si="86"/>
        <v>5.5405860559110813</v>
      </c>
      <c r="AC308" s="12">
        <f t="shared" si="87"/>
        <v>0</v>
      </c>
      <c r="AD308" s="34"/>
    </row>
    <row r="309" spans="1:30" ht="16" x14ac:dyDescent="0.2">
      <c r="A309" s="47"/>
      <c r="B309" s="383"/>
      <c r="C309" s="176">
        <f t="shared" si="77"/>
        <v>306</v>
      </c>
      <c r="D309" s="454">
        <v>45745</v>
      </c>
      <c r="E309" s="37">
        <v>45746</v>
      </c>
      <c r="F309" s="65" t="s">
        <v>209</v>
      </c>
      <c r="G309" s="11" t="str">
        <f ca="1">IF(AND(E309&lt;&gt;"",E309&lt;TODAY()),"Disponible",IFERROR(INDEX(Vehiculos[Estado Vehiculo],MATCH(F309,Vehiculos[Placa Vehiculo],0)),""))</f>
        <v>Disponible</v>
      </c>
      <c r="H309" s="34"/>
      <c r="I309" s="34" t="s">
        <v>273</v>
      </c>
      <c r="J309" s="34" t="s">
        <v>274</v>
      </c>
      <c r="K309" s="39">
        <v>84422</v>
      </c>
      <c r="L309" s="39">
        <v>84423</v>
      </c>
      <c r="M309" s="15">
        <f t="shared" si="90"/>
        <v>1</v>
      </c>
      <c r="N309" s="15"/>
      <c r="O309" s="39"/>
      <c r="P309" s="36"/>
      <c r="Q309" s="16">
        <f>M309*P309</f>
        <v>0</v>
      </c>
      <c r="R309" s="34" t="s">
        <v>273</v>
      </c>
      <c r="S309" s="34" t="s">
        <v>102</v>
      </c>
      <c r="T309" s="36">
        <v>1.8</v>
      </c>
      <c r="U309" s="167">
        <f>Rutas[[#This Row],[Precio x Galón ($/gal)]]*Rutas[[#This Row],[Volumen de Combustible (gal)]]</f>
        <v>223.20000000000002</v>
      </c>
      <c r="V309" s="36"/>
      <c r="W309" s="36"/>
      <c r="X309" s="36"/>
      <c r="Y309" s="145">
        <f>U309+SUM(V309:X309)</f>
        <v>223.20000000000002</v>
      </c>
      <c r="Z309" s="567"/>
      <c r="AA309" s="12">
        <v>124</v>
      </c>
      <c r="AB309" s="12">
        <f>IFERROR(M309/AA309,0)</f>
        <v>8.0645161290322578E-3</v>
      </c>
      <c r="AC309" s="12">
        <f>IFERROR(Q309/M309,0)</f>
        <v>0</v>
      </c>
      <c r="AD309" s="34"/>
    </row>
    <row r="310" spans="1:30" ht="16" x14ac:dyDescent="0.2">
      <c r="A310" s="47"/>
      <c r="B310" s="383"/>
      <c r="C310" s="176">
        <f t="shared" si="77"/>
        <v>307</v>
      </c>
      <c r="D310" s="437"/>
      <c r="E310" s="438"/>
      <c r="F310" s="450"/>
      <c r="G310" s="440" t="str">
        <f ca="1">IF(AND(E310&lt;&gt;"",E310&lt;TODAY()),"Disponible",IFERROR(INDEX(Vehiculos[Estado Vehiculo],MATCH(F310,Vehiculos[Placa Vehiculo],0)),""))</f>
        <v/>
      </c>
      <c r="H310" s="441"/>
      <c r="I310" s="441"/>
      <c r="J310" s="441"/>
      <c r="K310" s="442"/>
      <c r="L310" s="442"/>
      <c r="M310" s="443"/>
      <c r="N310" s="443"/>
      <c r="O310" s="442"/>
      <c r="P310" s="444"/>
      <c r="Q310" s="445">
        <f t="shared" si="84"/>
        <v>0</v>
      </c>
      <c r="R310" s="441"/>
      <c r="S310" s="441"/>
      <c r="T310" s="444"/>
      <c r="U310" s="444"/>
      <c r="V310" s="444"/>
      <c r="W310" s="444"/>
      <c r="X310" s="444"/>
      <c r="Y310" s="447">
        <f t="shared" si="85"/>
        <v>0</v>
      </c>
      <c r="Z310" s="570"/>
      <c r="AA310" s="448"/>
      <c r="AB310" s="448">
        <f t="shared" si="86"/>
        <v>0</v>
      </c>
      <c r="AC310" s="448">
        <f t="shared" si="87"/>
        <v>0</v>
      </c>
      <c r="AD310" s="441"/>
    </row>
    <row r="311" spans="1:30" ht="16" x14ac:dyDescent="0.2">
      <c r="A311" s="47"/>
      <c r="B311" s="383"/>
      <c r="C311" s="176">
        <f t="shared" si="77"/>
        <v>308</v>
      </c>
      <c r="D311" s="90">
        <v>45717</v>
      </c>
      <c r="E311" s="90">
        <v>45721</v>
      </c>
      <c r="F311" s="68" t="s">
        <v>210</v>
      </c>
      <c r="G311" s="379" t="str">
        <f ca="1">IF(AND(E311&lt;&gt;"",E311&lt;TODAY()),"Disponible",IFERROR(INDEX(Vehiculos[Estado Vehiculo],MATCH(F311,Vehiculos[Placa Vehiculo],0)),""))</f>
        <v>Disponible</v>
      </c>
      <c r="H311" s="89" t="s">
        <v>250</v>
      </c>
      <c r="I311" s="89" t="s">
        <v>273</v>
      </c>
      <c r="J311" s="89" t="s">
        <v>274</v>
      </c>
      <c r="K311" s="380">
        <v>64990</v>
      </c>
      <c r="L311" s="380">
        <v>65592</v>
      </c>
      <c r="M311" s="381">
        <f t="shared" ref="M311:M319" si="91">L311-K311</f>
        <v>602</v>
      </c>
      <c r="N311" s="381"/>
      <c r="O311" s="380"/>
      <c r="P311" s="92"/>
      <c r="Q311" s="382">
        <f t="shared" si="84"/>
        <v>0</v>
      </c>
      <c r="R311" s="89" t="s">
        <v>273</v>
      </c>
      <c r="S311" s="89" t="s">
        <v>102</v>
      </c>
      <c r="T311" s="92">
        <v>1.8</v>
      </c>
      <c r="U311" s="266">
        <f>Rutas[[#This Row],[Precio x Galón ($/gal)]]*Rutas[[#This Row],[Volumen de Combustible (gal)]]</f>
        <v>172.76400000000001</v>
      </c>
      <c r="V311" s="92"/>
      <c r="W311" s="92"/>
      <c r="X311" s="92"/>
      <c r="Y311" s="382">
        <f t="shared" si="85"/>
        <v>172.76400000000001</v>
      </c>
      <c r="Z311" s="567"/>
      <c r="AA311" s="382">
        <v>95.98</v>
      </c>
      <c r="AB311" s="382">
        <f t="shared" si="86"/>
        <v>6.2721400291727445</v>
      </c>
      <c r="AC311" s="382">
        <f t="shared" si="87"/>
        <v>0</v>
      </c>
      <c r="AD311" s="89"/>
    </row>
    <row r="312" spans="1:30" ht="16" x14ac:dyDescent="0.2">
      <c r="A312" s="47"/>
      <c r="B312" s="383"/>
      <c r="C312" s="176">
        <f t="shared" si="77"/>
        <v>309</v>
      </c>
      <c r="D312" s="146">
        <f>E311</f>
        <v>45721</v>
      </c>
      <c r="E312" s="37">
        <v>45723</v>
      </c>
      <c r="F312" s="65" t="s">
        <v>210</v>
      </c>
      <c r="G312" s="11" t="str">
        <f ca="1">IF(AND(E312&lt;&gt;"",E312&lt;TODAY()),"Disponible",IFERROR(INDEX(Vehiculos[Estado Vehiculo],MATCH(F312,Vehiculos[Placa Vehiculo],0)),""))</f>
        <v>Disponible</v>
      </c>
      <c r="H312" s="34" t="s">
        <v>245</v>
      </c>
      <c r="I312" s="34" t="s">
        <v>273</v>
      </c>
      <c r="J312" s="34" t="s">
        <v>274</v>
      </c>
      <c r="K312" s="39">
        <f>L311</f>
        <v>65592</v>
      </c>
      <c r="L312" s="39">
        <v>66141</v>
      </c>
      <c r="M312" s="15">
        <f t="shared" si="91"/>
        <v>549</v>
      </c>
      <c r="N312" s="15"/>
      <c r="O312" s="39"/>
      <c r="P312" s="36"/>
      <c r="Q312" s="16">
        <f t="shared" si="84"/>
        <v>0</v>
      </c>
      <c r="R312" s="34" t="s">
        <v>273</v>
      </c>
      <c r="S312" s="34" t="s">
        <v>102</v>
      </c>
      <c r="T312" s="36">
        <v>1.8</v>
      </c>
      <c r="U312" s="167">
        <f>Rutas[[#This Row],[Precio x Galón ($/gal)]]*Rutas[[#This Row],[Volumen de Combustible (gal)]]</f>
        <v>178.65</v>
      </c>
      <c r="V312" s="36"/>
      <c r="W312" s="36"/>
      <c r="X312" s="36"/>
      <c r="Y312" s="145">
        <f t="shared" si="85"/>
        <v>178.65</v>
      </c>
      <c r="Z312" s="567"/>
      <c r="AA312" s="12">
        <v>99.25</v>
      </c>
      <c r="AB312" s="12">
        <f t="shared" si="86"/>
        <v>5.5314861460957179</v>
      </c>
      <c r="AC312" s="12">
        <f t="shared" si="87"/>
        <v>0</v>
      </c>
      <c r="AD312" s="34"/>
    </row>
    <row r="313" spans="1:30" ht="16" x14ac:dyDescent="0.2">
      <c r="A313" s="47"/>
      <c r="B313" s="383"/>
      <c r="C313" s="176">
        <f t="shared" si="77"/>
        <v>310</v>
      </c>
      <c r="D313" s="146">
        <f t="shared" ref="D313:D318" si="92">E312</f>
        <v>45723</v>
      </c>
      <c r="E313" s="37">
        <v>45725</v>
      </c>
      <c r="F313" s="65" t="s">
        <v>210</v>
      </c>
      <c r="G313" s="11" t="str">
        <f ca="1">IF(AND(E313&lt;&gt;"",E313&lt;TODAY()),"Disponible",IFERROR(INDEX(Vehiculos[Estado Vehiculo],MATCH(F313,Vehiculos[Placa Vehiculo],0)),""))</f>
        <v>Disponible</v>
      </c>
      <c r="H313" s="34" t="s">
        <v>245</v>
      </c>
      <c r="I313" s="34" t="s">
        <v>273</v>
      </c>
      <c r="J313" s="34" t="s">
        <v>274</v>
      </c>
      <c r="K313" s="39">
        <f t="shared" ref="K313:K318" si="93">L312</f>
        <v>66141</v>
      </c>
      <c r="L313" s="39">
        <v>66529</v>
      </c>
      <c r="M313" s="15">
        <f t="shared" si="91"/>
        <v>388</v>
      </c>
      <c r="N313" s="15"/>
      <c r="O313" s="39"/>
      <c r="P313" s="36"/>
      <c r="Q313" s="16">
        <f t="shared" si="84"/>
        <v>0</v>
      </c>
      <c r="R313" s="34" t="s">
        <v>273</v>
      </c>
      <c r="S313" s="34" t="s">
        <v>102</v>
      </c>
      <c r="T313" s="36">
        <v>1.8</v>
      </c>
      <c r="U313" s="167">
        <f>Rutas[[#This Row],[Precio x Galón ($/gal)]]*Rutas[[#This Row],[Volumen de Combustible (gal)]]</f>
        <v>178.398</v>
      </c>
      <c r="V313" s="36"/>
      <c r="W313" s="36"/>
      <c r="X313" s="36"/>
      <c r="Y313" s="145">
        <f t="shared" si="85"/>
        <v>178.398</v>
      </c>
      <c r="Z313" s="567"/>
      <c r="AA313" s="12">
        <v>99.11</v>
      </c>
      <c r="AB313" s="12">
        <f t="shared" si="86"/>
        <v>3.9148420946423168</v>
      </c>
      <c r="AC313" s="12">
        <f t="shared" si="87"/>
        <v>0</v>
      </c>
      <c r="AD313" s="34"/>
    </row>
    <row r="314" spans="1:30" ht="16" x14ac:dyDescent="0.2">
      <c r="A314" s="47"/>
      <c r="B314" s="383"/>
      <c r="C314" s="176">
        <f t="shared" si="77"/>
        <v>311</v>
      </c>
      <c r="D314" s="146">
        <f t="shared" si="92"/>
        <v>45725</v>
      </c>
      <c r="E314" s="37">
        <v>45728</v>
      </c>
      <c r="F314" s="65" t="s">
        <v>210</v>
      </c>
      <c r="G314" s="11" t="str">
        <f ca="1">IF(AND(E314&lt;&gt;"",E314&lt;TODAY()),"Disponible",IFERROR(INDEX(Vehiculos[Estado Vehiculo],MATCH(F314,Vehiculos[Placa Vehiculo],0)),""))</f>
        <v>Disponible</v>
      </c>
      <c r="H314" s="34" t="s">
        <v>245</v>
      </c>
      <c r="I314" s="34" t="s">
        <v>273</v>
      </c>
      <c r="J314" s="34" t="s">
        <v>274</v>
      </c>
      <c r="K314" s="39">
        <f t="shared" si="93"/>
        <v>66529</v>
      </c>
      <c r="L314" s="39">
        <v>67137</v>
      </c>
      <c r="M314" s="15">
        <f t="shared" si="91"/>
        <v>608</v>
      </c>
      <c r="N314" s="15"/>
      <c r="O314" s="39"/>
      <c r="P314" s="36"/>
      <c r="Q314" s="16">
        <f t="shared" si="84"/>
        <v>0</v>
      </c>
      <c r="R314" s="34" t="s">
        <v>273</v>
      </c>
      <c r="S314" s="34" t="s">
        <v>102</v>
      </c>
      <c r="T314" s="36">
        <v>1.8</v>
      </c>
      <c r="U314" s="167">
        <f>Rutas[[#This Row],[Precio x Galón ($/gal)]]*Rutas[[#This Row],[Volumen de Combustible (gal)]]</f>
        <v>117.342</v>
      </c>
      <c r="V314" s="36"/>
      <c r="W314" s="36"/>
      <c r="X314" s="36"/>
      <c r="Y314" s="145">
        <f t="shared" si="85"/>
        <v>117.342</v>
      </c>
      <c r="Z314" s="567"/>
      <c r="AA314" s="12">
        <v>65.19</v>
      </c>
      <c r="AB314" s="12">
        <f t="shared" si="86"/>
        <v>9.3265838318760554</v>
      </c>
      <c r="AC314" s="12">
        <f t="shared" si="87"/>
        <v>0</v>
      </c>
      <c r="AD314" s="34"/>
    </row>
    <row r="315" spans="1:30" ht="16" x14ac:dyDescent="0.2">
      <c r="A315" s="47"/>
      <c r="B315" s="383"/>
      <c r="C315" s="176">
        <f t="shared" si="77"/>
        <v>312</v>
      </c>
      <c r="D315" s="146">
        <f t="shared" si="92"/>
        <v>45728</v>
      </c>
      <c r="E315" s="37">
        <v>45731</v>
      </c>
      <c r="F315" s="65" t="s">
        <v>210</v>
      </c>
      <c r="G315" s="11" t="str">
        <f ca="1">IF(AND(E315&lt;&gt;"",E315&lt;TODAY()),"Disponible",IFERROR(INDEX(Vehiculos[Estado Vehiculo],MATCH(F315,Vehiculos[Placa Vehiculo],0)),""))</f>
        <v>Disponible</v>
      </c>
      <c r="H315" s="34" t="s">
        <v>238</v>
      </c>
      <c r="I315" s="34" t="s">
        <v>273</v>
      </c>
      <c r="J315" s="34" t="s">
        <v>274</v>
      </c>
      <c r="K315" s="39">
        <f t="shared" si="93"/>
        <v>67137</v>
      </c>
      <c r="L315" s="39">
        <v>67684</v>
      </c>
      <c r="M315" s="15">
        <f t="shared" si="91"/>
        <v>547</v>
      </c>
      <c r="N315" s="15"/>
      <c r="O315" s="39"/>
      <c r="P315" s="36"/>
      <c r="Q315" s="16">
        <f t="shared" si="84"/>
        <v>0</v>
      </c>
      <c r="R315" s="34" t="s">
        <v>273</v>
      </c>
      <c r="S315" s="34" t="s">
        <v>102</v>
      </c>
      <c r="T315" s="36">
        <v>1.8</v>
      </c>
      <c r="U315" s="167">
        <f>Rutas[[#This Row],[Precio x Galón ($/gal)]]*Rutas[[#This Row],[Volumen de Combustible (gal)]]</f>
        <v>190.02599999999998</v>
      </c>
      <c r="V315" s="36"/>
      <c r="W315" s="36"/>
      <c r="X315" s="36"/>
      <c r="Y315" s="145">
        <f t="shared" si="85"/>
        <v>190.02599999999998</v>
      </c>
      <c r="Z315" s="567"/>
      <c r="AA315" s="12">
        <v>105.57</v>
      </c>
      <c r="AB315" s="12">
        <f t="shared" si="86"/>
        <v>5.1813962299895806</v>
      </c>
      <c r="AC315" s="12">
        <f t="shared" si="87"/>
        <v>0</v>
      </c>
      <c r="AD315" s="34"/>
    </row>
    <row r="316" spans="1:30" ht="16" x14ac:dyDescent="0.2">
      <c r="A316" s="47"/>
      <c r="B316" s="383"/>
      <c r="C316" s="176">
        <f t="shared" si="77"/>
        <v>313</v>
      </c>
      <c r="D316" s="146">
        <f t="shared" si="92"/>
        <v>45731</v>
      </c>
      <c r="E316" s="37">
        <v>45740</v>
      </c>
      <c r="F316" s="65" t="s">
        <v>210</v>
      </c>
      <c r="G316" s="11" t="str">
        <f ca="1">IF(AND(E316&lt;&gt;"",E316&lt;TODAY()),"Disponible",IFERROR(INDEX(Vehiculos[Estado Vehiculo],MATCH(F316,Vehiculos[Placa Vehiculo],0)),""))</f>
        <v>Disponible</v>
      </c>
      <c r="H316" s="34" t="s">
        <v>238</v>
      </c>
      <c r="I316" s="34" t="s">
        <v>273</v>
      </c>
      <c r="J316" s="34" t="s">
        <v>274</v>
      </c>
      <c r="K316" s="39">
        <f t="shared" si="93"/>
        <v>67684</v>
      </c>
      <c r="L316" s="39">
        <v>68377</v>
      </c>
      <c r="M316" s="15">
        <f t="shared" si="91"/>
        <v>693</v>
      </c>
      <c r="N316" s="15"/>
      <c r="O316" s="39"/>
      <c r="P316" s="36"/>
      <c r="Q316" s="16">
        <f t="shared" si="84"/>
        <v>0</v>
      </c>
      <c r="R316" s="34" t="s">
        <v>273</v>
      </c>
      <c r="S316" s="34" t="s">
        <v>102</v>
      </c>
      <c r="T316" s="36">
        <v>1.8</v>
      </c>
      <c r="U316" s="167">
        <f>Rutas[[#This Row],[Precio x Galón ($/gal)]]*Rutas[[#This Row],[Volumen de Combustible (gal)]]</f>
        <v>178.90200000000002</v>
      </c>
      <c r="V316" s="36"/>
      <c r="W316" s="36"/>
      <c r="X316" s="36"/>
      <c r="Y316" s="145">
        <f t="shared" si="85"/>
        <v>178.90200000000002</v>
      </c>
      <c r="Z316" s="567"/>
      <c r="AA316" s="12">
        <v>99.39</v>
      </c>
      <c r="AB316" s="12">
        <f t="shared" si="86"/>
        <v>6.9725324479323874</v>
      </c>
      <c r="AC316" s="12">
        <f t="shared" si="87"/>
        <v>0</v>
      </c>
      <c r="AD316" s="34"/>
    </row>
    <row r="317" spans="1:30" ht="16" x14ac:dyDescent="0.2">
      <c r="A317" s="47"/>
      <c r="B317" s="383"/>
      <c r="C317" s="176">
        <f t="shared" si="77"/>
        <v>314</v>
      </c>
      <c r="D317" s="146">
        <f t="shared" si="92"/>
        <v>45740</v>
      </c>
      <c r="E317" s="37">
        <v>45742</v>
      </c>
      <c r="F317" s="65" t="s">
        <v>210</v>
      </c>
      <c r="G317" s="11" t="str">
        <f ca="1">IF(AND(E317&lt;&gt;"",E317&lt;TODAY()),"Disponible",IFERROR(INDEX(Vehiculos[Estado Vehiculo],MATCH(F317,Vehiculos[Placa Vehiculo],0)),""))</f>
        <v>Disponible</v>
      </c>
      <c r="H317" s="34" t="s">
        <v>250</v>
      </c>
      <c r="I317" s="34" t="s">
        <v>273</v>
      </c>
      <c r="J317" s="34" t="s">
        <v>274</v>
      </c>
      <c r="K317" s="39">
        <f t="shared" si="93"/>
        <v>68377</v>
      </c>
      <c r="L317" s="39">
        <v>68869</v>
      </c>
      <c r="M317" s="15">
        <f t="shared" si="91"/>
        <v>492</v>
      </c>
      <c r="N317" s="15"/>
      <c r="O317" s="39"/>
      <c r="P317" s="36"/>
      <c r="Q317" s="16">
        <f t="shared" si="84"/>
        <v>0</v>
      </c>
      <c r="R317" s="34" t="s">
        <v>273</v>
      </c>
      <c r="S317" s="34" t="s">
        <v>102</v>
      </c>
      <c r="T317" s="36">
        <v>1.8</v>
      </c>
      <c r="U317" s="167">
        <f>Rutas[[#This Row],[Precio x Galón ($/gal)]]*Rutas[[#This Row],[Volumen de Combustible (gal)]]</f>
        <v>229.82400000000001</v>
      </c>
      <c r="V317" s="36"/>
      <c r="W317" s="36"/>
      <c r="X317" s="36"/>
      <c r="Y317" s="145">
        <f t="shared" si="85"/>
        <v>229.82400000000001</v>
      </c>
      <c r="Z317" s="567"/>
      <c r="AA317" s="12">
        <v>127.68</v>
      </c>
      <c r="AB317" s="12">
        <f t="shared" si="86"/>
        <v>3.8533834586466162</v>
      </c>
      <c r="AC317" s="12">
        <f t="shared" si="87"/>
        <v>0</v>
      </c>
      <c r="AD317" s="34"/>
    </row>
    <row r="318" spans="1:30" ht="16" x14ac:dyDescent="0.2">
      <c r="A318" s="47"/>
      <c r="B318" s="383"/>
      <c r="C318" s="176">
        <f t="shared" si="77"/>
        <v>315</v>
      </c>
      <c r="D318" s="146">
        <f t="shared" si="92"/>
        <v>45742</v>
      </c>
      <c r="E318" s="37">
        <v>45745</v>
      </c>
      <c r="F318" s="65" t="s">
        <v>210</v>
      </c>
      <c r="G318" s="11" t="str">
        <f ca="1">IF(AND(E318&lt;&gt;"",E318&lt;TODAY()),"Disponible",IFERROR(INDEX(Vehiculos[Estado Vehiculo],MATCH(F318,Vehiculos[Placa Vehiculo],0)),""))</f>
        <v>Disponible</v>
      </c>
      <c r="H318" s="34" t="s">
        <v>250</v>
      </c>
      <c r="I318" s="34" t="s">
        <v>273</v>
      </c>
      <c r="J318" s="34" t="s">
        <v>274</v>
      </c>
      <c r="K318" s="39">
        <f t="shared" si="93"/>
        <v>68869</v>
      </c>
      <c r="L318" s="39">
        <v>69465</v>
      </c>
      <c r="M318" s="15">
        <f t="shared" si="91"/>
        <v>596</v>
      </c>
      <c r="N318" s="15"/>
      <c r="O318" s="39"/>
      <c r="P318" s="36"/>
      <c r="Q318" s="16">
        <f>M318*P318</f>
        <v>0</v>
      </c>
      <c r="R318" s="34" t="s">
        <v>273</v>
      </c>
      <c r="S318" s="34" t="s">
        <v>102</v>
      </c>
      <c r="T318" s="36">
        <v>1.8</v>
      </c>
      <c r="U318" s="167">
        <f>Rutas[[#This Row],[Precio x Galón ($/gal)]]*Rutas[[#This Row],[Volumen de Combustible (gal)]]</f>
        <v>151.20000000000002</v>
      </c>
      <c r="V318" s="36"/>
      <c r="W318" s="36"/>
      <c r="X318" s="36"/>
      <c r="Y318" s="145">
        <f>U318+SUM(V318:X318)</f>
        <v>151.20000000000002</v>
      </c>
      <c r="Z318" s="567"/>
      <c r="AA318" s="12">
        <v>84</v>
      </c>
      <c r="AB318" s="12">
        <f>IFERROR(M318/AA318,0)</f>
        <v>7.0952380952380949</v>
      </c>
      <c r="AC318" s="12">
        <f>IFERROR(Q318/M318,0)</f>
        <v>0</v>
      </c>
      <c r="AD318" s="34"/>
    </row>
    <row r="319" spans="1:30" ht="16" x14ac:dyDescent="0.2">
      <c r="A319" s="47"/>
      <c r="B319" s="383"/>
      <c r="C319" s="176">
        <f t="shared" si="77"/>
        <v>316</v>
      </c>
      <c r="D319" s="146">
        <f>E318</f>
        <v>45745</v>
      </c>
      <c r="E319" s="37">
        <v>45746</v>
      </c>
      <c r="F319" s="65" t="s">
        <v>210</v>
      </c>
      <c r="G319" s="11" t="str">
        <f ca="1">IF(AND(E319&lt;&gt;"",E319&lt;TODAY()),"Disponible",IFERROR(INDEX(Vehiculos[Estado Vehiculo],MATCH(F319,Vehiculos[Placa Vehiculo],0)),""))</f>
        <v>Disponible</v>
      </c>
      <c r="H319" s="34" t="s">
        <v>250</v>
      </c>
      <c r="I319" s="34" t="s">
        <v>273</v>
      </c>
      <c r="J319" s="34" t="s">
        <v>274</v>
      </c>
      <c r="K319" s="39">
        <f>L318</f>
        <v>69465</v>
      </c>
      <c r="L319" s="39">
        <v>70025</v>
      </c>
      <c r="M319" s="15">
        <f t="shared" si="91"/>
        <v>560</v>
      </c>
      <c r="N319" s="451">
        <v>611</v>
      </c>
      <c r="O319" s="39"/>
      <c r="P319" s="36"/>
      <c r="Q319" s="16">
        <f>M319*P319</f>
        <v>0</v>
      </c>
      <c r="R319" s="34" t="s">
        <v>273</v>
      </c>
      <c r="S319" s="34" t="s">
        <v>102</v>
      </c>
      <c r="T319" s="36">
        <v>1.8</v>
      </c>
      <c r="U319" s="167">
        <f>Rutas[[#This Row],[Precio x Galón ($/gal)]]*Rutas[[#This Row],[Volumen de Combustible (gal)]]</f>
        <v>183.654</v>
      </c>
      <c r="V319" s="36"/>
      <c r="W319" s="36"/>
      <c r="X319" s="36"/>
      <c r="Y319" s="145">
        <f>U319+SUM(V319:X319)</f>
        <v>183.654</v>
      </c>
      <c r="Z319" s="567"/>
      <c r="AA319" s="12">
        <v>102.03</v>
      </c>
      <c r="AB319" s="12">
        <f>IFERROR(M319/AA319,0)</f>
        <v>5.4885817896697047</v>
      </c>
      <c r="AC319" s="12">
        <f>IFERROR(Q319/M319,0)</f>
        <v>0</v>
      </c>
      <c r="AD319" s="34"/>
    </row>
    <row r="320" spans="1:30" ht="16" x14ac:dyDescent="0.2">
      <c r="A320" s="47"/>
      <c r="B320" s="383"/>
      <c r="C320" s="176">
        <f t="shared" si="77"/>
        <v>317</v>
      </c>
      <c r="D320" s="437"/>
      <c r="E320" s="438"/>
      <c r="F320" s="450"/>
      <c r="G320" s="440" t="str">
        <f ca="1">IF(AND(E320&lt;&gt;"",E320&lt;TODAY()),"Disponible",IFERROR(INDEX(Vehiculos[Estado Vehiculo],MATCH(F320,Vehiculos[Placa Vehiculo],0)),""))</f>
        <v/>
      </c>
      <c r="H320" s="441"/>
      <c r="I320" s="441"/>
      <c r="J320" s="441"/>
      <c r="K320" s="442"/>
      <c r="L320" s="442"/>
      <c r="M320" s="443">
        <f t="shared" ref="M320:M326" si="94">L320-K320</f>
        <v>0</v>
      </c>
      <c r="N320" s="443"/>
      <c r="O320" s="442"/>
      <c r="P320" s="444"/>
      <c r="Q320" s="445">
        <f t="shared" ref="Q320:Q326" si="95">M320*P320</f>
        <v>0</v>
      </c>
      <c r="R320" s="441"/>
      <c r="S320" s="441"/>
      <c r="T320" s="444"/>
      <c r="U320" s="444">
        <f>Rutas[[#This Row],[Precio x Galón ($/gal)]]*Rutas[[#This Row],[Volumen de Combustible (gal)]]</f>
        <v>0</v>
      </c>
      <c r="V320" s="444"/>
      <c r="W320" s="444"/>
      <c r="X320" s="444"/>
      <c r="Y320" s="447">
        <f t="shared" ref="Y320:Y326" si="96">U320+SUM(V320:X320)</f>
        <v>0</v>
      </c>
      <c r="Z320" s="570"/>
      <c r="AA320" s="448"/>
      <c r="AB320" s="448">
        <f t="shared" ref="AB320:AB326" si="97">IFERROR(M320/AA320,0)</f>
        <v>0</v>
      </c>
      <c r="AC320" s="448">
        <f t="shared" ref="AC320:AC326" si="98">IFERROR(Q320/M320,0)</f>
        <v>0</v>
      </c>
      <c r="AD320" s="441"/>
    </row>
    <row r="321" spans="1:30" ht="16" x14ac:dyDescent="0.2">
      <c r="A321" s="47"/>
      <c r="B321" s="383"/>
      <c r="C321" s="176">
        <f t="shared" si="77"/>
        <v>318</v>
      </c>
      <c r="D321" s="90">
        <v>45716</v>
      </c>
      <c r="E321" s="90">
        <v>45718</v>
      </c>
      <c r="F321" s="68" t="s">
        <v>204</v>
      </c>
      <c r="G321" s="379" t="str">
        <f ca="1">IF(AND(E321&lt;&gt;"",E321&lt;TODAY()),"Disponible",IFERROR(INDEX(Vehiculos[Estado Vehiculo],MATCH(F321,Vehiculos[Placa Vehiculo],0)),""))</f>
        <v>Disponible</v>
      </c>
      <c r="H321" s="89" t="s">
        <v>242</v>
      </c>
      <c r="I321" s="89" t="s">
        <v>273</v>
      </c>
      <c r="J321" s="89" t="s">
        <v>282</v>
      </c>
      <c r="K321" s="380">
        <v>23160</v>
      </c>
      <c r="L321" s="380">
        <v>23560</v>
      </c>
      <c r="M321" s="381">
        <f t="shared" si="94"/>
        <v>400</v>
      </c>
      <c r="N321" s="381"/>
      <c r="O321" s="380"/>
      <c r="P321" s="92"/>
      <c r="Q321" s="382">
        <f t="shared" si="95"/>
        <v>0</v>
      </c>
      <c r="R321" s="89" t="s">
        <v>273</v>
      </c>
      <c r="S321" s="89" t="s">
        <v>102</v>
      </c>
      <c r="T321" s="92">
        <v>1.8</v>
      </c>
      <c r="U321" s="266">
        <f>Rutas[[#This Row],[Precio x Galón ($/gal)]]*Rutas[[#This Row],[Volumen de Combustible (gal)]]</f>
        <v>243.34200000000001</v>
      </c>
      <c r="V321" s="92"/>
      <c r="W321" s="92"/>
      <c r="X321" s="92"/>
      <c r="Y321" s="382">
        <f t="shared" si="96"/>
        <v>243.34200000000001</v>
      </c>
      <c r="Z321" s="567"/>
      <c r="AA321" s="382">
        <v>135.19</v>
      </c>
      <c r="AB321" s="382">
        <f t="shared" si="97"/>
        <v>2.9587987277165473</v>
      </c>
      <c r="AC321" s="382">
        <f t="shared" si="98"/>
        <v>0</v>
      </c>
      <c r="AD321" s="89"/>
    </row>
    <row r="322" spans="1:30" ht="16" x14ac:dyDescent="0.2">
      <c r="A322" s="47"/>
      <c r="B322" s="383"/>
      <c r="C322" s="176">
        <f t="shared" si="77"/>
        <v>319</v>
      </c>
      <c r="D322" s="146">
        <f>E321</f>
        <v>45718</v>
      </c>
      <c r="E322" s="37">
        <v>45722</v>
      </c>
      <c r="F322" s="65" t="s">
        <v>204</v>
      </c>
      <c r="G322" s="11" t="str">
        <f ca="1">IF(AND(E322&lt;&gt;"",E322&lt;TODAY()),"Disponible",IFERROR(INDEX(Vehiculos[Estado Vehiculo],MATCH(F322,Vehiculos[Placa Vehiculo],0)),""))</f>
        <v>Disponible</v>
      </c>
      <c r="H322" s="34" t="s">
        <v>247</v>
      </c>
      <c r="I322" s="34" t="s">
        <v>273</v>
      </c>
      <c r="J322" s="34" t="s">
        <v>282</v>
      </c>
      <c r="K322" s="39">
        <v>23560</v>
      </c>
      <c r="L322" s="39">
        <v>23600</v>
      </c>
      <c r="M322" s="15">
        <f t="shared" si="94"/>
        <v>40</v>
      </c>
      <c r="N322" s="15"/>
      <c r="O322" s="39"/>
      <c r="P322" s="36"/>
      <c r="Q322" s="16">
        <f t="shared" si="95"/>
        <v>0</v>
      </c>
      <c r="R322" s="34" t="s">
        <v>273</v>
      </c>
      <c r="S322" s="34" t="s">
        <v>102</v>
      </c>
      <c r="T322" s="36">
        <v>1.8</v>
      </c>
      <c r="U322" s="167">
        <f>Rutas[[#This Row],[Precio x Galón ($/gal)]]*Rutas[[#This Row],[Volumen de Combustible (gal)]]</f>
        <v>192.18600000000001</v>
      </c>
      <c r="V322" s="36"/>
      <c r="W322" s="36"/>
      <c r="X322" s="36"/>
      <c r="Y322" s="145">
        <f t="shared" si="96"/>
        <v>192.18600000000001</v>
      </c>
      <c r="Z322" s="567"/>
      <c r="AA322" s="12">
        <v>106.77</v>
      </c>
      <c r="AB322" s="12">
        <f t="shared" si="97"/>
        <v>0.37463707033810995</v>
      </c>
      <c r="AC322" s="12">
        <f t="shared" si="98"/>
        <v>0</v>
      </c>
      <c r="AD322" s="34"/>
    </row>
    <row r="323" spans="1:30" ht="16" x14ac:dyDescent="0.2">
      <c r="A323" s="47"/>
      <c r="B323" s="383"/>
      <c r="C323" s="176">
        <f t="shared" si="77"/>
        <v>320</v>
      </c>
      <c r="D323" s="146">
        <f>E322</f>
        <v>45722</v>
      </c>
      <c r="E323" s="37">
        <v>45723</v>
      </c>
      <c r="F323" s="65" t="s">
        <v>204</v>
      </c>
      <c r="G323" s="11" t="str">
        <f ca="1">IF(AND(E323&lt;&gt;"",E323&lt;TODAY()),"Disponible",IFERROR(INDEX(Vehiculos[Estado Vehiculo],MATCH(F323,Vehiculos[Placa Vehiculo],0)),""))</f>
        <v>Disponible</v>
      </c>
      <c r="H323" s="34" t="s">
        <v>242</v>
      </c>
      <c r="I323" s="34" t="s">
        <v>273</v>
      </c>
      <c r="J323" s="34" t="s">
        <v>282</v>
      </c>
      <c r="K323" s="39">
        <v>23600</v>
      </c>
      <c r="L323" s="39">
        <v>23780</v>
      </c>
      <c r="M323" s="15">
        <f t="shared" si="94"/>
        <v>180</v>
      </c>
      <c r="N323" s="15"/>
      <c r="O323" s="39"/>
      <c r="P323" s="36"/>
      <c r="Q323" s="16">
        <f t="shared" si="95"/>
        <v>0</v>
      </c>
      <c r="R323" s="34" t="s">
        <v>273</v>
      </c>
      <c r="S323" s="34" t="s">
        <v>102</v>
      </c>
      <c r="T323" s="36">
        <v>1.8</v>
      </c>
      <c r="U323" s="167">
        <f>Rutas[[#This Row],[Precio x Galón ($/gal)]]*Rutas[[#This Row],[Volumen de Combustible (gal)]]</f>
        <v>246.32999999999998</v>
      </c>
      <c r="V323" s="36"/>
      <c r="W323" s="36"/>
      <c r="X323" s="36"/>
      <c r="Y323" s="145">
        <f t="shared" si="96"/>
        <v>246.32999999999998</v>
      </c>
      <c r="Z323" s="567"/>
      <c r="AA323" s="12">
        <v>136.85</v>
      </c>
      <c r="AB323" s="12">
        <f t="shared" si="97"/>
        <v>1.3153087321885277</v>
      </c>
      <c r="AC323" s="12">
        <f t="shared" si="98"/>
        <v>0</v>
      </c>
      <c r="AD323" s="34"/>
    </row>
    <row r="324" spans="1:30" ht="16" x14ac:dyDescent="0.2">
      <c r="A324" s="47"/>
      <c r="B324" s="383"/>
      <c r="C324" s="176">
        <f t="shared" ref="C324:C387" si="99">ROW(A321)</f>
        <v>321</v>
      </c>
      <c r="D324" s="146">
        <f>E323</f>
        <v>45723</v>
      </c>
      <c r="E324" s="37">
        <v>45733</v>
      </c>
      <c r="F324" s="65" t="s">
        <v>204</v>
      </c>
      <c r="G324" s="11" t="str">
        <f ca="1">IF(AND(E324&lt;&gt;"",E324&lt;TODAY()),"Disponible",IFERROR(INDEX(Vehiculos[Estado Vehiculo],MATCH(F324,Vehiculos[Placa Vehiculo],0)),""))</f>
        <v>Disponible</v>
      </c>
      <c r="H324" s="34" t="s">
        <v>242</v>
      </c>
      <c r="I324" s="34" t="s">
        <v>273</v>
      </c>
      <c r="J324" s="34" t="s">
        <v>282</v>
      </c>
      <c r="K324" s="39">
        <v>23780</v>
      </c>
      <c r="L324" s="39">
        <v>24295</v>
      </c>
      <c r="M324" s="15">
        <f t="shared" si="94"/>
        <v>515</v>
      </c>
      <c r="N324" s="15"/>
      <c r="O324" s="39"/>
      <c r="P324" s="36"/>
      <c r="Q324" s="16">
        <f t="shared" si="95"/>
        <v>0</v>
      </c>
      <c r="R324" s="34" t="s">
        <v>273</v>
      </c>
      <c r="S324" s="34" t="s">
        <v>102</v>
      </c>
      <c r="T324" s="36">
        <v>1.8</v>
      </c>
      <c r="U324" s="167">
        <f>Rutas[[#This Row],[Precio x Galón ($/gal)]]*Rutas[[#This Row],[Volumen de Combustible (gal)]]</f>
        <v>192.02400000000003</v>
      </c>
      <c r="V324" s="36"/>
      <c r="W324" s="36"/>
      <c r="X324" s="36"/>
      <c r="Y324" s="145">
        <f t="shared" si="96"/>
        <v>192.02400000000003</v>
      </c>
      <c r="Z324" s="567"/>
      <c r="AA324" s="12">
        <v>106.68</v>
      </c>
      <c r="AB324" s="12">
        <f t="shared" si="97"/>
        <v>4.8275215598050236</v>
      </c>
      <c r="AC324" s="12">
        <f t="shared" si="98"/>
        <v>0</v>
      </c>
      <c r="AD324" s="34"/>
    </row>
    <row r="325" spans="1:30" ht="16" x14ac:dyDescent="0.2">
      <c r="A325" s="47"/>
      <c r="B325" s="383"/>
      <c r="C325" s="176">
        <f t="shared" si="99"/>
        <v>322</v>
      </c>
      <c r="D325" s="146">
        <f>E324</f>
        <v>45733</v>
      </c>
      <c r="E325" s="37">
        <v>45739</v>
      </c>
      <c r="F325" s="65" t="s">
        <v>204</v>
      </c>
      <c r="G325" s="11" t="str">
        <f ca="1">IF(AND(E325&lt;&gt;"",E325&lt;TODAY()),"Disponible",IFERROR(INDEX(Vehiculos[Estado Vehiculo],MATCH(F325,Vehiculos[Placa Vehiculo],0)),""))</f>
        <v>Disponible</v>
      </c>
      <c r="H325" s="34" t="s">
        <v>247</v>
      </c>
      <c r="I325" s="34" t="s">
        <v>273</v>
      </c>
      <c r="J325" s="34" t="s">
        <v>282</v>
      </c>
      <c r="K325" s="39">
        <v>24295</v>
      </c>
      <c r="L325" s="39">
        <v>24700</v>
      </c>
      <c r="M325" s="15">
        <f t="shared" si="94"/>
        <v>405</v>
      </c>
      <c r="N325" s="15"/>
      <c r="O325" s="39"/>
      <c r="P325" s="36"/>
      <c r="Q325" s="16">
        <f t="shared" si="95"/>
        <v>0</v>
      </c>
      <c r="R325" s="34" t="s">
        <v>273</v>
      </c>
      <c r="S325" s="34" t="s">
        <v>102</v>
      </c>
      <c r="T325" s="36">
        <v>1.8</v>
      </c>
      <c r="U325" s="167">
        <f>Rutas[[#This Row],[Precio x Galón ($/gal)]]*Rutas[[#This Row],[Volumen de Combustible (gal)]]</f>
        <v>160.03800000000001</v>
      </c>
      <c r="V325" s="36"/>
      <c r="W325" s="36"/>
      <c r="X325" s="36"/>
      <c r="Y325" s="145">
        <f t="shared" si="96"/>
        <v>160.03800000000001</v>
      </c>
      <c r="Z325" s="567"/>
      <c r="AA325" s="12">
        <v>88.91</v>
      </c>
      <c r="AB325" s="12">
        <f t="shared" si="97"/>
        <v>4.5551681475649533</v>
      </c>
      <c r="AC325" s="12">
        <f t="shared" si="98"/>
        <v>0</v>
      </c>
      <c r="AD325" s="34"/>
    </row>
    <row r="326" spans="1:30" ht="16" x14ac:dyDescent="0.2">
      <c r="A326" s="47"/>
      <c r="B326" s="383"/>
      <c r="C326" s="176">
        <f t="shared" si="99"/>
        <v>323</v>
      </c>
      <c r="D326" s="146">
        <f>E325</f>
        <v>45739</v>
      </c>
      <c r="E326" s="37">
        <v>45746</v>
      </c>
      <c r="F326" s="65" t="s">
        <v>204</v>
      </c>
      <c r="G326" s="11" t="str">
        <f ca="1">IF(AND(E326&lt;&gt;"",E326&lt;TODAY()),"Disponible",IFERROR(INDEX(Vehiculos[Estado Vehiculo],MATCH(F326,Vehiculos[Placa Vehiculo],0)),""))</f>
        <v>Disponible</v>
      </c>
      <c r="H326" s="34" t="s">
        <v>247</v>
      </c>
      <c r="I326" s="34" t="s">
        <v>273</v>
      </c>
      <c r="J326" s="34" t="s">
        <v>282</v>
      </c>
      <c r="K326" s="39">
        <v>24700</v>
      </c>
      <c r="L326" s="39">
        <v>24797</v>
      </c>
      <c r="M326" s="15">
        <f t="shared" si="94"/>
        <v>97</v>
      </c>
      <c r="N326" s="451">
        <v>217</v>
      </c>
      <c r="O326" s="39"/>
      <c r="P326" s="36"/>
      <c r="Q326" s="16">
        <f t="shared" si="95"/>
        <v>0</v>
      </c>
      <c r="R326" s="34" t="s">
        <v>273</v>
      </c>
      <c r="S326" s="34" t="s">
        <v>102</v>
      </c>
      <c r="T326" s="36">
        <v>1.8</v>
      </c>
      <c r="U326" s="167">
        <f>Rutas[[#This Row],[Precio x Galón ($/gal)]]*Rutas[[#This Row],[Volumen de Combustible (gal)]]</f>
        <v>170.38800000000001</v>
      </c>
      <c r="V326" s="36"/>
      <c r="W326" s="36"/>
      <c r="X326" s="36"/>
      <c r="Y326" s="145">
        <f t="shared" si="96"/>
        <v>170.38800000000001</v>
      </c>
      <c r="Z326" s="567"/>
      <c r="AA326" s="12">
        <v>94.66</v>
      </c>
      <c r="AB326" s="12">
        <f t="shared" si="97"/>
        <v>1.0247200507077963</v>
      </c>
      <c r="AC326" s="12">
        <f t="shared" si="98"/>
        <v>0</v>
      </c>
      <c r="AD326" s="34"/>
    </row>
    <row r="327" spans="1:30" ht="16" x14ac:dyDescent="0.2">
      <c r="A327" s="47"/>
      <c r="B327" s="383"/>
      <c r="C327" s="176">
        <f t="shared" si="99"/>
        <v>324</v>
      </c>
      <c r="D327" s="437"/>
      <c r="E327" s="438"/>
      <c r="F327" s="450"/>
      <c r="G327" s="440" t="str">
        <f ca="1">IF(AND(E327&lt;&gt;"",E327&lt;TODAY()),"Disponible",IFERROR(INDEX(Vehiculos[Estado Vehiculo],MATCH(F327,Vehiculos[Placa Vehiculo],0)),""))</f>
        <v/>
      </c>
      <c r="H327" s="441"/>
      <c r="I327" s="441"/>
      <c r="J327" s="441"/>
      <c r="K327" s="442"/>
      <c r="L327" s="442"/>
      <c r="M327" s="443">
        <f t="shared" ref="M327:M338" si="100">L327-K327</f>
        <v>0</v>
      </c>
      <c r="N327" s="443"/>
      <c r="O327" s="442"/>
      <c r="P327" s="444"/>
      <c r="Q327" s="445">
        <f t="shared" ref="Q327:Q338" si="101">M327*P327</f>
        <v>0</v>
      </c>
      <c r="R327" s="441"/>
      <c r="S327" s="441"/>
      <c r="T327" s="444"/>
      <c r="U327" s="444">
        <f>Rutas[[#This Row],[Precio x Galón ($/gal)]]*Rutas[[#This Row],[Volumen de Combustible (gal)]]</f>
        <v>0</v>
      </c>
      <c r="V327" s="444"/>
      <c r="W327" s="444"/>
      <c r="X327" s="444"/>
      <c r="Y327" s="447">
        <f t="shared" ref="Y327:Y338" si="102">U327+SUM(V327:X327)</f>
        <v>0</v>
      </c>
      <c r="Z327" s="570"/>
      <c r="AA327" s="448"/>
      <c r="AB327" s="448">
        <f t="shared" ref="AB327:AB338" si="103">IFERROR(M327/AA327,0)</f>
        <v>0</v>
      </c>
      <c r="AC327" s="448">
        <f t="shared" ref="AC327:AC338" si="104">IFERROR(Q327/M327,0)</f>
        <v>0</v>
      </c>
      <c r="AD327" s="441"/>
    </row>
    <row r="328" spans="1:30" ht="16" x14ac:dyDescent="0.2">
      <c r="A328" s="47"/>
      <c r="B328" s="383"/>
      <c r="C328" s="176">
        <f t="shared" si="99"/>
        <v>325</v>
      </c>
      <c r="D328" s="90">
        <v>45717</v>
      </c>
      <c r="E328" s="90">
        <v>45718</v>
      </c>
      <c r="F328" s="68" t="s">
        <v>212</v>
      </c>
      <c r="G328" s="379" t="str">
        <f ca="1">IF(AND(E328&lt;&gt;"",E328&lt;TODAY()),"Disponible",IFERROR(INDEX(Vehiculos[Estado Vehiculo],MATCH(F328,Vehiculos[Placa Vehiculo],0)),""))</f>
        <v>Disponible</v>
      </c>
      <c r="H328" s="89" t="s">
        <v>242</v>
      </c>
      <c r="I328" s="89" t="s">
        <v>273</v>
      </c>
      <c r="J328" s="89" t="s">
        <v>282</v>
      </c>
      <c r="K328" s="380">
        <v>254200</v>
      </c>
      <c r="L328" s="380">
        <v>254850</v>
      </c>
      <c r="M328" s="381">
        <f t="shared" si="100"/>
        <v>650</v>
      </c>
      <c r="N328" s="381"/>
      <c r="O328" s="380"/>
      <c r="P328" s="92"/>
      <c r="Q328" s="382">
        <f t="shared" si="101"/>
        <v>0</v>
      </c>
      <c r="R328" s="89" t="s">
        <v>273</v>
      </c>
      <c r="S328" s="89" t="s">
        <v>102</v>
      </c>
      <c r="T328" s="92">
        <v>1.8</v>
      </c>
      <c r="U328" s="266">
        <f>Rutas[[#This Row],[Precio x Galón ($/gal)]]*Rutas[[#This Row],[Volumen de Combustible (gal)]]</f>
        <v>243.34200000000001</v>
      </c>
      <c r="V328" s="92"/>
      <c r="W328" s="92"/>
      <c r="X328" s="92"/>
      <c r="Y328" s="382">
        <f t="shared" si="102"/>
        <v>243.34200000000001</v>
      </c>
      <c r="Z328" s="567"/>
      <c r="AA328" s="382">
        <v>135.19</v>
      </c>
      <c r="AB328" s="382">
        <f t="shared" si="103"/>
        <v>4.808047932539389</v>
      </c>
      <c r="AC328" s="382">
        <f t="shared" si="104"/>
        <v>0</v>
      </c>
      <c r="AD328" s="89"/>
    </row>
    <row r="329" spans="1:30" ht="16" x14ac:dyDescent="0.2">
      <c r="A329" s="47"/>
      <c r="B329" s="383"/>
      <c r="C329" s="176">
        <f t="shared" si="99"/>
        <v>326</v>
      </c>
      <c r="D329" s="146">
        <f>E328</f>
        <v>45718</v>
      </c>
      <c r="E329" s="37">
        <v>45723</v>
      </c>
      <c r="F329" s="65" t="s">
        <v>212</v>
      </c>
      <c r="G329" s="11" t="str">
        <f ca="1">IF(AND(E329&lt;&gt;"",E329&lt;TODAY()),"Disponible",IFERROR(INDEX(Vehiculos[Estado Vehiculo],MATCH(F329,Vehiculos[Placa Vehiculo],0)),""))</f>
        <v>Disponible</v>
      </c>
      <c r="H329" s="34" t="s">
        <v>242</v>
      </c>
      <c r="I329" s="34" t="s">
        <v>273</v>
      </c>
      <c r="J329" s="34" t="s">
        <v>282</v>
      </c>
      <c r="K329" s="39">
        <v>254850</v>
      </c>
      <c r="L329" s="39">
        <v>255198</v>
      </c>
      <c r="M329" s="15">
        <f t="shared" si="100"/>
        <v>348</v>
      </c>
      <c r="N329" s="15"/>
      <c r="O329" s="39"/>
      <c r="P329" s="36"/>
      <c r="Q329" s="16">
        <f t="shared" si="101"/>
        <v>0</v>
      </c>
      <c r="R329" s="34" t="s">
        <v>273</v>
      </c>
      <c r="S329" s="34" t="s">
        <v>102</v>
      </c>
      <c r="T329" s="36">
        <v>1.8</v>
      </c>
      <c r="U329" s="167">
        <f>Rutas[[#This Row],[Precio x Galón ($/gal)]]*Rutas[[#This Row],[Volumen de Combustible (gal)]]</f>
        <v>246.32999999999998</v>
      </c>
      <c r="V329" s="36"/>
      <c r="W329" s="36"/>
      <c r="X329" s="36"/>
      <c r="Y329" s="145">
        <f t="shared" si="102"/>
        <v>246.32999999999998</v>
      </c>
      <c r="Z329" s="567"/>
      <c r="AA329" s="12">
        <v>136.85</v>
      </c>
      <c r="AB329" s="12">
        <f t="shared" si="103"/>
        <v>2.5429302155644868</v>
      </c>
      <c r="AC329" s="12">
        <f t="shared" si="104"/>
        <v>0</v>
      </c>
      <c r="AD329" s="34"/>
    </row>
    <row r="330" spans="1:30" ht="16" x14ac:dyDescent="0.2">
      <c r="A330" s="47"/>
      <c r="B330" s="383"/>
      <c r="C330" s="176">
        <f t="shared" si="99"/>
        <v>327</v>
      </c>
      <c r="D330" s="146">
        <f>E329</f>
        <v>45723</v>
      </c>
      <c r="E330" s="37">
        <v>45739</v>
      </c>
      <c r="F330" s="65" t="s">
        <v>212</v>
      </c>
      <c r="G330" s="11" t="str">
        <f ca="1">IF(AND(E330&lt;&gt;"",E330&lt;TODAY()),"Disponible",IFERROR(INDEX(Vehiculos[Estado Vehiculo],MATCH(F330,Vehiculos[Placa Vehiculo],0)),""))</f>
        <v>Disponible</v>
      </c>
      <c r="H330" s="34" t="s">
        <v>247</v>
      </c>
      <c r="I330" s="34" t="s">
        <v>273</v>
      </c>
      <c r="J330" s="34" t="s">
        <v>282</v>
      </c>
      <c r="K330" s="39">
        <v>255198</v>
      </c>
      <c r="L330" s="39">
        <v>255674</v>
      </c>
      <c r="M330" s="15">
        <f t="shared" si="100"/>
        <v>476</v>
      </c>
      <c r="N330" s="15"/>
      <c r="O330" s="39"/>
      <c r="P330" s="36"/>
      <c r="Q330" s="16">
        <f t="shared" si="101"/>
        <v>0</v>
      </c>
      <c r="R330" s="34" t="s">
        <v>273</v>
      </c>
      <c r="S330" s="34" t="s">
        <v>102</v>
      </c>
      <c r="T330" s="36">
        <v>1.8</v>
      </c>
      <c r="U330" s="167">
        <f>Rutas[[#This Row],[Precio x Galón ($/gal)]]*Rutas[[#This Row],[Volumen de Combustible (gal)]]</f>
        <v>160.03800000000001</v>
      </c>
      <c r="V330" s="36"/>
      <c r="W330" s="36"/>
      <c r="X330" s="36"/>
      <c r="Y330" s="145">
        <f t="shared" si="102"/>
        <v>160.03800000000001</v>
      </c>
      <c r="Z330" s="567"/>
      <c r="AA330" s="12">
        <v>88.91</v>
      </c>
      <c r="AB330" s="12">
        <f t="shared" si="103"/>
        <v>5.353728489483748</v>
      </c>
      <c r="AC330" s="12">
        <f t="shared" si="104"/>
        <v>0</v>
      </c>
      <c r="AD330" s="34"/>
    </row>
    <row r="331" spans="1:30" ht="16" x14ac:dyDescent="0.2">
      <c r="A331" s="47"/>
      <c r="B331" s="383"/>
      <c r="C331" s="176">
        <f t="shared" si="99"/>
        <v>328</v>
      </c>
      <c r="D331" s="146">
        <f>E330</f>
        <v>45739</v>
      </c>
      <c r="E331" s="37">
        <v>45746</v>
      </c>
      <c r="F331" s="65" t="s">
        <v>212</v>
      </c>
      <c r="G331" s="11" t="str">
        <f ca="1">IF(AND(E331&lt;&gt;"",E331&lt;TODAY()),"Disponible",IFERROR(INDEX(Vehiculos[Estado Vehiculo],MATCH(F331,Vehiculos[Placa Vehiculo],0)),""))</f>
        <v>Disponible</v>
      </c>
      <c r="H331" s="34" t="s">
        <v>247</v>
      </c>
      <c r="I331" s="34" t="s">
        <v>273</v>
      </c>
      <c r="J331" s="34" t="s">
        <v>282</v>
      </c>
      <c r="K331" s="39">
        <v>255674</v>
      </c>
      <c r="L331" s="39">
        <v>256407</v>
      </c>
      <c r="M331" s="15">
        <f t="shared" si="100"/>
        <v>733</v>
      </c>
      <c r="N331" s="451">
        <v>124</v>
      </c>
      <c r="O331" s="39"/>
      <c r="P331" s="36"/>
      <c r="Q331" s="16">
        <f t="shared" si="101"/>
        <v>0</v>
      </c>
      <c r="R331" s="34" t="s">
        <v>273</v>
      </c>
      <c r="S331" s="34" t="s">
        <v>102</v>
      </c>
      <c r="T331" s="36">
        <v>1.8</v>
      </c>
      <c r="U331" s="167">
        <f>Rutas[[#This Row],[Precio x Galón ($/gal)]]*Rutas[[#This Row],[Volumen de Combustible (gal)]]</f>
        <v>170.38800000000001</v>
      </c>
      <c r="V331" s="36"/>
      <c r="W331" s="36"/>
      <c r="X331" s="36"/>
      <c r="Y331" s="145">
        <f t="shared" si="102"/>
        <v>170.38800000000001</v>
      </c>
      <c r="Z331" s="567"/>
      <c r="AA331" s="12">
        <v>94.66</v>
      </c>
      <c r="AB331" s="12">
        <f t="shared" si="103"/>
        <v>7.7435030635960285</v>
      </c>
      <c r="AC331" s="12">
        <f t="shared" si="104"/>
        <v>0</v>
      </c>
      <c r="AD331" s="34"/>
    </row>
    <row r="332" spans="1:30" ht="16" x14ac:dyDescent="0.2">
      <c r="A332" s="47"/>
      <c r="B332" s="383"/>
      <c r="C332" s="176">
        <f t="shared" si="99"/>
        <v>329</v>
      </c>
      <c r="D332" s="437"/>
      <c r="E332" s="438"/>
      <c r="F332" s="450"/>
      <c r="G332" s="440" t="str">
        <f ca="1">IF(AND(E332&lt;&gt;"",E332&lt;TODAY()),"Disponible",IFERROR(INDEX(Vehiculos[Estado Vehiculo],MATCH(F332,Vehiculos[Placa Vehiculo],0)),""))</f>
        <v/>
      </c>
      <c r="H332" s="441"/>
      <c r="I332" s="441"/>
      <c r="J332" s="441"/>
      <c r="K332" s="442"/>
      <c r="L332" s="442"/>
      <c r="M332" s="443">
        <f t="shared" si="100"/>
        <v>0</v>
      </c>
      <c r="N332" s="443"/>
      <c r="O332" s="442"/>
      <c r="P332" s="444"/>
      <c r="Q332" s="445">
        <f t="shared" si="101"/>
        <v>0</v>
      </c>
      <c r="R332" s="441"/>
      <c r="S332" s="441"/>
      <c r="T332" s="444"/>
      <c r="U332" s="444"/>
      <c r="V332" s="444"/>
      <c r="W332" s="444"/>
      <c r="X332" s="444"/>
      <c r="Y332" s="447">
        <f t="shared" si="102"/>
        <v>0</v>
      </c>
      <c r="Z332" s="570"/>
      <c r="AA332" s="448"/>
      <c r="AB332" s="448">
        <f t="shared" si="103"/>
        <v>0</v>
      </c>
      <c r="AC332" s="448">
        <f t="shared" si="104"/>
        <v>0</v>
      </c>
      <c r="AD332" s="441"/>
    </row>
    <row r="333" spans="1:30" ht="16" x14ac:dyDescent="0.2">
      <c r="A333" s="47"/>
      <c r="B333" s="383"/>
      <c r="C333" s="176">
        <f t="shared" si="99"/>
        <v>330</v>
      </c>
      <c r="D333" s="90">
        <v>45717</v>
      </c>
      <c r="E333" s="90">
        <v>45726</v>
      </c>
      <c r="F333" s="68" t="s">
        <v>211</v>
      </c>
      <c r="G333" s="379" t="str">
        <f ca="1">IF(AND(E333&lt;&gt;"",E333&lt;TODAY()),"Disponible",IFERROR(INDEX(Vehiculos[Estado Vehiculo],MATCH(F333,Vehiculos[Placa Vehiculo],0)),""))</f>
        <v>Disponible</v>
      </c>
      <c r="H333" s="89" t="s">
        <v>242</v>
      </c>
      <c r="I333" s="89" t="s">
        <v>273</v>
      </c>
      <c r="J333" s="89" t="s">
        <v>282</v>
      </c>
      <c r="K333" s="380">
        <v>31313</v>
      </c>
      <c r="L333" s="380">
        <v>32217</v>
      </c>
      <c r="M333" s="381">
        <f t="shared" si="100"/>
        <v>904</v>
      </c>
      <c r="N333" s="381"/>
      <c r="O333" s="380"/>
      <c r="P333" s="92"/>
      <c r="Q333" s="382">
        <f t="shared" si="101"/>
        <v>0</v>
      </c>
      <c r="R333" s="89" t="s">
        <v>273</v>
      </c>
      <c r="S333" s="89" t="s">
        <v>102</v>
      </c>
      <c r="T333" s="92">
        <v>1.8</v>
      </c>
      <c r="U333" s="266">
        <f>Rutas[[#This Row],[Precio x Galón ($/gal)]]*Rutas[[#This Row],[Volumen de Combustible (gal)]]</f>
        <v>203.81400000000002</v>
      </c>
      <c r="V333" s="92"/>
      <c r="W333" s="92"/>
      <c r="X333" s="92"/>
      <c r="Y333" s="382">
        <f t="shared" si="102"/>
        <v>203.81400000000002</v>
      </c>
      <c r="Z333" s="567"/>
      <c r="AA333" s="382">
        <v>113.23</v>
      </c>
      <c r="AB333" s="382">
        <f t="shared" si="103"/>
        <v>7.9837498896052281</v>
      </c>
      <c r="AC333" s="382">
        <f t="shared" si="104"/>
        <v>0</v>
      </c>
      <c r="AD333" s="89"/>
    </row>
    <row r="334" spans="1:30" ht="16" x14ac:dyDescent="0.2">
      <c r="A334" s="47"/>
      <c r="B334" s="383"/>
      <c r="C334" s="176">
        <f t="shared" si="99"/>
        <v>331</v>
      </c>
      <c r="D334" s="146">
        <v>45726</v>
      </c>
      <c r="E334" s="37">
        <v>45733</v>
      </c>
      <c r="F334" s="65" t="s">
        <v>211</v>
      </c>
      <c r="G334" s="11" t="str">
        <f ca="1">IF(AND(E334&lt;&gt;"",E334&lt;TODAY()),"Disponible",IFERROR(INDEX(Vehiculos[Estado Vehiculo],MATCH(F334,Vehiculos[Placa Vehiculo],0)),""))</f>
        <v>Disponible</v>
      </c>
      <c r="H334" s="34" t="s">
        <v>237</v>
      </c>
      <c r="I334" s="34" t="s">
        <v>273</v>
      </c>
      <c r="J334" s="34" t="s">
        <v>282</v>
      </c>
      <c r="K334" s="39">
        <v>32217</v>
      </c>
      <c r="L334" s="39">
        <v>32623</v>
      </c>
      <c r="M334" s="15">
        <f t="shared" si="100"/>
        <v>406</v>
      </c>
      <c r="N334" s="451">
        <v>173</v>
      </c>
      <c r="O334" s="39"/>
      <c r="P334" s="36"/>
      <c r="Q334" s="16">
        <f t="shared" si="101"/>
        <v>0</v>
      </c>
      <c r="R334" s="34" t="s">
        <v>273</v>
      </c>
      <c r="S334" s="34" t="s">
        <v>102</v>
      </c>
      <c r="T334" s="36">
        <v>1.8</v>
      </c>
      <c r="U334" s="167">
        <f>Rutas[[#This Row],[Precio x Galón ($/gal)]]*Rutas[[#This Row],[Volumen de Combustible (gal)]]</f>
        <v>254.95199999999997</v>
      </c>
      <c r="V334" s="36"/>
      <c r="W334" s="36"/>
      <c r="X334" s="36"/>
      <c r="Y334" s="145">
        <f t="shared" si="102"/>
        <v>254.95199999999997</v>
      </c>
      <c r="Z334" s="567"/>
      <c r="AA334" s="12">
        <v>141.63999999999999</v>
      </c>
      <c r="AB334" s="12">
        <f t="shared" si="103"/>
        <v>2.8664219147133583</v>
      </c>
      <c r="AC334" s="12">
        <f t="shared" si="104"/>
        <v>0</v>
      </c>
      <c r="AD334" s="34"/>
    </row>
    <row r="335" spans="1:30" ht="16" x14ac:dyDescent="0.2">
      <c r="A335" s="47"/>
      <c r="B335" s="383"/>
      <c r="C335" s="176">
        <f t="shared" si="99"/>
        <v>332</v>
      </c>
      <c r="D335" s="437"/>
      <c r="E335" s="438"/>
      <c r="F335" s="450"/>
      <c r="G335" s="440" t="str">
        <f ca="1">IF(AND(E335&lt;&gt;"",E335&lt;TODAY()),"Disponible",IFERROR(INDEX(Vehiculos[Estado Vehiculo],MATCH(F335,Vehiculos[Placa Vehiculo],0)),""))</f>
        <v/>
      </c>
      <c r="H335" s="441"/>
      <c r="I335" s="441"/>
      <c r="J335" s="441"/>
      <c r="K335" s="442"/>
      <c r="L335" s="442"/>
      <c r="M335" s="443">
        <f t="shared" si="100"/>
        <v>0</v>
      </c>
      <c r="N335" s="443"/>
      <c r="O335" s="442"/>
      <c r="P335" s="444"/>
      <c r="Q335" s="445">
        <f t="shared" si="101"/>
        <v>0</v>
      </c>
      <c r="R335" s="441"/>
      <c r="S335" s="441"/>
      <c r="T335" s="444"/>
      <c r="U335" s="444"/>
      <c r="V335" s="444"/>
      <c r="W335" s="444"/>
      <c r="X335" s="444"/>
      <c r="Y335" s="447">
        <f t="shared" si="102"/>
        <v>0</v>
      </c>
      <c r="Z335" s="570"/>
      <c r="AA335" s="448"/>
      <c r="AB335" s="448">
        <f t="shared" si="103"/>
        <v>0</v>
      </c>
      <c r="AC335" s="448">
        <f t="shared" si="104"/>
        <v>0</v>
      </c>
      <c r="AD335" s="441"/>
    </row>
    <row r="336" spans="1:30" ht="16" x14ac:dyDescent="0.2">
      <c r="A336" s="47"/>
      <c r="B336" s="383"/>
      <c r="C336" s="176">
        <f t="shared" si="99"/>
        <v>333</v>
      </c>
      <c r="D336" s="90">
        <v>45717</v>
      </c>
      <c r="E336" s="90">
        <v>45730</v>
      </c>
      <c r="F336" s="68" t="s">
        <v>207</v>
      </c>
      <c r="G336" s="379" t="str">
        <f ca="1">IF(AND(E336&lt;&gt;"",E336&lt;TODAY()),"Disponible",IFERROR(INDEX(Vehiculos[Estado Vehiculo],MATCH(F336,Vehiculos[Placa Vehiculo],0)),""))</f>
        <v>Disponible</v>
      </c>
      <c r="H336" s="89" t="s">
        <v>235</v>
      </c>
      <c r="I336" s="89" t="s">
        <v>273</v>
      </c>
      <c r="J336" s="89" t="s">
        <v>282</v>
      </c>
      <c r="K336" s="380">
        <v>41815</v>
      </c>
      <c r="L336" s="380">
        <v>42761</v>
      </c>
      <c r="M336" s="381">
        <f t="shared" si="100"/>
        <v>946</v>
      </c>
      <c r="N336" s="381"/>
      <c r="O336" s="380"/>
      <c r="P336" s="92"/>
      <c r="Q336" s="382">
        <f t="shared" si="101"/>
        <v>0</v>
      </c>
      <c r="R336" s="89" t="s">
        <v>273</v>
      </c>
      <c r="S336" s="89" t="s">
        <v>102</v>
      </c>
      <c r="T336" s="92">
        <v>1.8</v>
      </c>
      <c r="U336" s="266">
        <f>Rutas[[#This Row],[Precio x Galón ($/gal)]]*Rutas[[#This Row],[Volumen de Combustible (gal)]]</f>
        <v>211.98599999999999</v>
      </c>
      <c r="V336" s="92"/>
      <c r="W336" s="92"/>
      <c r="X336" s="92"/>
      <c r="Y336" s="382">
        <f t="shared" si="102"/>
        <v>211.98599999999999</v>
      </c>
      <c r="Z336" s="567"/>
      <c r="AA336" s="382">
        <v>117.77</v>
      </c>
      <c r="AB336" s="382">
        <f t="shared" si="103"/>
        <v>8.0326059268064878</v>
      </c>
      <c r="AC336" s="382">
        <f t="shared" si="104"/>
        <v>0</v>
      </c>
      <c r="AD336" s="89"/>
    </row>
    <row r="337" spans="1:30" ht="16" x14ac:dyDescent="0.2">
      <c r="A337" s="47"/>
      <c r="B337" s="383"/>
      <c r="C337" s="176">
        <f t="shared" si="99"/>
        <v>334</v>
      </c>
      <c r="D337" s="146">
        <v>45730</v>
      </c>
      <c r="E337" s="37">
        <v>45741</v>
      </c>
      <c r="F337" s="65" t="s">
        <v>207</v>
      </c>
      <c r="G337" s="11" t="str">
        <f ca="1">IF(AND(E337&lt;&gt;"",E337&lt;TODAY()),"Disponible",IFERROR(INDEX(Vehiculos[Estado Vehiculo],MATCH(F337,Vehiculos[Placa Vehiculo],0)),""))</f>
        <v>Disponible</v>
      </c>
      <c r="H337" s="34" t="s">
        <v>237</v>
      </c>
      <c r="I337" s="34" t="s">
        <v>273</v>
      </c>
      <c r="J337" s="34" t="s">
        <v>282</v>
      </c>
      <c r="K337" s="39">
        <v>42761</v>
      </c>
      <c r="L337" s="39">
        <v>43343</v>
      </c>
      <c r="M337" s="15">
        <f t="shared" si="100"/>
        <v>582</v>
      </c>
      <c r="N337" s="451">
        <v>202</v>
      </c>
      <c r="O337" s="39"/>
      <c r="P337" s="36"/>
      <c r="Q337" s="16">
        <f t="shared" si="101"/>
        <v>0</v>
      </c>
      <c r="R337" s="34" t="s">
        <v>273</v>
      </c>
      <c r="S337" s="34" t="s">
        <v>102</v>
      </c>
      <c r="T337" s="36">
        <v>1.8</v>
      </c>
      <c r="U337" s="167">
        <f>Rutas[[#This Row],[Precio x Galón ($/gal)]]*Rutas[[#This Row],[Volumen de Combustible (gal)]]</f>
        <v>226.04400000000001</v>
      </c>
      <c r="V337" s="36"/>
      <c r="W337" s="36"/>
      <c r="X337" s="36"/>
      <c r="Y337" s="145">
        <f t="shared" si="102"/>
        <v>226.04400000000001</v>
      </c>
      <c r="Z337" s="567"/>
      <c r="AA337" s="12">
        <v>125.58</v>
      </c>
      <c r="AB337" s="12">
        <f t="shared" si="103"/>
        <v>4.6344959388437648</v>
      </c>
      <c r="AC337" s="12">
        <f t="shared" si="104"/>
        <v>0</v>
      </c>
      <c r="AD337" s="34"/>
    </row>
    <row r="338" spans="1:30" ht="16" x14ac:dyDescent="0.2">
      <c r="A338" s="47"/>
      <c r="B338" s="383"/>
      <c r="C338" s="176">
        <f t="shared" si="99"/>
        <v>335</v>
      </c>
      <c r="D338" s="437"/>
      <c r="E338" s="438"/>
      <c r="F338" s="450"/>
      <c r="G338" s="440" t="str">
        <f ca="1">IF(AND(E338&lt;&gt;"",E338&lt;TODAY()),"Disponible",IFERROR(INDEX(Vehiculos[Estado Vehiculo],MATCH(F338,Vehiculos[Placa Vehiculo],0)),""))</f>
        <v/>
      </c>
      <c r="H338" s="441"/>
      <c r="I338" s="441"/>
      <c r="J338" s="441"/>
      <c r="K338" s="442"/>
      <c r="L338" s="442"/>
      <c r="M338" s="443">
        <f t="shared" si="100"/>
        <v>0</v>
      </c>
      <c r="N338" s="443"/>
      <c r="O338" s="442"/>
      <c r="P338" s="444"/>
      <c r="Q338" s="445">
        <f t="shared" si="101"/>
        <v>0</v>
      </c>
      <c r="R338" s="441"/>
      <c r="S338" s="441"/>
      <c r="T338" s="444"/>
      <c r="U338" s="444"/>
      <c r="V338" s="444"/>
      <c r="W338" s="444"/>
      <c r="X338" s="444"/>
      <c r="Y338" s="447">
        <f t="shared" si="102"/>
        <v>0</v>
      </c>
      <c r="Z338" s="570"/>
      <c r="AA338" s="448"/>
      <c r="AB338" s="448">
        <f t="shared" si="103"/>
        <v>0</v>
      </c>
      <c r="AC338" s="448">
        <f t="shared" si="104"/>
        <v>0</v>
      </c>
      <c r="AD338" s="441"/>
    </row>
    <row r="339" spans="1:30" ht="16" x14ac:dyDescent="0.2">
      <c r="A339" s="47"/>
      <c r="B339" s="383"/>
      <c r="C339" s="176">
        <f t="shared" si="99"/>
        <v>336</v>
      </c>
      <c r="D339" s="90">
        <v>45717</v>
      </c>
      <c r="E339" s="90">
        <v>45721</v>
      </c>
      <c r="F339" s="68" t="s">
        <v>365</v>
      </c>
      <c r="G339" s="379" t="str">
        <f ca="1">IF(AND(E339&lt;&gt;"",E339&lt;TODAY()),"Disponible",IFERROR(INDEX(Vehiculos[Estado Vehiculo],MATCH(F339,Vehiculos[Placa Vehiculo],0)),""))</f>
        <v>Disponible</v>
      </c>
      <c r="H339" s="89" t="s">
        <v>234</v>
      </c>
      <c r="I339" s="89" t="s">
        <v>273</v>
      </c>
      <c r="J339" s="89" t="s">
        <v>317</v>
      </c>
      <c r="K339" s="380"/>
      <c r="L339" s="380"/>
      <c r="M339" s="381">
        <f t="shared" ref="M339:M355" si="105">L339-K339</f>
        <v>0</v>
      </c>
      <c r="N339" s="381"/>
      <c r="O339" s="380"/>
      <c r="P339" s="92"/>
      <c r="Q339" s="382">
        <f t="shared" si="84"/>
        <v>0</v>
      </c>
      <c r="R339" s="89" t="s">
        <v>340</v>
      </c>
      <c r="S339" s="89" t="s">
        <v>102</v>
      </c>
      <c r="T339" s="92">
        <v>1.8</v>
      </c>
      <c r="U339" s="266">
        <f>Rutas[[#This Row],[Precio x Galón ($/gal)]]*Rutas[[#This Row],[Volumen de Combustible (gal)]]</f>
        <v>108</v>
      </c>
      <c r="V339" s="92"/>
      <c r="W339" s="92"/>
      <c r="X339" s="92"/>
      <c r="Y339" s="382">
        <f t="shared" si="85"/>
        <v>108</v>
      </c>
      <c r="Z339" s="567"/>
      <c r="AA339" s="382">
        <v>60</v>
      </c>
      <c r="AB339" s="382">
        <f t="shared" si="86"/>
        <v>0</v>
      </c>
      <c r="AC339" s="382">
        <f t="shared" si="87"/>
        <v>0</v>
      </c>
      <c r="AD339" s="89"/>
    </row>
    <row r="340" spans="1:30" ht="16" x14ac:dyDescent="0.2">
      <c r="A340" s="47"/>
      <c r="B340" s="383"/>
      <c r="C340" s="176">
        <f t="shared" si="99"/>
        <v>337</v>
      </c>
      <c r="D340" s="146">
        <v>45721</v>
      </c>
      <c r="E340" s="37">
        <v>45725</v>
      </c>
      <c r="F340" s="65" t="s">
        <v>365</v>
      </c>
      <c r="G340" s="11" t="str">
        <f ca="1">IF(AND(E340&lt;&gt;"",E340&lt;TODAY()),"Disponible",IFERROR(INDEX(Vehiculos[Estado Vehiculo],MATCH(F340,Vehiculos[Placa Vehiculo],0)),""))</f>
        <v>Disponible</v>
      </c>
      <c r="H340" s="34" t="s">
        <v>234</v>
      </c>
      <c r="I340" s="34" t="s">
        <v>273</v>
      </c>
      <c r="J340" s="34" t="s">
        <v>317</v>
      </c>
      <c r="K340" s="39"/>
      <c r="L340" s="39"/>
      <c r="M340" s="15">
        <f t="shared" si="105"/>
        <v>0</v>
      </c>
      <c r="N340" s="15"/>
      <c r="O340" s="39"/>
      <c r="P340" s="36"/>
      <c r="Q340" s="16">
        <f t="shared" si="84"/>
        <v>0</v>
      </c>
      <c r="R340" s="34" t="s">
        <v>340</v>
      </c>
      <c r="S340" s="34" t="s">
        <v>102</v>
      </c>
      <c r="T340" s="36">
        <v>1.8</v>
      </c>
      <c r="U340" s="167">
        <f>Rutas[[#This Row],[Precio x Galón ($/gal)]]*Rutas[[#This Row],[Volumen de Combustible (gal)]]</f>
        <v>108</v>
      </c>
      <c r="V340" s="36"/>
      <c r="W340" s="36"/>
      <c r="X340" s="36"/>
      <c r="Y340" s="145">
        <f t="shared" si="85"/>
        <v>108</v>
      </c>
      <c r="Z340" s="567"/>
      <c r="AA340" s="12">
        <v>60</v>
      </c>
      <c r="AB340" s="12">
        <f t="shared" si="86"/>
        <v>0</v>
      </c>
      <c r="AC340" s="12">
        <f t="shared" si="87"/>
        <v>0</v>
      </c>
      <c r="AD340" s="34"/>
    </row>
    <row r="341" spans="1:30" ht="16" x14ac:dyDescent="0.2">
      <c r="A341" s="47"/>
      <c r="B341" s="383"/>
      <c r="C341" s="176">
        <f t="shared" si="99"/>
        <v>338</v>
      </c>
      <c r="D341" s="146">
        <v>45725</v>
      </c>
      <c r="E341" s="37">
        <v>45734</v>
      </c>
      <c r="F341" s="65" t="s">
        <v>365</v>
      </c>
      <c r="G341" s="11" t="str">
        <f ca="1">IF(AND(E341&lt;&gt;"",E341&lt;TODAY()),"Disponible",IFERROR(INDEX(Vehiculos[Estado Vehiculo],MATCH(F341,Vehiculos[Placa Vehiculo],0)),""))</f>
        <v>Disponible</v>
      </c>
      <c r="H341" s="34" t="s">
        <v>234</v>
      </c>
      <c r="I341" s="34" t="s">
        <v>273</v>
      </c>
      <c r="J341" s="34" t="s">
        <v>317</v>
      </c>
      <c r="K341" s="39"/>
      <c r="L341" s="39"/>
      <c r="M341" s="15">
        <f t="shared" si="105"/>
        <v>0</v>
      </c>
      <c r="N341" s="15"/>
      <c r="O341" s="39"/>
      <c r="P341" s="36"/>
      <c r="Q341" s="16">
        <f>M341*P341</f>
        <v>0</v>
      </c>
      <c r="R341" s="34" t="s">
        <v>340</v>
      </c>
      <c r="S341" s="34" t="s">
        <v>102</v>
      </c>
      <c r="T341" s="36">
        <v>1.8</v>
      </c>
      <c r="U341" s="167">
        <f>Rutas[[#This Row],[Precio x Galón ($/gal)]]*Rutas[[#This Row],[Volumen de Combustible (gal)]]</f>
        <v>99</v>
      </c>
      <c r="V341" s="36"/>
      <c r="W341" s="36"/>
      <c r="X341" s="36"/>
      <c r="Y341" s="145">
        <f>U341+SUM(V341:X341)</f>
        <v>99</v>
      </c>
      <c r="Z341" s="567"/>
      <c r="AA341" s="12">
        <v>55</v>
      </c>
      <c r="AB341" s="12">
        <f>IFERROR(M341/AA341,0)</f>
        <v>0</v>
      </c>
      <c r="AC341" s="12">
        <f>IFERROR(Q341/M341,0)</f>
        <v>0</v>
      </c>
      <c r="AD341" s="34"/>
    </row>
    <row r="342" spans="1:30" ht="16" x14ac:dyDescent="0.2">
      <c r="A342" s="47"/>
      <c r="B342" s="383"/>
      <c r="C342" s="176">
        <f t="shared" si="99"/>
        <v>339</v>
      </c>
      <c r="D342" s="146">
        <v>45734</v>
      </c>
      <c r="E342" s="37">
        <v>45742</v>
      </c>
      <c r="F342" s="65" t="s">
        <v>365</v>
      </c>
      <c r="G342" s="11" t="str">
        <f ca="1">IF(AND(E342&lt;&gt;"",E342&lt;TODAY()),"Disponible",IFERROR(INDEX(Vehiculos[Estado Vehiculo],MATCH(F342,Vehiculos[Placa Vehiculo],0)),""))</f>
        <v>Disponible</v>
      </c>
      <c r="H342" s="34" t="s">
        <v>234</v>
      </c>
      <c r="I342" s="34" t="s">
        <v>273</v>
      </c>
      <c r="J342" s="34" t="s">
        <v>317</v>
      </c>
      <c r="K342" s="39"/>
      <c r="L342" s="39"/>
      <c r="M342" s="15">
        <f t="shared" si="105"/>
        <v>0</v>
      </c>
      <c r="N342" s="15"/>
      <c r="O342" s="39"/>
      <c r="P342" s="36"/>
      <c r="Q342" s="16">
        <f t="shared" si="84"/>
        <v>0</v>
      </c>
      <c r="R342" s="34" t="s">
        <v>340</v>
      </c>
      <c r="S342" s="34" t="s">
        <v>102</v>
      </c>
      <c r="T342" s="36">
        <v>1.8</v>
      </c>
      <c r="U342" s="167">
        <f>Rutas[[#This Row],[Precio x Galón ($/gal)]]*Rutas[[#This Row],[Volumen de Combustible (gal)]]</f>
        <v>108</v>
      </c>
      <c r="V342" s="36"/>
      <c r="W342" s="36"/>
      <c r="X342" s="36"/>
      <c r="Y342" s="145">
        <f t="shared" si="85"/>
        <v>108</v>
      </c>
      <c r="Z342" s="567"/>
      <c r="AA342" s="12">
        <v>60</v>
      </c>
      <c r="AB342" s="12">
        <f t="shared" si="86"/>
        <v>0</v>
      </c>
      <c r="AC342" s="12">
        <f t="shared" si="87"/>
        <v>0</v>
      </c>
      <c r="AD342" s="34"/>
    </row>
    <row r="343" spans="1:30" ht="16" x14ac:dyDescent="0.2">
      <c r="A343" s="47"/>
      <c r="B343" s="383"/>
      <c r="C343" s="176">
        <f t="shared" si="99"/>
        <v>340</v>
      </c>
      <c r="D343" s="146">
        <v>45742</v>
      </c>
      <c r="E343" s="37">
        <v>45743</v>
      </c>
      <c r="F343" s="65" t="s">
        <v>365</v>
      </c>
      <c r="G343" s="11" t="str">
        <f ca="1">IF(AND(E343&lt;&gt;"",E343&lt;TODAY()),"Disponible",IFERROR(INDEX(Vehiculos[Estado Vehiculo],MATCH(F343,Vehiculos[Placa Vehiculo],0)),""))</f>
        <v>Disponible</v>
      </c>
      <c r="H343" s="34" t="s">
        <v>234</v>
      </c>
      <c r="I343" s="34" t="s">
        <v>273</v>
      </c>
      <c r="J343" s="34" t="s">
        <v>317</v>
      </c>
      <c r="K343" s="39"/>
      <c r="L343" s="39"/>
      <c r="M343" s="15">
        <f t="shared" si="105"/>
        <v>0</v>
      </c>
      <c r="N343" s="15"/>
      <c r="O343" s="39"/>
      <c r="P343" s="36"/>
      <c r="Q343" s="16">
        <f>M343*P343</f>
        <v>0</v>
      </c>
      <c r="R343" s="34" t="s">
        <v>340</v>
      </c>
      <c r="S343" s="34" t="s">
        <v>102</v>
      </c>
      <c r="T343" s="36">
        <v>1.8</v>
      </c>
      <c r="U343" s="167">
        <f>Rutas[[#This Row],[Precio x Galón ($/gal)]]*Rutas[[#This Row],[Volumen de Combustible (gal)]]</f>
        <v>99</v>
      </c>
      <c r="V343" s="36"/>
      <c r="W343" s="36"/>
      <c r="X343" s="36"/>
      <c r="Y343" s="145">
        <f>U343+SUM(V343:X343)</f>
        <v>99</v>
      </c>
      <c r="Z343" s="567"/>
      <c r="AA343" s="12">
        <v>55</v>
      </c>
      <c r="AB343" s="12">
        <f>IFERROR(M343/AA343,0)</f>
        <v>0</v>
      </c>
      <c r="AC343" s="12">
        <f>IFERROR(Q343/M343,0)</f>
        <v>0</v>
      </c>
      <c r="AD343" s="34"/>
    </row>
    <row r="344" spans="1:30" ht="16" x14ac:dyDescent="0.2">
      <c r="A344" s="47"/>
      <c r="B344" s="383"/>
      <c r="C344" s="176">
        <f t="shared" si="99"/>
        <v>341</v>
      </c>
      <c r="D344" s="437">
        <v>45736</v>
      </c>
      <c r="E344" s="438">
        <v>45746</v>
      </c>
      <c r="F344" s="450" t="s">
        <v>365</v>
      </c>
      <c r="G344" s="440" t="str">
        <f ca="1">IF(AND(E344&lt;&gt;"",E344&lt;TODAY()),"Disponible",IFERROR(INDEX(Vehiculos[Estado Vehiculo],MATCH(F344,Vehiculos[Placa Vehiculo],0)),""))</f>
        <v>Disponible</v>
      </c>
      <c r="H344" s="441" t="s">
        <v>234</v>
      </c>
      <c r="I344" s="441" t="s">
        <v>273</v>
      </c>
      <c r="J344" s="441" t="s">
        <v>317</v>
      </c>
      <c r="K344" s="442">
        <v>351257</v>
      </c>
      <c r="L344" s="442">
        <v>352416</v>
      </c>
      <c r="M344" s="443">
        <f t="shared" si="105"/>
        <v>1159</v>
      </c>
      <c r="N344" s="453">
        <v>290</v>
      </c>
      <c r="O344" s="442"/>
      <c r="P344" s="444"/>
      <c r="Q344" s="445">
        <f t="shared" si="84"/>
        <v>0</v>
      </c>
      <c r="R344" s="441" t="s">
        <v>340</v>
      </c>
      <c r="S344" s="441" t="s">
        <v>102</v>
      </c>
      <c r="T344" s="444">
        <v>1.8</v>
      </c>
      <c r="U344" s="444">
        <f>Rutas[[#This Row],[Precio x Galón ($/gal)]]*Rutas[[#This Row],[Volumen de Combustible (gal)]]</f>
        <v>126</v>
      </c>
      <c r="V344" s="444"/>
      <c r="W344" s="444"/>
      <c r="X344" s="444"/>
      <c r="Y344" s="447">
        <f t="shared" si="85"/>
        <v>126</v>
      </c>
      <c r="Z344" s="570"/>
      <c r="AA344" s="448">
        <v>70</v>
      </c>
      <c r="AB344" s="448">
        <f t="shared" si="86"/>
        <v>16.557142857142857</v>
      </c>
      <c r="AC344" s="448">
        <f t="shared" si="87"/>
        <v>0</v>
      </c>
      <c r="AD344" s="441"/>
    </row>
    <row r="345" spans="1:30" ht="16" x14ac:dyDescent="0.2">
      <c r="A345" s="47"/>
      <c r="B345" s="383"/>
      <c r="C345" s="176">
        <f t="shared" si="99"/>
        <v>342</v>
      </c>
      <c r="D345" s="90">
        <v>45717</v>
      </c>
      <c r="E345" s="90">
        <v>45721</v>
      </c>
      <c r="F345" s="68" t="s">
        <v>213</v>
      </c>
      <c r="G345" s="379" t="str">
        <f ca="1">IF(AND(E345&lt;&gt;"",E345&lt;TODAY()),"Disponible",IFERROR(INDEX(Vehiculos[Estado Vehiculo],MATCH(F345,Vehiculos[Placa Vehiculo],0)),""))</f>
        <v>Disponible</v>
      </c>
      <c r="H345" s="89" t="s">
        <v>232</v>
      </c>
      <c r="I345" s="89" t="s">
        <v>273</v>
      </c>
      <c r="J345" s="89" t="s">
        <v>317</v>
      </c>
      <c r="K345" s="380"/>
      <c r="L345" s="380"/>
      <c r="M345" s="381">
        <f t="shared" si="105"/>
        <v>0</v>
      </c>
      <c r="N345" s="381"/>
      <c r="O345" s="380"/>
      <c r="P345" s="92"/>
      <c r="Q345" s="382">
        <f>M345*P345</f>
        <v>0</v>
      </c>
      <c r="R345" s="89" t="s">
        <v>339</v>
      </c>
      <c r="S345" s="89" t="s">
        <v>102</v>
      </c>
      <c r="T345" s="92">
        <v>1.8</v>
      </c>
      <c r="U345" s="266">
        <f>Rutas[[#This Row],[Precio x Galón ($/gal)]]*Rutas[[#This Row],[Volumen de Combustible (gal)]]</f>
        <v>108</v>
      </c>
      <c r="V345" s="92"/>
      <c r="W345" s="92"/>
      <c r="X345" s="92"/>
      <c r="Y345" s="382">
        <f>U345+SUM(V345:X345)</f>
        <v>108</v>
      </c>
      <c r="Z345" s="567"/>
      <c r="AA345" s="382">
        <v>60</v>
      </c>
      <c r="AB345" s="382">
        <f>IFERROR(M345/AA345,0)</f>
        <v>0</v>
      </c>
      <c r="AC345" s="382">
        <f>IFERROR(Q345/M345,0)</f>
        <v>0</v>
      </c>
      <c r="AD345" s="89"/>
    </row>
    <row r="346" spans="1:30" ht="16" x14ac:dyDescent="0.2">
      <c r="A346" s="47"/>
      <c r="B346" s="383"/>
      <c r="C346" s="176">
        <f t="shared" si="99"/>
        <v>343</v>
      </c>
      <c r="D346" s="146">
        <v>45721</v>
      </c>
      <c r="E346" s="37">
        <v>45725</v>
      </c>
      <c r="F346" s="65" t="s">
        <v>213</v>
      </c>
      <c r="G346" s="11" t="str">
        <f ca="1">IF(AND(E346&lt;&gt;"",E346&lt;TODAY()),"Disponible",IFERROR(INDEX(Vehiculos[Estado Vehiculo],MATCH(F346,Vehiculos[Placa Vehiculo],0)),""))</f>
        <v>Disponible</v>
      </c>
      <c r="H346" s="34" t="s">
        <v>232</v>
      </c>
      <c r="I346" s="34" t="s">
        <v>273</v>
      </c>
      <c r="J346" s="34" t="s">
        <v>317</v>
      </c>
      <c r="K346" s="39"/>
      <c r="L346" s="39"/>
      <c r="M346" s="15">
        <f t="shared" si="105"/>
        <v>0</v>
      </c>
      <c r="N346" s="15"/>
      <c r="O346" s="39"/>
      <c r="P346" s="36"/>
      <c r="Q346" s="16">
        <f>M346*P346</f>
        <v>0</v>
      </c>
      <c r="R346" s="34" t="s">
        <v>339</v>
      </c>
      <c r="S346" s="34" t="s">
        <v>102</v>
      </c>
      <c r="T346" s="36">
        <v>1.8</v>
      </c>
      <c r="U346" s="167">
        <f>Rutas[[#This Row],[Precio x Galón ($/gal)]]*Rutas[[#This Row],[Volumen de Combustible (gal)]]</f>
        <v>108</v>
      </c>
      <c r="V346" s="36"/>
      <c r="W346" s="36"/>
      <c r="X346" s="36"/>
      <c r="Y346" s="145">
        <f>U346+SUM(V346:X346)</f>
        <v>108</v>
      </c>
      <c r="Z346" s="567"/>
      <c r="AA346" s="12">
        <v>60</v>
      </c>
      <c r="AB346" s="12">
        <f>IFERROR(M346/AA346,0)</f>
        <v>0</v>
      </c>
      <c r="AC346" s="12">
        <f>IFERROR(Q346/M346,0)</f>
        <v>0</v>
      </c>
      <c r="AD346" s="34"/>
    </row>
    <row r="347" spans="1:30" ht="16" x14ac:dyDescent="0.2">
      <c r="A347" s="47"/>
      <c r="B347" s="383"/>
      <c r="C347" s="176">
        <f t="shared" si="99"/>
        <v>344</v>
      </c>
      <c r="D347" s="146">
        <v>45725</v>
      </c>
      <c r="E347" s="37">
        <v>45734</v>
      </c>
      <c r="F347" s="65" t="s">
        <v>213</v>
      </c>
      <c r="G347" s="11" t="str">
        <f ca="1">IF(AND(E347&lt;&gt;"",E347&lt;TODAY()),"Disponible",IFERROR(INDEX(Vehiculos[Estado Vehiculo],MATCH(F347,Vehiculos[Placa Vehiculo],0)),""))</f>
        <v>Disponible</v>
      </c>
      <c r="H347" s="34" t="s">
        <v>232</v>
      </c>
      <c r="I347" s="34" t="s">
        <v>273</v>
      </c>
      <c r="J347" s="34" t="s">
        <v>317</v>
      </c>
      <c r="K347" s="39"/>
      <c r="L347" s="39"/>
      <c r="M347" s="15">
        <f t="shared" si="105"/>
        <v>0</v>
      </c>
      <c r="N347" s="15"/>
      <c r="O347" s="39"/>
      <c r="P347" s="36"/>
      <c r="Q347" s="16">
        <f>M347*P347</f>
        <v>0</v>
      </c>
      <c r="R347" s="34" t="s">
        <v>339</v>
      </c>
      <c r="S347" s="34" t="s">
        <v>102</v>
      </c>
      <c r="T347" s="36">
        <v>1.8</v>
      </c>
      <c r="U347" s="167">
        <f>Rutas[[#This Row],[Precio x Galón ($/gal)]]*Rutas[[#This Row],[Volumen de Combustible (gal)]]</f>
        <v>99</v>
      </c>
      <c r="V347" s="36"/>
      <c r="W347" s="36"/>
      <c r="X347" s="36"/>
      <c r="Y347" s="145">
        <f>U347+SUM(V347:X347)</f>
        <v>99</v>
      </c>
      <c r="Z347" s="567"/>
      <c r="AA347" s="12">
        <v>55</v>
      </c>
      <c r="AB347" s="12">
        <f>IFERROR(M347/AA347,0)</f>
        <v>0</v>
      </c>
      <c r="AC347" s="12">
        <f>IFERROR(Q347/M347,0)</f>
        <v>0</v>
      </c>
      <c r="AD347" s="34"/>
    </row>
    <row r="348" spans="1:30" ht="16" x14ac:dyDescent="0.2">
      <c r="A348" s="47"/>
      <c r="B348" s="383"/>
      <c r="C348" s="176">
        <f t="shared" si="99"/>
        <v>345</v>
      </c>
      <c r="D348" s="146">
        <v>45734</v>
      </c>
      <c r="E348" s="37">
        <v>45736</v>
      </c>
      <c r="F348" s="65" t="s">
        <v>213</v>
      </c>
      <c r="G348" s="11" t="str">
        <f ca="1">IF(AND(E348&lt;&gt;"",E348&lt;TODAY()),"Disponible",IFERROR(INDEX(Vehiculos[Estado Vehiculo],MATCH(F348,Vehiculos[Placa Vehiculo],0)),""))</f>
        <v>Disponible</v>
      </c>
      <c r="H348" s="34" t="s">
        <v>232</v>
      </c>
      <c r="I348" s="34" t="s">
        <v>273</v>
      </c>
      <c r="J348" s="34" t="s">
        <v>317</v>
      </c>
      <c r="K348" s="39"/>
      <c r="L348" s="39"/>
      <c r="M348" s="15">
        <f t="shared" si="105"/>
        <v>0</v>
      </c>
      <c r="N348" s="15"/>
      <c r="O348" s="39"/>
      <c r="P348" s="36"/>
      <c r="Q348" s="16">
        <f>M348*P348</f>
        <v>0</v>
      </c>
      <c r="R348" s="34" t="s">
        <v>339</v>
      </c>
      <c r="S348" s="34" t="s">
        <v>102</v>
      </c>
      <c r="T348" s="36">
        <v>1.8</v>
      </c>
      <c r="U348" s="167">
        <f>Rutas[[#This Row],[Precio x Galón ($/gal)]]*Rutas[[#This Row],[Volumen de Combustible (gal)]]</f>
        <v>108</v>
      </c>
      <c r="V348" s="36"/>
      <c r="W348" s="36"/>
      <c r="X348" s="36"/>
      <c r="Y348" s="145">
        <f>U348+SUM(V348:X348)</f>
        <v>108</v>
      </c>
      <c r="Z348" s="567"/>
      <c r="AA348" s="12">
        <v>60</v>
      </c>
      <c r="AB348" s="12">
        <f>IFERROR(M348/AA348,0)</f>
        <v>0</v>
      </c>
      <c r="AC348" s="12">
        <f>IFERROR(Q348/M348,0)</f>
        <v>0</v>
      </c>
      <c r="AD348" s="34"/>
    </row>
    <row r="349" spans="1:30" ht="16" x14ac:dyDescent="0.2">
      <c r="A349" s="47"/>
      <c r="B349" s="383"/>
      <c r="C349" s="176">
        <f t="shared" si="99"/>
        <v>346</v>
      </c>
      <c r="D349" s="146">
        <v>45736</v>
      </c>
      <c r="E349" s="37">
        <v>45744</v>
      </c>
      <c r="F349" s="65" t="s">
        <v>213</v>
      </c>
      <c r="G349" s="11" t="str">
        <f ca="1">IF(AND(E349&lt;&gt;"",E349&lt;TODAY()),"Disponible",IFERROR(INDEX(Vehiculos[Estado Vehiculo],MATCH(F349,Vehiculos[Placa Vehiculo],0)),""))</f>
        <v>Disponible</v>
      </c>
      <c r="H349" s="34" t="s">
        <v>240</v>
      </c>
      <c r="I349" s="34" t="s">
        <v>273</v>
      </c>
      <c r="J349" s="34" t="s">
        <v>317</v>
      </c>
      <c r="K349" s="39">
        <v>399241</v>
      </c>
      <c r="L349" s="39">
        <v>399865</v>
      </c>
      <c r="M349" s="15">
        <f t="shared" si="105"/>
        <v>624</v>
      </c>
      <c r="N349" s="15"/>
      <c r="O349" s="39"/>
      <c r="P349" s="36"/>
      <c r="Q349" s="16">
        <f t="shared" si="84"/>
        <v>0</v>
      </c>
      <c r="R349" s="34" t="s">
        <v>339</v>
      </c>
      <c r="S349" s="34" t="s">
        <v>102</v>
      </c>
      <c r="T349" s="36">
        <v>1.8</v>
      </c>
      <c r="U349" s="167">
        <f>Rutas[[#This Row],[Precio x Galón ($/gal)]]*Rutas[[#This Row],[Volumen de Combustible (gal)]]</f>
        <v>99</v>
      </c>
      <c r="V349" s="36"/>
      <c r="W349" s="36"/>
      <c r="X349" s="36"/>
      <c r="Y349" s="145">
        <f t="shared" si="85"/>
        <v>99</v>
      </c>
      <c r="Z349" s="567"/>
      <c r="AA349" s="12">
        <v>55</v>
      </c>
      <c r="AB349" s="12">
        <f t="shared" si="86"/>
        <v>11.345454545454546</v>
      </c>
      <c r="AC349" s="12">
        <f t="shared" si="87"/>
        <v>0</v>
      </c>
      <c r="AD349" s="34"/>
    </row>
    <row r="350" spans="1:30" ht="16" x14ac:dyDescent="0.2">
      <c r="A350" s="47"/>
      <c r="B350" s="383"/>
      <c r="C350" s="176">
        <f t="shared" si="99"/>
        <v>347</v>
      </c>
      <c r="D350" s="146">
        <v>45744</v>
      </c>
      <c r="E350" s="37">
        <v>45746</v>
      </c>
      <c r="F350" s="65" t="s">
        <v>213</v>
      </c>
      <c r="G350" s="11" t="str">
        <f ca="1">IF(AND(E350&lt;&gt;"",E350&lt;TODAY()),"Disponible",IFERROR(INDEX(Vehiculos[Estado Vehiculo],MATCH(F350,Vehiculos[Placa Vehiculo],0)),""))</f>
        <v>Disponible</v>
      </c>
      <c r="H350" s="34" t="s">
        <v>240</v>
      </c>
      <c r="I350" s="34" t="s">
        <v>273</v>
      </c>
      <c r="J350" s="34" t="s">
        <v>317</v>
      </c>
      <c r="K350" s="39">
        <v>399865</v>
      </c>
      <c r="L350" s="39">
        <v>400250</v>
      </c>
      <c r="M350" s="15">
        <f t="shared" si="105"/>
        <v>385</v>
      </c>
      <c r="N350" s="451">
        <v>300</v>
      </c>
      <c r="O350" s="39"/>
      <c r="P350" s="36"/>
      <c r="Q350" s="16">
        <f t="shared" si="84"/>
        <v>0</v>
      </c>
      <c r="R350" s="34" t="s">
        <v>339</v>
      </c>
      <c r="S350" s="34" t="s">
        <v>102</v>
      </c>
      <c r="T350" s="36">
        <v>1.8</v>
      </c>
      <c r="U350" s="167">
        <f>Rutas[[#This Row],[Precio x Galón ($/gal)]]*Rutas[[#This Row],[Volumen de Combustible (gal)]]</f>
        <v>108</v>
      </c>
      <c r="V350" s="36"/>
      <c r="W350" s="36"/>
      <c r="X350" s="36"/>
      <c r="Y350" s="145">
        <f t="shared" si="85"/>
        <v>108</v>
      </c>
      <c r="Z350" s="567"/>
      <c r="AA350" s="12">
        <v>60</v>
      </c>
      <c r="AB350" s="12">
        <f t="shared" si="86"/>
        <v>6.416666666666667</v>
      </c>
      <c r="AC350" s="12">
        <f t="shared" si="87"/>
        <v>0</v>
      </c>
      <c r="AD350" s="34"/>
    </row>
    <row r="351" spans="1:30" ht="16" x14ac:dyDescent="0.2">
      <c r="A351" s="47"/>
      <c r="B351" s="383"/>
      <c r="C351" s="176">
        <f t="shared" si="99"/>
        <v>348</v>
      </c>
      <c r="D351" s="437"/>
      <c r="E351" s="438"/>
      <c r="F351" s="450"/>
      <c r="G351" s="440" t="str">
        <f ca="1">IF(AND(E351&lt;&gt;"",E351&lt;TODAY()),"Disponible",IFERROR(INDEX(Vehiculos[Estado Vehiculo],MATCH(F351,Vehiculos[Placa Vehiculo],0)),""))</f>
        <v/>
      </c>
      <c r="H351" s="441"/>
      <c r="I351" s="441"/>
      <c r="J351" s="441"/>
      <c r="K351" s="442"/>
      <c r="L351" s="442"/>
      <c r="M351" s="443">
        <f t="shared" si="105"/>
        <v>0</v>
      </c>
      <c r="N351" s="443"/>
      <c r="O351" s="442"/>
      <c r="P351" s="444"/>
      <c r="Q351" s="445">
        <f>M351*P351</f>
        <v>0</v>
      </c>
      <c r="R351" s="441"/>
      <c r="S351" s="441"/>
      <c r="T351" s="444"/>
      <c r="U351" s="444"/>
      <c r="V351" s="444"/>
      <c r="W351" s="444"/>
      <c r="X351" s="444"/>
      <c r="Y351" s="447">
        <f>U351+SUM(V351:X351)</f>
        <v>0</v>
      </c>
      <c r="Z351" s="570"/>
      <c r="AA351" s="448"/>
      <c r="AB351" s="448">
        <f>IFERROR(M351/AA351,0)</f>
        <v>0</v>
      </c>
      <c r="AC351" s="448">
        <f>IFERROR(Q351/M351,0)</f>
        <v>0</v>
      </c>
      <c r="AD351" s="441"/>
    </row>
    <row r="352" spans="1:30" ht="16" x14ac:dyDescent="0.2">
      <c r="A352" s="47"/>
      <c r="B352" s="383"/>
      <c r="C352" s="176">
        <f t="shared" si="99"/>
        <v>349</v>
      </c>
      <c r="D352" s="146">
        <v>45717</v>
      </c>
      <c r="E352" s="37">
        <v>45722</v>
      </c>
      <c r="F352" s="65" t="s">
        <v>286</v>
      </c>
      <c r="G352" s="11" t="str">
        <f ca="1">IF(AND(E352&lt;&gt;"",E352&lt;TODAY()),"Disponible",IFERROR(INDEX(Vehiculos[Estado Vehiculo],MATCH(F352,Vehiculos[Placa Vehiculo],0)),""))</f>
        <v>Disponible</v>
      </c>
      <c r="H352" s="34" t="s">
        <v>288</v>
      </c>
      <c r="I352" s="34" t="s">
        <v>273</v>
      </c>
      <c r="J352" s="34" t="s">
        <v>290</v>
      </c>
      <c r="K352" s="39">
        <v>81016</v>
      </c>
      <c r="L352" s="39">
        <v>81602</v>
      </c>
      <c r="M352" s="15">
        <f t="shared" si="105"/>
        <v>586</v>
      </c>
      <c r="N352" s="15"/>
      <c r="O352" s="39"/>
      <c r="P352" s="36"/>
      <c r="Q352" s="16">
        <f>M352*P352</f>
        <v>0</v>
      </c>
      <c r="R352" s="34" t="s">
        <v>273</v>
      </c>
      <c r="S352" s="34" t="s">
        <v>102</v>
      </c>
      <c r="T352" s="36">
        <v>1.8</v>
      </c>
      <c r="U352" s="167">
        <f>Rutas[[#This Row],[Precio x Galón ($/gal)]]*Rutas[[#This Row],[Volumen de Combustible (gal)]]</f>
        <v>25.2</v>
      </c>
      <c r="V352" s="36"/>
      <c r="W352" s="36"/>
      <c r="X352" s="36"/>
      <c r="Y352" s="145">
        <f>U352+SUM(V352:X352)</f>
        <v>25.2</v>
      </c>
      <c r="Z352" s="567"/>
      <c r="AA352" s="12">
        <v>14</v>
      </c>
      <c r="AB352" s="12">
        <f>IFERROR(M352/AA352,0)</f>
        <v>41.857142857142854</v>
      </c>
      <c r="AC352" s="12">
        <f>IFERROR(Q352/M352,0)</f>
        <v>0</v>
      </c>
      <c r="AD352" s="34"/>
    </row>
    <row r="353" spans="1:30" ht="16" x14ac:dyDescent="0.2">
      <c r="A353" s="47"/>
      <c r="B353" s="383"/>
      <c r="C353" s="176">
        <f t="shared" si="99"/>
        <v>350</v>
      </c>
      <c r="D353" s="146">
        <v>45722</v>
      </c>
      <c r="E353" s="37">
        <v>45729</v>
      </c>
      <c r="F353" s="65" t="s">
        <v>286</v>
      </c>
      <c r="G353" s="11" t="str">
        <f ca="1">IF(AND(E353&lt;&gt;"",E353&lt;TODAY()),"Disponible",IFERROR(INDEX(Vehiculos[Estado Vehiculo],MATCH(F353,Vehiculos[Placa Vehiculo],0)),""))</f>
        <v>Disponible</v>
      </c>
      <c r="H353" s="34" t="s">
        <v>288</v>
      </c>
      <c r="I353" s="34" t="s">
        <v>273</v>
      </c>
      <c r="J353" s="34" t="s">
        <v>290</v>
      </c>
      <c r="K353" s="39">
        <v>81602</v>
      </c>
      <c r="L353" s="39">
        <v>82183</v>
      </c>
      <c r="M353" s="15">
        <f t="shared" si="105"/>
        <v>581</v>
      </c>
      <c r="N353" s="15"/>
      <c r="O353" s="39"/>
      <c r="P353" s="36"/>
      <c r="Q353" s="16">
        <f>M353*P353</f>
        <v>0</v>
      </c>
      <c r="R353" s="34" t="s">
        <v>273</v>
      </c>
      <c r="S353" s="34" t="s">
        <v>102</v>
      </c>
      <c r="T353" s="36">
        <v>1.8</v>
      </c>
      <c r="U353" s="167">
        <f>Rutas[[#This Row],[Precio x Galón ($/gal)]]*Rutas[[#This Row],[Volumen de Combustible (gal)]]</f>
        <v>28.8</v>
      </c>
      <c r="V353" s="36"/>
      <c r="W353" s="36"/>
      <c r="X353" s="36"/>
      <c r="Y353" s="145">
        <f>U353+SUM(V353:X353)</f>
        <v>28.8</v>
      </c>
      <c r="Z353" s="567"/>
      <c r="AA353" s="12">
        <v>16</v>
      </c>
      <c r="AB353" s="12">
        <f>IFERROR(M353/AA353,0)</f>
        <v>36.3125</v>
      </c>
      <c r="AC353" s="12">
        <f>IFERROR(Q353/M353,0)</f>
        <v>0</v>
      </c>
      <c r="AD353" s="34"/>
    </row>
    <row r="354" spans="1:30" ht="16" x14ac:dyDescent="0.2">
      <c r="A354" s="47"/>
      <c r="B354" s="383"/>
      <c r="C354" s="176">
        <f t="shared" si="99"/>
        <v>351</v>
      </c>
      <c r="D354" s="146">
        <v>45729</v>
      </c>
      <c r="E354" s="37">
        <v>45734</v>
      </c>
      <c r="F354" s="65" t="s">
        <v>286</v>
      </c>
      <c r="G354" s="11" t="str">
        <f ca="1">IF(AND(E354&lt;&gt;"",E354&lt;TODAY()),"Disponible",IFERROR(INDEX(Vehiculos[Estado Vehiculo],MATCH(F354,Vehiculos[Placa Vehiculo],0)),""))</f>
        <v>Disponible</v>
      </c>
      <c r="H354" s="34" t="s">
        <v>288</v>
      </c>
      <c r="I354" s="34" t="s">
        <v>273</v>
      </c>
      <c r="J354" s="34" t="s">
        <v>290</v>
      </c>
      <c r="K354" s="39">
        <v>82183</v>
      </c>
      <c r="L354" s="39">
        <v>82700</v>
      </c>
      <c r="M354" s="15">
        <f t="shared" si="105"/>
        <v>517</v>
      </c>
      <c r="N354" s="15"/>
      <c r="O354" s="39"/>
      <c r="P354" s="36"/>
      <c r="Q354" s="16">
        <f>M354*P354</f>
        <v>0</v>
      </c>
      <c r="R354" s="34" t="s">
        <v>273</v>
      </c>
      <c r="S354" s="34" t="s">
        <v>102</v>
      </c>
      <c r="T354" s="36">
        <v>1.8</v>
      </c>
      <c r="U354" s="167">
        <f>Rutas[[#This Row],[Precio x Galón ($/gal)]]*Rutas[[#This Row],[Volumen de Combustible (gal)]]</f>
        <v>31.481999999999999</v>
      </c>
      <c r="V354" s="36"/>
      <c r="W354" s="36"/>
      <c r="X354" s="36"/>
      <c r="Y354" s="145">
        <f>U354+SUM(V354:X354)</f>
        <v>31.481999999999999</v>
      </c>
      <c r="Z354" s="567"/>
      <c r="AA354" s="12">
        <v>17.489999999999998</v>
      </c>
      <c r="AB354" s="12">
        <f>IFERROR(M354/AA354,0)</f>
        <v>29.559748427672957</v>
      </c>
      <c r="AC354" s="12">
        <f>IFERROR(Q354/M354,0)</f>
        <v>0</v>
      </c>
      <c r="AD354" s="34"/>
    </row>
    <row r="355" spans="1:30" ht="16" x14ac:dyDescent="0.2">
      <c r="A355" s="47"/>
      <c r="B355" s="383"/>
      <c r="C355" s="176">
        <f t="shared" si="99"/>
        <v>352</v>
      </c>
      <c r="D355" s="146">
        <v>45734</v>
      </c>
      <c r="E355" s="37">
        <v>45746</v>
      </c>
      <c r="F355" s="65" t="s">
        <v>286</v>
      </c>
      <c r="G355" s="11" t="str">
        <f ca="1">IF(AND(E355&lt;&gt;"",E355&lt;TODAY()),"Disponible",IFERROR(INDEX(Vehiculos[Estado Vehiculo],MATCH(F355,Vehiculos[Placa Vehiculo],0)),""))</f>
        <v>Disponible</v>
      </c>
      <c r="H355" s="34" t="s">
        <v>289</v>
      </c>
      <c r="I355" s="34" t="s">
        <v>273</v>
      </c>
      <c r="J355" s="34" t="s">
        <v>290</v>
      </c>
      <c r="K355" s="39">
        <v>82700</v>
      </c>
      <c r="L355" s="39">
        <v>84475</v>
      </c>
      <c r="M355" s="15">
        <f t="shared" si="105"/>
        <v>1775</v>
      </c>
      <c r="N355" s="15"/>
      <c r="O355" s="39"/>
      <c r="P355" s="36"/>
      <c r="Q355" s="16">
        <f>M355*P355</f>
        <v>0</v>
      </c>
      <c r="R355" s="34" t="s">
        <v>273</v>
      </c>
      <c r="S355" s="34" t="s">
        <v>102</v>
      </c>
      <c r="T355" s="36">
        <v>1.8</v>
      </c>
      <c r="U355" s="167">
        <f>Rutas[[#This Row],[Precio x Galón ($/gal)]]*Rutas[[#This Row],[Volumen de Combustible (gal)]]</f>
        <v>26.622</v>
      </c>
      <c r="V355" s="36"/>
      <c r="W355" s="36"/>
      <c r="X355" s="36"/>
      <c r="Y355" s="145">
        <f>U355+SUM(V355:X355)</f>
        <v>26.622</v>
      </c>
      <c r="Z355" s="567"/>
      <c r="AA355" s="12">
        <v>14.79</v>
      </c>
      <c r="AB355" s="12">
        <f>IFERROR(M355/AA355,0)</f>
        <v>120.0135226504395</v>
      </c>
      <c r="AC355" s="12">
        <f>IFERROR(Q355/M355,0)</f>
        <v>0</v>
      </c>
      <c r="AD355" s="34"/>
    </row>
    <row r="356" spans="1:30" ht="16" x14ac:dyDescent="0.2">
      <c r="A356" s="47"/>
      <c r="B356" s="383"/>
      <c r="C356" s="176">
        <f t="shared" si="99"/>
        <v>353</v>
      </c>
      <c r="D356" s="437"/>
      <c r="E356" s="438"/>
      <c r="F356" s="450"/>
      <c r="G356" s="440" t="str">
        <f ca="1">IF(AND(E356&lt;&gt;"",E356&lt;TODAY()),"Disponible",IFERROR(INDEX(Vehiculos[Estado Vehiculo],MATCH(F356,Vehiculos[Placa Vehiculo],0)),""))</f>
        <v/>
      </c>
      <c r="H356" s="441"/>
      <c r="I356" s="441"/>
      <c r="J356" s="441"/>
      <c r="K356" s="442"/>
      <c r="L356" s="442"/>
      <c r="M356" s="443">
        <f t="shared" ref="M356:M381" si="106">L356-K356</f>
        <v>0</v>
      </c>
      <c r="N356" s="443"/>
      <c r="O356" s="442"/>
      <c r="P356" s="444"/>
      <c r="Q356" s="445">
        <f t="shared" ref="Q356:Q381" si="107">M356*P356</f>
        <v>0</v>
      </c>
      <c r="R356" s="441"/>
      <c r="S356" s="441"/>
      <c r="T356" s="444"/>
      <c r="U356" s="444">
        <f>Rutas[[#This Row],[Precio x Galón ($/gal)]]*Rutas[[#This Row],[Volumen de Combustible (gal)]]</f>
        <v>0</v>
      </c>
      <c r="V356" s="444"/>
      <c r="W356" s="444"/>
      <c r="X356" s="444"/>
      <c r="Y356" s="447">
        <f t="shared" ref="Y356:Y381" si="108">U356+SUM(V356:X356)</f>
        <v>0</v>
      </c>
      <c r="Z356" s="570"/>
      <c r="AA356" s="448"/>
      <c r="AB356" s="448">
        <f t="shared" ref="AB356:AB381" si="109">IFERROR(M356/AA356,0)</f>
        <v>0</v>
      </c>
      <c r="AC356" s="448">
        <f t="shared" ref="AC356:AC381" si="110">IFERROR(Q356/M356,0)</f>
        <v>0</v>
      </c>
      <c r="AD356" s="441"/>
    </row>
    <row r="357" spans="1:30" ht="16" x14ac:dyDescent="0.2">
      <c r="A357" s="47"/>
      <c r="B357" s="383"/>
      <c r="C357" s="176">
        <f t="shared" si="99"/>
        <v>354</v>
      </c>
      <c r="D357" s="146">
        <v>45720</v>
      </c>
      <c r="E357" s="37">
        <v>45725</v>
      </c>
      <c r="F357" s="65" t="s">
        <v>306</v>
      </c>
      <c r="G357" s="11" t="str">
        <f ca="1">IF(AND(E357&lt;&gt;"",E357&lt;TODAY()),"Disponible",IFERROR(INDEX(Vehiculos[Estado Vehiculo],MATCH(F357,Vehiculos[Placa Vehiculo],0)),""))</f>
        <v>Disponible</v>
      </c>
      <c r="H357" s="34" t="s">
        <v>236</v>
      </c>
      <c r="I357" s="34" t="s">
        <v>273</v>
      </c>
      <c r="J357" s="34"/>
      <c r="K357" s="39">
        <v>1366</v>
      </c>
      <c r="L357" s="39">
        <v>1406</v>
      </c>
      <c r="M357" s="15">
        <f t="shared" si="106"/>
        <v>40</v>
      </c>
      <c r="N357" s="15">
        <f>Rutas[[#This Row],[Kms Recorridos]]</f>
        <v>40</v>
      </c>
      <c r="O357" s="39"/>
      <c r="P357" s="36"/>
      <c r="Q357" s="16">
        <f t="shared" si="107"/>
        <v>0</v>
      </c>
      <c r="R357" s="34" t="s">
        <v>273</v>
      </c>
      <c r="S357" s="34" t="s">
        <v>102</v>
      </c>
      <c r="T357" s="36">
        <v>1.8</v>
      </c>
      <c r="U357" s="167">
        <f>Rutas[[#This Row],[Precio x Galón ($/gal)]]*Rutas[[#This Row],[Volumen de Combustible (gal)]]</f>
        <v>21.708000000000002</v>
      </c>
      <c r="V357" s="36"/>
      <c r="W357" s="36"/>
      <c r="X357" s="36"/>
      <c r="Y357" s="145">
        <f t="shared" si="108"/>
        <v>21.708000000000002</v>
      </c>
      <c r="Z357" s="567"/>
      <c r="AA357" s="12">
        <v>12.06</v>
      </c>
      <c r="AB357" s="12">
        <f t="shared" si="109"/>
        <v>3.3167495854063018</v>
      </c>
      <c r="AC357" s="12">
        <f t="shared" si="110"/>
        <v>0</v>
      </c>
      <c r="AD357" s="34"/>
    </row>
    <row r="358" spans="1:30" ht="16" x14ac:dyDescent="0.2">
      <c r="A358" s="47"/>
      <c r="B358" s="383"/>
      <c r="C358" s="176">
        <f t="shared" si="99"/>
        <v>355</v>
      </c>
      <c r="D358" s="146">
        <v>45725</v>
      </c>
      <c r="E358" s="37">
        <v>45728</v>
      </c>
      <c r="F358" s="65" t="s">
        <v>306</v>
      </c>
      <c r="G358" s="11" t="str">
        <f ca="1">IF(AND(E358&lt;&gt;"",E358&lt;TODAY()),"Disponible",IFERROR(INDEX(Vehiculos[Estado Vehiculo],MATCH(F358,Vehiculos[Placa Vehiculo],0)),""))</f>
        <v>Disponible</v>
      </c>
      <c r="H358" s="34" t="s">
        <v>236</v>
      </c>
      <c r="I358" s="34" t="s">
        <v>273</v>
      </c>
      <c r="J358" s="34"/>
      <c r="K358" s="39">
        <v>1406</v>
      </c>
      <c r="L358" s="39">
        <v>1430</v>
      </c>
      <c r="M358" s="15">
        <f t="shared" si="106"/>
        <v>24</v>
      </c>
      <c r="N358" s="15">
        <f>Rutas[[#This Row],[Kms Recorridos]]</f>
        <v>24</v>
      </c>
      <c r="O358" s="39"/>
      <c r="P358" s="36"/>
      <c r="Q358" s="16">
        <f t="shared" si="107"/>
        <v>0</v>
      </c>
      <c r="R358" s="34" t="s">
        <v>273</v>
      </c>
      <c r="S358" s="34" t="s">
        <v>102</v>
      </c>
      <c r="T358" s="36">
        <v>1.8</v>
      </c>
      <c r="U358" s="167">
        <f>Rutas[[#This Row],[Precio x Galón ($/gal)]]*Rutas[[#This Row],[Volumen de Combustible (gal)]]</f>
        <v>20.538</v>
      </c>
      <c r="V358" s="36"/>
      <c r="W358" s="36"/>
      <c r="X358" s="36"/>
      <c r="Y358" s="145">
        <f t="shared" si="108"/>
        <v>20.538</v>
      </c>
      <c r="Z358" s="567"/>
      <c r="AA358" s="12">
        <v>11.41</v>
      </c>
      <c r="AB358" s="12">
        <f t="shared" si="109"/>
        <v>2.1034180543382996</v>
      </c>
      <c r="AC358" s="12">
        <f t="shared" si="110"/>
        <v>0</v>
      </c>
      <c r="AD358" s="34"/>
    </row>
    <row r="359" spans="1:30" ht="16" x14ac:dyDescent="0.2">
      <c r="A359" s="47"/>
      <c r="B359" s="383"/>
      <c r="C359" s="176">
        <f t="shared" si="99"/>
        <v>356</v>
      </c>
      <c r="D359" s="146">
        <v>45728</v>
      </c>
      <c r="E359" s="37">
        <v>45746</v>
      </c>
      <c r="F359" s="65" t="s">
        <v>306</v>
      </c>
      <c r="G359" s="11" t="str">
        <f ca="1">IF(AND(E359&lt;&gt;"",E359&lt;TODAY()),"Disponible",IFERROR(INDEX(Vehiculos[Estado Vehiculo],MATCH(F359,Vehiculos[Placa Vehiculo],0)),""))</f>
        <v>Disponible</v>
      </c>
      <c r="H359" s="34" t="s">
        <v>246</v>
      </c>
      <c r="I359" s="34" t="s">
        <v>273</v>
      </c>
      <c r="J359" s="34"/>
      <c r="K359" s="39">
        <v>1430</v>
      </c>
      <c r="L359" s="39">
        <v>1499</v>
      </c>
      <c r="M359" s="15">
        <f t="shared" si="106"/>
        <v>69</v>
      </c>
      <c r="N359" s="15">
        <f>Rutas[[#This Row],[Kms Recorridos]]</f>
        <v>69</v>
      </c>
      <c r="O359" s="39"/>
      <c r="P359" s="36"/>
      <c r="Q359" s="16">
        <f t="shared" si="107"/>
        <v>0</v>
      </c>
      <c r="R359" s="34" t="s">
        <v>273</v>
      </c>
      <c r="S359" s="34" t="s">
        <v>102</v>
      </c>
      <c r="T359" s="36">
        <v>1.8</v>
      </c>
      <c r="U359" s="167">
        <f>Rutas[[#This Row],[Precio x Galón ($/gal)]]*Rutas[[#This Row],[Volumen de Combustible (gal)]]</f>
        <v>27.18</v>
      </c>
      <c r="V359" s="36"/>
      <c r="W359" s="36"/>
      <c r="X359" s="36"/>
      <c r="Y359" s="145">
        <f t="shared" si="108"/>
        <v>27.18</v>
      </c>
      <c r="Z359" s="567"/>
      <c r="AA359" s="12">
        <v>15.1</v>
      </c>
      <c r="AB359" s="12">
        <f t="shared" si="109"/>
        <v>4.5695364238410594</v>
      </c>
      <c r="AC359" s="12">
        <f t="shared" si="110"/>
        <v>0</v>
      </c>
      <c r="AD359" s="34"/>
    </row>
    <row r="360" spans="1:30" ht="16" x14ac:dyDescent="0.2">
      <c r="A360" s="47"/>
      <c r="B360" s="383"/>
      <c r="C360" s="176">
        <f t="shared" si="99"/>
        <v>357</v>
      </c>
      <c r="D360" s="437"/>
      <c r="E360" s="438"/>
      <c r="F360" s="450"/>
      <c r="G360" s="440" t="str">
        <f ca="1">IF(AND(E360&lt;&gt;"",E360&lt;TODAY()),"Disponible",IFERROR(INDEX(Vehiculos[Estado Vehiculo],MATCH(F360,Vehiculos[Placa Vehiculo],0)),""))</f>
        <v/>
      </c>
      <c r="H360" s="441"/>
      <c r="I360" s="441"/>
      <c r="J360" s="441"/>
      <c r="K360" s="442"/>
      <c r="L360" s="442"/>
      <c r="M360" s="443">
        <f t="shared" si="106"/>
        <v>0</v>
      </c>
      <c r="N360" s="443"/>
      <c r="O360" s="442"/>
      <c r="P360" s="444"/>
      <c r="Q360" s="445">
        <f t="shared" si="107"/>
        <v>0</v>
      </c>
      <c r="R360" s="441" t="s">
        <v>273</v>
      </c>
      <c r="S360" s="441" t="s">
        <v>102</v>
      </c>
      <c r="T360" s="444">
        <v>1.8</v>
      </c>
      <c r="U360" s="444">
        <f>Rutas[[#This Row],[Precio x Galón ($/gal)]]*Rutas[[#This Row],[Volumen de Combustible (gal)]]</f>
        <v>0</v>
      </c>
      <c r="V360" s="444"/>
      <c r="W360" s="444"/>
      <c r="X360" s="444"/>
      <c r="Y360" s="447">
        <f t="shared" si="108"/>
        <v>0</v>
      </c>
      <c r="Z360" s="570"/>
      <c r="AA360" s="448"/>
      <c r="AB360" s="448">
        <f t="shared" si="109"/>
        <v>0</v>
      </c>
      <c r="AC360" s="448">
        <f t="shared" si="110"/>
        <v>0</v>
      </c>
      <c r="AD360" s="441"/>
    </row>
    <row r="361" spans="1:30" ht="16" x14ac:dyDescent="0.2">
      <c r="A361" s="47"/>
      <c r="B361" s="383"/>
      <c r="C361" s="176">
        <f t="shared" si="99"/>
        <v>358</v>
      </c>
      <c r="D361" s="146">
        <v>45720</v>
      </c>
      <c r="E361" s="37">
        <v>45735</v>
      </c>
      <c r="F361" s="65" t="s">
        <v>308</v>
      </c>
      <c r="G361" s="11" t="str">
        <f ca="1">IF(AND(E361&lt;&gt;"",E361&lt;TODAY()),"Disponible",IFERROR(INDEX(Vehiculos[Estado Vehiculo],MATCH(F361,Vehiculos[Placa Vehiculo],0)),""))</f>
        <v>Disponible</v>
      </c>
      <c r="H361" s="34" t="s">
        <v>245</v>
      </c>
      <c r="I361" s="34" t="s">
        <v>273</v>
      </c>
      <c r="J361" s="34"/>
      <c r="K361" s="39">
        <v>313</v>
      </c>
      <c r="L361" s="39">
        <v>335</v>
      </c>
      <c r="M361" s="15">
        <f t="shared" si="106"/>
        <v>22</v>
      </c>
      <c r="N361" s="15">
        <f>Rutas[[#This Row],[Kms Recorridos]]</f>
        <v>22</v>
      </c>
      <c r="O361" s="39"/>
      <c r="P361" s="36"/>
      <c r="Q361" s="16">
        <f t="shared" si="107"/>
        <v>0</v>
      </c>
      <c r="R361" s="34" t="s">
        <v>273</v>
      </c>
      <c r="S361" s="34" t="s">
        <v>102</v>
      </c>
      <c r="T361" s="36">
        <v>1.8</v>
      </c>
      <c r="U361" s="167">
        <f>Rutas[[#This Row],[Precio x Galón ($/gal)]]*Rutas[[#This Row],[Volumen de Combustible (gal)]]</f>
        <v>18.341999999999999</v>
      </c>
      <c r="V361" s="36"/>
      <c r="W361" s="36"/>
      <c r="X361" s="36"/>
      <c r="Y361" s="145">
        <f t="shared" si="108"/>
        <v>18.341999999999999</v>
      </c>
      <c r="Z361" s="567"/>
      <c r="AA361" s="12">
        <v>10.19</v>
      </c>
      <c r="AB361" s="12">
        <f t="shared" si="109"/>
        <v>2.1589793915603535</v>
      </c>
      <c r="AC361" s="12">
        <f t="shared" si="110"/>
        <v>0</v>
      </c>
      <c r="AD361" s="34"/>
    </row>
    <row r="362" spans="1:30" ht="16" x14ac:dyDescent="0.2">
      <c r="A362" s="47"/>
      <c r="B362" s="383"/>
      <c r="C362" s="176">
        <f t="shared" si="99"/>
        <v>359</v>
      </c>
      <c r="D362" s="146">
        <v>45735</v>
      </c>
      <c r="E362" s="37">
        <v>45740</v>
      </c>
      <c r="F362" s="65" t="s">
        <v>308</v>
      </c>
      <c r="G362" s="11" t="str">
        <f ca="1">IF(AND(E362&lt;&gt;"",E362&lt;TODAY()),"Disponible",IFERROR(INDEX(Vehiculos[Estado Vehiculo],MATCH(F362,Vehiculos[Placa Vehiculo],0)),""))</f>
        <v>Disponible</v>
      </c>
      <c r="H362" s="34" t="s">
        <v>239</v>
      </c>
      <c r="I362" s="34" t="s">
        <v>273</v>
      </c>
      <c r="J362" s="34"/>
      <c r="K362" s="39">
        <v>335</v>
      </c>
      <c r="L362" s="39">
        <v>363</v>
      </c>
      <c r="M362" s="15">
        <f t="shared" si="106"/>
        <v>28</v>
      </c>
      <c r="N362" s="15">
        <f>Rutas[[#This Row],[Kms Recorridos]]</f>
        <v>28</v>
      </c>
      <c r="O362" s="39"/>
      <c r="P362" s="36"/>
      <c r="Q362" s="16">
        <f t="shared" si="107"/>
        <v>0</v>
      </c>
      <c r="R362" s="34" t="s">
        <v>273</v>
      </c>
      <c r="S362" s="34" t="s">
        <v>102</v>
      </c>
      <c r="T362" s="36">
        <v>1.8</v>
      </c>
      <c r="U362" s="167">
        <f>Rutas[[#This Row],[Precio x Galón ($/gal)]]*Rutas[[#This Row],[Volumen de Combustible (gal)]]</f>
        <v>8.3339999999999996</v>
      </c>
      <c r="V362" s="36"/>
      <c r="W362" s="36"/>
      <c r="X362" s="36"/>
      <c r="Y362" s="145">
        <f t="shared" si="108"/>
        <v>8.3339999999999996</v>
      </c>
      <c r="Z362" s="567"/>
      <c r="AA362" s="12">
        <v>4.63</v>
      </c>
      <c r="AB362" s="12">
        <f t="shared" si="109"/>
        <v>6.0475161987041037</v>
      </c>
      <c r="AC362" s="12">
        <f t="shared" si="110"/>
        <v>0</v>
      </c>
      <c r="AD362" s="34"/>
    </row>
    <row r="363" spans="1:30" ht="16" x14ac:dyDescent="0.2">
      <c r="A363" s="47"/>
      <c r="B363" s="383"/>
      <c r="C363" s="176">
        <f t="shared" si="99"/>
        <v>360</v>
      </c>
      <c r="D363" s="146">
        <v>45740</v>
      </c>
      <c r="E363" s="37">
        <v>45746</v>
      </c>
      <c r="F363" s="65" t="s">
        <v>308</v>
      </c>
      <c r="G363" s="11" t="str">
        <f ca="1">IF(AND(E363&lt;&gt;"",E363&lt;TODAY()),"Disponible",IFERROR(INDEX(Vehiculos[Estado Vehiculo],MATCH(F363,Vehiculos[Placa Vehiculo],0)),""))</f>
        <v>Disponible</v>
      </c>
      <c r="H363" s="34" t="s">
        <v>237</v>
      </c>
      <c r="I363" s="34" t="s">
        <v>273</v>
      </c>
      <c r="J363" s="34"/>
      <c r="K363" s="39">
        <v>363</v>
      </c>
      <c r="L363" s="39">
        <v>387</v>
      </c>
      <c r="M363" s="15">
        <f t="shared" si="106"/>
        <v>24</v>
      </c>
      <c r="N363" s="15">
        <f>Rutas[[#This Row],[Kms Recorridos]]</f>
        <v>24</v>
      </c>
      <c r="O363" s="39"/>
      <c r="P363" s="36"/>
      <c r="Q363" s="16">
        <f t="shared" si="107"/>
        <v>0</v>
      </c>
      <c r="R363" s="34" t="s">
        <v>273</v>
      </c>
      <c r="S363" s="34" t="s">
        <v>102</v>
      </c>
      <c r="T363" s="36">
        <v>1.8</v>
      </c>
      <c r="U363" s="167">
        <f>Rutas[[#This Row],[Precio x Galón ($/gal)]]*Rutas[[#This Row],[Volumen de Combustible (gal)]]</f>
        <v>17.496000000000002</v>
      </c>
      <c r="V363" s="36"/>
      <c r="W363" s="36"/>
      <c r="X363" s="36"/>
      <c r="Y363" s="145">
        <f t="shared" si="108"/>
        <v>17.496000000000002</v>
      </c>
      <c r="Z363" s="567"/>
      <c r="AA363" s="12">
        <v>9.7200000000000006</v>
      </c>
      <c r="AB363" s="12">
        <f t="shared" si="109"/>
        <v>2.4691358024691357</v>
      </c>
      <c r="AC363" s="12">
        <f t="shared" si="110"/>
        <v>0</v>
      </c>
      <c r="AD363" s="34"/>
    </row>
    <row r="364" spans="1:30" ht="16" x14ac:dyDescent="0.2">
      <c r="A364" s="47"/>
      <c r="B364" s="383"/>
      <c r="C364" s="176">
        <f t="shared" si="99"/>
        <v>361</v>
      </c>
      <c r="D364" s="437"/>
      <c r="E364" s="438"/>
      <c r="F364" s="450"/>
      <c r="G364" s="440" t="str">
        <f ca="1">IF(AND(E364&lt;&gt;"",E364&lt;TODAY()),"Disponible",IFERROR(INDEX(Vehiculos[Estado Vehiculo],MATCH(F364,Vehiculos[Placa Vehiculo],0)),""))</f>
        <v/>
      </c>
      <c r="H364" s="441"/>
      <c r="I364" s="441"/>
      <c r="J364" s="441"/>
      <c r="K364" s="442"/>
      <c r="L364" s="442"/>
      <c r="M364" s="443">
        <f t="shared" si="106"/>
        <v>0</v>
      </c>
      <c r="N364" s="443"/>
      <c r="O364" s="442"/>
      <c r="P364" s="444"/>
      <c r="Q364" s="445">
        <f t="shared" si="107"/>
        <v>0</v>
      </c>
      <c r="R364" s="441"/>
      <c r="S364" s="441"/>
      <c r="T364" s="444">
        <v>1.8</v>
      </c>
      <c r="U364" s="444">
        <f>Rutas[[#This Row],[Precio x Galón ($/gal)]]*Rutas[[#This Row],[Volumen de Combustible (gal)]]</f>
        <v>0</v>
      </c>
      <c r="V364" s="444"/>
      <c r="W364" s="444"/>
      <c r="X364" s="444"/>
      <c r="Y364" s="447">
        <f t="shared" si="108"/>
        <v>0</v>
      </c>
      <c r="Z364" s="570"/>
      <c r="AA364" s="448"/>
      <c r="AB364" s="448">
        <f t="shared" si="109"/>
        <v>0</v>
      </c>
      <c r="AC364" s="448">
        <f t="shared" si="110"/>
        <v>0</v>
      </c>
      <c r="AD364" s="441"/>
    </row>
    <row r="365" spans="1:30" ht="16" x14ac:dyDescent="0.2">
      <c r="A365" s="47"/>
      <c r="B365" s="383"/>
      <c r="C365" s="176">
        <f t="shared" si="99"/>
        <v>362</v>
      </c>
      <c r="D365" s="146">
        <v>45722</v>
      </c>
      <c r="E365" s="37">
        <v>45733</v>
      </c>
      <c r="F365" s="65" t="s">
        <v>307</v>
      </c>
      <c r="G365" s="11" t="str">
        <f ca="1">IF(AND(E365&lt;&gt;"",E365&lt;TODAY()),"Disponible",IFERROR(INDEX(Vehiculos[Estado Vehiculo],MATCH(F365,Vehiculos[Placa Vehiculo],0)),""))</f>
        <v>Disponible</v>
      </c>
      <c r="H365" s="34" t="s">
        <v>247</v>
      </c>
      <c r="I365" s="34" t="s">
        <v>273</v>
      </c>
      <c r="J365" s="34"/>
      <c r="K365" s="39">
        <v>4193</v>
      </c>
      <c r="L365" s="39">
        <v>4201</v>
      </c>
      <c r="M365" s="15">
        <f t="shared" si="106"/>
        <v>8</v>
      </c>
      <c r="N365" s="15">
        <f>Rutas[[#This Row],[Kms Recorridos]]</f>
        <v>8</v>
      </c>
      <c r="O365" s="39"/>
      <c r="P365" s="36"/>
      <c r="Q365" s="16">
        <f t="shared" si="107"/>
        <v>0</v>
      </c>
      <c r="R365" s="34" t="s">
        <v>273</v>
      </c>
      <c r="S365" s="34" t="s">
        <v>102</v>
      </c>
      <c r="T365" s="36">
        <v>1.8</v>
      </c>
      <c r="U365" s="167">
        <f>Rutas[[#This Row],[Precio x Galón ($/gal)]]*Rutas[[#This Row],[Volumen de Combustible (gal)]]</f>
        <v>24.894000000000002</v>
      </c>
      <c r="V365" s="36"/>
      <c r="W365" s="36"/>
      <c r="X365" s="36"/>
      <c r="Y365" s="145">
        <f t="shared" si="108"/>
        <v>24.894000000000002</v>
      </c>
      <c r="Z365" s="567"/>
      <c r="AA365" s="12">
        <v>13.83</v>
      </c>
      <c r="AB365" s="12">
        <f t="shared" si="109"/>
        <v>0.57845263919016632</v>
      </c>
      <c r="AC365" s="12">
        <f t="shared" si="110"/>
        <v>0</v>
      </c>
      <c r="AD365" s="34"/>
    </row>
    <row r="366" spans="1:30" ht="16" x14ac:dyDescent="0.2">
      <c r="A366" s="47"/>
      <c r="B366" s="383"/>
      <c r="C366" s="176">
        <f t="shared" si="99"/>
        <v>363</v>
      </c>
      <c r="D366" s="146">
        <v>45733</v>
      </c>
      <c r="E366" s="37">
        <v>45739</v>
      </c>
      <c r="F366" s="65" t="s">
        <v>307</v>
      </c>
      <c r="G366" s="11" t="str">
        <f ca="1">IF(AND(E366&lt;&gt;"",E366&lt;TODAY()),"Disponible",IFERROR(INDEX(Vehiculos[Estado Vehiculo],MATCH(F366,Vehiculos[Placa Vehiculo],0)),""))</f>
        <v>Disponible</v>
      </c>
      <c r="H366" s="34" t="s">
        <v>242</v>
      </c>
      <c r="I366" s="34" t="s">
        <v>273</v>
      </c>
      <c r="J366" s="34"/>
      <c r="K366" s="39">
        <v>4201</v>
      </c>
      <c r="L366" s="39">
        <v>4231</v>
      </c>
      <c r="M366" s="15">
        <f t="shared" si="106"/>
        <v>30</v>
      </c>
      <c r="N366" s="15">
        <f>Rutas[[#This Row],[Kms Recorridos]]</f>
        <v>30</v>
      </c>
      <c r="O366" s="39"/>
      <c r="P366" s="36"/>
      <c r="Q366" s="16">
        <f t="shared" si="107"/>
        <v>0</v>
      </c>
      <c r="R366" s="34" t="s">
        <v>273</v>
      </c>
      <c r="S366" s="34" t="s">
        <v>102</v>
      </c>
      <c r="T366" s="36">
        <v>1.8</v>
      </c>
      <c r="U366" s="167">
        <f>Rutas[[#This Row],[Precio x Galón ($/gal)]]*Rutas[[#This Row],[Volumen de Combustible (gal)]]</f>
        <v>27.917999999999999</v>
      </c>
      <c r="V366" s="36"/>
      <c r="W366" s="36"/>
      <c r="X366" s="36"/>
      <c r="Y366" s="145">
        <f t="shared" si="108"/>
        <v>27.917999999999999</v>
      </c>
      <c r="Z366" s="567"/>
      <c r="AA366" s="12">
        <v>15.51</v>
      </c>
      <c r="AB366" s="12">
        <f t="shared" si="109"/>
        <v>1.9342359767891684</v>
      </c>
      <c r="AC366" s="12">
        <f t="shared" si="110"/>
        <v>0</v>
      </c>
      <c r="AD366" s="34"/>
    </row>
    <row r="367" spans="1:30" ht="16" x14ac:dyDescent="0.2">
      <c r="A367" s="47"/>
      <c r="B367" s="383"/>
      <c r="C367" s="176">
        <f t="shared" si="99"/>
        <v>364</v>
      </c>
      <c r="D367" s="146">
        <v>45739</v>
      </c>
      <c r="E367" s="37">
        <v>45745</v>
      </c>
      <c r="F367" s="65" t="s">
        <v>307</v>
      </c>
      <c r="G367" s="11" t="str">
        <f ca="1">IF(AND(E367&lt;&gt;"",E367&lt;TODAY()),"Disponible",IFERROR(INDEX(Vehiculos[Estado Vehiculo],MATCH(F367,Vehiculos[Placa Vehiculo],0)),""))</f>
        <v>Disponible</v>
      </c>
      <c r="H367" s="34" t="s">
        <v>247</v>
      </c>
      <c r="I367" s="34" t="s">
        <v>273</v>
      </c>
      <c r="J367" s="34"/>
      <c r="K367" s="39">
        <v>4231</v>
      </c>
      <c r="L367" s="39">
        <v>4263</v>
      </c>
      <c r="M367" s="15">
        <f t="shared" si="106"/>
        <v>32</v>
      </c>
      <c r="N367" s="15">
        <f>Rutas[[#This Row],[Kms Recorridos]]</f>
        <v>32</v>
      </c>
      <c r="O367" s="39"/>
      <c r="P367" s="36"/>
      <c r="Q367" s="16">
        <f t="shared" si="107"/>
        <v>0</v>
      </c>
      <c r="R367" s="34" t="s">
        <v>273</v>
      </c>
      <c r="S367" s="34" t="s">
        <v>102</v>
      </c>
      <c r="T367" s="36">
        <v>1.8</v>
      </c>
      <c r="U367" s="167">
        <f>Rutas[[#This Row],[Precio x Galón ($/gal)]]*Rutas[[#This Row],[Volumen de Combustible (gal)]]</f>
        <v>19.584000000000003</v>
      </c>
      <c r="V367" s="36"/>
      <c r="W367" s="36"/>
      <c r="X367" s="36"/>
      <c r="Y367" s="145">
        <f t="shared" si="108"/>
        <v>19.584000000000003</v>
      </c>
      <c r="Z367" s="567"/>
      <c r="AA367" s="12">
        <v>10.88</v>
      </c>
      <c r="AB367" s="12">
        <f t="shared" si="109"/>
        <v>2.9411764705882351</v>
      </c>
      <c r="AC367" s="12">
        <f t="shared" si="110"/>
        <v>0</v>
      </c>
      <c r="AD367" s="34"/>
    </row>
    <row r="368" spans="1:30" ht="16" x14ac:dyDescent="0.2">
      <c r="A368" s="47"/>
      <c r="B368" s="383"/>
      <c r="C368" s="176">
        <f t="shared" si="99"/>
        <v>365</v>
      </c>
      <c r="D368" s="146">
        <v>45745</v>
      </c>
      <c r="E368" s="37">
        <v>45746</v>
      </c>
      <c r="F368" s="65" t="s">
        <v>307</v>
      </c>
      <c r="G368" s="11" t="str">
        <f ca="1">IF(AND(E368&lt;&gt;"",E368&lt;TODAY()),"Disponible",IFERROR(INDEX(Vehiculos[Estado Vehiculo],MATCH(F368,Vehiculos[Placa Vehiculo],0)),""))</f>
        <v>Disponible</v>
      </c>
      <c r="H368" s="34" t="s">
        <v>247</v>
      </c>
      <c r="I368" s="34" t="s">
        <v>273</v>
      </c>
      <c r="J368" s="34"/>
      <c r="K368" s="39">
        <v>4263</v>
      </c>
      <c r="L368" s="39">
        <v>4283</v>
      </c>
      <c r="M368" s="15">
        <f t="shared" si="106"/>
        <v>20</v>
      </c>
      <c r="N368" s="15">
        <f>Rutas[[#This Row],[Kms Recorridos]]</f>
        <v>20</v>
      </c>
      <c r="O368" s="39"/>
      <c r="P368" s="36"/>
      <c r="Q368" s="16">
        <f t="shared" si="107"/>
        <v>0</v>
      </c>
      <c r="R368" s="34" t="s">
        <v>273</v>
      </c>
      <c r="S368" s="34" t="s">
        <v>102</v>
      </c>
      <c r="T368" s="36">
        <v>1.8</v>
      </c>
      <c r="U368" s="167">
        <f>Rutas[[#This Row],[Precio x Galón ($/gal)]]*Rutas[[#This Row],[Volumen de Combustible (gal)]]</f>
        <v>24.965999999999998</v>
      </c>
      <c r="V368" s="36"/>
      <c r="W368" s="36"/>
      <c r="X368" s="36"/>
      <c r="Y368" s="145">
        <f t="shared" si="108"/>
        <v>24.965999999999998</v>
      </c>
      <c r="Z368" s="567"/>
      <c r="AA368" s="12">
        <v>13.87</v>
      </c>
      <c r="AB368" s="12">
        <f t="shared" si="109"/>
        <v>1.4419610670511898</v>
      </c>
      <c r="AC368" s="12">
        <f t="shared" si="110"/>
        <v>0</v>
      </c>
      <c r="AD368" s="34"/>
    </row>
    <row r="369" spans="1:30" ht="16" x14ac:dyDescent="0.2">
      <c r="A369" s="47"/>
      <c r="B369" s="383"/>
      <c r="C369" s="176">
        <f t="shared" si="99"/>
        <v>366</v>
      </c>
      <c r="D369" s="437"/>
      <c r="E369" s="438"/>
      <c r="F369" s="450"/>
      <c r="G369" s="440" t="str">
        <f ca="1">IF(AND(E369&lt;&gt;"",E369&lt;TODAY()),"Disponible",IFERROR(INDEX(Vehiculos[Estado Vehiculo],MATCH(F369,Vehiculos[Placa Vehiculo],0)),""))</f>
        <v/>
      </c>
      <c r="H369" s="441"/>
      <c r="I369" s="441"/>
      <c r="J369" s="441"/>
      <c r="K369" s="442"/>
      <c r="L369" s="442"/>
      <c r="M369" s="443">
        <f t="shared" si="106"/>
        <v>0</v>
      </c>
      <c r="N369" s="443"/>
      <c r="O369" s="442"/>
      <c r="P369" s="444"/>
      <c r="Q369" s="445">
        <f t="shared" si="107"/>
        <v>0</v>
      </c>
      <c r="R369" s="441"/>
      <c r="S369" s="441"/>
      <c r="T369" s="444"/>
      <c r="U369" s="444">
        <f>Rutas[[#This Row],[Precio x Galón ($/gal)]]*Rutas[[#This Row],[Volumen de Combustible (gal)]]</f>
        <v>0</v>
      </c>
      <c r="V369" s="444"/>
      <c r="W369" s="444"/>
      <c r="X369" s="444"/>
      <c r="Y369" s="447">
        <f t="shared" si="108"/>
        <v>0</v>
      </c>
      <c r="Z369" s="570"/>
      <c r="AA369" s="448"/>
      <c r="AB369" s="448">
        <f t="shared" si="109"/>
        <v>0</v>
      </c>
      <c r="AC369" s="448">
        <f t="shared" si="110"/>
        <v>0</v>
      </c>
      <c r="AD369" s="441"/>
    </row>
    <row r="370" spans="1:30" ht="16" x14ac:dyDescent="0.2">
      <c r="A370" s="47"/>
      <c r="B370" s="383"/>
      <c r="C370" s="176">
        <f t="shared" si="99"/>
        <v>367</v>
      </c>
      <c r="D370" s="146">
        <v>45717</v>
      </c>
      <c r="E370" s="37">
        <v>45725</v>
      </c>
      <c r="F370" s="65" t="s">
        <v>312</v>
      </c>
      <c r="G370" s="11" t="str">
        <f ca="1">IF(AND(E370&lt;&gt;"",E370&lt;TODAY()),"Disponible",IFERROR(INDEX(Vehiculos[Estado Vehiculo],MATCH(F370,Vehiculos[Placa Vehiculo],0)),""))</f>
        <v>Disponible</v>
      </c>
      <c r="H370" s="34" t="s">
        <v>250</v>
      </c>
      <c r="I370" s="34" t="s">
        <v>273</v>
      </c>
      <c r="J370" s="34"/>
      <c r="K370" s="39">
        <v>3179</v>
      </c>
      <c r="L370" s="39">
        <v>3180</v>
      </c>
      <c r="M370" s="15">
        <f t="shared" si="106"/>
        <v>1</v>
      </c>
      <c r="N370" s="15">
        <f>Rutas[[#This Row],[Kms Recorridos]]</f>
        <v>1</v>
      </c>
      <c r="O370" s="39"/>
      <c r="P370" s="36"/>
      <c r="Q370" s="16">
        <f t="shared" si="107"/>
        <v>0</v>
      </c>
      <c r="R370" s="34" t="s">
        <v>273</v>
      </c>
      <c r="S370" s="34" t="s">
        <v>102</v>
      </c>
      <c r="T370" s="36">
        <v>1.8</v>
      </c>
      <c r="U370" s="167">
        <f>Rutas[[#This Row],[Precio x Galón ($/gal)]]*Rutas[[#This Row],[Volumen de Combustible (gal)]]</f>
        <v>33.246000000000002</v>
      </c>
      <c r="V370" s="36"/>
      <c r="W370" s="36"/>
      <c r="X370" s="36"/>
      <c r="Y370" s="145">
        <f t="shared" si="108"/>
        <v>33.246000000000002</v>
      </c>
      <c r="Z370" s="567"/>
      <c r="AA370" s="12">
        <v>18.47</v>
      </c>
      <c r="AB370" s="12">
        <f t="shared" si="109"/>
        <v>5.4141851651326477E-2</v>
      </c>
      <c r="AC370" s="12">
        <f t="shared" si="110"/>
        <v>0</v>
      </c>
      <c r="AD370" s="34"/>
    </row>
    <row r="371" spans="1:30" ht="16" x14ac:dyDescent="0.2">
      <c r="A371" s="47"/>
      <c r="B371" s="383"/>
      <c r="C371" s="176">
        <f t="shared" si="99"/>
        <v>368</v>
      </c>
      <c r="D371" s="146">
        <f>E370</f>
        <v>45725</v>
      </c>
      <c r="E371" s="37">
        <v>45728</v>
      </c>
      <c r="F371" s="65" t="s">
        <v>312</v>
      </c>
      <c r="G371" s="11" t="str">
        <f ca="1">IF(AND(E371&lt;&gt;"",E371&lt;TODAY()),"Disponible",IFERROR(INDEX(Vehiculos[Estado Vehiculo],MATCH(F371,Vehiculos[Placa Vehiculo],0)),""))</f>
        <v>Disponible</v>
      </c>
      <c r="H371" s="34" t="s">
        <v>245</v>
      </c>
      <c r="I371" s="34" t="s">
        <v>273</v>
      </c>
      <c r="J371" s="34"/>
      <c r="K371" s="39">
        <f>L370</f>
        <v>3180</v>
      </c>
      <c r="L371" s="39">
        <v>3181</v>
      </c>
      <c r="M371" s="15">
        <f t="shared" si="106"/>
        <v>1</v>
      </c>
      <c r="N371" s="15">
        <f>Rutas[[#This Row],[Kms Recorridos]]</f>
        <v>1</v>
      </c>
      <c r="O371" s="39"/>
      <c r="P371" s="36"/>
      <c r="Q371" s="16">
        <f t="shared" si="107"/>
        <v>0</v>
      </c>
      <c r="R371" s="34" t="s">
        <v>273</v>
      </c>
      <c r="S371" s="34" t="s">
        <v>102</v>
      </c>
      <c r="T371" s="36">
        <v>1.8</v>
      </c>
      <c r="U371" s="167">
        <f>Rutas[[#This Row],[Precio x Galón ($/gal)]]*Rutas[[#This Row],[Volumen de Combustible (gal)]]</f>
        <v>32.364000000000004</v>
      </c>
      <c r="V371" s="36"/>
      <c r="W371" s="36"/>
      <c r="X371" s="36"/>
      <c r="Y371" s="145">
        <f t="shared" si="108"/>
        <v>32.364000000000004</v>
      </c>
      <c r="Z371" s="567"/>
      <c r="AA371" s="12">
        <v>17.98</v>
      </c>
      <c r="AB371" s="12">
        <f t="shared" si="109"/>
        <v>5.5617352614015569E-2</v>
      </c>
      <c r="AC371" s="12">
        <f t="shared" si="110"/>
        <v>0</v>
      </c>
      <c r="AD371" s="34"/>
    </row>
    <row r="372" spans="1:30" ht="16" x14ac:dyDescent="0.2">
      <c r="A372" s="47"/>
      <c r="B372" s="383"/>
      <c r="C372" s="176">
        <f t="shared" si="99"/>
        <v>369</v>
      </c>
      <c r="D372" s="146">
        <f>E371</f>
        <v>45728</v>
      </c>
      <c r="E372" s="37">
        <v>45731</v>
      </c>
      <c r="F372" s="65" t="s">
        <v>312</v>
      </c>
      <c r="G372" s="11" t="str">
        <f ca="1">IF(AND(E372&lt;&gt;"",E372&lt;TODAY()),"Disponible",IFERROR(INDEX(Vehiculos[Estado Vehiculo],MATCH(F372,Vehiculos[Placa Vehiculo],0)),""))</f>
        <v>Disponible</v>
      </c>
      <c r="H372" s="34" t="s">
        <v>238</v>
      </c>
      <c r="I372" s="34" t="s">
        <v>273</v>
      </c>
      <c r="J372" s="34"/>
      <c r="K372" s="39">
        <f>L371</f>
        <v>3181</v>
      </c>
      <c r="L372" s="39">
        <v>3182</v>
      </c>
      <c r="M372" s="15">
        <f t="shared" si="106"/>
        <v>1</v>
      </c>
      <c r="N372" s="15">
        <f>Rutas[[#This Row],[Kms Recorridos]]</f>
        <v>1</v>
      </c>
      <c r="O372" s="39"/>
      <c r="P372" s="36"/>
      <c r="Q372" s="16">
        <f t="shared" si="107"/>
        <v>0</v>
      </c>
      <c r="R372" s="34" t="s">
        <v>273</v>
      </c>
      <c r="S372" s="34" t="s">
        <v>102</v>
      </c>
      <c r="T372" s="36">
        <v>1.8</v>
      </c>
      <c r="U372" s="167">
        <f>Rutas[[#This Row],[Precio x Galón ($/gal)]]*Rutas[[#This Row],[Volumen de Combustible (gal)]]</f>
        <v>30.186</v>
      </c>
      <c r="V372" s="36"/>
      <c r="W372" s="36"/>
      <c r="X372" s="36"/>
      <c r="Y372" s="145">
        <f t="shared" si="108"/>
        <v>30.186</v>
      </c>
      <c r="Z372" s="567"/>
      <c r="AA372" s="12">
        <v>16.77</v>
      </c>
      <c r="AB372" s="12">
        <f t="shared" si="109"/>
        <v>5.9630292188431723E-2</v>
      </c>
      <c r="AC372" s="12">
        <f t="shared" si="110"/>
        <v>0</v>
      </c>
      <c r="AD372" s="34"/>
    </row>
    <row r="373" spans="1:30" ht="16" x14ac:dyDescent="0.2">
      <c r="A373" s="47"/>
      <c r="B373" s="383"/>
      <c r="C373" s="176">
        <f t="shared" si="99"/>
        <v>370</v>
      </c>
      <c r="D373" s="146">
        <f>E372</f>
        <v>45731</v>
      </c>
      <c r="E373" s="37">
        <v>45740</v>
      </c>
      <c r="F373" s="65" t="s">
        <v>312</v>
      </c>
      <c r="G373" s="11" t="str">
        <f ca="1">IF(AND(E373&lt;&gt;"",E373&lt;TODAY()),"Disponible",IFERROR(INDEX(Vehiculos[Estado Vehiculo],MATCH(F373,Vehiculos[Placa Vehiculo],0)),""))</f>
        <v>Disponible</v>
      </c>
      <c r="H373" s="34" t="s">
        <v>238</v>
      </c>
      <c r="I373" s="34" t="s">
        <v>273</v>
      </c>
      <c r="J373" s="34"/>
      <c r="K373" s="39">
        <f>L372</f>
        <v>3182</v>
      </c>
      <c r="L373" s="39">
        <v>3183</v>
      </c>
      <c r="M373" s="15">
        <f t="shared" si="106"/>
        <v>1</v>
      </c>
      <c r="N373" s="15">
        <f>Rutas[[#This Row],[Kms Recorridos]]</f>
        <v>1</v>
      </c>
      <c r="O373" s="39"/>
      <c r="P373" s="36"/>
      <c r="Q373" s="16">
        <f t="shared" si="107"/>
        <v>0</v>
      </c>
      <c r="R373" s="34" t="s">
        <v>273</v>
      </c>
      <c r="S373" s="34" t="s">
        <v>102</v>
      </c>
      <c r="T373" s="36">
        <v>1.8</v>
      </c>
      <c r="U373" s="167">
        <f>Rutas[[#This Row],[Precio x Galón ($/gal)]]*Rutas[[#This Row],[Volumen de Combustible (gal)]]</f>
        <v>31.338000000000001</v>
      </c>
      <c r="V373" s="36"/>
      <c r="W373" s="36"/>
      <c r="X373" s="36"/>
      <c r="Y373" s="145">
        <f t="shared" si="108"/>
        <v>31.338000000000001</v>
      </c>
      <c r="Z373" s="567"/>
      <c r="AA373" s="12">
        <v>17.41</v>
      </c>
      <c r="AB373" s="12">
        <f t="shared" si="109"/>
        <v>5.7438253877082138E-2</v>
      </c>
      <c r="AC373" s="12">
        <f t="shared" si="110"/>
        <v>0</v>
      </c>
      <c r="AD373" s="34"/>
    </row>
    <row r="374" spans="1:30" ht="16" x14ac:dyDescent="0.2">
      <c r="A374" s="47"/>
      <c r="B374" s="383"/>
      <c r="C374" s="176">
        <f t="shared" si="99"/>
        <v>371</v>
      </c>
      <c r="D374" s="146">
        <v>45740</v>
      </c>
      <c r="E374" s="37">
        <v>45742</v>
      </c>
      <c r="F374" s="65" t="s">
        <v>312</v>
      </c>
      <c r="G374" s="11" t="str">
        <f ca="1">IF(AND(E374&lt;&gt;"",E374&lt;TODAY()),"Disponible",IFERROR(INDEX(Vehiculos[Estado Vehiculo],MATCH(F374,Vehiculos[Placa Vehiculo],0)),""))</f>
        <v>Disponible</v>
      </c>
      <c r="H374" s="34" t="s">
        <v>250</v>
      </c>
      <c r="I374" s="34" t="s">
        <v>273</v>
      </c>
      <c r="J374" s="34"/>
      <c r="K374" s="39">
        <f>L373</f>
        <v>3183</v>
      </c>
      <c r="L374" s="39">
        <v>3186</v>
      </c>
      <c r="M374" s="15">
        <f t="shared" si="106"/>
        <v>3</v>
      </c>
      <c r="N374" s="15">
        <f>Rutas[[#This Row],[Kms Recorridos]]</f>
        <v>3</v>
      </c>
      <c r="O374" s="39"/>
      <c r="P374" s="36"/>
      <c r="Q374" s="16">
        <f t="shared" si="107"/>
        <v>0</v>
      </c>
      <c r="R374" s="34" t="s">
        <v>273</v>
      </c>
      <c r="S374" s="34" t="s">
        <v>102</v>
      </c>
      <c r="T374" s="36">
        <v>1.8</v>
      </c>
      <c r="U374" s="167">
        <f>Rutas[[#This Row],[Precio x Galón ($/gal)]]*Rutas[[#This Row],[Volumen de Combustible (gal)]]</f>
        <v>31.806000000000004</v>
      </c>
      <c r="V374" s="36"/>
      <c r="W374" s="36"/>
      <c r="X374" s="36"/>
      <c r="Y374" s="145">
        <f t="shared" si="108"/>
        <v>31.806000000000004</v>
      </c>
      <c r="Z374" s="567"/>
      <c r="AA374" s="12">
        <v>17.670000000000002</v>
      </c>
      <c r="AB374" s="12">
        <f t="shared" si="109"/>
        <v>0.1697792869269949</v>
      </c>
      <c r="AC374" s="12">
        <f t="shared" si="110"/>
        <v>0</v>
      </c>
      <c r="AD374" s="34"/>
    </row>
    <row r="375" spans="1:30" ht="16" x14ac:dyDescent="0.2">
      <c r="A375" s="47"/>
      <c r="B375" s="383"/>
      <c r="C375" s="176">
        <f t="shared" si="99"/>
        <v>372</v>
      </c>
      <c r="D375" s="146">
        <v>45742</v>
      </c>
      <c r="E375" s="37">
        <v>45746</v>
      </c>
      <c r="F375" s="65" t="s">
        <v>312</v>
      </c>
      <c r="G375" s="11" t="str">
        <f ca="1">IF(AND(E375&lt;&gt;"",E375&lt;TODAY()),"Disponible",IFERROR(INDEX(Vehiculos[Estado Vehiculo],MATCH(F375,Vehiculos[Placa Vehiculo],0)),""))</f>
        <v>Disponible</v>
      </c>
      <c r="H375" s="34" t="s">
        <v>250</v>
      </c>
      <c r="I375" s="34" t="s">
        <v>273</v>
      </c>
      <c r="J375" s="34"/>
      <c r="K375" s="39">
        <f>L374</f>
        <v>3186</v>
      </c>
      <c r="L375" s="39">
        <v>3192</v>
      </c>
      <c r="M375" s="15">
        <f t="shared" si="106"/>
        <v>6</v>
      </c>
      <c r="N375" s="15">
        <f>Rutas[[#This Row],[Kms Recorridos]]</f>
        <v>6</v>
      </c>
      <c r="O375" s="39"/>
      <c r="P375" s="36"/>
      <c r="Q375" s="16">
        <f t="shared" si="107"/>
        <v>0</v>
      </c>
      <c r="R375" s="34" t="s">
        <v>273</v>
      </c>
      <c r="S375" s="34" t="s">
        <v>102</v>
      </c>
      <c r="T375" s="36">
        <v>1.8</v>
      </c>
      <c r="U375" s="167">
        <f>Rutas[[#This Row],[Precio x Galón ($/gal)]]*Rutas[[#This Row],[Volumen de Combustible (gal)]]</f>
        <v>27</v>
      </c>
      <c r="V375" s="36"/>
      <c r="W375" s="36"/>
      <c r="X375" s="36"/>
      <c r="Y375" s="145">
        <f t="shared" si="108"/>
        <v>27</v>
      </c>
      <c r="Z375" s="567"/>
      <c r="AA375" s="12">
        <v>15</v>
      </c>
      <c r="AB375" s="12">
        <f t="shared" si="109"/>
        <v>0.4</v>
      </c>
      <c r="AC375" s="12">
        <f t="shared" si="110"/>
        <v>0</v>
      </c>
      <c r="AD375" s="34"/>
    </row>
    <row r="376" spans="1:30" ht="16" x14ac:dyDescent="0.2">
      <c r="A376" s="47"/>
      <c r="B376" s="383"/>
      <c r="C376" s="176">
        <f t="shared" si="99"/>
        <v>373</v>
      </c>
      <c r="D376" s="437"/>
      <c r="E376" s="438"/>
      <c r="F376" s="450"/>
      <c r="G376" s="440" t="str">
        <f ca="1">IF(AND(E376&lt;&gt;"",E376&lt;TODAY()),"Disponible",IFERROR(INDEX(Vehiculos[Estado Vehiculo],MATCH(F376,Vehiculos[Placa Vehiculo],0)),""))</f>
        <v/>
      </c>
      <c r="H376" s="441"/>
      <c r="I376" s="441"/>
      <c r="J376" s="441"/>
      <c r="K376" s="442"/>
      <c r="L376" s="442"/>
      <c r="M376" s="443">
        <f t="shared" si="106"/>
        <v>0</v>
      </c>
      <c r="N376" s="443"/>
      <c r="O376" s="442"/>
      <c r="P376" s="444"/>
      <c r="Q376" s="445">
        <f t="shared" si="107"/>
        <v>0</v>
      </c>
      <c r="R376" s="441"/>
      <c r="S376" s="441"/>
      <c r="T376" s="444"/>
      <c r="U376" s="444">
        <f>Rutas[[#This Row],[Precio x Galón ($/gal)]]*Rutas[[#This Row],[Volumen de Combustible (gal)]]</f>
        <v>0</v>
      </c>
      <c r="V376" s="444"/>
      <c r="W376" s="444"/>
      <c r="X376" s="444"/>
      <c r="Y376" s="447">
        <f t="shared" si="108"/>
        <v>0</v>
      </c>
      <c r="Z376" s="570"/>
      <c r="AA376" s="448"/>
      <c r="AB376" s="448">
        <f t="shared" si="109"/>
        <v>0</v>
      </c>
      <c r="AC376" s="448">
        <f t="shared" si="110"/>
        <v>0</v>
      </c>
      <c r="AD376" s="441"/>
    </row>
    <row r="377" spans="1:30" ht="16" x14ac:dyDescent="0.2">
      <c r="A377" s="47"/>
      <c r="B377" s="383"/>
      <c r="C377" s="176">
        <f t="shared" si="99"/>
        <v>374</v>
      </c>
      <c r="D377" s="146">
        <v>45717</v>
      </c>
      <c r="E377" s="37">
        <v>45721</v>
      </c>
      <c r="F377" s="65" t="s">
        <v>311</v>
      </c>
      <c r="G377" s="11" t="str">
        <f ca="1">IF(AND(E377&lt;&gt;"",E377&lt;TODAY()),"Disponible",IFERROR(INDEX(Vehiculos[Estado Vehiculo],MATCH(F377,Vehiculos[Placa Vehiculo],0)),""))</f>
        <v>Disponible</v>
      </c>
      <c r="H377" s="34" t="s">
        <v>245</v>
      </c>
      <c r="I377" s="34" t="s">
        <v>273</v>
      </c>
      <c r="J377" s="34"/>
      <c r="K377" s="39">
        <v>1305</v>
      </c>
      <c r="L377" s="39">
        <v>1322</v>
      </c>
      <c r="M377" s="15">
        <f t="shared" si="106"/>
        <v>17</v>
      </c>
      <c r="N377" s="15">
        <f>Rutas[[#This Row],[Kms Recorridos]]</f>
        <v>17</v>
      </c>
      <c r="O377" s="39"/>
      <c r="P377" s="36"/>
      <c r="Q377" s="16">
        <f t="shared" si="107"/>
        <v>0</v>
      </c>
      <c r="R377" s="34" t="s">
        <v>273</v>
      </c>
      <c r="S377" s="34" t="s">
        <v>102</v>
      </c>
      <c r="T377" s="36">
        <v>1.8</v>
      </c>
      <c r="U377" s="167">
        <f>Rutas[[#This Row],[Precio x Galón ($/gal)]]*Rutas[[#This Row],[Volumen de Combustible (gal)]]</f>
        <v>9.7920000000000016</v>
      </c>
      <c r="V377" s="36"/>
      <c r="W377" s="36"/>
      <c r="X377" s="36"/>
      <c r="Y377" s="145">
        <f t="shared" si="108"/>
        <v>9.7920000000000016</v>
      </c>
      <c r="Z377" s="567"/>
      <c r="AA377" s="12">
        <v>5.44</v>
      </c>
      <c r="AB377" s="12">
        <f t="shared" si="109"/>
        <v>3.1249999999999996</v>
      </c>
      <c r="AC377" s="12">
        <f t="shared" si="110"/>
        <v>0</v>
      </c>
      <c r="AD377" s="34"/>
    </row>
    <row r="378" spans="1:30" ht="16" x14ac:dyDescent="0.2">
      <c r="A378" s="47"/>
      <c r="B378" s="383"/>
      <c r="C378" s="176">
        <f t="shared" si="99"/>
        <v>375</v>
      </c>
      <c r="D378" s="146">
        <f>E377</f>
        <v>45721</v>
      </c>
      <c r="E378" s="37">
        <v>45723</v>
      </c>
      <c r="F378" s="65" t="s">
        <v>311</v>
      </c>
      <c r="G378" s="11" t="str">
        <f ca="1">IF(AND(E378&lt;&gt;"",E378&lt;TODAY()),"Disponible",IFERROR(INDEX(Vehiculos[Estado Vehiculo],MATCH(F378,Vehiculos[Placa Vehiculo],0)),""))</f>
        <v>Disponible</v>
      </c>
      <c r="H378" s="34" t="s">
        <v>245</v>
      </c>
      <c r="I378" s="34" t="s">
        <v>273</v>
      </c>
      <c r="J378" s="34"/>
      <c r="K378" s="39">
        <v>1322</v>
      </c>
      <c r="L378" s="39">
        <v>1338</v>
      </c>
      <c r="M378" s="15">
        <f t="shared" si="106"/>
        <v>16</v>
      </c>
      <c r="N378" s="15">
        <f>Rutas[[#This Row],[Kms Recorridos]]</f>
        <v>16</v>
      </c>
      <c r="O378" s="39"/>
      <c r="P378" s="36"/>
      <c r="Q378" s="16">
        <f t="shared" si="107"/>
        <v>0</v>
      </c>
      <c r="R378" s="34" t="s">
        <v>273</v>
      </c>
      <c r="S378" s="34" t="s">
        <v>102</v>
      </c>
      <c r="T378" s="36">
        <v>1.8</v>
      </c>
      <c r="U378" s="167">
        <f>Rutas[[#This Row],[Precio x Galón ($/gal)]]*Rutas[[#This Row],[Volumen de Combustible (gal)]]</f>
        <v>27.791999999999998</v>
      </c>
      <c r="V378" s="36"/>
      <c r="W378" s="36"/>
      <c r="X378" s="36"/>
      <c r="Y378" s="145">
        <f t="shared" si="108"/>
        <v>27.791999999999998</v>
      </c>
      <c r="Z378" s="567"/>
      <c r="AA378" s="12">
        <v>15.44</v>
      </c>
      <c r="AB378" s="12">
        <f t="shared" si="109"/>
        <v>1.0362694300518136</v>
      </c>
      <c r="AC378" s="12">
        <f t="shared" si="110"/>
        <v>0</v>
      </c>
      <c r="AD378" s="34"/>
    </row>
    <row r="379" spans="1:30" ht="16" x14ac:dyDescent="0.2">
      <c r="A379" s="47"/>
      <c r="B379" s="383"/>
      <c r="C379" s="176">
        <f t="shared" si="99"/>
        <v>376</v>
      </c>
      <c r="D379" s="146">
        <f>E378</f>
        <v>45723</v>
      </c>
      <c r="E379" s="37">
        <v>45731</v>
      </c>
      <c r="F379" s="65" t="s">
        <v>311</v>
      </c>
      <c r="G379" s="11" t="str">
        <f ca="1">IF(AND(E379&lt;&gt;"",E379&lt;TODAY()),"Disponible",IFERROR(INDEX(Vehiculos[Estado Vehiculo],MATCH(F379,Vehiculos[Placa Vehiculo],0)),""))</f>
        <v>Disponible</v>
      </c>
      <c r="H379" s="34" t="s">
        <v>246</v>
      </c>
      <c r="I379" s="34" t="s">
        <v>273</v>
      </c>
      <c r="J379" s="34"/>
      <c r="K379" s="39">
        <v>1338</v>
      </c>
      <c r="L379" s="39">
        <v>1363</v>
      </c>
      <c r="M379" s="15">
        <f t="shared" si="106"/>
        <v>25</v>
      </c>
      <c r="N379" s="15">
        <f>Rutas[[#This Row],[Kms Recorridos]]</f>
        <v>25</v>
      </c>
      <c r="O379" s="39"/>
      <c r="P379" s="36"/>
      <c r="Q379" s="16">
        <f t="shared" si="107"/>
        <v>0</v>
      </c>
      <c r="R379" s="34" t="s">
        <v>273</v>
      </c>
      <c r="S379" s="34" t="s">
        <v>102</v>
      </c>
      <c r="T379" s="36">
        <v>1.8</v>
      </c>
      <c r="U379" s="167">
        <f>Rutas[[#This Row],[Precio x Galón ($/gal)]]*Rutas[[#This Row],[Volumen de Combustible (gal)]]</f>
        <v>19.71</v>
      </c>
      <c r="V379" s="36"/>
      <c r="W379" s="36"/>
      <c r="X379" s="36"/>
      <c r="Y379" s="145">
        <f t="shared" si="108"/>
        <v>19.71</v>
      </c>
      <c r="Z379" s="567"/>
      <c r="AA379" s="12">
        <v>10.95</v>
      </c>
      <c r="AB379" s="12">
        <f t="shared" si="109"/>
        <v>2.2831050228310503</v>
      </c>
      <c r="AC379" s="12">
        <f t="shared" si="110"/>
        <v>0</v>
      </c>
      <c r="AD379" s="34"/>
    </row>
    <row r="380" spans="1:30" ht="16" x14ac:dyDescent="0.2">
      <c r="A380" s="47"/>
      <c r="B380" s="383"/>
      <c r="C380" s="176">
        <f t="shared" si="99"/>
        <v>377</v>
      </c>
      <c r="D380" s="146">
        <f>E379</f>
        <v>45731</v>
      </c>
      <c r="E380" s="37">
        <v>45740</v>
      </c>
      <c r="F380" s="65" t="s">
        <v>311</v>
      </c>
      <c r="G380" s="11" t="str">
        <f ca="1">IF(AND(E380&lt;&gt;"",E380&lt;TODAY()),"Disponible",IFERROR(INDEX(Vehiculos[Estado Vehiculo],MATCH(F380,Vehiculos[Placa Vehiculo],0)),""))</f>
        <v>Disponible</v>
      </c>
      <c r="H380" s="34" t="s">
        <v>231</v>
      </c>
      <c r="I380" s="34" t="s">
        <v>273</v>
      </c>
      <c r="J380" s="34"/>
      <c r="K380" s="39">
        <v>1363</v>
      </c>
      <c r="L380" s="39">
        <v>1386</v>
      </c>
      <c r="M380" s="15">
        <f t="shared" si="106"/>
        <v>23</v>
      </c>
      <c r="N380" s="15">
        <f>Rutas[[#This Row],[Kms Recorridos]]</f>
        <v>23</v>
      </c>
      <c r="O380" s="39"/>
      <c r="P380" s="36"/>
      <c r="Q380" s="16">
        <f t="shared" si="107"/>
        <v>0</v>
      </c>
      <c r="R380" s="34" t="s">
        <v>273</v>
      </c>
      <c r="S380" s="34" t="s">
        <v>102</v>
      </c>
      <c r="T380" s="36">
        <v>1.8</v>
      </c>
      <c r="U380" s="167">
        <f>Rutas[[#This Row],[Precio x Galón ($/gal)]]*Rutas[[#This Row],[Volumen de Combustible (gal)]]</f>
        <v>29.933999999999997</v>
      </c>
      <c r="V380" s="36"/>
      <c r="W380" s="36"/>
      <c r="X380" s="36"/>
      <c r="Y380" s="145">
        <f t="shared" si="108"/>
        <v>29.933999999999997</v>
      </c>
      <c r="Z380" s="567"/>
      <c r="AA380" s="12">
        <v>16.63</v>
      </c>
      <c r="AB380" s="12">
        <f t="shared" si="109"/>
        <v>1.3830426939266387</v>
      </c>
      <c r="AC380" s="12">
        <f t="shared" si="110"/>
        <v>0</v>
      </c>
      <c r="AD380" s="34"/>
    </row>
    <row r="381" spans="1:30" ht="16" x14ac:dyDescent="0.2">
      <c r="A381" s="47"/>
      <c r="B381" s="383"/>
      <c r="C381" s="176">
        <f t="shared" si="99"/>
        <v>378</v>
      </c>
      <c r="D381" s="146">
        <f>E380</f>
        <v>45740</v>
      </c>
      <c r="E381" s="37">
        <v>45742</v>
      </c>
      <c r="F381" s="65" t="s">
        <v>311</v>
      </c>
      <c r="G381" s="11" t="str">
        <f ca="1">IF(AND(E381&lt;&gt;"",E381&lt;TODAY()),"Disponible",IFERROR(INDEX(Vehiculos[Estado Vehiculo],MATCH(F381,Vehiculos[Placa Vehiculo],0)),""))</f>
        <v>Disponible</v>
      </c>
      <c r="H381" s="34" t="s">
        <v>231</v>
      </c>
      <c r="I381" s="34" t="s">
        <v>273</v>
      </c>
      <c r="J381" s="34"/>
      <c r="K381" s="39">
        <v>1386</v>
      </c>
      <c r="L381" s="39">
        <v>1415</v>
      </c>
      <c r="M381" s="15">
        <f t="shared" si="106"/>
        <v>29</v>
      </c>
      <c r="N381" s="15">
        <f>Rutas[[#This Row],[Kms Recorridos]]</f>
        <v>29</v>
      </c>
      <c r="O381" s="39"/>
      <c r="P381" s="36"/>
      <c r="Q381" s="16">
        <f t="shared" si="107"/>
        <v>0</v>
      </c>
      <c r="R381" s="34" t="s">
        <v>273</v>
      </c>
      <c r="S381" s="34" t="s">
        <v>102</v>
      </c>
      <c r="T381" s="36">
        <v>1.8</v>
      </c>
      <c r="U381" s="167">
        <f>Rutas[[#This Row],[Precio x Galón ($/gal)]]*Rutas[[#This Row],[Volumen de Combustible (gal)]]</f>
        <v>27.702000000000002</v>
      </c>
      <c r="V381" s="36"/>
      <c r="W381" s="36"/>
      <c r="X381" s="36"/>
      <c r="Y381" s="145">
        <f t="shared" si="108"/>
        <v>27.702000000000002</v>
      </c>
      <c r="Z381" s="567"/>
      <c r="AA381" s="12">
        <v>15.39</v>
      </c>
      <c r="AB381" s="12">
        <f t="shared" si="109"/>
        <v>1.8843404808317088</v>
      </c>
      <c r="AC381" s="12">
        <f t="shared" si="110"/>
        <v>0</v>
      </c>
      <c r="AD381" s="34"/>
    </row>
    <row r="382" spans="1:30" ht="16" x14ac:dyDescent="0.2">
      <c r="A382" s="47"/>
      <c r="B382" s="383"/>
      <c r="C382" s="176">
        <f t="shared" si="99"/>
        <v>379</v>
      </c>
      <c r="D382" s="146">
        <v>45742</v>
      </c>
      <c r="E382" s="37">
        <v>45745</v>
      </c>
      <c r="F382" s="65" t="s">
        <v>311</v>
      </c>
      <c r="G382" s="11" t="str">
        <f ca="1">IF(AND(E382&lt;&gt;"",E382&lt;TODAY()),"Disponible",IFERROR(INDEX(Vehiculos[Estado Vehiculo],MATCH(F382,Vehiculos[Placa Vehiculo],0)),""))</f>
        <v>Disponible</v>
      </c>
      <c r="H382" s="34" t="s">
        <v>250</v>
      </c>
      <c r="I382" s="34" t="s">
        <v>273</v>
      </c>
      <c r="J382" s="34"/>
      <c r="K382" s="39">
        <v>1415</v>
      </c>
      <c r="L382" s="39">
        <v>1445</v>
      </c>
      <c r="M382" s="15">
        <f t="shared" ref="M382:M413" si="111">L382-K382</f>
        <v>30</v>
      </c>
      <c r="N382" s="15">
        <f>Rutas[[#This Row],[Kms Recorridos]]</f>
        <v>30</v>
      </c>
      <c r="O382" s="39"/>
      <c r="P382" s="36"/>
      <c r="Q382" s="16">
        <f t="shared" ref="Q382:Q413" si="112">M382*P382</f>
        <v>0</v>
      </c>
      <c r="R382" s="34" t="s">
        <v>273</v>
      </c>
      <c r="S382" s="34" t="s">
        <v>102</v>
      </c>
      <c r="T382" s="36">
        <v>1.8</v>
      </c>
      <c r="U382" s="167">
        <f>Rutas[[#This Row],[Precio x Galón ($/gal)]]*Rutas[[#This Row],[Volumen de Combustible (gal)]]</f>
        <v>43.722000000000001</v>
      </c>
      <c r="V382" s="36"/>
      <c r="W382" s="36"/>
      <c r="X382" s="36"/>
      <c r="Y382" s="145">
        <f t="shared" ref="Y382:Y413" si="113">U382+SUM(V382:X382)</f>
        <v>43.722000000000001</v>
      </c>
      <c r="Z382" s="567"/>
      <c r="AA382" s="12">
        <v>24.29</v>
      </c>
      <c r="AB382" s="12">
        <f t="shared" ref="AB382:AB413" si="114">IFERROR(M382/AA382,0)</f>
        <v>1.2350761630300535</v>
      </c>
      <c r="AC382" s="12">
        <f t="shared" ref="AC382:AC413" si="115">IFERROR(Q382/M382,0)</f>
        <v>0</v>
      </c>
      <c r="AD382" s="34"/>
    </row>
    <row r="383" spans="1:30" ht="17" thickBot="1" x14ac:dyDescent="0.25">
      <c r="A383" s="174"/>
      <c r="B383" s="384"/>
      <c r="C383" s="176">
        <f t="shared" si="99"/>
        <v>380</v>
      </c>
      <c r="D383" s="156"/>
      <c r="E383" s="157"/>
      <c r="F383" s="158"/>
      <c r="G383" s="159" t="str">
        <f ca="1">IF(AND(E383&lt;&gt;"",E383&lt;TODAY()),"Disponible",IFERROR(INDEX(Vehiculos[Estado Vehiculo],MATCH(F383,Vehiculos[Placa Vehiculo],0)),""))</f>
        <v/>
      </c>
      <c r="H383" s="160"/>
      <c r="I383" s="160"/>
      <c r="J383" s="160"/>
      <c r="K383" s="161"/>
      <c r="L383" s="161"/>
      <c r="M383" s="162">
        <f t="shared" si="111"/>
        <v>0</v>
      </c>
      <c r="N383" s="162"/>
      <c r="O383" s="161"/>
      <c r="P383" s="163"/>
      <c r="Q383" s="164">
        <f t="shared" si="112"/>
        <v>0</v>
      </c>
      <c r="R383" s="160"/>
      <c r="S383" s="160"/>
      <c r="T383" s="163"/>
      <c r="U383" s="163"/>
      <c r="V383" s="163"/>
      <c r="W383" s="163"/>
      <c r="X383" s="163"/>
      <c r="Y383" s="165">
        <f t="shared" si="113"/>
        <v>0</v>
      </c>
      <c r="Z383" s="568"/>
      <c r="AA383" s="166"/>
      <c r="AB383" s="166">
        <f t="shared" si="114"/>
        <v>0</v>
      </c>
      <c r="AC383" s="166">
        <f t="shared" si="115"/>
        <v>0</v>
      </c>
      <c r="AD383" s="160"/>
    </row>
    <row r="384" spans="1:30" ht="17" thickTop="1" x14ac:dyDescent="0.2">
      <c r="A384" s="47"/>
      <c r="B384" s="376"/>
      <c r="C384" s="176">
        <f t="shared" si="99"/>
        <v>381</v>
      </c>
      <c r="D384" s="122">
        <v>45748</v>
      </c>
      <c r="E384" s="122">
        <v>45751</v>
      </c>
      <c r="F384" s="68" t="s">
        <v>209</v>
      </c>
      <c r="G384" s="379" t="str">
        <f ca="1">IF(AND(E384&lt;&gt;"",E384&lt;TODAY()),"Disponible",IFERROR(INDEX(Vehiculos[Estado Vehiculo],MATCH(F384,Vehiculos[Placa Vehiculo],0)),""))</f>
        <v>Disponible</v>
      </c>
      <c r="H384" s="89" t="s">
        <v>241</v>
      </c>
      <c r="I384" s="89" t="s">
        <v>273</v>
      </c>
      <c r="J384" s="89" t="s">
        <v>274</v>
      </c>
      <c r="K384" s="401">
        <v>85206</v>
      </c>
      <c r="L384" s="401">
        <v>85815</v>
      </c>
      <c r="M384" s="381">
        <f t="shared" si="111"/>
        <v>609</v>
      </c>
      <c r="N384" s="381"/>
      <c r="O384" s="380"/>
      <c r="P384" s="92"/>
      <c r="Q384" s="382">
        <f t="shared" si="112"/>
        <v>0</v>
      </c>
      <c r="R384" s="89" t="s">
        <v>273</v>
      </c>
      <c r="S384" s="89" t="s">
        <v>102</v>
      </c>
      <c r="T384" s="92">
        <v>1.8</v>
      </c>
      <c r="U384" s="266">
        <f>Rutas[[#This Row],[Precio x Galón ($/gal)]]*Rutas[[#This Row],[Volumen de Combustible (gal)]]</f>
        <v>220.518</v>
      </c>
      <c r="V384" s="92"/>
      <c r="W384" s="92"/>
      <c r="X384" s="92"/>
      <c r="Y384" s="382">
        <f t="shared" si="113"/>
        <v>220.518</v>
      </c>
      <c r="Z384" s="567"/>
      <c r="AA384" s="402">
        <v>122.51</v>
      </c>
      <c r="AB384" s="382">
        <f t="shared" si="114"/>
        <v>4.9710227736511303</v>
      </c>
      <c r="AC384" s="382">
        <f t="shared" si="115"/>
        <v>0</v>
      </c>
      <c r="AD384" s="89"/>
    </row>
    <row r="385" spans="1:30" ht="16" x14ac:dyDescent="0.2">
      <c r="A385" s="47"/>
      <c r="B385" s="376"/>
      <c r="C385" s="176">
        <f t="shared" si="99"/>
        <v>382</v>
      </c>
      <c r="D385" s="122">
        <v>45751</v>
      </c>
      <c r="E385" s="122">
        <v>45754</v>
      </c>
      <c r="F385" s="65" t="s">
        <v>209</v>
      </c>
      <c r="G385" s="11" t="str">
        <f ca="1">IF(AND(E385&lt;&gt;"",E385&lt;TODAY()),"Disponible",IFERROR(INDEX(Vehiculos[Estado Vehiculo],MATCH(F385,Vehiculos[Placa Vehiculo],0)),""))</f>
        <v>Disponible</v>
      </c>
      <c r="H385" s="34" t="s">
        <v>241</v>
      </c>
      <c r="I385" s="34" t="s">
        <v>273</v>
      </c>
      <c r="J385" s="34" t="s">
        <v>274</v>
      </c>
      <c r="K385" s="401">
        <v>85815</v>
      </c>
      <c r="L385" s="401">
        <v>86433</v>
      </c>
      <c r="M385" s="15">
        <f t="shared" si="111"/>
        <v>618</v>
      </c>
      <c r="N385" s="15"/>
      <c r="O385" s="39"/>
      <c r="P385" s="36"/>
      <c r="Q385" s="16">
        <f t="shared" si="112"/>
        <v>0</v>
      </c>
      <c r="R385" s="34" t="s">
        <v>273</v>
      </c>
      <c r="S385" s="34" t="s">
        <v>102</v>
      </c>
      <c r="T385" s="36">
        <v>1.8</v>
      </c>
      <c r="U385" s="293">
        <f>Rutas[[#This Row],[Precio x Galón ($/gal)]]*Rutas[[#This Row],[Volumen de Combustible (gal)]]</f>
        <v>179.928</v>
      </c>
      <c r="V385" s="36"/>
      <c r="W385" s="36"/>
      <c r="X385" s="36"/>
      <c r="Y385" s="145">
        <f t="shared" si="113"/>
        <v>179.928</v>
      </c>
      <c r="Z385" s="567"/>
      <c r="AA385" s="402">
        <v>99.96</v>
      </c>
      <c r="AB385" s="12">
        <f t="shared" si="114"/>
        <v>6.1824729891956789</v>
      </c>
      <c r="AC385" s="12">
        <f t="shared" si="115"/>
        <v>0</v>
      </c>
      <c r="AD385" s="34"/>
    </row>
    <row r="386" spans="1:30" ht="16" x14ac:dyDescent="0.2">
      <c r="A386" s="47"/>
      <c r="B386" s="376"/>
      <c r="C386" s="176">
        <f t="shared" si="99"/>
        <v>383</v>
      </c>
      <c r="D386" s="122">
        <v>45754</v>
      </c>
      <c r="E386" s="122">
        <v>45758</v>
      </c>
      <c r="F386" s="65" t="s">
        <v>209</v>
      </c>
      <c r="G386" s="11" t="str">
        <f ca="1">IF(AND(E386&lt;&gt;"",E386&lt;TODAY()),"Disponible",IFERROR(INDEX(Vehiculos[Estado Vehiculo],MATCH(F386,Vehiculos[Placa Vehiculo],0)),""))</f>
        <v>Disponible</v>
      </c>
      <c r="H386" s="34" t="s">
        <v>241</v>
      </c>
      <c r="I386" s="34" t="s">
        <v>273</v>
      </c>
      <c r="J386" s="34" t="s">
        <v>274</v>
      </c>
      <c r="K386" s="401">
        <v>86433</v>
      </c>
      <c r="L386" s="401">
        <v>87004</v>
      </c>
      <c r="M386" s="15">
        <f t="shared" si="111"/>
        <v>571</v>
      </c>
      <c r="N386" s="15"/>
      <c r="O386" s="39"/>
      <c r="P386" s="36"/>
      <c r="Q386" s="16">
        <f t="shared" si="112"/>
        <v>0</v>
      </c>
      <c r="R386" s="34" t="s">
        <v>273</v>
      </c>
      <c r="S386" s="34" t="s">
        <v>102</v>
      </c>
      <c r="T386" s="36">
        <v>1.8</v>
      </c>
      <c r="U386" s="293">
        <f>Rutas[[#This Row],[Precio x Galón ($/gal)]]*Rutas[[#This Row],[Volumen de Combustible (gal)]]</f>
        <v>199.69200000000001</v>
      </c>
      <c r="V386" s="36"/>
      <c r="W386" s="36"/>
      <c r="X386" s="36"/>
      <c r="Y386" s="145">
        <f t="shared" si="113"/>
        <v>199.69200000000001</v>
      </c>
      <c r="Z386" s="567"/>
      <c r="AA386" s="402">
        <v>110.94</v>
      </c>
      <c r="AB386" s="12">
        <f t="shared" si="114"/>
        <v>5.1469262664503335</v>
      </c>
      <c r="AC386" s="12">
        <f t="shared" si="115"/>
        <v>0</v>
      </c>
      <c r="AD386" s="34"/>
    </row>
    <row r="387" spans="1:30" ht="16" x14ac:dyDescent="0.2">
      <c r="A387" s="47"/>
      <c r="B387" s="376"/>
      <c r="C387" s="176">
        <f t="shared" si="99"/>
        <v>384</v>
      </c>
      <c r="D387" s="122">
        <v>45758</v>
      </c>
      <c r="E387" s="122">
        <v>45759</v>
      </c>
      <c r="F387" s="65" t="s">
        <v>209</v>
      </c>
      <c r="G387" s="11" t="str">
        <f ca="1">IF(AND(E387&lt;&gt;"",E387&lt;TODAY()),"Disponible",IFERROR(INDEX(Vehiculos[Estado Vehiculo],MATCH(F387,Vehiculos[Placa Vehiculo],0)),""))</f>
        <v>Disponible</v>
      </c>
      <c r="H387" s="34" t="s">
        <v>235</v>
      </c>
      <c r="I387" s="34" t="s">
        <v>273</v>
      </c>
      <c r="J387" s="34" t="s">
        <v>274</v>
      </c>
      <c r="K387" s="401">
        <v>87004</v>
      </c>
      <c r="L387" s="401">
        <v>87399</v>
      </c>
      <c r="M387" s="15">
        <f t="shared" si="111"/>
        <v>395</v>
      </c>
      <c r="N387" s="15"/>
      <c r="O387" s="39"/>
      <c r="P387" s="36"/>
      <c r="Q387" s="16">
        <f t="shared" si="112"/>
        <v>0</v>
      </c>
      <c r="R387" s="34" t="s">
        <v>273</v>
      </c>
      <c r="S387" s="34" t="s">
        <v>102</v>
      </c>
      <c r="T387" s="36">
        <v>1.8</v>
      </c>
      <c r="U387" s="293">
        <f>Rutas[[#This Row],[Precio x Galón ($/gal)]]*Rutas[[#This Row],[Volumen de Combustible (gal)]]</f>
        <v>183.90600000000001</v>
      </c>
      <c r="V387" s="36"/>
      <c r="W387" s="36"/>
      <c r="X387" s="36"/>
      <c r="Y387" s="145">
        <f t="shared" si="113"/>
        <v>183.90600000000001</v>
      </c>
      <c r="Z387" s="567"/>
      <c r="AA387" s="402">
        <v>102.17</v>
      </c>
      <c r="AB387" s="12">
        <f t="shared" si="114"/>
        <v>3.8661055104238033</v>
      </c>
      <c r="AC387" s="12">
        <f t="shared" si="115"/>
        <v>0</v>
      </c>
      <c r="AD387" s="34"/>
    </row>
    <row r="388" spans="1:30" ht="16" x14ac:dyDescent="0.2">
      <c r="A388" s="47"/>
      <c r="B388" s="376"/>
      <c r="C388" s="176">
        <f t="shared" ref="C388:C451" si="116">ROW(A385)</f>
        <v>385</v>
      </c>
      <c r="D388" s="122">
        <v>45759</v>
      </c>
      <c r="E388" s="122">
        <v>45762</v>
      </c>
      <c r="F388" s="65" t="s">
        <v>209</v>
      </c>
      <c r="G388" s="11" t="str">
        <f ca="1">IF(AND(E388&lt;&gt;"",E388&lt;TODAY()),"Disponible",IFERROR(INDEX(Vehiculos[Estado Vehiculo],MATCH(F388,Vehiculos[Placa Vehiculo],0)),""))</f>
        <v>Disponible</v>
      </c>
      <c r="H388" s="34" t="s">
        <v>235</v>
      </c>
      <c r="I388" s="34" t="s">
        <v>273</v>
      </c>
      <c r="J388" s="34" t="s">
        <v>274</v>
      </c>
      <c r="K388" s="401">
        <v>87399</v>
      </c>
      <c r="L388" s="401">
        <v>88023</v>
      </c>
      <c r="M388" s="15">
        <f t="shared" si="111"/>
        <v>624</v>
      </c>
      <c r="N388" s="15"/>
      <c r="O388" s="39"/>
      <c r="P388" s="36"/>
      <c r="Q388" s="16">
        <f t="shared" si="112"/>
        <v>0</v>
      </c>
      <c r="R388" s="34" t="s">
        <v>273</v>
      </c>
      <c r="S388" s="34" t="s">
        <v>102</v>
      </c>
      <c r="T388" s="36">
        <v>1.8</v>
      </c>
      <c r="U388" s="293">
        <f>Rutas[[#This Row],[Precio x Galón ($/gal)]]*Rutas[[#This Row],[Volumen de Combustible (gal)]]</f>
        <v>125.20800000000001</v>
      </c>
      <c r="V388" s="36"/>
      <c r="W388" s="36"/>
      <c r="X388" s="36"/>
      <c r="Y388" s="145">
        <f t="shared" si="113"/>
        <v>125.20800000000001</v>
      </c>
      <c r="Z388" s="567"/>
      <c r="AA388" s="402">
        <v>69.56</v>
      </c>
      <c r="AB388" s="12">
        <f t="shared" si="114"/>
        <v>8.9706728004600347</v>
      </c>
      <c r="AC388" s="12">
        <f t="shared" si="115"/>
        <v>0</v>
      </c>
      <c r="AD388" s="34"/>
    </row>
    <row r="389" spans="1:30" ht="16" x14ac:dyDescent="0.2">
      <c r="A389" s="47"/>
      <c r="B389" s="376"/>
      <c r="C389" s="176">
        <f t="shared" si="116"/>
        <v>386</v>
      </c>
      <c r="D389" s="122">
        <v>45762</v>
      </c>
      <c r="E389" s="37">
        <v>45765</v>
      </c>
      <c r="F389" s="65" t="s">
        <v>209</v>
      </c>
      <c r="G389" s="11" t="str">
        <f ca="1">IF(AND(E389&lt;&gt;"",E389&lt;TODAY()),"Disponible",IFERROR(INDEX(Vehiculos[Estado Vehiculo],MATCH(F389,Vehiculos[Placa Vehiculo],0)),""))</f>
        <v>Disponible</v>
      </c>
      <c r="H389" s="34" t="s">
        <v>235</v>
      </c>
      <c r="I389" s="34" t="s">
        <v>273</v>
      </c>
      <c r="J389" s="34" t="s">
        <v>274</v>
      </c>
      <c r="K389" s="401">
        <v>88023</v>
      </c>
      <c r="L389" s="39">
        <v>88598</v>
      </c>
      <c r="M389" s="15">
        <f t="shared" si="111"/>
        <v>575</v>
      </c>
      <c r="N389" s="15"/>
      <c r="O389" s="39"/>
      <c r="P389" s="36"/>
      <c r="Q389" s="16">
        <f t="shared" si="112"/>
        <v>0</v>
      </c>
      <c r="R389" s="34" t="s">
        <v>273</v>
      </c>
      <c r="S389" s="34" t="s">
        <v>102</v>
      </c>
      <c r="T389" s="36">
        <v>1.8</v>
      </c>
      <c r="U389" s="293">
        <f>Rutas[[#This Row],[Precio x Galón ($/gal)]]*Rutas[[#This Row],[Volumen de Combustible (gal)]]</f>
        <v>179.91</v>
      </c>
      <c r="V389" s="36"/>
      <c r="W389" s="36"/>
      <c r="X389" s="36"/>
      <c r="Y389" s="145">
        <f t="shared" si="113"/>
        <v>179.91</v>
      </c>
      <c r="Z389" s="567"/>
      <c r="AA389" s="402">
        <v>99.95</v>
      </c>
      <c r="AB389" s="12">
        <f t="shared" si="114"/>
        <v>5.7528764382191095</v>
      </c>
      <c r="AC389" s="12">
        <f t="shared" si="115"/>
        <v>0</v>
      </c>
      <c r="AD389" s="34"/>
    </row>
    <row r="390" spans="1:30" ht="16" x14ac:dyDescent="0.2">
      <c r="A390" s="47"/>
      <c r="B390" s="376"/>
      <c r="C390" s="176">
        <f t="shared" si="116"/>
        <v>387</v>
      </c>
      <c r="D390" s="146">
        <v>45765</v>
      </c>
      <c r="E390" s="37">
        <v>45768</v>
      </c>
      <c r="F390" s="65" t="s">
        <v>209</v>
      </c>
      <c r="G390" s="11" t="str">
        <f ca="1">IF(AND(E390&lt;&gt;"",E390&lt;TODAY()),"Disponible",IFERROR(INDEX(Vehiculos[Estado Vehiculo],MATCH(F390,Vehiculos[Placa Vehiculo],0)),""))</f>
        <v>Disponible</v>
      </c>
      <c r="H390" s="34" t="s">
        <v>239</v>
      </c>
      <c r="I390" s="34" t="s">
        <v>273</v>
      </c>
      <c r="J390" s="34" t="s">
        <v>274</v>
      </c>
      <c r="K390" s="39">
        <v>88598</v>
      </c>
      <c r="L390" s="39">
        <v>89169</v>
      </c>
      <c r="M390" s="15">
        <f t="shared" si="111"/>
        <v>571</v>
      </c>
      <c r="N390" s="15"/>
      <c r="O390" s="39"/>
      <c r="P390" s="36"/>
      <c r="Q390" s="16">
        <f t="shared" si="112"/>
        <v>0</v>
      </c>
      <c r="R390" s="34" t="s">
        <v>273</v>
      </c>
      <c r="S390" s="34" t="s">
        <v>102</v>
      </c>
      <c r="T390" s="36">
        <v>1.8</v>
      </c>
      <c r="U390" s="293">
        <f>Rutas[[#This Row],[Precio x Galón ($/gal)]]*Rutas[[#This Row],[Volumen de Combustible (gal)]]</f>
        <v>160.41600000000003</v>
      </c>
      <c r="V390" s="36"/>
      <c r="W390" s="36"/>
      <c r="X390" s="36"/>
      <c r="Y390" s="145">
        <f t="shared" si="113"/>
        <v>160.41600000000003</v>
      </c>
      <c r="Z390" s="567"/>
      <c r="AA390" s="12">
        <v>89.12</v>
      </c>
      <c r="AB390" s="12">
        <f t="shared" si="114"/>
        <v>6.4070915619389588</v>
      </c>
      <c r="AC390" s="12">
        <f t="shared" si="115"/>
        <v>0</v>
      </c>
      <c r="AD390" s="34"/>
    </row>
    <row r="391" spans="1:30" ht="16" x14ac:dyDescent="0.2">
      <c r="A391" s="47"/>
      <c r="B391" s="376"/>
      <c r="C391" s="176">
        <f t="shared" si="116"/>
        <v>388</v>
      </c>
      <c r="D391" s="146">
        <v>45768</v>
      </c>
      <c r="E391" s="37">
        <v>45771</v>
      </c>
      <c r="F391" s="65" t="s">
        <v>209</v>
      </c>
      <c r="G391" s="11" t="str">
        <f ca="1">IF(AND(E391&lt;&gt;"",E391&lt;TODAY()),"Disponible",IFERROR(INDEX(Vehiculos[Estado Vehiculo],MATCH(F391,Vehiculos[Placa Vehiculo],0)),""))</f>
        <v>Disponible</v>
      </c>
      <c r="H391" s="34" t="s">
        <v>239</v>
      </c>
      <c r="I391" s="34" t="s">
        <v>273</v>
      </c>
      <c r="J391" s="34" t="s">
        <v>274</v>
      </c>
      <c r="K391" s="39">
        <v>89169</v>
      </c>
      <c r="L391" s="39">
        <v>89781</v>
      </c>
      <c r="M391" s="15">
        <f t="shared" si="111"/>
        <v>612</v>
      </c>
      <c r="N391" s="15"/>
      <c r="O391" s="39"/>
      <c r="P391" s="36"/>
      <c r="Q391" s="16">
        <f t="shared" si="112"/>
        <v>0</v>
      </c>
      <c r="R391" s="34" t="s">
        <v>273</v>
      </c>
      <c r="S391" s="34" t="s">
        <v>102</v>
      </c>
      <c r="T391" s="36">
        <v>1.8</v>
      </c>
      <c r="U391" s="293">
        <f>Rutas[[#This Row],[Precio x Galón ($/gal)]]*Rutas[[#This Row],[Volumen de Combustible (gal)]]</f>
        <v>178.32599999999999</v>
      </c>
      <c r="V391" s="36"/>
      <c r="W391" s="36"/>
      <c r="X391" s="36"/>
      <c r="Y391" s="145">
        <f t="shared" si="113"/>
        <v>178.32599999999999</v>
      </c>
      <c r="Z391" s="567"/>
      <c r="AA391" s="12">
        <v>99.07</v>
      </c>
      <c r="AB391" s="12">
        <f t="shared" si="114"/>
        <v>6.1774502876753816</v>
      </c>
      <c r="AC391" s="12">
        <f t="shared" si="115"/>
        <v>0</v>
      </c>
      <c r="AD391" s="34"/>
    </row>
    <row r="392" spans="1:30" ht="16" x14ac:dyDescent="0.2">
      <c r="A392" s="47"/>
      <c r="B392" s="376"/>
      <c r="C392" s="176">
        <f t="shared" si="116"/>
        <v>389</v>
      </c>
      <c r="D392" s="146">
        <v>45771</v>
      </c>
      <c r="E392" s="37">
        <v>45774</v>
      </c>
      <c r="F392" s="65" t="s">
        <v>209</v>
      </c>
      <c r="G392" s="11" t="str">
        <f ca="1">IF(AND(E392&lt;&gt;"",E392&lt;TODAY()),"Disponible",IFERROR(INDEX(Vehiculos[Estado Vehiculo],MATCH(F392,Vehiculos[Placa Vehiculo],0)),""))</f>
        <v>Disponible</v>
      </c>
      <c r="H392" s="34" t="s">
        <v>239</v>
      </c>
      <c r="I392" s="34" t="s">
        <v>273</v>
      </c>
      <c r="J392" s="34" t="s">
        <v>274</v>
      </c>
      <c r="K392" s="39">
        <v>89781</v>
      </c>
      <c r="L392" s="39">
        <v>90431</v>
      </c>
      <c r="M392" s="15">
        <f t="shared" si="111"/>
        <v>650</v>
      </c>
      <c r="N392" s="15"/>
      <c r="O392" s="39"/>
      <c r="P392" s="36"/>
      <c r="Q392" s="16">
        <f t="shared" si="112"/>
        <v>0</v>
      </c>
      <c r="R392" s="34" t="s">
        <v>273</v>
      </c>
      <c r="S392" s="34" t="s">
        <v>102</v>
      </c>
      <c r="T392" s="36">
        <v>1.8</v>
      </c>
      <c r="U392" s="293">
        <f>Rutas[[#This Row],[Precio x Galón ($/gal)]]*Rutas[[#This Row],[Volumen de Combustible (gal)]]</f>
        <v>182.322</v>
      </c>
      <c r="V392" s="36"/>
      <c r="W392" s="36"/>
      <c r="X392" s="36"/>
      <c r="Y392" s="145">
        <f t="shared" si="113"/>
        <v>182.322</v>
      </c>
      <c r="Z392" s="567"/>
      <c r="AA392" s="12">
        <v>101.29</v>
      </c>
      <c r="AB392" s="12">
        <f t="shared" si="114"/>
        <v>6.4172178892289464</v>
      </c>
      <c r="AC392" s="12">
        <f t="shared" si="115"/>
        <v>0</v>
      </c>
      <c r="AD392" s="34"/>
    </row>
    <row r="393" spans="1:30" ht="16" x14ac:dyDescent="0.2">
      <c r="A393" s="47"/>
      <c r="B393" s="376"/>
      <c r="C393" s="176">
        <f t="shared" si="116"/>
        <v>390</v>
      </c>
      <c r="D393" s="146">
        <v>45774</v>
      </c>
      <c r="E393" s="37">
        <v>45777</v>
      </c>
      <c r="F393" s="65" t="s">
        <v>209</v>
      </c>
      <c r="G393" s="11" t="str">
        <f ca="1">IF(AND(E393&lt;&gt;"",E393&lt;TODAY()),"Disponible",IFERROR(INDEX(Vehiculos[Estado Vehiculo],MATCH(F393,Vehiculos[Placa Vehiculo],0)),""))</f>
        <v>Disponible</v>
      </c>
      <c r="H393" s="34" t="s">
        <v>239</v>
      </c>
      <c r="I393" s="34" t="s">
        <v>273</v>
      </c>
      <c r="J393" s="34" t="s">
        <v>274</v>
      </c>
      <c r="K393" s="39">
        <v>90431</v>
      </c>
      <c r="L393" s="39">
        <v>91100</v>
      </c>
      <c r="M393" s="15">
        <f t="shared" si="111"/>
        <v>669</v>
      </c>
      <c r="N393" s="15"/>
      <c r="O393" s="39"/>
      <c r="P393" s="36"/>
      <c r="Q393" s="16">
        <f t="shared" si="112"/>
        <v>0</v>
      </c>
      <c r="R393" s="34" t="s">
        <v>273</v>
      </c>
      <c r="S393" s="34" t="s">
        <v>102</v>
      </c>
      <c r="T393" s="36">
        <v>1.8</v>
      </c>
      <c r="U393" s="293">
        <f>Rutas[[#This Row],[Precio x Galón ($/gal)]]*Rutas[[#This Row],[Volumen de Combustible (gal)]]</f>
        <v>202.69800000000001</v>
      </c>
      <c r="V393" s="36"/>
      <c r="W393" s="36"/>
      <c r="X393" s="36"/>
      <c r="Y393" s="145">
        <f t="shared" si="113"/>
        <v>202.69800000000001</v>
      </c>
      <c r="Z393" s="567"/>
      <c r="AA393" s="12">
        <v>112.61</v>
      </c>
      <c r="AB393" s="12">
        <f t="shared" si="114"/>
        <v>5.9408578279016071</v>
      </c>
      <c r="AC393" s="12">
        <f t="shared" si="115"/>
        <v>0</v>
      </c>
      <c r="AD393" s="34"/>
    </row>
    <row r="394" spans="1:30" ht="16" x14ac:dyDescent="0.2">
      <c r="A394" s="47"/>
      <c r="B394" s="376"/>
      <c r="C394" s="176">
        <f t="shared" si="116"/>
        <v>391</v>
      </c>
      <c r="D394" s="146">
        <v>45777</v>
      </c>
      <c r="E394" s="37">
        <v>45777</v>
      </c>
      <c r="F394" s="65" t="s">
        <v>209</v>
      </c>
      <c r="G394" s="11" t="str">
        <f ca="1">IF(AND(E394&lt;&gt;"",E394&lt;TODAY()),"Disponible",IFERROR(INDEX(Vehiculos[Estado Vehiculo],MATCH(F394,Vehiculos[Placa Vehiculo],0)),""))</f>
        <v>Disponible</v>
      </c>
      <c r="H394" s="34" t="s">
        <v>239</v>
      </c>
      <c r="I394" s="34" t="s">
        <v>273</v>
      </c>
      <c r="J394" s="34" t="s">
        <v>274</v>
      </c>
      <c r="K394" s="39">
        <v>91100</v>
      </c>
      <c r="L394" s="39">
        <v>91101</v>
      </c>
      <c r="M394" s="15">
        <f t="shared" si="111"/>
        <v>1</v>
      </c>
      <c r="N394" s="452">
        <v>606</v>
      </c>
      <c r="O394" s="39"/>
      <c r="P394" s="36"/>
      <c r="Q394" s="16">
        <f t="shared" si="112"/>
        <v>0</v>
      </c>
      <c r="R394" s="34" t="s">
        <v>273</v>
      </c>
      <c r="S394" s="34" t="s">
        <v>102</v>
      </c>
      <c r="T394" s="36">
        <v>1.8</v>
      </c>
      <c r="U394" s="293">
        <f>Rutas[[#This Row],[Precio x Galón ($/gal)]]*Rutas[[#This Row],[Volumen de Combustible (gal)]]</f>
        <v>214.596</v>
      </c>
      <c r="V394" s="36"/>
      <c r="W394" s="36"/>
      <c r="X394" s="36"/>
      <c r="Y394" s="145">
        <f t="shared" si="113"/>
        <v>214.596</v>
      </c>
      <c r="Z394" s="567"/>
      <c r="AA394" s="12">
        <v>119.22</v>
      </c>
      <c r="AB394" s="12">
        <f t="shared" si="114"/>
        <v>8.3878543868478438E-3</v>
      </c>
      <c r="AC394" s="12">
        <f t="shared" si="115"/>
        <v>0</v>
      </c>
      <c r="AD394" s="34"/>
    </row>
    <row r="395" spans="1:30" ht="16" x14ac:dyDescent="0.2">
      <c r="A395" s="47"/>
      <c r="B395" s="376"/>
      <c r="C395" s="176">
        <f t="shared" si="116"/>
        <v>392</v>
      </c>
      <c r="D395" s="146"/>
      <c r="E395" s="37"/>
      <c r="F395" s="65"/>
      <c r="G395" s="11" t="str">
        <f ca="1">IF(AND(E395&lt;&gt;"",E395&lt;TODAY()),"Disponible",IFERROR(INDEX(Vehiculos[Estado Vehiculo],MATCH(F395,Vehiculos[Placa Vehiculo],0)),""))</f>
        <v/>
      </c>
      <c r="H395" s="34"/>
      <c r="I395" s="34"/>
      <c r="J395" s="34"/>
      <c r="K395" s="39"/>
      <c r="L395" s="39"/>
      <c r="M395" s="15">
        <f t="shared" si="111"/>
        <v>0</v>
      </c>
      <c r="N395" s="15"/>
      <c r="O395" s="39"/>
      <c r="P395" s="36"/>
      <c r="Q395" s="16">
        <f t="shared" si="112"/>
        <v>0</v>
      </c>
      <c r="R395" s="34"/>
      <c r="S395" s="34"/>
      <c r="T395" s="36"/>
      <c r="U395" s="293"/>
      <c r="V395" s="36"/>
      <c r="W395" s="36"/>
      <c r="X395" s="36"/>
      <c r="Y395" s="145">
        <f t="shared" si="113"/>
        <v>0</v>
      </c>
      <c r="Z395" s="567"/>
      <c r="AA395" s="12">
        <f>IFERROR(U395/T395,0)</f>
        <v>0</v>
      </c>
      <c r="AB395" s="12">
        <f t="shared" si="114"/>
        <v>0</v>
      </c>
      <c r="AC395" s="12">
        <f t="shared" si="115"/>
        <v>0</v>
      </c>
      <c r="AD395" s="34"/>
    </row>
    <row r="396" spans="1:30" ht="16" x14ac:dyDescent="0.2">
      <c r="A396" s="47"/>
      <c r="B396" s="376"/>
      <c r="C396" s="176">
        <f t="shared" si="116"/>
        <v>393</v>
      </c>
      <c r="D396" s="122">
        <v>45748</v>
      </c>
      <c r="E396" s="122">
        <v>45751</v>
      </c>
      <c r="F396" s="68" t="s">
        <v>210</v>
      </c>
      <c r="G396" s="379" t="str">
        <f ca="1">IF(AND(E396&lt;&gt;"",E396&lt;TODAY()),"Disponible",IFERROR(INDEX(Vehiculos[Estado Vehiculo],MATCH(F396,Vehiculos[Placa Vehiculo],0)),""))</f>
        <v>Disponible</v>
      </c>
      <c r="H396" s="89"/>
      <c r="I396" s="89" t="s">
        <v>273</v>
      </c>
      <c r="J396" s="89" t="s">
        <v>274</v>
      </c>
      <c r="K396" s="401">
        <v>70025</v>
      </c>
      <c r="L396" s="401">
        <v>70577</v>
      </c>
      <c r="M396" s="381">
        <f t="shared" si="111"/>
        <v>552</v>
      </c>
      <c r="N396" s="381"/>
      <c r="O396" s="380"/>
      <c r="P396" s="92"/>
      <c r="Q396" s="382">
        <f t="shared" si="112"/>
        <v>0</v>
      </c>
      <c r="R396" s="89" t="s">
        <v>273</v>
      </c>
      <c r="S396" s="89" t="s">
        <v>102</v>
      </c>
      <c r="T396" s="92">
        <v>1.8</v>
      </c>
      <c r="U396" s="266">
        <f>Rutas[[#This Row],[Precio x Galón ($/gal)]]*Rutas[[#This Row],[Volumen de Combustible (gal)]]</f>
        <v>156.38399999999999</v>
      </c>
      <c r="V396" s="92"/>
      <c r="W396" s="92"/>
      <c r="X396" s="92"/>
      <c r="Y396" s="382">
        <f t="shared" si="113"/>
        <v>156.38399999999999</v>
      </c>
      <c r="Z396" s="567"/>
      <c r="AA396" s="402">
        <v>86.88</v>
      </c>
      <c r="AB396" s="382">
        <f t="shared" si="114"/>
        <v>6.3535911602209945</v>
      </c>
      <c r="AC396" s="382">
        <f t="shared" si="115"/>
        <v>0</v>
      </c>
      <c r="AD396" s="89"/>
    </row>
    <row r="397" spans="1:30" ht="16" x14ac:dyDescent="0.2">
      <c r="A397" s="47"/>
      <c r="B397" s="376"/>
      <c r="C397" s="176">
        <f t="shared" si="116"/>
        <v>394</v>
      </c>
      <c r="D397" s="122">
        <v>45751</v>
      </c>
      <c r="E397" s="122">
        <v>45754</v>
      </c>
      <c r="F397" s="65" t="s">
        <v>210</v>
      </c>
      <c r="G397" s="11" t="str">
        <f ca="1">IF(AND(E397&lt;&gt;"",E397&lt;TODAY()),"Disponible",IFERROR(INDEX(Vehiculos[Estado Vehiculo],MATCH(F397,Vehiculos[Placa Vehiculo],0)),""))</f>
        <v>Disponible</v>
      </c>
      <c r="H397" s="34"/>
      <c r="I397" s="34" t="s">
        <v>273</v>
      </c>
      <c r="J397" s="34" t="s">
        <v>274</v>
      </c>
      <c r="K397" s="401">
        <v>70577</v>
      </c>
      <c r="L397" s="401">
        <v>71131</v>
      </c>
      <c r="M397" s="15">
        <f t="shared" si="111"/>
        <v>554</v>
      </c>
      <c r="N397" s="15"/>
      <c r="O397" s="39"/>
      <c r="P397" s="36"/>
      <c r="Q397" s="16">
        <f t="shared" si="112"/>
        <v>0</v>
      </c>
      <c r="R397" s="34" t="s">
        <v>273</v>
      </c>
      <c r="S397" s="34" t="s">
        <v>102</v>
      </c>
      <c r="T397" s="36">
        <v>1.8</v>
      </c>
      <c r="U397" s="293">
        <f>Rutas[[#This Row],[Precio x Galón ($/gal)]]*Rutas[[#This Row],[Volumen de Combustible (gal)]]</f>
        <v>176.38200000000001</v>
      </c>
      <c r="V397" s="36"/>
      <c r="W397" s="36"/>
      <c r="X397" s="36"/>
      <c r="Y397" s="145">
        <f t="shared" si="113"/>
        <v>176.38200000000001</v>
      </c>
      <c r="Z397" s="567"/>
      <c r="AA397" s="402">
        <v>97.99</v>
      </c>
      <c r="AB397" s="12">
        <f t="shared" si="114"/>
        <v>5.6536381263394224</v>
      </c>
      <c r="AC397" s="12">
        <f t="shared" si="115"/>
        <v>0</v>
      </c>
      <c r="AD397" s="34"/>
    </row>
    <row r="398" spans="1:30" ht="16" x14ac:dyDescent="0.2">
      <c r="A398" s="47"/>
      <c r="B398" s="376"/>
      <c r="C398" s="176">
        <f t="shared" si="116"/>
        <v>395</v>
      </c>
      <c r="D398" s="122">
        <v>45754</v>
      </c>
      <c r="E398" s="122">
        <v>45757</v>
      </c>
      <c r="F398" s="65" t="s">
        <v>210</v>
      </c>
      <c r="G398" s="11" t="str">
        <f ca="1">IF(AND(E398&lt;&gt;"",E398&lt;TODAY()),"Disponible",IFERROR(INDEX(Vehiculos[Estado Vehiculo],MATCH(F398,Vehiculos[Placa Vehiculo],0)),""))</f>
        <v>Disponible</v>
      </c>
      <c r="H398" s="34" t="s">
        <v>245</v>
      </c>
      <c r="I398" s="34" t="s">
        <v>273</v>
      </c>
      <c r="J398" s="34" t="s">
        <v>274</v>
      </c>
      <c r="K398" s="401">
        <v>71131</v>
      </c>
      <c r="L398" s="401">
        <v>71683</v>
      </c>
      <c r="M398" s="15">
        <f t="shared" si="111"/>
        <v>552</v>
      </c>
      <c r="N398" s="15"/>
      <c r="O398" s="39"/>
      <c r="P398" s="36"/>
      <c r="Q398" s="16">
        <f t="shared" si="112"/>
        <v>0</v>
      </c>
      <c r="R398" s="34" t="s">
        <v>273</v>
      </c>
      <c r="S398" s="34" t="s">
        <v>102</v>
      </c>
      <c r="T398" s="36">
        <v>1.8</v>
      </c>
      <c r="U398" s="293">
        <f>Rutas[[#This Row],[Precio x Galón ($/gal)]]*Rutas[[#This Row],[Volumen de Combustible (gal)]]</f>
        <v>174.852</v>
      </c>
      <c r="V398" s="36"/>
      <c r="W398" s="36"/>
      <c r="X398" s="36"/>
      <c r="Y398" s="145">
        <f t="shared" si="113"/>
        <v>174.852</v>
      </c>
      <c r="Z398" s="567"/>
      <c r="AA398" s="402">
        <v>97.14</v>
      </c>
      <c r="AB398" s="12">
        <f t="shared" si="114"/>
        <v>5.682520074119827</v>
      </c>
      <c r="AC398" s="12">
        <f t="shared" si="115"/>
        <v>0</v>
      </c>
      <c r="AD398" s="34"/>
    </row>
    <row r="399" spans="1:30" ht="16" x14ac:dyDescent="0.2">
      <c r="A399" s="47"/>
      <c r="B399" s="376"/>
      <c r="C399" s="176">
        <f t="shared" si="116"/>
        <v>396</v>
      </c>
      <c r="D399" s="122">
        <v>45757</v>
      </c>
      <c r="E399" s="122">
        <v>45759</v>
      </c>
      <c r="F399" s="65" t="s">
        <v>210</v>
      </c>
      <c r="G399" s="11" t="str">
        <f ca="1">IF(AND(E399&lt;&gt;"",E399&lt;TODAY()),"Disponible",IFERROR(INDEX(Vehiculos[Estado Vehiculo],MATCH(F399,Vehiculos[Placa Vehiculo],0)),""))</f>
        <v>Disponible</v>
      </c>
      <c r="H399" s="34" t="s">
        <v>245</v>
      </c>
      <c r="I399" s="34" t="s">
        <v>273</v>
      </c>
      <c r="J399" s="34" t="s">
        <v>274</v>
      </c>
      <c r="K399" s="401">
        <v>71683</v>
      </c>
      <c r="L399" s="401">
        <v>72098</v>
      </c>
      <c r="M399" s="15">
        <f t="shared" si="111"/>
        <v>415</v>
      </c>
      <c r="N399" s="15"/>
      <c r="O399" s="39"/>
      <c r="P399" s="36"/>
      <c r="Q399" s="16">
        <f t="shared" si="112"/>
        <v>0</v>
      </c>
      <c r="R399" s="34" t="s">
        <v>273</v>
      </c>
      <c r="S399" s="34" t="s">
        <v>102</v>
      </c>
      <c r="T399" s="36">
        <v>1.8</v>
      </c>
      <c r="U399" s="293">
        <f>Rutas[[#This Row],[Precio x Galón ($/gal)]]*Rutas[[#This Row],[Volumen de Combustible (gal)]]</f>
        <v>171.43199999999999</v>
      </c>
      <c r="V399" s="36"/>
      <c r="W399" s="36"/>
      <c r="X399" s="36"/>
      <c r="Y399" s="145">
        <f t="shared" si="113"/>
        <v>171.43199999999999</v>
      </c>
      <c r="Z399" s="567"/>
      <c r="AA399" s="402">
        <v>95.24</v>
      </c>
      <c r="AB399" s="12">
        <f t="shared" si="114"/>
        <v>4.3574128517429651</v>
      </c>
      <c r="AC399" s="12">
        <f t="shared" si="115"/>
        <v>0</v>
      </c>
      <c r="AD399" s="34"/>
    </row>
    <row r="400" spans="1:30" ht="16" x14ac:dyDescent="0.2">
      <c r="A400" s="47"/>
      <c r="B400" s="376"/>
      <c r="C400" s="176">
        <f t="shared" si="116"/>
        <v>397</v>
      </c>
      <c r="D400" s="122">
        <v>45759</v>
      </c>
      <c r="E400" s="122">
        <v>45762</v>
      </c>
      <c r="F400" s="65" t="s">
        <v>210</v>
      </c>
      <c r="G400" s="11" t="str">
        <f ca="1">IF(AND(E400&lt;&gt;"",E400&lt;TODAY()),"Disponible",IFERROR(INDEX(Vehiculos[Estado Vehiculo],MATCH(F400,Vehiculos[Placa Vehiculo],0)),""))</f>
        <v>Disponible</v>
      </c>
      <c r="H400" s="34" t="s">
        <v>245</v>
      </c>
      <c r="I400" s="34" t="s">
        <v>273</v>
      </c>
      <c r="J400" s="34" t="s">
        <v>274</v>
      </c>
      <c r="K400" s="401">
        <v>72098</v>
      </c>
      <c r="L400" s="401">
        <v>72702</v>
      </c>
      <c r="M400" s="15">
        <f t="shared" si="111"/>
        <v>604</v>
      </c>
      <c r="N400" s="15"/>
      <c r="O400" s="39"/>
      <c r="P400" s="36"/>
      <c r="Q400" s="16">
        <f t="shared" si="112"/>
        <v>0</v>
      </c>
      <c r="R400" s="34" t="s">
        <v>273</v>
      </c>
      <c r="S400" s="34" t="s">
        <v>102</v>
      </c>
      <c r="T400" s="36">
        <v>1.8</v>
      </c>
      <c r="U400" s="293">
        <f>Rutas[[#This Row],[Precio x Galón ($/gal)]]*Rutas[[#This Row],[Volumen de Combustible (gal)]]</f>
        <v>131.63399999999999</v>
      </c>
      <c r="V400" s="36"/>
      <c r="W400" s="36"/>
      <c r="X400" s="36"/>
      <c r="Y400" s="145">
        <f t="shared" si="113"/>
        <v>131.63399999999999</v>
      </c>
      <c r="Z400" s="567"/>
      <c r="AA400" s="402">
        <v>73.13</v>
      </c>
      <c r="AB400" s="12">
        <f t="shared" si="114"/>
        <v>8.259264323806919</v>
      </c>
      <c r="AC400" s="12">
        <f t="shared" si="115"/>
        <v>0</v>
      </c>
      <c r="AD400" s="34"/>
    </row>
    <row r="401" spans="1:30" ht="16" x14ac:dyDescent="0.2">
      <c r="A401" s="47"/>
      <c r="B401" s="376"/>
      <c r="C401" s="176">
        <f t="shared" si="116"/>
        <v>398</v>
      </c>
      <c r="D401" s="122">
        <v>45762</v>
      </c>
      <c r="E401" s="37">
        <v>45765</v>
      </c>
      <c r="F401" s="65" t="s">
        <v>210</v>
      </c>
      <c r="G401" s="11" t="str">
        <f ca="1">IF(AND(E401&lt;&gt;"",E401&lt;TODAY()),"Disponible",IFERROR(INDEX(Vehiculos[Estado Vehiculo],MATCH(F401,Vehiculos[Placa Vehiculo],0)),""))</f>
        <v>Disponible</v>
      </c>
      <c r="H401" s="34" t="s">
        <v>238</v>
      </c>
      <c r="I401" s="34" t="s">
        <v>273</v>
      </c>
      <c r="J401" s="34" t="s">
        <v>274</v>
      </c>
      <c r="K401" s="401">
        <v>72702</v>
      </c>
      <c r="L401" s="39">
        <v>73324</v>
      </c>
      <c r="M401" s="15">
        <f t="shared" si="111"/>
        <v>622</v>
      </c>
      <c r="N401" s="15"/>
      <c r="O401" s="39"/>
      <c r="P401" s="36"/>
      <c r="Q401" s="16">
        <f t="shared" si="112"/>
        <v>0</v>
      </c>
      <c r="R401" s="34" t="s">
        <v>273</v>
      </c>
      <c r="S401" s="34" t="s">
        <v>102</v>
      </c>
      <c r="T401" s="36">
        <v>1.8</v>
      </c>
      <c r="U401" s="293">
        <f>Rutas[[#This Row],[Precio x Galón ($/gal)]]*Rutas[[#This Row],[Volumen de Combustible (gal)]]</f>
        <v>189.684</v>
      </c>
      <c r="V401" s="36"/>
      <c r="W401" s="36"/>
      <c r="X401" s="36"/>
      <c r="Y401" s="145">
        <f t="shared" si="113"/>
        <v>189.684</v>
      </c>
      <c r="Z401" s="567"/>
      <c r="AA401" s="402">
        <v>105.38</v>
      </c>
      <c r="AB401" s="12">
        <f t="shared" si="114"/>
        <v>5.902448282406529</v>
      </c>
      <c r="AC401" s="12">
        <f t="shared" si="115"/>
        <v>0</v>
      </c>
      <c r="AD401" s="34"/>
    </row>
    <row r="402" spans="1:30" ht="16" x14ac:dyDescent="0.2">
      <c r="A402" s="47"/>
      <c r="B402" s="376"/>
      <c r="C402" s="176">
        <f t="shared" si="116"/>
        <v>399</v>
      </c>
      <c r="D402" s="146">
        <v>45765</v>
      </c>
      <c r="E402" s="37">
        <v>45768</v>
      </c>
      <c r="F402" s="65" t="s">
        <v>210</v>
      </c>
      <c r="G402" s="11" t="str">
        <f ca="1">IF(AND(E402&lt;&gt;"",E402&lt;TODAY()),"Disponible",IFERROR(INDEX(Vehiculos[Estado Vehiculo],MATCH(F402,Vehiculos[Placa Vehiculo],0)),""))</f>
        <v>Disponible</v>
      </c>
      <c r="H402" s="34" t="s">
        <v>238</v>
      </c>
      <c r="I402" s="34" t="s">
        <v>273</v>
      </c>
      <c r="J402" s="34" t="s">
        <v>274</v>
      </c>
      <c r="K402" s="39">
        <v>73324</v>
      </c>
      <c r="L402" s="39">
        <v>73923</v>
      </c>
      <c r="M402" s="15">
        <f t="shared" si="111"/>
        <v>599</v>
      </c>
      <c r="N402" s="15"/>
      <c r="O402" s="39"/>
      <c r="P402" s="36"/>
      <c r="Q402" s="16">
        <f t="shared" si="112"/>
        <v>0</v>
      </c>
      <c r="R402" s="34" t="s">
        <v>273</v>
      </c>
      <c r="S402" s="34" t="s">
        <v>102</v>
      </c>
      <c r="T402" s="36">
        <v>1.8</v>
      </c>
      <c r="U402" s="293">
        <f>Rutas[[#This Row],[Precio x Galón ($/gal)]]*Rutas[[#This Row],[Volumen de Combustible (gal)]]</f>
        <v>187.14600000000002</v>
      </c>
      <c r="V402" s="36"/>
      <c r="W402" s="36"/>
      <c r="X402" s="36"/>
      <c r="Y402" s="145">
        <f t="shared" si="113"/>
        <v>187.14600000000002</v>
      </c>
      <c r="Z402" s="567"/>
      <c r="AA402" s="12">
        <v>103.97</v>
      </c>
      <c r="AB402" s="12">
        <f t="shared" si="114"/>
        <v>5.7612772915264019</v>
      </c>
      <c r="AC402" s="12">
        <f t="shared" si="115"/>
        <v>0</v>
      </c>
      <c r="AD402" s="34"/>
    </row>
    <row r="403" spans="1:30" ht="16" x14ac:dyDescent="0.2">
      <c r="A403" s="47"/>
      <c r="B403" s="376"/>
      <c r="C403" s="176">
        <f t="shared" si="116"/>
        <v>400</v>
      </c>
      <c r="D403" s="146">
        <v>45768</v>
      </c>
      <c r="E403" s="37">
        <v>45771</v>
      </c>
      <c r="F403" s="65" t="s">
        <v>210</v>
      </c>
      <c r="G403" s="11" t="str">
        <f ca="1">IF(AND(E403&lt;&gt;"",E403&lt;TODAY()),"Disponible",IFERROR(INDEX(Vehiculos[Estado Vehiculo],MATCH(F403,Vehiculos[Placa Vehiculo],0)),""))</f>
        <v>Disponible</v>
      </c>
      <c r="H403" s="34" t="s">
        <v>238</v>
      </c>
      <c r="I403" s="34" t="s">
        <v>273</v>
      </c>
      <c r="J403" s="34" t="s">
        <v>274</v>
      </c>
      <c r="K403" s="39">
        <v>73923</v>
      </c>
      <c r="L403" s="39">
        <v>74598</v>
      </c>
      <c r="M403" s="15">
        <f t="shared" si="111"/>
        <v>675</v>
      </c>
      <c r="N403" s="15"/>
      <c r="O403" s="39"/>
      <c r="P403" s="36"/>
      <c r="Q403" s="16">
        <f t="shared" si="112"/>
        <v>0</v>
      </c>
      <c r="R403" s="34" t="s">
        <v>273</v>
      </c>
      <c r="S403" s="34" t="s">
        <v>102</v>
      </c>
      <c r="T403" s="36">
        <v>1.8</v>
      </c>
      <c r="U403" s="293">
        <f>Rutas[[#This Row],[Precio x Galón ($/gal)]]*Rutas[[#This Row],[Volumen de Combustible (gal)]]</f>
        <v>172.81800000000001</v>
      </c>
      <c r="V403" s="36"/>
      <c r="W403" s="36"/>
      <c r="X403" s="36"/>
      <c r="Y403" s="145">
        <f t="shared" si="113"/>
        <v>172.81800000000001</v>
      </c>
      <c r="Z403" s="567"/>
      <c r="AA403" s="12">
        <v>96.01</v>
      </c>
      <c r="AB403" s="12">
        <f t="shared" si="114"/>
        <v>7.0305176544109989</v>
      </c>
      <c r="AC403" s="12">
        <f t="shared" si="115"/>
        <v>0</v>
      </c>
      <c r="AD403" s="34"/>
    </row>
    <row r="404" spans="1:30" ht="16" x14ac:dyDescent="0.2">
      <c r="A404" s="47"/>
      <c r="B404" s="376"/>
      <c r="C404" s="176">
        <f t="shared" si="116"/>
        <v>401</v>
      </c>
      <c r="D404" s="146">
        <v>45771</v>
      </c>
      <c r="E404" s="37">
        <v>45774</v>
      </c>
      <c r="F404" s="65" t="s">
        <v>210</v>
      </c>
      <c r="G404" s="11" t="str">
        <f ca="1">IF(AND(E404&lt;&gt;"",E404&lt;TODAY()),"Disponible",IFERROR(INDEX(Vehiculos[Estado Vehiculo],MATCH(F404,Vehiculos[Placa Vehiculo],0)),""))</f>
        <v>Disponible</v>
      </c>
      <c r="H404" s="34" t="s">
        <v>238</v>
      </c>
      <c r="I404" s="34" t="s">
        <v>273</v>
      </c>
      <c r="J404" s="34" t="s">
        <v>274</v>
      </c>
      <c r="K404" s="39">
        <v>74598</v>
      </c>
      <c r="L404" s="39">
        <v>75210</v>
      </c>
      <c r="M404" s="15">
        <f t="shared" si="111"/>
        <v>612</v>
      </c>
      <c r="N404" s="15"/>
      <c r="O404" s="39"/>
      <c r="P404" s="36"/>
      <c r="Q404" s="16">
        <f t="shared" si="112"/>
        <v>0</v>
      </c>
      <c r="R404" s="34" t="s">
        <v>273</v>
      </c>
      <c r="S404" s="34" t="s">
        <v>102</v>
      </c>
      <c r="T404" s="36">
        <v>1.8</v>
      </c>
      <c r="U404" s="293">
        <f>Rutas[[#This Row],[Precio x Galón ($/gal)]]*Rutas[[#This Row],[Volumen de Combustible (gal)]]</f>
        <v>206.352</v>
      </c>
      <c r="V404" s="36"/>
      <c r="W404" s="36"/>
      <c r="X404" s="36"/>
      <c r="Y404" s="145">
        <f t="shared" si="113"/>
        <v>206.352</v>
      </c>
      <c r="Z404" s="567"/>
      <c r="AA404" s="12">
        <v>114.64</v>
      </c>
      <c r="AB404" s="12">
        <f t="shared" si="114"/>
        <v>5.3384508025122122</v>
      </c>
      <c r="AC404" s="12">
        <f t="shared" si="115"/>
        <v>0</v>
      </c>
      <c r="AD404" s="34"/>
    </row>
    <row r="405" spans="1:30" ht="16" x14ac:dyDescent="0.2">
      <c r="A405" s="47"/>
      <c r="B405" s="376"/>
      <c r="C405" s="176">
        <f t="shared" si="116"/>
        <v>402</v>
      </c>
      <c r="D405" s="146">
        <v>45774</v>
      </c>
      <c r="E405" s="37">
        <v>45777</v>
      </c>
      <c r="F405" s="65" t="s">
        <v>210</v>
      </c>
      <c r="G405" s="11" t="str">
        <f ca="1">IF(AND(E405&lt;&gt;"",E405&lt;TODAY()),"Disponible",IFERROR(INDEX(Vehiculos[Estado Vehiculo],MATCH(F405,Vehiculos[Placa Vehiculo],0)),""))</f>
        <v>Disponible</v>
      </c>
      <c r="H405" s="34" t="s">
        <v>238</v>
      </c>
      <c r="I405" s="34" t="s">
        <v>273</v>
      </c>
      <c r="J405" s="34" t="s">
        <v>274</v>
      </c>
      <c r="K405" s="39">
        <v>75210</v>
      </c>
      <c r="L405" s="39">
        <v>75837</v>
      </c>
      <c r="M405" s="15">
        <f t="shared" si="111"/>
        <v>627</v>
      </c>
      <c r="N405" s="15"/>
      <c r="O405" s="39"/>
      <c r="P405" s="36"/>
      <c r="Q405" s="16">
        <f t="shared" si="112"/>
        <v>0</v>
      </c>
      <c r="R405" s="34" t="s">
        <v>273</v>
      </c>
      <c r="S405" s="34" t="s">
        <v>102</v>
      </c>
      <c r="T405" s="36">
        <v>1.8</v>
      </c>
      <c r="U405" s="293">
        <f>Rutas[[#This Row],[Precio x Galón ($/gal)]]*Rutas[[#This Row],[Volumen de Combustible (gal)]]</f>
        <v>182.64600000000002</v>
      </c>
      <c r="V405" s="36"/>
      <c r="W405" s="36"/>
      <c r="X405" s="36"/>
      <c r="Y405" s="145">
        <f t="shared" si="113"/>
        <v>182.64600000000002</v>
      </c>
      <c r="Z405" s="567"/>
      <c r="AA405" s="12">
        <v>101.47</v>
      </c>
      <c r="AB405" s="12">
        <f t="shared" si="114"/>
        <v>6.1791662560362672</v>
      </c>
      <c r="AC405" s="12">
        <f t="shared" si="115"/>
        <v>0</v>
      </c>
      <c r="AD405" s="34"/>
    </row>
    <row r="406" spans="1:30" ht="16" x14ac:dyDescent="0.2">
      <c r="A406" s="47"/>
      <c r="B406" s="376"/>
      <c r="C406" s="176">
        <f t="shared" si="116"/>
        <v>403</v>
      </c>
      <c r="D406" s="146">
        <v>45777</v>
      </c>
      <c r="E406" s="37">
        <v>45777</v>
      </c>
      <c r="F406" s="65" t="s">
        <v>210</v>
      </c>
      <c r="G406" s="11" t="str">
        <f ca="1">IF(AND(E406&lt;&gt;"",E406&lt;TODAY()),"Disponible",IFERROR(INDEX(Vehiculos[Estado Vehiculo],MATCH(F406,Vehiculos[Placa Vehiculo],0)),""))</f>
        <v>Disponible</v>
      </c>
      <c r="H406" s="34" t="s">
        <v>238</v>
      </c>
      <c r="I406" s="34" t="s">
        <v>273</v>
      </c>
      <c r="J406" s="34" t="s">
        <v>274</v>
      </c>
      <c r="K406" s="39">
        <v>75837</v>
      </c>
      <c r="L406" s="39">
        <v>75838</v>
      </c>
      <c r="M406" s="15">
        <f t="shared" si="111"/>
        <v>1</v>
      </c>
      <c r="N406" s="514">
        <v>608</v>
      </c>
      <c r="O406" s="39"/>
      <c r="P406" s="36"/>
      <c r="Q406" s="16">
        <f t="shared" si="112"/>
        <v>0</v>
      </c>
      <c r="R406" s="34" t="s">
        <v>273</v>
      </c>
      <c r="S406" s="34" t="s">
        <v>102</v>
      </c>
      <c r="T406" s="36">
        <v>1.8</v>
      </c>
      <c r="U406" s="293">
        <f>Rutas[[#This Row],[Precio x Galón ($/gal)]]*Rutas[[#This Row],[Volumen de Combustible (gal)]]</f>
        <v>197.60400000000001</v>
      </c>
      <c r="V406" s="36"/>
      <c r="W406" s="36"/>
      <c r="X406" s="36"/>
      <c r="Y406" s="145">
        <f t="shared" si="113"/>
        <v>197.60400000000001</v>
      </c>
      <c r="Z406" s="567"/>
      <c r="AA406" s="12">
        <v>109.78</v>
      </c>
      <c r="AB406" s="12">
        <f t="shared" si="114"/>
        <v>9.1091273456002913E-3</v>
      </c>
      <c r="AC406" s="12">
        <f t="shared" si="115"/>
        <v>0</v>
      </c>
      <c r="AD406" s="34"/>
    </row>
    <row r="407" spans="1:30" ht="16" x14ac:dyDescent="0.2">
      <c r="A407" s="47"/>
      <c r="B407" s="376"/>
      <c r="C407" s="176">
        <f t="shared" si="116"/>
        <v>404</v>
      </c>
      <c r="D407" s="146"/>
      <c r="E407" s="37"/>
      <c r="F407" s="65"/>
      <c r="G407" s="11" t="str">
        <f ca="1">IF(AND(E407&lt;&gt;"",E407&lt;TODAY()),"Disponible",IFERROR(INDEX(Vehiculos[Estado Vehiculo],MATCH(F407,Vehiculos[Placa Vehiculo],0)),""))</f>
        <v/>
      </c>
      <c r="H407" s="34"/>
      <c r="I407" s="34"/>
      <c r="J407" s="34"/>
      <c r="K407" s="39"/>
      <c r="L407" s="39"/>
      <c r="M407" s="15">
        <f t="shared" si="111"/>
        <v>0</v>
      </c>
      <c r="N407" s="15"/>
      <c r="O407" s="39"/>
      <c r="P407" s="36"/>
      <c r="Q407" s="16">
        <f t="shared" si="112"/>
        <v>0</v>
      </c>
      <c r="R407" s="34"/>
      <c r="S407" s="34"/>
      <c r="T407" s="36"/>
      <c r="U407" s="293"/>
      <c r="V407" s="36"/>
      <c r="W407" s="36"/>
      <c r="X407" s="36"/>
      <c r="Y407" s="145">
        <f t="shared" si="113"/>
        <v>0</v>
      </c>
      <c r="Z407" s="567"/>
      <c r="AA407" s="12"/>
      <c r="AB407" s="12">
        <f t="shared" si="114"/>
        <v>0</v>
      </c>
      <c r="AC407" s="12">
        <f t="shared" si="115"/>
        <v>0</v>
      </c>
      <c r="AD407" s="34"/>
    </row>
    <row r="408" spans="1:30" ht="16" x14ac:dyDescent="0.2">
      <c r="A408" s="47"/>
      <c r="B408" s="376"/>
      <c r="C408" s="176">
        <f t="shared" si="116"/>
        <v>405</v>
      </c>
      <c r="D408" s="122">
        <v>45748</v>
      </c>
      <c r="E408" s="122">
        <v>45751</v>
      </c>
      <c r="F408" s="68" t="s">
        <v>208</v>
      </c>
      <c r="G408" s="379" t="str">
        <f ca="1">IF(AND(E408&lt;&gt;"",E408&lt;TODAY()),"Disponible",IFERROR(INDEX(Vehiculos[Estado Vehiculo],MATCH(F408,Vehiculos[Placa Vehiculo],0)),""))</f>
        <v>Disponible</v>
      </c>
      <c r="H408" s="89"/>
      <c r="I408" s="89" t="s">
        <v>273</v>
      </c>
      <c r="J408" s="89" t="s">
        <v>274</v>
      </c>
      <c r="K408" s="401">
        <v>85066</v>
      </c>
      <c r="L408" s="401">
        <v>85645</v>
      </c>
      <c r="M408" s="381">
        <f t="shared" si="111"/>
        <v>579</v>
      </c>
      <c r="N408" s="381"/>
      <c r="O408" s="380"/>
      <c r="P408" s="92"/>
      <c r="Q408" s="382">
        <f t="shared" si="112"/>
        <v>0</v>
      </c>
      <c r="R408" s="89" t="s">
        <v>273</v>
      </c>
      <c r="S408" s="89" t="s">
        <v>102</v>
      </c>
      <c r="T408" s="92">
        <v>1.8</v>
      </c>
      <c r="U408" s="266">
        <f>Rutas[[#This Row],[Precio x Galón ($/gal)]]*Rutas[[#This Row],[Volumen de Combustible (gal)]]</f>
        <v>195.46200000000002</v>
      </c>
      <c r="V408" s="92"/>
      <c r="W408" s="92"/>
      <c r="X408" s="92"/>
      <c r="Y408" s="382">
        <f t="shared" si="113"/>
        <v>195.46200000000002</v>
      </c>
      <c r="Z408" s="567"/>
      <c r="AA408" s="402">
        <v>108.59</v>
      </c>
      <c r="AB408" s="382">
        <f t="shared" si="114"/>
        <v>5.3319826871719309</v>
      </c>
      <c r="AC408" s="382">
        <f t="shared" si="115"/>
        <v>0</v>
      </c>
      <c r="AD408" s="89"/>
    </row>
    <row r="409" spans="1:30" ht="16" x14ac:dyDescent="0.2">
      <c r="A409" s="47"/>
      <c r="B409" s="376"/>
      <c r="C409" s="176">
        <f t="shared" si="116"/>
        <v>406</v>
      </c>
      <c r="D409" s="122">
        <v>45751</v>
      </c>
      <c r="E409" s="122">
        <v>45753</v>
      </c>
      <c r="F409" s="65" t="s">
        <v>208</v>
      </c>
      <c r="G409" s="11" t="str">
        <f ca="1">IF(AND(E409&lt;&gt;"",E409&lt;TODAY()),"Disponible",IFERROR(INDEX(Vehiculos[Estado Vehiculo],MATCH(F409,Vehiculos[Placa Vehiculo],0)),""))</f>
        <v>Disponible</v>
      </c>
      <c r="H409" s="34"/>
      <c r="I409" s="34" t="s">
        <v>273</v>
      </c>
      <c r="J409" s="34" t="s">
        <v>274</v>
      </c>
      <c r="K409" s="401">
        <v>85645</v>
      </c>
      <c r="L409" s="401">
        <v>86075</v>
      </c>
      <c r="M409" s="15">
        <f t="shared" si="111"/>
        <v>430</v>
      </c>
      <c r="N409" s="15"/>
      <c r="O409" s="39"/>
      <c r="P409" s="36"/>
      <c r="Q409" s="16">
        <f t="shared" si="112"/>
        <v>0</v>
      </c>
      <c r="R409" s="34" t="s">
        <v>273</v>
      </c>
      <c r="S409" s="34" t="s">
        <v>102</v>
      </c>
      <c r="T409" s="36">
        <v>1.8</v>
      </c>
      <c r="U409" s="293">
        <f>Rutas[[#This Row],[Precio x Galón ($/gal)]]*Rutas[[#This Row],[Volumen de Combustible (gal)]]</f>
        <v>185.958</v>
      </c>
      <c r="V409" s="36"/>
      <c r="W409" s="36"/>
      <c r="X409" s="36"/>
      <c r="Y409" s="145">
        <f t="shared" si="113"/>
        <v>185.958</v>
      </c>
      <c r="Z409" s="567"/>
      <c r="AA409" s="402">
        <v>103.31</v>
      </c>
      <c r="AB409" s="12">
        <f t="shared" si="114"/>
        <v>4.1622301810086144</v>
      </c>
      <c r="AC409" s="12">
        <f t="shared" si="115"/>
        <v>0</v>
      </c>
      <c r="AD409" s="34"/>
    </row>
    <row r="410" spans="1:30" ht="16" x14ac:dyDescent="0.2">
      <c r="A410" s="47"/>
      <c r="B410" s="376"/>
      <c r="C410" s="176">
        <f t="shared" si="116"/>
        <v>407</v>
      </c>
      <c r="D410" s="122">
        <v>45753</v>
      </c>
      <c r="E410" s="122">
        <v>45756</v>
      </c>
      <c r="F410" s="65" t="s">
        <v>208</v>
      </c>
      <c r="G410" s="11" t="str">
        <f ca="1">IF(AND(E410&lt;&gt;"",E410&lt;TODAY()),"Disponible",IFERROR(INDEX(Vehiculos[Estado Vehiculo],MATCH(F410,Vehiculos[Placa Vehiculo],0)),""))</f>
        <v>Disponible</v>
      </c>
      <c r="H410" s="34" t="s">
        <v>236</v>
      </c>
      <c r="I410" s="34" t="s">
        <v>273</v>
      </c>
      <c r="J410" s="34" t="s">
        <v>274</v>
      </c>
      <c r="K410" s="401">
        <v>86075</v>
      </c>
      <c r="L410" s="401">
        <v>86667</v>
      </c>
      <c r="M410" s="15">
        <f t="shared" si="111"/>
        <v>592</v>
      </c>
      <c r="N410" s="15"/>
      <c r="O410" s="39"/>
      <c r="P410" s="36"/>
      <c r="Q410" s="16">
        <f t="shared" si="112"/>
        <v>0</v>
      </c>
      <c r="R410" s="34" t="s">
        <v>273</v>
      </c>
      <c r="S410" s="34" t="s">
        <v>102</v>
      </c>
      <c r="T410" s="36">
        <v>1.8</v>
      </c>
      <c r="U410" s="293">
        <f>Rutas[[#This Row],[Precio x Galón ($/gal)]]*Rutas[[#This Row],[Volumen de Combustible (gal)]]</f>
        <v>139.89600000000002</v>
      </c>
      <c r="V410" s="36"/>
      <c r="W410" s="36"/>
      <c r="X410" s="36"/>
      <c r="Y410" s="145">
        <f t="shared" si="113"/>
        <v>139.89600000000002</v>
      </c>
      <c r="Z410" s="567"/>
      <c r="AA410" s="402">
        <v>77.72</v>
      </c>
      <c r="AB410" s="12">
        <f t="shared" si="114"/>
        <v>7.6170869788986106</v>
      </c>
      <c r="AC410" s="12">
        <f t="shared" si="115"/>
        <v>0</v>
      </c>
      <c r="AD410" s="34"/>
    </row>
    <row r="411" spans="1:30" ht="16" x14ac:dyDescent="0.2">
      <c r="A411" s="47"/>
      <c r="B411" s="376"/>
      <c r="C411" s="176">
        <f t="shared" si="116"/>
        <v>408</v>
      </c>
      <c r="D411" s="122">
        <v>45756</v>
      </c>
      <c r="E411" s="122">
        <v>45759</v>
      </c>
      <c r="F411" s="65" t="s">
        <v>208</v>
      </c>
      <c r="G411" s="11" t="str">
        <f ca="1">IF(AND(E411&lt;&gt;"",E411&lt;TODAY()),"Disponible",IFERROR(INDEX(Vehiculos[Estado Vehiculo],MATCH(F411,Vehiculos[Placa Vehiculo],0)),""))</f>
        <v>Disponible</v>
      </c>
      <c r="H411" s="34" t="s">
        <v>236</v>
      </c>
      <c r="I411" s="34" t="s">
        <v>273</v>
      </c>
      <c r="J411" s="34" t="s">
        <v>274</v>
      </c>
      <c r="K411" s="401">
        <v>86667</v>
      </c>
      <c r="L411" s="401">
        <v>87252</v>
      </c>
      <c r="M411" s="15">
        <f t="shared" si="111"/>
        <v>585</v>
      </c>
      <c r="N411" s="15"/>
      <c r="O411" s="39"/>
      <c r="P411" s="36"/>
      <c r="Q411" s="16">
        <f t="shared" si="112"/>
        <v>0</v>
      </c>
      <c r="R411" s="34" t="s">
        <v>273</v>
      </c>
      <c r="S411" s="34" t="s">
        <v>102</v>
      </c>
      <c r="T411" s="36">
        <v>1.8</v>
      </c>
      <c r="U411" s="293">
        <f>Rutas[[#This Row],[Precio x Galón ($/gal)]]*Rutas[[#This Row],[Volumen de Combustible (gal)]]</f>
        <v>202.64400000000001</v>
      </c>
      <c r="V411" s="36"/>
      <c r="W411" s="36"/>
      <c r="X411" s="36"/>
      <c r="Y411" s="145">
        <f t="shared" si="113"/>
        <v>202.64400000000001</v>
      </c>
      <c r="Z411" s="567"/>
      <c r="AA411" s="402">
        <v>112.58</v>
      </c>
      <c r="AB411" s="12">
        <f t="shared" si="114"/>
        <v>5.1963048498845268</v>
      </c>
      <c r="AC411" s="12">
        <f t="shared" si="115"/>
        <v>0</v>
      </c>
      <c r="AD411" s="34"/>
    </row>
    <row r="412" spans="1:30" ht="16" x14ac:dyDescent="0.2">
      <c r="A412" s="47"/>
      <c r="B412" s="376"/>
      <c r="C412" s="176">
        <f t="shared" si="116"/>
        <v>409</v>
      </c>
      <c r="D412" s="122">
        <v>45759</v>
      </c>
      <c r="E412" s="122">
        <v>45762</v>
      </c>
      <c r="F412" s="65" t="s">
        <v>208</v>
      </c>
      <c r="G412" s="11" t="str">
        <f ca="1">IF(AND(E412&lt;&gt;"",E412&lt;TODAY()),"Disponible",IFERROR(INDEX(Vehiculos[Estado Vehiculo],MATCH(F412,Vehiculos[Placa Vehiculo],0)),""))</f>
        <v>Disponible</v>
      </c>
      <c r="H412" s="34" t="s">
        <v>236</v>
      </c>
      <c r="I412" s="34" t="s">
        <v>273</v>
      </c>
      <c r="J412" s="34" t="s">
        <v>274</v>
      </c>
      <c r="K412" s="401">
        <v>87252</v>
      </c>
      <c r="L412" s="401">
        <v>87819</v>
      </c>
      <c r="M412" s="15">
        <f t="shared" si="111"/>
        <v>567</v>
      </c>
      <c r="N412" s="15"/>
      <c r="O412" s="39"/>
      <c r="P412" s="36"/>
      <c r="Q412" s="16">
        <f t="shared" si="112"/>
        <v>0</v>
      </c>
      <c r="R412" s="34" t="s">
        <v>273</v>
      </c>
      <c r="S412" s="34" t="s">
        <v>102</v>
      </c>
      <c r="T412" s="36">
        <v>1.8</v>
      </c>
      <c r="U412" s="293">
        <f>Rutas[[#This Row],[Precio x Galón ($/gal)]]*Rutas[[#This Row],[Volumen de Combustible (gal)]]</f>
        <v>187.95600000000002</v>
      </c>
      <c r="V412" s="36"/>
      <c r="W412" s="36"/>
      <c r="X412" s="36"/>
      <c r="Y412" s="145">
        <f t="shared" si="113"/>
        <v>187.95600000000002</v>
      </c>
      <c r="Z412" s="567"/>
      <c r="AA412" s="402">
        <v>104.42</v>
      </c>
      <c r="AB412" s="12">
        <f t="shared" si="114"/>
        <v>5.4299942539743347</v>
      </c>
      <c r="AC412" s="12">
        <f t="shared" si="115"/>
        <v>0</v>
      </c>
      <c r="AD412" s="34"/>
    </row>
    <row r="413" spans="1:30" ht="16" x14ac:dyDescent="0.2">
      <c r="A413" s="47"/>
      <c r="B413" s="376"/>
      <c r="C413" s="176">
        <f t="shared" si="116"/>
        <v>410</v>
      </c>
      <c r="D413" s="122">
        <v>45762</v>
      </c>
      <c r="E413" s="37">
        <v>45765</v>
      </c>
      <c r="F413" s="65" t="s">
        <v>208</v>
      </c>
      <c r="G413" s="11" t="str">
        <f ca="1">IF(AND(E413&lt;&gt;"",E413&lt;TODAY()),"Disponible",IFERROR(INDEX(Vehiculos[Estado Vehiculo],MATCH(F413,Vehiculos[Placa Vehiculo],0)),""))</f>
        <v>Disponible</v>
      </c>
      <c r="H413" s="34" t="s">
        <v>231</v>
      </c>
      <c r="I413" s="34" t="s">
        <v>273</v>
      </c>
      <c r="J413" s="34" t="s">
        <v>274</v>
      </c>
      <c r="K413" s="401">
        <v>87819</v>
      </c>
      <c r="L413" s="39">
        <v>88417</v>
      </c>
      <c r="M413" s="15">
        <f t="shared" si="111"/>
        <v>598</v>
      </c>
      <c r="N413" s="15"/>
      <c r="O413" s="39"/>
      <c r="P413" s="36"/>
      <c r="Q413" s="16">
        <f t="shared" si="112"/>
        <v>0</v>
      </c>
      <c r="R413" s="34" t="s">
        <v>273</v>
      </c>
      <c r="S413" s="34" t="s">
        <v>102</v>
      </c>
      <c r="T413" s="36">
        <v>1.8</v>
      </c>
      <c r="U413" s="293">
        <f>Rutas[[#This Row],[Precio x Galón ($/gal)]]*Rutas[[#This Row],[Volumen de Combustible (gal)]]</f>
        <v>197.47799999999998</v>
      </c>
      <c r="V413" s="36"/>
      <c r="W413" s="36"/>
      <c r="X413" s="36"/>
      <c r="Y413" s="145">
        <f t="shared" si="113"/>
        <v>197.47799999999998</v>
      </c>
      <c r="Z413" s="567"/>
      <c r="AA413" s="402">
        <v>109.71</v>
      </c>
      <c r="AB413" s="12">
        <f t="shared" si="114"/>
        <v>5.450733752620545</v>
      </c>
      <c r="AC413" s="12">
        <f t="shared" si="115"/>
        <v>0</v>
      </c>
      <c r="AD413" s="34"/>
    </row>
    <row r="414" spans="1:30" ht="16" x14ac:dyDescent="0.2">
      <c r="A414" s="47"/>
      <c r="B414" s="376"/>
      <c r="C414" s="176">
        <f t="shared" si="116"/>
        <v>411</v>
      </c>
      <c r="D414" s="146">
        <v>45765</v>
      </c>
      <c r="E414" s="37">
        <v>45768</v>
      </c>
      <c r="F414" s="65" t="s">
        <v>208</v>
      </c>
      <c r="G414" s="11" t="str">
        <f ca="1">IF(AND(E414&lt;&gt;"",E414&lt;TODAY()),"Disponible",IFERROR(INDEX(Vehiculos[Estado Vehiculo],MATCH(F414,Vehiculos[Placa Vehiculo],0)),""))</f>
        <v>Disponible</v>
      </c>
      <c r="H414" s="34" t="s">
        <v>231</v>
      </c>
      <c r="I414" s="34" t="s">
        <v>273</v>
      </c>
      <c r="J414" s="34" t="s">
        <v>274</v>
      </c>
      <c r="K414" s="39">
        <v>88417</v>
      </c>
      <c r="L414" s="39">
        <v>89057</v>
      </c>
      <c r="M414" s="15">
        <f t="shared" ref="M414:M419" si="117">L414-K414</f>
        <v>640</v>
      </c>
      <c r="N414" s="15"/>
      <c r="O414" s="39"/>
      <c r="P414" s="36"/>
      <c r="Q414" s="16">
        <f t="shared" ref="Q414:Q419" si="118">M414*P414</f>
        <v>0</v>
      </c>
      <c r="R414" s="34" t="s">
        <v>273</v>
      </c>
      <c r="S414" s="34" t="s">
        <v>102</v>
      </c>
      <c r="T414" s="36">
        <v>1.8</v>
      </c>
      <c r="U414" s="293">
        <f>Rutas[[#This Row],[Precio x Galón ($/gal)]]*Rutas[[#This Row],[Volumen de Combustible (gal)]]</f>
        <v>196.90200000000002</v>
      </c>
      <c r="V414" s="36"/>
      <c r="W414" s="36"/>
      <c r="X414" s="36"/>
      <c r="Y414" s="145">
        <f t="shared" ref="Y414:Y419" si="119">U414+SUM(V414:X414)</f>
        <v>196.90200000000002</v>
      </c>
      <c r="Z414" s="567"/>
      <c r="AA414" s="12">
        <v>109.39</v>
      </c>
      <c r="AB414" s="12">
        <f t="shared" ref="AB414:AB419" si="120">IFERROR(M414/AA414,0)</f>
        <v>5.8506261998354514</v>
      </c>
      <c r="AC414" s="12">
        <f t="shared" ref="AC414:AC419" si="121">IFERROR(Q414/M414,0)</f>
        <v>0</v>
      </c>
      <c r="AD414" s="34"/>
    </row>
    <row r="415" spans="1:30" ht="16" x14ac:dyDescent="0.2">
      <c r="A415" s="47"/>
      <c r="B415" s="376"/>
      <c r="C415" s="176">
        <f t="shared" si="116"/>
        <v>412</v>
      </c>
      <c r="D415" s="146">
        <v>45768</v>
      </c>
      <c r="E415" s="37">
        <v>45771</v>
      </c>
      <c r="F415" s="65" t="s">
        <v>208</v>
      </c>
      <c r="G415" s="11" t="str">
        <f ca="1">IF(AND(E415&lt;&gt;"",E415&lt;TODAY()),"Disponible",IFERROR(INDEX(Vehiculos[Estado Vehiculo],MATCH(F415,Vehiculos[Placa Vehiculo],0)),""))</f>
        <v>Disponible</v>
      </c>
      <c r="H415" s="34" t="s">
        <v>231</v>
      </c>
      <c r="I415" s="34" t="s">
        <v>273</v>
      </c>
      <c r="J415" s="34" t="s">
        <v>274</v>
      </c>
      <c r="K415" s="39">
        <v>89057</v>
      </c>
      <c r="L415" s="39">
        <v>89617</v>
      </c>
      <c r="M415" s="15">
        <f t="shared" si="117"/>
        <v>560</v>
      </c>
      <c r="N415" s="15"/>
      <c r="O415" s="39"/>
      <c r="P415" s="36"/>
      <c r="Q415" s="16">
        <f t="shared" si="118"/>
        <v>0</v>
      </c>
      <c r="R415" s="34" t="s">
        <v>273</v>
      </c>
      <c r="S415" s="34" t="s">
        <v>102</v>
      </c>
      <c r="T415" s="36">
        <v>1.8</v>
      </c>
      <c r="U415" s="293">
        <f>Rutas[[#This Row],[Precio x Galón ($/gal)]]*Rutas[[#This Row],[Volumen de Combustible (gal)]]</f>
        <v>215.982</v>
      </c>
      <c r="V415" s="36"/>
      <c r="W415" s="36"/>
      <c r="X415" s="36"/>
      <c r="Y415" s="145">
        <f t="shared" si="119"/>
        <v>215.982</v>
      </c>
      <c r="Z415" s="567"/>
      <c r="AA415" s="12">
        <v>119.99</v>
      </c>
      <c r="AB415" s="12">
        <f t="shared" si="120"/>
        <v>4.6670555879656641</v>
      </c>
      <c r="AC415" s="12">
        <f t="shared" si="121"/>
        <v>0</v>
      </c>
      <c r="AD415" s="34"/>
    </row>
    <row r="416" spans="1:30" ht="16" x14ac:dyDescent="0.2">
      <c r="A416" s="47"/>
      <c r="B416" s="376"/>
      <c r="C416" s="176">
        <f t="shared" si="116"/>
        <v>413</v>
      </c>
      <c r="D416" s="146">
        <v>45771</v>
      </c>
      <c r="E416" s="37">
        <v>45774</v>
      </c>
      <c r="F416" s="65" t="s">
        <v>208</v>
      </c>
      <c r="G416" s="11" t="str">
        <f ca="1">IF(AND(E416&lt;&gt;"",E416&lt;TODAY()),"Disponible",IFERROR(INDEX(Vehiculos[Estado Vehiculo],MATCH(F416,Vehiculos[Placa Vehiculo],0)),""))</f>
        <v>Disponible</v>
      </c>
      <c r="H416" s="34" t="s">
        <v>231</v>
      </c>
      <c r="I416" s="34" t="s">
        <v>273</v>
      </c>
      <c r="J416" s="34" t="s">
        <v>274</v>
      </c>
      <c r="K416" s="39">
        <v>89617</v>
      </c>
      <c r="L416" s="39">
        <v>90251</v>
      </c>
      <c r="M416" s="15">
        <f t="shared" si="117"/>
        <v>634</v>
      </c>
      <c r="N416" s="15"/>
      <c r="O416" s="39"/>
      <c r="P416" s="36"/>
      <c r="Q416" s="16">
        <f t="shared" si="118"/>
        <v>0</v>
      </c>
      <c r="R416" s="34" t="s">
        <v>273</v>
      </c>
      <c r="S416" s="34" t="s">
        <v>102</v>
      </c>
      <c r="T416" s="36">
        <v>1.8</v>
      </c>
      <c r="U416" s="293">
        <f>Rutas[[#This Row],[Precio x Galón ($/gal)]]*Rutas[[#This Row],[Volumen de Combustible (gal)]]</f>
        <v>191.03399999999999</v>
      </c>
      <c r="V416" s="36"/>
      <c r="W416" s="36"/>
      <c r="X416" s="36"/>
      <c r="Y416" s="145">
        <f t="shared" si="119"/>
        <v>191.03399999999999</v>
      </c>
      <c r="Z416" s="567"/>
      <c r="AA416" s="12">
        <v>106.13</v>
      </c>
      <c r="AB416" s="12">
        <f t="shared" si="120"/>
        <v>5.973805709978329</v>
      </c>
      <c r="AC416" s="12">
        <f t="shared" si="121"/>
        <v>0</v>
      </c>
      <c r="AD416" s="34"/>
    </row>
    <row r="417" spans="1:30" ht="16" x14ac:dyDescent="0.2">
      <c r="A417" s="47"/>
      <c r="B417" s="376"/>
      <c r="C417" s="176">
        <f t="shared" si="116"/>
        <v>414</v>
      </c>
      <c r="D417" s="146">
        <v>45774</v>
      </c>
      <c r="E417" s="37">
        <v>45777</v>
      </c>
      <c r="F417" s="65" t="s">
        <v>208</v>
      </c>
      <c r="G417" s="11" t="str">
        <f ca="1">IF(AND(E417&lt;&gt;"",E417&lt;TODAY()),"Disponible",IFERROR(INDEX(Vehiculos[Estado Vehiculo],MATCH(F417,Vehiculos[Placa Vehiculo],0)),""))</f>
        <v>Disponible</v>
      </c>
      <c r="H417" s="34" t="s">
        <v>231</v>
      </c>
      <c r="I417" s="34" t="s">
        <v>273</v>
      </c>
      <c r="J417" s="34" t="s">
        <v>274</v>
      </c>
      <c r="K417" s="39">
        <v>90251</v>
      </c>
      <c r="L417" s="39">
        <v>90903</v>
      </c>
      <c r="M417" s="15">
        <f t="shared" si="117"/>
        <v>652</v>
      </c>
      <c r="N417" s="15"/>
      <c r="O417" s="39"/>
      <c r="P417" s="36"/>
      <c r="Q417" s="16">
        <f t="shared" si="118"/>
        <v>0</v>
      </c>
      <c r="R417" s="34" t="s">
        <v>273</v>
      </c>
      <c r="S417" s="34" t="s">
        <v>102</v>
      </c>
      <c r="T417" s="36">
        <v>1.8</v>
      </c>
      <c r="U417" s="293">
        <f>Rutas[[#This Row],[Precio x Galón ($/gal)]]*Rutas[[#This Row],[Volumen de Combustible (gal)]]</f>
        <v>188.73</v>
      </c>
      <c r="V417" s="36"/>
      <c r="W417" s="36"/>
      <c r="X417" s="36"/>
      <c r="Y417" s="145">
        <f t="shared" si="119"/>
        <v>188.73</v>
      </c>
      <c r="Z417" s="567"/>
      <c r="AA417" s="12">
        <v>104.85</v>
      </c>
      <c r="AB417" s="12">
        <f t="shared" si="120"/>
        <v>6.2184072484501671</v>
      </c>
      <c r="AC417" s="12">
        <f t="shared" si="121"/>
        <v>0</v>
      </c>
      <c r="AD417" s="34"/>
    </row>
    <row r="418" spans="1:30" ht="16" x14ac:dyDescent="0.2">
      <c r="A418" s="47"/>
      <c r="B418" s="376"/>
      <c r="C418" s="176">
        <f t="shared" si="116"/>
        <v>415</v>
      </c>
      <c r="D418" s="146">
        <v>45777</v>
      </c>
      <c r="E418" s="37">
        <v>45777</v>
      </c>
      <c r="F418" s="65" t="s">
        <v>208</v>
      </c>
      <c r="G418" s="11" t="str">
        <f ca="1">IF(AND(E418&lt;&gt;"",E418&lt;TODAY()),"Disponible",IFERROR(INDEX(Vehiculos[Estado Vehiculo],MATCH(F418,Vehiculos[Placa Vehiculo],0)),""))</f>
        <v>Disponible</v>
      </c>
      <c r="H418" s="34" t="s">
        <v>231</v>
      </c>
      <c r="I418" s="34" t="s">
        <v>273</v>
      </c>
      <c r="J418" s="34" t="s">
        <v>274</v>
      </c>
      <c r="K418" s="39">
        <v>90903</v>
      </c>
      <c r="L418" s="39">
        <v>90904</v>
      </c>
      <c r="M418" s="15">
        <f t="shared" si="117"/>
        <v>1</v>
      </c>
      <c r="N418" s="452">
        <v>620</v>
      </c>
      <c r="O418" s="39"/>
      <c r="P418" s="36"/>
      <c r="Q418" s="16">
        <f t="shared" si="118"/>
        <v>0</v>
      </c>
      <c r="R418" s="34" t="s">
        <v>273</v>
      </c>
      <c r="S418" s="34" t="s">
        <v>102</v>
      </c>
      <c r="T418" s="36">
        <v>1.8</v>
      </c>
      <c r="U418" s="293">
        <f>Rutas[[#This Row],[Precio x Galón ($/gal)]]*Rutas[[#This Row],[Volumen de Combustible (gal)]]</f>
        <v>201.852</v>
      </c>
      <c r="V418" s="36"/>
      <c r="W418" s="36"/>
      <c r="X418" s="36"/>
      <c r="Y418" s="145">
        <f t="shared" si="119"/>
        <v>201.852</v>
      </c>
      <c r="Z418" s="567"/>
      <c r="AA418" s="12">
        <v>112.14</v>
      </c>
      <c r="AB418" s="12">
        <f t="shared" si="120"/>
        <v>8.9174246477617264E-3</v>
      </c>
      <c r="AC418" s="12">
        <f t="shared" si="121"/>
        <v>0</v>
      </c>
      <c r="AD418" s="34"/>
    </row>
    <row r="419" spans="1:30" ht="16" x14ac:dyDescent="0.2">
      <c r="A419" s="47"/>
      <c r="B419" s="376"/>
      <c r="C419" s="176">
        <f t="shared" si="116"/>
        <v>416</v>
      </c>
      <c r="D419" s="146"/>
      <c r="E419" s="37"/>
      <c r="F419" s="65"/>
      <c r="G419" s="11" t="str">
        <f ca="1">IF(AND(E419&lt;&gt;"",E419&lt;TODAY()),"Disponible",IFERROR(INDEX(Vehiculos[Estado Vehiculo],MATCH(F419,Vehiculos[Placa Vehiculo],0)),""))</f>
        <v/>
      </c>
      <c r="H419" s="34"/>
      <c r="I419" s="34"/>
      <c r="J419" s="34"/>
      <c r="K419" s="39"/>
      <c r="L419" s="39"/>
      <c r="M419" s="15">
        <f t="shared" si="117"/>
        <v>0</v>
      </c>
      <c r="N419" s="15"/>
      <c r="O419" s="39"/>
      <c r="P419" s="36"/>
      <c r="Q419" s="16">
        <f t="shared" si="118"/>
        <v>0</v>
      </c>
      <c r="R419" s="34"/>
      <c r="S419" s="34"/>
      <c r="T419" s="36"/>
      <c r="U419" s="293"/>
      <c r="V419" s="36"/>
      <c r="W419" s="36"/>
      <c r="X419" s="36"/>
      <c r="Y419" s="145">
        <f t="shared" si="119"/>
        <v>0</v>
      </c>
      <c r="Z419" s="567"/>
      <c r="AA419" s="12"/>
      <c r="AB419" s="12">
        <f t="shared" si="120"/>
        <v>0</v>
      </c>
      <c r="AC419" s="12">
        <f t="shared" si="121"/>
        <v>0</v>
      </c>
      <c r="AD419" s="34"/>
    </row>
    <row r="420" spans="1:30" ht="16" x14ac:dyDescent="0.2">
      <c r="A420" s="47"/>
      <c r="B420" s="376"/>
      <c r="C420" s="176">
        <f t="shared" si="116"/>
        <v>417</v>
      </c>
      <c r="D420" s="122">
        <v>45753</v>
      </c>
      <c r="E420" s="122">
        <v>45761</v>
      </c>
      <c r="F420" s="68" t="s">
        <v>204</v>
      </c>
      <c r="G420" s="379" t="str">
        <f ca="1">IF(AND(E420&lt;&gt;"",E420&lt;TODAY()),"Disponible",IFERROR(INDEX(Vehiculos[Estado Vehiculo],MATCH(F420,Vehiculos[Placa Vehiculo],0)),""))</f>
        <v>Disponible</v>
      </c>
      <c r="H420" s="89"/>
      <c r="I420" s="89" t="s">
        <v>273</v>
      </c>
      <c r="J420" s="89" t="s">
        <v>282</v>
      </c>
      <c r="K420" s="401">
        <v>24797</v>
      </c>
      <c r="L420" s="401">
        <v>25556</v>
      </c>
      <c r="M420" s="381">
        <f t="shared" ref="M420:M456" si="122">L420-K420</f>
        <v>759</v>
      </c>
      <c r="N420" s="381"/>
      <c r="O420" s="380"/>
      <c r="P420" s="92"/>
      <c r="Q420" s="382">
        <f t="shared" ref="Q420:Q456" si="123">M420*P420</f>
        <v>0</v>
      </c>
      <c r="R420" s="89" t="s">
        <v>273</v>
      </c>
      <c r="S420" s="89" t="s">
        <v>102</v>
      </c>
      <c r="T420" s="92">
        <v>1.8</v>
      </c>
      <c r="U420" s="266">
        <f>Rutas[[#This Row],[Precio x Galón ($/gal)]]*Rutas[[#This Row],[Volumen de Combustible (gal)]]</f>
        <v>179.62200000000001</v>
      </c>
      <c r="V420" s="92"/>
      <c r="W420" s="92"/>
      <c r="X420" s="92"/>
      <c r="Y420" s="382">
        <f t="shared" ref="Y420:Y456" si="124">U420+SUM(V420:X420)</f>
        <v>179.62200000000001</v>
      </c>
      <c r="Z420" s="567"/>
      <c r="AA420" s="402">
        <v>99.79</v>
      </c>
      <c r="AB420" s="382">
        <f t="shared" ref="AB420:AB456" si="125">IFERROR(M420/AA420,0)</f>
        <v>7.6059725423389111</v>
      </c>
      <c r="AC420" s="382">
        <f t="shared" ref="AC420:AC456" si="126">IFERROR(Q420/M420,0)</f>
        <v>0</v>
      </c>
      <c r="AD420" s="89"/>
    </row>
    <row r="421" spans="1:30" ht="16" x14ac:dyDescent="0.2">
      <c r="A421" s="47"/>
      <c r="B421" s="376"/>
      <c r="C421" s="176">
        <f t="shared" si="116"/>
        <v>418</v>
      </c>
      <c r="D421" s="122">
        <v>45761</v>
      </c>
      <c r="E421" s="37">
        <v>45765</v>
      </c>
      <c r="F421" s="65" t="s">
        <v>204</v>
      </c>
      <c r="G421" s="11" t="str">
        <f ca="1">IF(AND(E421&lt;&gt;"",E421&lt;TODAY()),"Disponible",IFERROR(INDEX(Vehiculos[Estado Vehiculo],MATCH(F421,Vehiculos[Placa Vehiculo],0)),""))</f>
        <v>Disponible</v>
      </c>
      <c r="H421" s="34" t="s">
        <v>247</v>
      </c>
      <c r="I421" s="34" t="s">
        <v>273</v>
      </c>
      <c r="J421" s="34" t="s">
        <v>282</v>
      </c>
      <c r="K421" s="401">
        <v>25556</v>
      </c>
      <c r="L421" s="39">
        <v>25903</v>
      </c>
      <c r="M421" s="15">
        <f t="shared" si="122"/>
        <v>347</v>
      </c>
      <c r="N421" s="15"/>
      <c r="O421" s="39"/>
      <c r="P421" s="36"/>
      <c r="Q421" s="16">
        <f t="shared" si="123"/>
        <v>0</v>
      </c>
      <c r="R421" s="34" t="s">
        <v>273</v>
      </c>
      <c r="S421" s="34" t="s">
        <v>102</v>
      </c>
      <c r="T421" s="36">
        <v>1.8</v>
      </c>
      <c r="U421" s="293">
        <f>Rutas[[#This Row],[Precio x Galón ($/gal)]]*Rutas[[#This Row],[Volumen de Combustible (gal)]]</f>
        <v>200.376</v>
      </c>
      <c r="V421" s="36"/>
      <c r="W421" s="36"/>
      <c r="X421" s="36"/>
      <c r="Y421" s="145">
        <f t="shared" si="124"/>
        <v>200.376</v>
      </c>
      <c r="Z421" s="567"/>
      <c r="AA421" s="402">
        <v>111.32</v>
      </c>
      <c r="AB421" s="12">
        <f t="shared" si="125"/>
        <v>3.1171397772188287</v>
      </c>
      <c r="AC421" s="12">
        <f t="shared" si="126"/>
        <v>0</v>
      </c>
      <c r="AD421" s="34"/>
    </row>
    <row r="422" spans="1:30" ht="16" x14ac:dyDescent="0.2">
      <c r="A422" s="47"/>
      <c r="B422" s="376"/>
      <c r="C422" s="176">
        <f t="shared" si="116"/>
        <v>419</v>
      </c>
      <c r="D422" s="146">
        <v>45765</v>
      </c>
      <c r="E422" s="37">
        <v>45775</v>
      </c>
      <c r="F422" s="65" t="s">
        <v>204</v>
      </c>
      <c r="G422" s="11" t="str">
        <f ca="1">IF(AND(E422&lt;&gt;"",E422&lt;TODAY()),"Disponible",IFERROR(INDEX(Vehiculos[Estado Vehiculo],MATCH(F422,Vehiculos[Placa Vehiculo],0)),""))</f>
        <v>Disponible</v>
      </c>
      <c r="H422" s="34" t="s">
        <v>247</v>
      </c>
      <c r="I422" s="34" t="s">
        <v>273</v>
      </c>
      <c r="J422" s="34" t="s">
        <v>282</v>
      </c>
      <c r="K422" s="39">
        <v>25903</v>
      </c>
      <c r="L422" s="39">
        <v>26578</v>
      </c>
      <c r="M422" s="15">
        <f t="shared" si="122"/>
        <v>675</v>
      </c>
      <c r="N422" s="15"/>
      <c r="O422" s="39"/>
      <c r="P422" s="36"/>
      <c r="Q422" s="16">
        <f t="shared" si="123"/>
        <v>0</v>
      </c>
      <c r="R422" s="34" t="s">
        <v>273</v>
      </c>
      <c r="S422" s="34" t="s">
        <v>102</v>
      </c>
      <c r="T422" s="36">
        <v>1.8</v>
      </c>
      <c r="U422" s="293">
        <f>Rutas[[#This Row],[Precio x Galón ($/gal)]]*Rutas[[#This Row],[Volumen de Combustible (gal)]]</f>
        <v>75.941999999999993</v>
      </c>
      <c r="V422" s="36"/>
      <c r="W422" s="36"/>
      <c r="X422" s="36"/>
      <c r="Y422" s="145">
        <f t="shared" si="124"/>
        <v>75.941999999999993</v>
      </c>
      <c r="Z422" s="567"/>
      <c r="AA422" s="12">
        <v>42.19</v>
      </c>
      <c r="AB422" s="12">
        <f t="shared" si="125"/>
        <v>15.99905190803508</v>
      </c>
      <c r="AC422" s="12">
        <f t="shared" si="126"/>
        <v>0</v>
      </c>
      <c r="AD422" s="34"/>
    </row>
    <row r="423" spans="1:30" ht="16" x14ac:dyDescent="0.2">
      <c r="A423" s="47"/>
      <c r="B423" s="376"/>
      <c r="C423" s="176">
        <f t="shared" si="116"/>
        <v>420</v>
      </c>
      <c r="D423" s="146">
        <v>45775</v>
      </c>
      <c r="E423" s="37">
        <v>45777</v>
      </c>
      <c r="F423" s="65" t="s">
        <v>204</v>
      </c>
      <c r="G423" s="11" t="str">
        <f ca="1">IF(AND(E423&lt;&gt;"",E423&lt;TODAY()),"Disponible",IFERROR(INDEX(Vehiculos[Estado Vehiculo],MATCH(F423,Vehiculos[Placa Vehiculo],0)),""))</f>
        <v>Disponible</v>
      </c>
      <c r="H423" s="34" t="s">
        <v>247</v>
      </c>
      <c r="I423" s="34" t="s">
        <v>273</v>
      </c>
      <c r="J423" s="34" t="s">
        <v>282</v>
      </c>
      <c r="K423" s="39">
        <v>26578</v>
      </c>
      <c r="L423" s="39">
        <v>26608</v>
      </c>
      <c r="M423" s="15">
        <f t="shared" si="122"/>
        <v>30</v>
      </c>
      <c r="N423" s="452">
        <v>284</v>
      </c>
      <c r="O423" s="39"/>
      <c r="P423" s="36"/>
      <c r="Q423" s="16">
        <f t="shared" si="123"/>
        <v>0</v>
      </c>
      <c r="R423" s="34" t="s">
        <v>273</v>
      </c>
      <c r="S423" s="34" t="s">
        <v>102</v>
      </c>
      <c r="T423" s="36">
        <v>1.8</v>
      </c>
      <c r="U423" s="293">
        <f>Rutas[[#This Row],[Precio x Galón ($/gal)]]*Rutas[[#This Row],[Volumen de Combustible (gal)]]</f>
        <v>196.20000000000002</v>
      </c>
      <c r="V423" s="36"/>
      <c r="W423" s="36"/>
      <c r="X423" s="36"/>
      <c r="Y423" s="145">
        <f t="shared" si="124"/>
        <v>196.20000000000002</v>
      </c>
      <c r="Z423" s="567"/>
      <c r="AA423" s="12">
        <v>109</v>
      </c>
      <c r="AB423" s="12">
        <f t="shared" si="125"/>
        <v>0.27522935779816515</v>
      </c>
      <c r="AC423" s="12">
        <f t="shared" si="126"/>
        <v>0</v>
      </c>
      <c r="AD423" s="34"/>
    </row>
    <row r="424" spans="1:30" ht="16" x14ac:dyDescent="0.2">
      <c r="A424" s="47"/>
      <c r="B424" s="376"/>
      <c r="C424" s="176">
        <f t="shared" si="116"/>
        <v>421</v>
      </c>
      <c r="D424" s="146"/>
      <c r="E424" s="37"/>
      <c r="F424" s="65"/>
      <c r="G424" s="11" t="str">
        <f ca="1">IF(AND(E424&lt;&gt;"",E424&lt;TODAY()),"Disponible",IFERROR(INDEX(Vehiculos[Estado Vehiculo],MATCH(F424,Vehiculos[Placa Vehiculo],0)),""))</f>
        <v/>
      </c>
      <c r="H424" s="34"/>
      <c r="I424" s="34"/>
      <c r="J424" s="34"/>
      <c r="K424" s="39"/>
      <c r="L424" s="39"/>
      <c r="M424" s="15">
        <f t="shared" si="122"/>
        <v>0</v>
      </c>
      <c r="N424" s="15"/>
      <c r="O424" s="39"/>
      <c r="P424" s="36"/>
      <c r="Q424" s="16">
        <f t="shared" si="123"/>
        <v>0</v>
      </c>
      <c r="R424" s="34"/>
      <c r="S424" s="34"/>
      <c r="T424" s="36"/>
      <c r="U424" s="293">
        <f>Rutas[[#This Row],[Precio x Galón ($/gal)]]*Rutas[[#This Row],[Volumen de Combustible (gal)]]</f>
        <v>0</v>
      </c>
      <c r="V424" s="36"/>
      <c r="W424" s="36"/>
      <c r="X424" s="36"/>
      <c r="Y424" s="145">
        <f t="shared" si="124"/>
        <v>0</v>
      </c>
      <c r="Z424" s="567"/>
      <c r="AA424" s="12"/>
      <c r="AB424" s="12">
        <f t="shared" si="125"/>
        <v>0</v>
      </c>
      <c r="AC424" s="12">
        <f t="shared" si="126"/>
        <v>0</v>
      </c>
      <c r="AD424" s="34"/>
    </row>
    <row r="425" spans="1:30" ht="16" x14ac:dyDescent="0.2">
      <c r="A425" s="47"/>
      <c r="B425" s="376"/>
      <c r="C425" s="176">
        <f t="shared" si="116"/>
        <v>422</v>
      </c>
      <c r="D425" s="122">
        <v>45753</v>
      </c>
      <c r="E425" s="122">
        <v>45757</v>
      </c>
      <c r="F425" s="68" t="s">
        <v>212</v>
      </c>
      <c r="G425" s="379" t="str">
        <f ca="1">IF(AND(E425&lt;&gt;"",E425&lt;TODAY()),"Disponible",IFERROR(INDEX(Vehiculos[Estado Vehiculo],MATCH(F425,Vehiculos[Placa Vehiculo],0)),""))</f>
        <v>Disponible</v>
      </c>
      <c r="H425" s="89" t="s">
        <v>247</v>
      </c>
      <c r="I425" s="89" t="s">
        <v>273</v>
      </c>
      <c r="J425" s="89" t="s">
        <v>282</v>
      </c>
      <c r="K425" s="401">
        <v>256407</v>
      </c>
      <c r="L425" s="401">
        <v>256986</v>
      </c>
      <c r="M425" s="381">
        <f t="shared" si="122"/>
        <v>579</v>
      </c>
      <c r="N425" s="381"/>
      <c r="O425" s="380"/>
      <c r="P425" s="92"/>
      <c r="Q425" s="382">
        <f t="shared" si="123"/>
        <v>0</v>
      </c>
      <c r="R425" s="89" t="s">
        <v>273</v>
      </c>
      <c r="S425" s="89" t="s">
        <v>102</v>
      </c>
      <c r="T425" s="92">
        <v>1.8</v>
      </c>
      <c r="U425" s="266">
        <f>Rutas[[#This Row],[Precio x Galón ($/gal)]]*Rutas[[#This Row],[Volumen de Combustible (gal)]]</f>
        <v>260.74800000000005</v>
      </c>
      <c r="V425" s="92"/>
      <c r="W425" s="92"/>
      <c r="X425" s="92"/>
      <c r="Y425" s="382">
        <f t="shared" si="124"/>
        <v>260.74800000000005</v>
      </c>
      <c r="Z425" s="567"/>
      <c r="AA425" s="402">
        <v>144.86000000000001</v>
      </c>
      <c r="AB425" s="382">
        <f t="shared" si="125"/>
        <v>3.9969625845644066</v>
      </c>
      <c r="AC425" s="382">
        <f t="shared" si="126"/>
        <v>0</v>
      </c>
      <c r="AD425" s="89"/>
    </row>
    <row r="426" spans="1:30" ht="16" x14ac:dyDescent="0.2">
      <c r="A426" s="47"/>
      <c r="B426" s="376"/>
      <c r="C426" s="176">
        <f t="shared" si="116"/>
        <v>423</v>
      </c>
      <c r="D426" s="122">
        <v>45757</v>
      </c>
      <c r="E426" s="122">
        <v>45761</v>
      </c>
      <c r="F426" s="65" t="s">
        <v>212</v>
      </c>
      <c r="G426" s="11" t="str">
        <f ca="1">IF(AND(E426&lt;&gt;"",E426&lt;TODAY()),"Disponible",IFERROR(INDEX(Vehiculos[Estado Vehiculo],MATCH(F426,Vehiculos[Placa Vehiculo],0)),""))</f>
        <v>Disponible</v>
      </c>
      <c r="H426" s="34" t="s">
        <v>242</v>
      </c>
      <c r="I426" s="34" t="s">
        <v>273</v>
      </c>
      <c r="J426" s="34" t="s">
        <v>282</v>
      </c>
      <c r="K426" s="401">
        <v>256986</v>
      </c>
      <c r="L426" s="401">
        <v>257511</v>
      </c>
      <c r="M426" s="15">
        <f t="shared" si="122"/>
        <v>525</v>
      </c>
      <c r="N426" s="15"/>
      <c r="O426" s="39"/>
      <c r="P426" s="36"/>
      <c r="Q426" s="16">
        <f t="shared" si="123"/>
        <v>0</v>
      </c>
      <c r="R426" s="34" t="s">
        <v>273</v>
      </c>
      <c r="S426" s="34" t="s">
        <v>102</v>
      </c>
      <c r="T426" s="36">
        <v>1.8</v>
      </c>
      <c r="U426" s="293">
        <f>Rutas[[#This Row],[Precio x Galón ($/gal)]]*Rutas[[#This Row],[Volumen de Combustible (gal)]]</f>
        <v>203.04</v>
      </c>
      <c r="V426" s="36"/>
      <c r="W426" s="36"/>
      <c r="X426" s="36"/>
      <c r="Y426" s="145">
        <f t="shared" si="124"/>
        <v>203.04</v>
      </c>
      <c r="Z426" s="567"/>
      <c r="AA426" s="402">
        <v>112.8</v>
      </c>
      <c r="AB426" s="12">
        <f t="shared" si="125"/>
        <v>4.6542553191489366</v>
      </c>
      <c r="AC426" s="12">
        <f t="shared" si="126"/>
        <v>0</v>
      </c>
      <c r="AD426" s="34"/>
    </row>
    <row r="427" spans="1:30" ht="16" x14ac:dyDescent="0.2">
      <c r="A427" s="47"/>
      <c r="B427" s="376"/>
      <c r="C427" s="176">
        <f t="shared" si="116"/>
        <v>424</v>
      </c>
      <c r="D427" s="122">
        <v>45761</v>
      </c>
      <c r="E427" s="37">
        <v>45764</v>
      </c>
      <c r="F427" s="65" t="s">
        <v>212</v>
      </c>
      <c r="G427" s="11" t="str">
        <f ca="1">IF(AND(E427&lt;&gt;"",E427&lt;TODAY()),"Disponible",IFERROR(INDEX(Vehiculos[Estado Vehiculo],MATCH(F427,Vehiculos[Placa Vehiculo],0)),""))</f>
        <v>Disponible</v>
      </c>
      <c r="H427" s="34" t="s">
        <v>242</v>
      </c>
      <c r="I427" s="34" t="s">
        <v>273</v>
      </c>
      <c r="J427" s="34" t="s">
        <v>282</v>
      </c>
      <c r="K427" s="401">
        <v>257511</v>
      </c>
      <c r="L427" s="39">
        <v>257900</v>
      </c>
      <c r="M427" s="15">
        <f t="shared" si="122"/>
        <v>389</v>
      </c>
      <c r="N427" s="15"/>
      <c r="O427" s="39"/>
      <c r="P427" s="36"/>
      <c r="Q427" s="16">
        <f t="shared" si="123"/>
        <v>0</v>
      </c>
      <c r="R427" s="34" t="s">
        <v>273</v>
      </c>
      <c r="S427" s="34" t="s">
        <v>102</v>
      </c>
      <c r="T427" s="36">
        <v>1.8</v>
      </c>
      <c r="U427" s="293">
        <f>Rutas[[#This Row],[Precio x Galón ($/gal)]]*Rutas[[#This Row],[Volumen de Combustible (gal)]]</f>
        <v>211.93199999999999</v>
      </c>
      <c r="V427" s="36"/>
      <c r="W427" s="36"/>
      <c r="X427" s="36"/>
      <c r="Y427" s="145">
        <f t="shared" si="124"/>
        <v>211.93199999999999</v>
      </c>
      <c r="Z427" s="567"/>
      <c r="AA427" s="402">
        <v>117.74</v>
      </c>
      <c r="AB427" s="12">
        <f t="shared" si="125"/>
        <v>3.3038899269577033</v>
      </c>
      <c r="AC427" s="12">
        <f t="shared" si="126"/>
        <v>0</v>
      </c>
      <c r="AD427" s="34"/>
    </row>
    <row r="428" spans="1:30" ht="16" x14ac:dyDescent="0.2">
      <c r="A428" s="47"/>
      <c r="B428" s="376"/>
      <c r="C428" s="176">
        <f t="shared" si="116"/>
        <v>425</v>
      </c>
      <c r="D428" s="454">
        <v>45764</v>
      </c>
      <c r="E428" s="37">
        <v>45766</v>
      </c>
      <c r="F428" s="65" t="s">
        <v>212</v>
      </c>
      <c r="G428" s="11" t="str">
        <f ca="1">IF(AND(E428&lt;&gt;"",E428&lt;TODAY()),"Disponible",IFERROR(INDEX(Vehiculos[Estado Vehiculo],MATCH(F428,Vehiculos[Placa Vehiculo],0)),""))</f>
        <v>Disponible</v>
      </c>
      <c r="H428" s="34" t="s">
        <v>242</v>
      </c>
      <c r="I428" s="34" t="s">
        <v>273</v>
      </c>
      <c r="J428" s="34" t="s">
        <v>282</v>
      </c>
      <c r="K428" s="401">
        <v>257900</v>
      </c>
      <c r="L428" s="39">
        <v>258100</v>
      </c>
      <c r="M428" s="15">
        <f>L428-K428</f>
        <v>200</v>
      </c>
      <c r="N428" s="15"/>
      <c r="O428" s="39"/>
      <c r="P428" s="36"/>
      <c r="Q428" s="16">
        <f>M428*P428</f>
        <v>0</v>
      </c>
      <c r="R428" s="34" t="s">
        <v>273</v>
      </c>
      <c r="S428" s="34" t="s">
        <v>102</v>
      </c>
      <c r="T428" s="36">
        <v>1.8</v>
      </c>
      <c r="U428" s="293">
        <f>Rutas[[#This Row],[Precio x Galón ($/gal)]]*Rutas[[#This Row],[Volumen de Combustible (gal)]]</f>
        <v>176.4</v>
      </c>
      <c r="V428" s="36"/>
      <c r="W428" s="36"/>
      <c r="X428" s="36"/>
      <c r="Y428" s="145">
        <f>U428+SUM(V428:X428)</f>
        <v>176.4</v>
      </c>
      <c r="Z428" s="567"/>
      <c r="AA428" s="12">
        <v>98</v>
      </c>
      <c r="AB428" s="12">
        <f>IFERROR(M428/AA428,0)</f>
        <v>2.0408163265306123</v>
      </c>
      <c r="AC428" s="12">
        <f>IFERROR(Q428/M428,0)</f>
        <v>0</v>
      </c>
      <c r="AD428" s="34"/>
    </row>
    <row r="429" spans="1:30" ht="16" x14ac:dyDescent="0.2">
      <c r="A429" s="47"/>
      <c r="B429" s="376"/>
      <c r="C429" s="176">
        <f t="shared" si="116"/>
        <v>426</v>
      </c>
      <c r="D429" s="146">
        <v>45766</v>
      </c>
      <c r="E429" s="37">
        <v>45768</v>
      </c>
      <c r="F429" s="65" t="s">
        <v>212</v>
      </c>
      <c r="G429" s="11" t="str">
        <f ca="1">IF(AND(E429&lt;&gt;"",E429&lt;TODAY()),"Disponible",IFERROR(INDEX(Vehiculos[Estado Vehiculo],MATCH(F429,Vehiculos[Placa Vehiculo],0)),""))</f>
        <v>Disponible</v>
      </c>
      <c r="H429" s="34" t="s">
        <v>237</v>
      </c>
      <c r="I429" s="34" t="s">
        <v>273</v>
      </c>
      <c r="J429" s="34" t="s">
        <v>282</v>
      </c>
      <c r="K429" s="401">
        <v>258100</v>
      </c>
      <c r="L429" s="39">
        <v>258542</v>
      </c>
      <c r="M429" s="15">
        <f>L429-K429</f>
        <v>442</v>
      </c>
      <c r="N429" s="15"/>
      <c r="O429" s="39"/>
      <c r="P429" s="36"/>
      <c r="Q429" s="16">
        <f>M429*P429</f>
        <v>0</v>
      </c>
      <c r="R429" s="34" t="s">
        <v>273</v>
      </c>
      <c r="S429" s="34" t="s">
        <v>102</v>
      </c>
      <c r="T429" s="36">
        <v>1.8</v>
      </c>
      <c r="U429" s="293">
        <f>Rutas[[#This Row],[Precio x Galón ($/gal)]]*Rutas[[#This Row],[Volumen de Combustible (gal)]]</f>
        <v>176.4</v>
      </c>
      <c r="V429" s="36"/>
      <c r="W429" s="36"/>
      <c r="X429" s="36"/>
      <c r="Y429" s="145">
        <f>U429+SUM(V429:X429)</f>
        <v>176.4</v>
      </c>
      <c r="Z429" s="567"/>
      <c r="AA429" s="12">
        <v>98</v>
      </c>
      <c r="AB429" s="12">
        <f>IFERROR(M429/AA429,0)</f>
        <v>4.5102040816326534</v>
      </c>
      <c r="AC429" s="12">
        <f>IFERROR(Q429/M429,0)</f>
        <v>0</v>
      </c>
      <c r="AD429" s="34"/>
    </row>
    <row r="430" spans="1:30" ht="16" x14ac:dyDescent="0.2">
      <c r="A430" s="47"/>
      <c r="B430" s="376"/>
      <c r="C430" s="176">
        <f t="shared" si="116"/>
        <v>427</v>
      </c>
      <c r="D430" s="146">
        <v>45768</v>
      </c>
      <c r="E430" s="37">
        <v>45772</v>
      </c>
      <c r="F430" s="65" t="s">
        <v>212</v>
      </c>
      <c r="G430" s="11" t="str">
        <f ca="1">IF(AND(E430&lt;&gt;"",E430&lt;TODAY()),"Disponible",IFERROR(INDEX(Vehiculos[Estado Vehiculo],MATCH(F430,Vehiculos[Placa Vehiculo],0)),""))</f>
        <v>Disponible</v>
      </c>
      <c r="H430" s="34" t="s">
        <v>237</v>
      </c>
      <c r="I430" s="34" t="s">
        <v>273</v>
      </c>
      <c r="J430" s="34" t="s">
        <v>282</v>
      </c>
      <c r="K430" s="39">
        <v>258542</v>
      </c>
      <c r="L430" s="39">
        <v>259000</v>
      </c>
      <c r="M430" s="15">
        <f t="shared" si="122"/>
        <v>458</v>
      </c>
      <c r="N430" s="15"/>
      <c r="O430" s="39"/>
      <c r="P430" s="36"/>
      <c r="Q430" s="16">
        <f t="shared" si="123"/>
        <v>0</v>
      </c>
      <c r="R430" s="34" t="s">
        <v>273</v>
      </c>
      <c r="S430" s="34" t="s">
        <v>102</v>
      </c>
      <c r="T430" s="36">
        <v>1.8</v>
      </c>
      <c r="U430" s="293">
        <f>Rutas[[#This Row],[Precio x Galón ($/gal)]]*Rutas[[#This Row],[Volumen de Combustible (gal)]]</f>
        <v>159.47999999999999</v>
      </c>
      <c r="V430" s="36"/>
      <c r="W430" s="36"/>
      <c r="X430" s="36"/>
      <c r="Y430" s="145">
        <f t="shared" si="124"/>
        <v>159.47999999999999</v>
      </c>
      <c r="Z430" s="567"/>
      <c r="AA430" s="12">
        <v>88.6</v>
      </c>
      <c r="AB430" s="12">
        <f t="shared" si="125"/>
        <v>5.1693002257336342</v>
      </c>
      <c r="AC430" s="12">
        <f t="shared" si="126"/>
        <v>0</v>
      </c>
      <c r="AD430" s="34"/>
    </row>
    <row r="431" spans="1:30" ht="16" x14ac:dyDescent="0.2">
      <c r="A431" s="47"/>
      <c r="B431" s="376"/>
      <c r="C431" s="176">
        <f t="shared" si="116"/>
        <v>428</v>
      </c>
      <c r="D431" s="146">
        <v>45772</v>
      </c>
      <c r="E431" s="37">
        <v>45776</v>
      </c>
      <c r="F431" s="65" t="s">
        <v>212</v>
      </c>
      <c r="G431" s="11" t="str">
        <f ca="1">IF(AND(E431&lt;&gt;"",E431&lt;TODAY()),"Disponible",IFERROR(INDEX(Vehiculos[Estado Vehiculo],MATCH(F431,Vehiculos[Placa Vehiculo],0)),""))</f>
        <v>Disponible</v>
      </c>
      <c r="H431" s="34" t="s">
        <v>237</v>
      </c>
      <c r="I431" s="34" t="s">
        <v>273</v>
      </c>
      <c r="J431" s="34" t="s">
        <v>282</v>
      </c>
      <c r="K431" s="39">
        <v>259000</v>
      </c>
      <c r="L431" s="39">
        <v>259774</v>
      </c>
      <c r="M431" s="15">
        <f>L431-K431</f>
        <v>774</v>
      </c>
      <c r="N431" s="15"/>
      <c r="O431" s="39"/>
      <c r="P431" s="36"/>
      <c r="Q431" s="16">
        <f>M431*P431</f>
        <v>0</v>
      </c>
      <c r="R431" s="34" t="s">
        <v>273</v>
      </c>
      <c r="S431" s="34" t="s">
        <v>102</v>
      </c>
      <c r="T431" s="36">
        <v>1.8</v>
      </c>
      <c r="U431" s="293">
        <f>Rutas[[#This Row],[Precio x Galón ($/gal)]]*Rutas[[#This Row],[Volumen de Combustible (gal)]]</f>
        <v>232.20000000000002</v>
      </c>
      <c r="V431" s="36"/>
      <c r="W431" s="36"/>
      <c r="X431" s="36"/>
      <c r="Y431" s="145">
        <f>U431+SUM(V431:X431)</f>
        <v>232.20000000000002</v>
      </c>
      <c r="Z431" s="567"/>
      <c r="AA431" s="12">
        <v>129</v>
      </c>
      <c r="AB431" s="12">
        <f>IFERROR(M431/AA431,0)</f>
        <v>6</v>
      </c>
      <c r="AC431" s="12">
        <f>IFERROR(Q431/M431,0)</f>
        <v>0</v>
      </c>
      <c r="AD431" s="34"/>
    </row>
    <row r="432" spans="1:30" ht="16" x14ac:dyDescent="0.2">
      <c r="A432" s="47"/>
      <c r="B432" s="376"/>
      <c r="C432" s="176">
        <f t="shared" si="116"/>
        <v>429</v>
      </c>
      <c r="D432" s="146">
        <v>45776</v>
      </c>
      <c r="E432" s="37">
        <v>45777</v>
      </c>
      <c r="F432" s="65" t="s">
        <v>212</v>
      </c>
      <c r="G432" s="11" t="str">
        <f ca="1">IF(AND(E432&lt;&gt;"",E432&lt;TODAY()),"Disponible",IFERROR(INDEX(Vehiculos[Estado Vehiculo],MATCH(F432,Vehiculos[Placa Vehiculo],0)),""))</f>
        <v>Disponible</v>
      </c>
      <c r="H432" s="34" t="s">
        <v>237</v>
      </c>
      <c r="I432" s="34" t="s">
        <v>273</v>
      </c>
      <c r="J432" s="34" t="s">
        <v>282</v>
      </c>
      <c r="K432" s="39">
        <v>259774</v>
      </c>
      <c r="L432" s="39">
        <v>259879</v>
      </c>
      <c r="M432" s="15">
        <f t="shared" ref="M432:M439" si="127">L432-K432</f>
        <v>105</v>
      </c>
      <c r="N432" s="452">
        <v>301</v>
      </c>
      <c r="O432" s="39"/>
      <c r="P432" s="36"/>
      <c r="Q432" s="16">
        <f t="shared" ref="Q432:Q439" si="128">M432*P432</f>
        <v>0</v>
      </c>
      <c r="R432" s="34" t="s">
        <v>273</v>
      </c>
      <c r="S432" s="34" t="s">
        <v>102</v>
      </c>
      <c r="T432" s="36">
        <v>1.8</v>
      </c>
      <c r="U432" s="293">
        <f>Rutas[[#This Row],[Precio x Galón ($/gal)]]*Rutas[[#This Row],[Volumen de Combustible (gal)]]</f>
        <v>230.328</v>
      </c>
      <c r="V432" s="36"/>
      <c r="W432" s="36"/>
      <c r="X432" s="36"/>
      <c r="Y432" s="145">
        <f t="shared" ref="Y432:Y439" si="129">U432+SUM(V432:X432)</f>
        <v>230.328</v>
      </c>
      <c r="Z432" s="567"/>
      <c r="AA432" s="12">
        <v>127.96</v>
      </c>
      <c r="AB432" s="12">
        <f t="shared" ref="AB432:AB439" si="130">IFERROR(M432/AA432,0)</f>
        <v>0.8205689277899344</v>
      </c>
      <c r="AC432" s="12">
        <f t="shared" ref="AC432:AC439" si="131">IFERROR(Q432/M432,0)</f>
        <v>0</v>
      </c>
      <c r="AD432" s="34"/>
    </row>
    <row r="433" spans="1:30" ht="16" x14ac:dyDescent="0.2">
      <c r="A433" s="47"/>
      <c r="B433" s="376"/>
      <c r="C433" s="176">
        <f t="shared" si="116"/>
        <v>430</v>
      </c>
      <c r="D433" s="146"/>
      <c r="E433" s="37"/>
      <c r="F433" s="65"/>
      <c r="G433" s="11" t="str">
        <f ca="1">IF(AND(E433&lt;&gt;"",E433&lt;TODAY()),"Disponible",IFERROR(INDEX(Vehiculos[Estado Vehiculo],MATCH(F433,Vehiculos[Placa Vehiculo],0)),""))</f>
        <v/>
      </c>
      <c r="H433" s="34"/>
      <c r="I433" s="34"/>
      <c r="J433" s="34"/>
      <c r="K433" s="39"/>
      <c r="L433" s="39"/>
      <c r="M433" s="15">
        <f t="shared" si="127"/>
        <v>0</v>
      </c>
      <c r="N433" s="15"/>
      <c r="O433" s="39"/>
      <c r="P433" s="36"/>
      <c r="Q433" s="16">
        <f t="shared" si="128"/>
        <v>0</v>
      </c>
      <c r="R433" s="34"/>
      <c r="S433" s="34"/>
      <c r="T433" s="36"/>
      <c r="U433" s="293"/>
      <c r="V433" s="36"/>
      <c r="W433" s="36"/>
      <c r="X433" s="36"/>
      <c r="Y433" s="145">
        <f t="shared" si="129"/>
        <v>0</v>
      </c>
      <c r="Z433" s="567"/>
      <c r="AA433" s="12"/>
      <c r="AB433" s="12">
        <f t="shared" si="130"/>
        <v>0</v>
      </c>
      <c r="AC433" s="12">
        <f t="shared" si="131"/>
        <v>0</v>
      </c>
      <c r="AD433" s="34"/>
    </row>
    <row r="434" spans="1:30" ht="16" x14ac:dyDescent="0.2">
      <c r="A434" s="47"/>
      <c r="B434" s="376"/>
      <c r="C434" s="176">
        <f t="shared" si="116"/>
        <v>431</v>
      </c>
      <c r="D434" s="90">
        <v>45748</v>
      </c>
      <c r="E434" s="90">
        <v>45757</v>
      </c>
      <c r="F434" s="68" t="s">
        <v>207</v>
      </c>
      <c r="G434" s="379" t="str">
        <f ca="1">IF(AND(E434&lt;&gt;"",E434&lt;TODAY()),"Disponible",IFERROR(INDEX(Vehiculos[Estado Vehiculo],MATCH(F434,Vehiculos[Placa Vehiculo],0)),""))</f>
        <v>Disponible</v>
      </c>
      <c r="H434" s="89" t="s">
        <v>237</v>
      </c>
      <c r="I434" s="89" t="s">
        <v>273</v>
      </c>
      <c r="J434" s="89" t="s">
        <v>282</v>
      </c>
      <c r="K434" s="380">
        <v>43343</v>
      </c>
      <c r="L434" s="380">
        <v>44200</v>
      </c>
      <c r="M434" s="381">
        <f>L434-K434</f>
        <v>857</v>
      </c>
      <c r="N434" s="381"/>
      <c r="O434" s="380"/>
      <c r="P434" s="92"/>
      <c r="Q434" s="382">
        <f>M434*P434</f>
        <v>0</v>
      </c>
      <c r="R434" s="89" t="s">
        <v>273</v>
      </c>
      <c r="S434" s="89" t="s">
        <v>102</v>
      </c>
      <c r="T434" s="92">
        <v>1.8</v>
      </c>
      <c r="U434" s="92">
        <f>Rutas[[#This Row],[Precio x Galón ($/gal)]]*Rutas[[#This Row],[Volumen de Combustible (gal)]]</f>
        <v>279</v>
      </c>
      <c r="V434" s="92"/>
      <c r="W434" s="92"/>
      <c r="X434" s="92"/>
      <c r="Y434" s="382">
        <f>U434+SUM(V434:X434)</f>
        <v>279</v>
      </c>
      <c r="Z434" s="567"/>
      <c r="AA434" s="382">
        <v>155</v>
      </c>
      <c r="AB434" s="382">
        <f>IFERROR(M434/AA434,0)</f>
        <v>5.5290322580645164</v>
      </c>
      <c r="AC434" s="382">
        <f>IFERROR(Q434/M434,0)</f>
        <v>0</v>
      </c>
      <c r="AD434" s="89"/>
    </row>
    <row r="435" spans="1:30" ht="16" x14ac:dyDescent="0.2">
      <c r="A435" s="47"/>
      <c r="B435" s="376"/>
      <c r="C435" s="176">
        <f t="shared" si="116"/>
        <v>432</v>
      </c>
      <c r="D435" s="90">
        <v>45757</v>
      </c>
      <c r="E435" s="90">
        <v>45768</v>
      </c>
      <c r="F435" s="68" t="s">
        <v>207</v>
      </c>
      <c r="G435" s="379" t="str">
        <f ca="1">IF(AND(E435&lt;&gt;"",E435&lt;TODAY()),"Disponible",IFERROR(INDEX(Vehiculos[Estado Vehiculo],MATCH(F435,Vehiculos[Placa Vehiculo],0)),""))</f>
        <v>Disponible</v>
      </c>
      <c r="H435" s="89" t="s">
        <v>237</v>
      </c>
      <c r="I435" s="89" t="s">
        <v>273</v>
      </c>
      <c r="J435" s="89" t="s">
        <v>282</v>
      </c>
      <c r="K435" s="380">
        <v>44200</v>
      </c>
      <c r="L435" s="380">
        <v>44329</v>
      </c>
      <c r="M435" s="381">
        <f t="shared" si="127"/>
        <v>129</v>
      </c>
      <c r="N435" s="381"/>
      <c r="O435" s="380"/>
      <c r="P435" s="92"/>
      <c r="Q435" s="382">
        <f t="shared" si="128"/>
        <v>0</v>
      </c>
      <c r="R435" s="89" t="s">
        <v>273</v>
      </c>
      <c r="S435" s="89" t="s">
        <v>102</v>
      </c>
      <c r="T435" s="92">
        <v>1.8</v>
      </c>
      <c r="U435" s="92">
        <f>Rutas[[#This Row],[Precio x Galón ($/gal)]]*Rutas[[#This Row],[Volumen de Combustible (gal)]]</f>
        <v>194.4</v>
      </c>
      <c r="V435" s="92"/>
      <c r="W435" s="92"/>
      <c r="X435" s="92"/>
      <c r="Y435" s="382">
        <f t="shared" si="129"/>
        <v>194.4</v>
      </c>
      <c r="Z435" s="567"/>
      <c r="AA435" s="382">
        <v>108</v>
      </c>
      <c r="AB435" s="382">
        <f t="shared" si="130"/>
        <v>1.1944444444444444</v>
      </c>
      <c r="AC435" s="382">
        <f t="shared" si="131"/>
        <v>0</v>
      </c>
      <c r="AD435" s="89"/>
    </row>
    <row r="436" spans="1:30" ht="16" x14ac:dyDescent="0.2">
      <c r="A436" s="47"/>
      <c r="B436" s="376"/>
      <c r="C436" s="176">
        <f t="shared" si="116"/>
        <v>433</v>
      </c>
      <c r="D436" s="146">
        <v>45768</v>
      </c>
      <c r="E436" s="37">
        <v>45777</v>
      </c>
      <c r="F436" s="65" t="s">
        <v>207</v>
      </c>
      <c r="G436" s="11" t="str">
        <f ca="1">IF(AND(E436&lt;&gt;"",E436&lt;TODAY()),"Disponible",IFERROR(INDEX(Vehiculos[Estado Vehiculo],MATCH(F436,Vehiculos[Placa Vehiculo],0)),""))</f>
        <v>Disponible</v>
      </c>
      <c r="H436" s="34"/>
      <c r="I436" s="34" t="s">
        <v>273</v>
      </c>
      <c r="J436" s="34" t="s">
        <v>282</v>
      </c>
      <c r="K436" s="39">
        <v>44329</v>
      </c>
      <c r="L436" s="39">
        <v>44586</v>
      </c>
      <c r="M436" s="15">
        <f t="shared" si="127"/>
        <v>257</v>
      </c>
      <c r="N436" s="15"/>
      <c r="O436" s="39"/>
      <c r="P436" s="36"/>
      <c r="Q436" s="16">
        <f t="shared" si="128"/>
        <v>0</v>
      </c>
      <c r="R436" s="34" t="s">
        <v>273</v>
      </c>
      <c r="S436" s="34" t="s">
        <v>102</v>
      </c>
      <c r="T436" s="36">
        <v>1.8</v>
      </c>
      <c r="U436" s="293">
        <f>Rutas[[#This Row],[Precio x Galón ($/gal)]]*Rutas[[#This Row],[Volumen de Combustible (gal)]]</f>
        <v>76.067999999999998</v>
      </c>
      <c r="V436" s="36"/>
      <c r="W436" s="36"/>
      <c r="X436" s="36"/>
      <c r="Y436" s="145">
        <f t="shared" si="129"/>
        <v>76.067999999999998</v>
      </c>
      <c r="Z436" s="567"/>
      <c r="AA436" s="12">
        <v>42.26</v>
      </c>
      <c r="AB436" s="12">
        <f t="shared" si="130"/>
        <v>6.0814008518693807</v>
      </c>
      <c r="AC436" s="12">
        <f t="shared" si="131"/>
        <v>0</v>
      </c>
      <c r="AD436" s="34"/>
    </row>
    <row r="437" spans="1:30" ht="16" x14ac:dyDescent="0.2">
      <c r="A437" s="47"/>
      <c r="B437" s="376"/>
      <c r="C437" s="176">
        <f t="shared" si="116"/>
        <v>434</v>
      </c>
      <c r="D437" s="146">
        <v>45777</v>
      </c>
      <c r="E437" s="37">
        <v>45777</v>
      </c>
      <c r="F437" s="65" t="s">
        <v>207</v>
      </c>
      <c r="G437" s="11" t="str">
        <f ca="1">IF(AND(E437&lt;&gt;"",E437&lt;TODAY()),"Disponible",IFERROR(INDEX(Vehiculos[Estado Vehiculo],MATCH(F437,Vehiculos[Placa Vehiculo],0)),""))</f>
        <v>Disponible</v>
      </c>
      <c r="H437" s="34"/>
      <c r="I437" s="34" t="s">
        <v>273</v>
      </c>
      <c r="J437" s="34" t="s">
        <v>282</v>
      </c>
      <c r="K437" s="39">
        <v>44586</v>
      </c>
      <c r="L437" s="39">
        <v>44587</v>
      </c>
      <c r="M437" s="15">
        <f t="shared" si="127"/>
        <v>1</v>
      </c>
      <c r="N437" s="452">
        <v>77</v>
      </c>
      <c r="O437" s="39"/>
      <c r="P437" s="36"/>
      <c r="Q437" s="16">
        <f t="shared" si="128"/>
        <v>0</v>
      </c>
      <c r="R437" s="34" t="s">
        <v>273</v>
      </c>
      <c r="S437" s="34" t="s">
        <v>102</v>
      </c>
      <c r="T437" s="36">
        <v>1.8</v>
      </c>
      <c r="U437" s="293">
        <f>Rutas[[#This Row],[Precio x Galón ($/gal)]]*Rutas[[#This Row],[Volumen de Combustible (gal)]]</f>
        <v>0</v>
      </c>
      <c r="V437" s="36"/>
      <c r="W437" s="36"/>
      <c r="X437" s="36"/>
      <c r="Y437" s="145">
        <f t="shared" si="129"/>
        <v>0</v>
      </c>
      <c r="Z437" s="567"/>
      <c r="AA437" s="12"/>
      <c r="AB437" s="12">
        <f t="shared" si="130"/>
        <v>0</v>
      </c>
      <c r="AC437" s="12">
        <f t="shared" si="131"/>
        <v>0</v>
      </c>
      <c r="AD437" s="34"/>
    </row>
    <row r="438" spans="1:30" ht="16" x14ac:dyDescent="0.2">
      <c r="A438" s="47"/>
      <c r="B438" s="376"/>
      <c r="C438" s="176">
        <f t="shared" si="116"/>
        <v>435</v>
      </c>
      <c r="D438" s="146"/>
      <c r="E438" s="37"/>
      <c r="F438" s="65"/>
      <c r="G438" s="11" t="str">
        <f ca="1">IF(AND(E438&lt;&gt;"",E438&lt;TODAY()),"Disponible",IFERROR(INDEX(Vehiculos[Estado Vehiculo],MATCH(F438,Vehiculos[Placa Vehiculo],0)),""))</f>
        <v/>
      </c>
      <c r="H438" s="34"/>
      <c r="I438" s="34"/>
      <c r="J438" s="34"/>
      <c r="K438" s="39"/>
      <c r="L438" s="39"/>
      <c r="M438" s="15">
        <f t="shared" si="127"/>
        <v>0</v>
      </c>
      <c r="N438" s="15"/>
      <c r="O438" s="39"/>
      <c r="P438" s="36"/>
      <c r="Q438" s="16">
        <f t="shared" si="128"/>
        <v>0</v>
      </c>
      <c r="R438" s="34"/>
      <c r="S438" s="34"/>
      <c r="T438" s="36"/>
      <c r="U438" s="293">
        <f>Rutas[[#This Row],[Precio x Galón ($/gal)]]*Rutas[[#This Row],[Volumen de Combustible (gal)]]</f>
        <v>0</v>
      </c>
      <c r="V438" s="36"/>
      <c r="W438" s="36"/>
      <c r="X438" s="36"/>
      <c r="Y438" s="145">
        <f t="shared" si="129"/>
        <v>0</v>
      </c>
      <c r="Z438" s="567"/>
      <c r="AA438" s="12"/>
      <c r="AB438" s="12">
        <f t="shared" si="130"/>
        <v>0</v>
      </c>
      <c r="AC438" s="12">
        <f t="shared" si="131"/>
        <v>0</v>
      </c>
      <c r="AD438" s="34"/>
    </row>
    <row r="439" spans="1:30" ht="16" x14ac:dyDescent="0.2">
      <c r="A439" s="47"/>
      <c r="B439" s="376"/>
      <c r="C439" s="176">
        <f t="shared" si="116"/>
        <v>436</v>
      </c>
      <c r="D439" s="90">
        <v>45768</v>
      </c>
      <c r="E439" s="90">
        <v>45772</v>
      </c>
      <c r="F439" s="68" t="s">
        <v>211</v>
      </c>
      <c r="G439" s="379" t="str">
        <f ca="1">IF(AND(E439&lt;&gt;"",E439&lt;TODAY()),"Disponible",IFERROR(INDEX(Vehiculos[Estado Vehiculo],MATCH(F439,Vehiculos[Placa Vehiculo],0)),""))</f>
        <v>Disponible</v>
      </c>
      <c r="H439" s="89" t="s">
        <v>242</v>
      </c>
      <c r="I439" s="89" t="s">
        <v>273</v>
      </c>
      <c r="J439" s="89" t="s">
        <v>274</v>
      </c>
      <c r="K439" s="380">
        <v>35403</v>
      </c>
      <c r="L439" s="380">
        <v>35800</v>
      </c>
      <c r="M439" s="381">
        <f t="shared" si="127"/>
        <v>397</v>
      </c>
      <c r="N439" s="452">
        <v>20</v>
      </c>
      <c r="O439" s="380"/>
      <c r="P439" s="92"/>
      <c r="Q439" s="382">
        <f t="shared" si="128"/>
        <v>0</v>
      </c>
      <c r="R439" s="89" t="s">
        <v>273</v>
      </c>
      <c r="S439" s="89" t="s">
        <v>102</v>
      </c>
      <c r="T439" s="92">
        <v>1.8</v>
      </c>
      <c r="U439" s="92">
        <f>Rutas[[#This Row],[Precio x Galón ($/gal)]]*Rutas[[#This Row],[Volumen de Combustible (gal)]]</f>
        <v>171</v>
      </c>
      <c r="V439" s="92"/>
      <c r="W439" s="92"/>
      <c r="X439" s="92"/>
      <c r="Y439" s="382">
        <f t="shared" si="129"/>
        <v>171</v>
      </c>
      <c r="Z439" s="567"/>
      <c r="AA439" s="382">
        <v>95</v>
      </c>
      <c r="AB439" s="382">
        <f t="shared" si="130"/>
        <v>4.1789473684210527</v>
      </c>
      <c r="AC439" s="382">
        <f t="shared" si="131"/>
        <v>0</v>
      </c>
      <c r="AD439" s="89"/>
    </row>
    <row r="440" spans="1:30" ht="16" x14ac:dyDescent="0.2">
      <c r="A440" s="47"/>
      <c r="B440" s="376"/>
      <c r="C440" s="176">
        <f t="shared" si="116"/>
        <v>437</v>
      </c>
      <c r="D440" s="146">
        <v>45772</v>
      </c>
      <c r="E440" s="37">
        <v>45777</v>
      </c>
      <c r="F440" s="65" t="s">
        <v>211</v>
      </c>
      <c r="G440" s="11" t="str">
        <f ca="1">IF(AND(E440&lt;&gt;"",E440&lt;TODAY()),"Disponible",IFERROR(INDEX(Vehiculos[Estado Vehiculo],MATCH(F440,Vehiculos[Placa Vehiculo],0)),""))</f>
        <v>Disponible</v>
      </c>
      <c r="H440" s="34" t="s">
        <v>242</v>
      </c>
      <c r="I440" s="34" t="s">
        <v>273</v>
      </c>
      <c r="J440" s="34" t="s">
        <v>274</v>
      </c>
      <c r="K440" s="39">
        <v>35800</v>
      </c>
      <c r="L440" s="39">
        <v>36102</v>
      </c>
      <c r="M440" s="15">
        <f t="shared" si="122"/>
        <v>302</v>
      </c>
      <c r="N440" s="15"/>
      <c r="O440" s="39"/>
      <c r="P440" s="36"/>
      <c r="Q440" s="16">
        <f t="shared" si="123"/>
        <v>0</v>
      </c>
      <c r="R440" s="34" t="s">
        <v>273</v>
      </c>
      <c r="S440" s="34" t="s">
        <v>102</v>
      </c>
      <c r="T440" s="36">
        <v>1.8</v>
      </c>
      <c r="U440" s="293">
        <f>Rutas[[#This Row],[Precio x Galón ($/gal)]]*Rutas[[#This Row],[Volumen de Combustible (gal)]]</f>
        <v>178.20000000000002</v>
      </c>
      <c r="V440" s="36"/>
      <c r="W440" s="36"/>
      <c r="X440" s="36"/>
      <c r="Y440" s="145">
        <f t="shared" si="124"/>
        <v>178.20000000000002</v>
      </c>
      <c r="Z440" s="567"/>
      <c r="AA440" s="12">
        <v>99</v>
      </c>
      <c r="AB440" s="12">
        <f t="shared" si="125"/>
        <v>3.0505050505050506</v>
      </c>
      <c r="AC440" s="12">
        <f t="shared" si="126"/>
        <v>0</v>
      </c>
      <c r="AD440" s="34"/>
    </row>
    <row r="441" spans="1:30" ht="16" x14ac:dyDescent="0.2">
      <c r="A441" s="47"/>
      <c r="B441" s="376"/>
      <c r="C441" s="176">
        <f t="shared" si="116"/>
        <v>438</v>
      </c>
      <c r="D441" s="146"/>
      <c r="E441" s="37"/>
      <c r="F441" s="65"/>
      <c r="G441" s="11" t="str">
        <f ca="1">IF(AND(E441&lt;&gt;"",E441&lt;TODAY()),"Disponible",IFERROR(INDEX(Vehiculos[Estado Vehiculo],MATCH(F441,Vehiculos[Placa Vehiculo],0)),""))</f>
        <v/>
      </c>
      <c r="H441" s="34"/>
      <c r="I441" s="34"/>
      <c r="J441" s="34"/>
      <c r="K441" s="39"/>
      <c r="L441" s="39"/>
      <c r="M441" s="15">
        <f t="shared" si="122"/>
        <v>0</v>
      </c>
      <c r="N441" s="15"/>
      <c r="O441" s="39"/>
      <c r="P441" s="36"/>
      <c r="Q441" s="16">
        <f t="shared" si="123"/>
        <v>0</v>
      </c>
      <c r="R441" s="34"/>
      <c r="S441" s="34"/>
      <c r="T441" s="36"/>
      <c r="U441" s="293"/>
      <c r="V441" s="36"/>
      <c r="W441" s="36"/>
      <c r="X441" s="36"/>
      <c r="Y441" s="145">
        <f t="shared" si="124"/>
        <v>0</v>
      </c>
      <c r="Z441" s="567"/>
      <c r="AA441" s="12"/>
      <c r="AB441" s="12">
        <f t="shared" si="125"/>
        <v>0</v>
      </c>
      <c r="AC441" s="12">
        <f t="shared" si="126"/>
        <v>0</v>
      </c>
      <c r="AD441" s="34"/>
    </row>
    <row r="442" spans="1:30" ht="16" x14ac:dyDescent="0.2">
      <c r="A442" s="47"/>
      <c r="B442" s="376"/>
      <c r="C442" s="176">
        <f t="shared" si="116"/>
        <v>439</v>
      </c>
      <c r="D442" s="146"/>
      <c r="E442" s="37"/>
      <c r="F442" s="65"/>
      <c r="G442" s="11" t="str">
        <f ca="1">IF(AND(E442&lt;&gt;"",E442&lt;TODAY()),"Disponible",IFERROR(INDEX(Vehiculos[Estado Vehiculo],MATCH(F442,Vehiculos[Placa Vehiculo],0)),""))</f>
        <v/>
      </c>
      <c r="H442" s="34"/>
      <c r="I442" s="34"/>
      <c r="J442" s="34"/>
      <c r="K442" s="39"/>
      <c r="L442" s="39"/>
      <c r="M442" s="15">
        <f t="shared" si="122"/>
        <v>0</v>
      </c>
      <c r="N442" s="15"/>
      <c r="O442" s="39"/>
      <c r="P442" s="36"/>
      <c r="Q442" s="16">
        <f t="shared" si="123"/>
        <v>0</v>
      </c>
      <c r="R442" s="34"/>
      <c r="S442" s="34"/>
      <c r="T442" s="36"/>
      <c r="U442" s="293"/>
      <c r="V442" s="36"/>
      <c r="W442" s="36"/>
      <c r="X442" s="36"/>
      <c r="Y442" s="145">
        <f t="shared" si="124"/>
        <v>0</v>
      </c>
      <c r="Z442" s="567"/>
      <c r="AA442" s="12"/>
      <c r="AB442" s="12">
        <f t="shared" si="125"/>
        <v>0</v>
      </c>
      <c r="AC442" s="12">
        <f t="shared" si="126"/>
        <v>0</v>
      </c>
      <c r="AD442" s="34"/>
    </row>
    <row r="443" spans="1:30" ht="16" x14ac:dyDescent="0.2">
      <c r="A443" s="47"/>
      <c r="B443" s="376"/>
      <c r="C443" s="176">
        <f t="shared" si="116"/>
        <v>440</v>
      </c>
      <c r="D443" s="122">
        <v>45750</v>
      </c>
      <c r="E443" s="122">
        <v>45756</v>
      </c>
      <c r="F443" s="68" t="s">
        <v>286</v>
      </c>
      <c r="G443" s="379" t="str">
        <f ca="1">IF(AND(E443&lt;&gt;"",E443&lt;TODAY()),"Disponible",IFERROR(INDEX(Vehiculos[Estado Vehiculo],MATCH(F443,Vehiculos[Placa Vehiculo],0)),""))</f>
        <v>Disponible</v>
      </c>
      <c r="H443" s="89" t="s">
        <v>288</v>
      </c>
      <c r="I443" s="89" t="s">
        <v>273</v>
      </c>
      <c r="J443" s="89" t="s">
        <v>290</v>
      </c>
      <c r="K443" s="401">
        <v>84475</v>
      </c>
      <c r="L443" s="401">
        <v>85002</v>
      </c>
      <c r="M443" s="381">
        <f t="shared" si="122"/>
        <v>527</v>
      </c>
      <c r="N443" s="381"/>
      <c r="O443" s="380"/>
      <c r="P443" s="92"/>
      <c r="Q443" s="382">
        <f t="shared" si="123"/>
        <v>0</v>
      </c>
      <c r="R443" s="89" t="s">
        <v>273</v>
      </c>
      <c r="S443" s="89" t="s">
        <v>102</v>
      </c>
      <c r="T443" s="92">
        <v>1.8</v>
      </c>
      <c r="U443" s="266">
        <f>Rutas[[#This Row],[Precio x Galón ($/gal)]]*Rutas[[#This Row],[Volumen de Combustible (gal)]]</f>
        <v>26.154</v>
      </c>
      <c r="V443" s="92"/>
      <c r="W443" s="92"/>
      <c r="X443" s="92"/>
      <c r="Y443" s="382">
        <f t="shared" si="124"/>
        <v>26.154</v>
      </c>
      <c r="Z443" s="567"/>
      <c r="AA443" s="402">
        <v>14.53</v>
      </c>
      <c r="AB443" s="382">
        <f t="shared" si="125"/>
        <v>36.269786648313833</v>
      </c>
      <c r="AC443" s="382">
        <f t="shared" si="126"/>
        <v>0</v>
      </c>
      <c r="AD443" s="89"/>
    </row>
    <row r="444" spans="1:30" ht="16" x14ac:dyDescent="0.2">
      <c r="A444" s="47"/>
      <c r="B444" s="376"/>
      <c r="C444" s="176">
        <f t="shared" si="116"/>
        <v>441</v>
      </c>
      <c r="D444" s="122">
        <v>45756</v>
      </c>
      <c r="E444" s="122">
        <v>45761</v>
      </c>
      <c r="F444" s="65" t="s">
        <v>286</v>
      </c>
      <c r="G444" s="11" t="str">
        <f ca="1">IF(AND(E444&lt;&gt;"",E444&lt;TODAY()),"Disponible",IFERROR(INDEX(Vehiculos[Estado Vehiculo],MATCH(F444,Vehiculos[Placa Vehiculo],0)),""))</f>
        <v>Disponible</v>
      </c>
      <c r="H444" s="34" t="s">
        <v>288</v>
      </c>
      <c r="I444" s="34" t="s">
        <v>273</v>
      </c>
      <c r="J444" s="34" t="s">
        <v>290</v>
      </c>
      <c r="K444" s="401">
        <v>85002</v>
      </c>
      <c r="L444" s="401">
        <v>85615</v>
      </c>
      <c r="M444" s="15">
        <f t="shared" si="122"/>
        <v>613</v>
      </c>
      <c r="N444" s="15"/>
      <c r="O444" s="39"/>
      <c r="P444" s="36"/>
      <c r="Q444" s="16">
        <f t="shared" si="123"/>
        <v>0</v>
      </c>
      <c r="R444" s="34" t="s">
        <v>273</v>
      </c>
      <c r="S444" s="34" t="s">
        <v>102</v>
      </c>
      <c r="T444" s="36">
        <v>1.8</v>
      </c>
      <c r="U444" s="293">
        <f>Rutas[[#This Row],[Precio x Galón ($/gal)]]*Rutas[[#This Row],[Volumen de Combustible (gal)]]</f>
        <v>25.866</v>
      </c>
      <c r="V444" s="36"/>
      <c r="W444" s="36"/>
      <c r="X444" s="36"/>
      <c r="Y444" s="145">
        <f t="shared" si="124"/>
        <v>25.866</v>
      </c>
      <c r="Z444" s="567"/>
      <c r="AA444" s="402">
        <v>14.37</v>
      </c>
      <c r="AB444" s="12">
        <f t="shared" si="125"/>
        <v>42.658315935977733</v>
      </c>
      <c r="AC444" s="12">
        <f t="shared" si="126"/>
        <v>0</v>
      </c>
      <c r="AD444" s="34"/>
    </row>
    <row r="445" spans="1:30" ht="16" x14ac:dyDescent="0.2">
      <c r="A445" s="47"/>
      <c r="B445" s="376"/>
      <c r="C445" s="176">
        <f t="shared" si="116"/>
        <v>442</v>
      </c>
      <c r="D445" s="122">
        <v>45761</v>
      </c>
      <c r="E445" s="37">
        <v>45766</v>
      </c>
      <c r="F445" s="65" t="s">
        <v>286</v>
      </c>
      <c r="G445" s="11" t="str">
        <f ca="1">IF(AND(E445&lt;&gt;"",E445&lt;TODAY()),"Disponible",IFERROR(INDEX(Vehiculos[Estado Vehiculo],MATCH(F445,Vehiculos[Placa Vehiculo],0)),""))</f>
        <v>Disponible</v>
      </c>
      <c r="H445" s="34" t="s">
        <v>288</v>
      </c>
      <c r="I445" s="34" t="s">
        <v>273</v>
      </c>
      <c r="J445" s="34" t="s">
        <v>290</v>
      </c>
      <c r="K445" s="401">
        <v>85615</v>
      </c>
      <c r="L445" s="39">
        <v>86152</v>
      </c>
      <c r="M445" s="15">
        <f t="shared" si="122"/>
        <v>537</v>
      </c>
      <c r="N445" s="15"/>
      <c r="O445" s="39"/>
      <c r="P445" s="36"/>
      <c r="Q445" s="16">
        <f t="shared" si="123"/>
        <v>0</v>
      </c>
      <c r="R445" s="34" t="s">
        <v>273</v>
      </c>
      <c r="S445" s="34" t="s">
        <v>102</v>
      </c>
      <c r="T445" s="36">
        <v>1.8</v>
      </c>
      <c r="U445" s="293">
        <f>Rutas[[#This Row],[Precio x Galón ($/gal)]]*Rutas[[#This Row],[Volumen de Combustible (gal)]]</f>
        <v>30.492000000000004</v>
      </c>
      <c r="V445" s="36"/>
      <c r="W445" s="36"/>
      <c r="X445" s="36"/>
      <c r="Y445" s="145">
        <f t="shared" si="124"/>
        <v>30.492000000000004</v>
      </c>
      <c r="Z445" s="567"/>
      <c r="AA445" s="402">
        <v>16.940000000000001</v>
      </c>
      <c r="AB445" s="12">
        <f t="shared" si="125"/>
        <v>31.700118063754424</v>
      </c>
      <c r="AC445" s="12">
        <f t="shared" si="126"/>
        <v>0</v>
      </c>
      <c r="AD445" s="34"/>
    </row>
    <row r="446" spans="1:30" ht="16" x14ac:dyDescent="0.2">
      <c r="A446" s="47"/>
      <c r="B446" s="376"/>
      <c r="C446" s="176">
        <f t="shared" si="116"/>
        <v>443</v>
      </c>
      <c r="D446" s="146">
        <v>45766</v>
      </c>
      <c r="E446" s="37">
        <v>45777</v>
      </c>
      <c r="F446" s="65" t="s">
        <v>286</v>
      </c>
      <c r="G446" s="11" t="str">
        <f ca="1">IF(AND(E446&lt;&gt;"",E446&lt;TODAY()),"Disponible",IFERROR(INDEX(Vehiculos[Estado Vehiculo],MATCH(F446,Vehiculos[Placa Vehiculo],0)),""))</f>
        <v>Disponible</v>
      </c>
      <c r="H446" s="34" t="s">
        <v>289</v>
      </c>
      <c r="I446" s="34" t="s">
        <v>273</v>
      </c>
      <c r="J446" s="34" t="s">
        <v>290</v>
      </c>
      <c r="K446" s="39">
        <v>86152</v>
      </c>
      <c r="L446" s="39">
        <v>87194</v>
      </c>
      <c r="M446" s="15">
        <f t="shared" si="122"/>
        <v>1042</v>
      </c>
      <c r="N446" s="15"/>
      <c r="O446" s="39"/>
      <c r="P446" s="36"/>
      <c r="Q446" s="16">
        <f t="shared" si="123"/>
        <v>0</v>
      </c>
      <c r="R446" s="34" t="s">
        <v>273</v>
      </c>
      <c r="S446" s="34" t="s">
        <v>102</v>
      </c>
      <c r="T446" s="36">
        <v>1.8</v>
      </c>
      <c r="U446" s="293">
        <f>Rutas[[#This Row],[Precio x Galón ($/gal)]]*Rutas[[#This Row],[Volumen de Combustible (gal)]]</f>
        <v>26.28</v>
      </c>
      <c r="V446" s="36"/>
      <c r="W446" s="36"/>
      <c r="X446" s="36"/>
      <c r="Y446" s="145">
        <f t="shared" si="124"/>
        <v>26.28</v>
      </c>
      <c r="Z446" s="567"/>
      <c r="AA446" s="12">
        <v>14.6</v>
      </c>
      <c r="AB446" s="12">
        <f t="shared" si="125"/>
        <v>71.369863013698634</v>
      </c>
      <c r="AC446" s="12">
        <f t="shared" si="126"/>
        <v>0</v>
      </c>
      <c r="AD446" s="34"/>
    </row>
    <row r="447" spans="1:30" ht="16" x14ac:dyDescent="0.2">
      <c r="A447" s="47"/>
      <c r="B447" s="376"/>
      <c r="C447" s="176">
        <f t="shared" si="116"/>
        <v>444</v>
      </c>
      <c r="D447" s="146"/>
      <c r="E447" s="37"/>
      <c r="F447" s="65"/>
      <c r="G447" s="11" t="str">
        <f ca="1">IF(AND(E447&lt;&gt;"",E447&lt;TODAY()),"Disponible",IFERROR(INDEX(Vehiculos[Estado Vehiculo],MATCH(F447,Vehiculos[Placa Vehiculo],0)),""))</f>
        <v/>
      </c>
      <c r="H447" s="34"/>
      <c r="I447" s="34"/>
      <c r="J447" s="34"/>
      <c r="K447" s="39"/>
      <c r="L447" s="39"/>
      <c r="M447" s="15">
        <f>L447-K447</f>
        <v>0</v>
      </c>
      <c r="N447" s="15"/>
      <c r="O447" s="39"/>
      <c r="P447" s="36"/>
      <c r="Q447" s="16">
        <f>M447*P447</f>
        <v>0</v>
      </c>
      <c r="R447" s="34"/>
      <c r="S447" s="34"/>
      <c r="T447" s="36"/>
      <c r="U447" s="293">
        <f>Rutas[[#This Row],[Precio x Galón ($/gal)]]*Rutas[[#This Row],[Volumen de Combustible (gal)]]</f>
        <v>0</v>
      </c>
      <c r="V447" s="36"/>
      <c r="W447" s="36"/>
      <c r="X447" s="36"/>
      <c r="Y447" s="145">
        <f>U447+SUM(V447:X447)</f>
        <v>0</v>
      </c>
      <c r="Z447" s="567"/>
      <c r="AA447" s="12"/>
      <c r="AB447" s="12">
        <f>IFERROR(M447/AA447,0)</f>
        <v>0</v>
      </c>
      <c r="AC447" s="12">
        <f>IFERROR(Q447/M447,0)</f>
        <v>0</v>
      </c>
      <c r="AD447" s="34"/>
    </row>
    <row r="448" spans="1:30" ht="16" x14ac:dyDescent="0.2">
      <c r="A448" s="47"/>
      <c r="B448" s="376"/>
      <c r="C448" s="176">
        <f t="shared" si="116"/>
        <v>445</v>
      </c>
      <c r="D448" s="146"/>
      <c r="E448" s="37"/>
      <c r="F448" s="65"/>
      <c r="G448" s="11" t="str">
        <f ca="1">IF(AND(E448&lt;&gt;"",E448&lt;TODAY()),"Disponible",IFERROR(INDEX(Vehiculos[Estado Vehiculo],MATCH(F448,Vehiculos[Placa Vehiculo],0)),""))</f>
        <v/>
      </c>
      <c r="H448" s="34"/>
      <c r="I448" s="34"/>
      <c r="J448" s="34"/>
      <c r="K448" s="39"/>
      <c r="L448" s="39"/>
      <c r="M448" s="15">
        <f>L448-K448</f>
        <v>0</v>
      </c>
      <c r="N448" s="15"/>
      <c r="O448" s="39"/>
      <c r="P448" s="36"/>
      <c r="Q448" s="16">
        <f>M448*P448</f>
        <v>0</v>
      </c>
      <c r="R448" s="34"/>
      <c r="S448" s="34"/>
      <c r="T448" s="36"/>
      <c r="U448" s="293">
        <f>Rutas[[#This Row],[Precio x Galón ($/gal)]]*Rutas[[#This Row],[Volumen de Combustible (gal)]]</f>
        <v>0</v>
      </c>
      <c r="V448" s="36"/>
      <c r="W448" s="36"/>
      <c r="X448" s="36"/>
      <c r="Y448" s="145">
        <f>U448+SUM(V448:X448)</f>
        <v>0</v>
      </c>
      <c r="Z448" s="567"/>
      <c r="AA448" s="12"/>
      <c r="AB448" s="12">
        <f>IFERROR(M448/AA448,0)</f>
        <v>0</v>
      </c>
      <c r="AC448" s="12">
        <f>IFERROR(Q448/M448,0)</f>
        <v>0</v>
      </c>
      <c r="AD448" s="34"/>
    </row>
    <row r="449" spans="1:30" ht="16" x14ac:dyDescent="0.2">
      <c r="A449" s="47"/>
      <c r="B449" s="376"/>
      <c r="C449" s="176">
        <f t="shared" si="116"/>
        <v>446</v>
      </c>
      <c r="D449" s="90">
        <v>45748</v>
      </c>
      <c r="E449" s="90">
        <v>45757</v>
      </c>
      <c r="F449" s="68" t="s">
        <v>365</v>
      </c>
      <c r="G449" s="379" t="str">
        <f ca="1">IF(AND(E449&lt;&gt;"",E449&lt;TODAY()),"Disponible",IFERROR(INDEX(Vehiculos[Estado Vehiculo],MATCH(F449,Vehiculos[Placa Vehiculo],0)),""))</f>
        <v>Disponible</v>
      </c>
      <c r="H449" s="89" t="s">
        <v>240</v>
      </c>
      <c r="I449" s="89" t="s">
        <v>273</v>
      </c>
      <c r="J449" s="89" t="s">
        <v>317</v>
      </c>
      <c r="K449" s="380">
        <v>352416</v>
      </c>
      <c r="L449" s="380">
        <v>353062</v>
      </c>
      <c r="M449" s="381">
        <f>L449-K449</f>
        <v>646</v>
      </c>
      <c r="N449" s="381"/>
      <c r="O449" s="380"/>
      <c r="P449" s="92"/>
      <c r="Q449" s="382">
        <f>M449*P449</f>
        <v>0</v>
      </c>
      <c r="R449" s="89" t="s">
        <v>340</v>
      </c>
      <c r="S449" s="89" t="s">
        <v>102</v>
      </c>
      <c r="T449" s="92">
        <v>1.8</v>
      </c>
      <c r="U449" s="92">
        <f>Rutas[[#This Row],[Precio x Galón ($/gal)]]*Rutas[[#This Row],[Volumen de Combustible (gal)]]</f>
        <v>234</v>
      </c>
      <c r="V449" s="92"/>
      <c r="W449" s="92"/>
      <c r="X449" s="92"/>
      <c r="Y449" s="382">
        <f>U449+SUM(V449:X449)</f>
        <v>234</v>
      </c>
      <c r="Z449" s="567"/>
      <c r="AA449" s="382">
        <v>130</v>
      </c>
      <c r="AB449" s="382">
        <f>IFERROR(M449/AA449,0)</f>
        <v>4.9692307692307693</v>
      </c>
      <c r="AC449" s="382">
        <f>IFERROR(Q449/M449,0)</f>
        <v>0</v>
      </c>
      <c r="AD449" s="89"/>
    </row>
    <row r="450" spans="1:30" ht="16" x14ac:dyDescent="0.2">
      <c r="A450" s="47"/>
      <c r="B450" s="376"/>
      <c r="C450" s="176">
        <f t="shared" si="116"/>
        <v>447</v>
      </c>
      <c r="D450" s="146">
        <v>45757</v>
      </c>
      <c r="E450" s="146">
        <v>45767</v>
      </c>
      <c r="F450" s="168" t="s">
        <v>365</v>
      </c>
      <c r="G450" s="11" t="str">
        <f ca="1">IF(AND(E450&lt;&gt;"",E450&lt;TODAY()),"Disponible",IFERROR(INDEX(Vehiculos[Estado Vehiculo],MATCH(F450,Vehiculos[Placa Vehiculo],0)),""))</f>
        <v>Disponible</v>
      </c>
      <c r="H450" s="169" t="s">
        <v>240</v>
      </c>
      <c r="I450" s="169" t="s">
        <v>273</v>
      </c>
      <c r="J450" s="169" t="s">
        <v>317</v>
      </c>
      <c r="K450" s="375">
        <v>353062</v>
      </c>
      <c r="L450" s="375">
        <v>353794</v>
      </c>
      <c r="M450" s="15">
        <f t="shared" si="122"/>
        <v>732</v>
      </c>
      <c r="N450" s="15"/>
      <c r="O450" s="375"/>
      <c r="P450" s="171"/>
      <c r="Q450" s="16">
        <f t="shared" si="123"/>
        <v>0</v>
      </c>
      <c r="R450" s="169" t="s">
        <v>340</v>
      </c>
      <c r="S450" s="169" t="s">
        <v>102</v>
      </c>
      <c r="T450" s="171">
        <v>1.8</v>
      </c>
      <c r="U450" s="293">
        <f>Rutas[[#This Row],[Precio x Galón ($/gal)]]*Rutas[[#This Row],[Volumen de Combustible (gal)]]</f>
        <v>99</v>
      </c>
      <c r="V450" s="171"/>
      <c r="W450" s="171"/>
      <c r="X450" s="171"/>
      <c r="Y450" s="145">
        <f t="shared" si="124"/>
        <v>99</v>
      </c>
      <c r="Z450" s="567"/>
      <c r="AA450" s="12">
        <v>55</v>
      </c>
      <c r="AB450" s="12">
        <f t="shared" si="125"/>
        <v>13.309090909090909</v>
      </c>
      <c r="AC450" s="12">
        <f t="shared" si="126"/>
        <v>0</v>
      </c>
      <c r="AD450" s="169"/>
    </row>
    <row r="451" spans="1:30" ht="16" x14ac:dyDescent="0.2">
      <c r="A451" s="47"/>
      <c r="B451" s="376"/>
      <c r="C451" s="176">
        <f t="shared" si="116"/>
        <v>448</v>
      </c>
      <c r="D451" s="146">
        <v>45767</v>
      </c>
      <c r="E451" s="37">
        <v>45777</v>
      </c>
      <c r="F451" s="65" t="s">
        <v>365</v>
      </c>
      <c r="G451" s="11" t="str">
        <f ca="1">IF(AND(E451&lt;&gt;"",E451&lt;TODAY()),"Disponible",IFERROR(INDEX(Vehiculos[Estado Vehiculo],MATCH(F451,Vehiculos[Placa Vehiculo],0)),""))</f>
        <v>Disponible</v>
      </c>
      <c r="H451" s="34" t="s">
        <v>240</v>
      </c>
      <c r="I451" s="34" t="s">
        <v>273</v>
      </c>
      <c r="J451" s="34" t="s">
        <v>317</v>
      </c>
      <c r="K451" s="39">
        <v>353794</v>
      </c>
      <c r="L451" s="39">
        <v>354437</v>
      </c>
      <c r="M451" s="15">
        <f t="shared" si="122"/>
        <v>643</v>
      </c>
      <c r="N451" s="452">
        <v>295</v>
      </c>
      <c r="O451" s="39"/>
      <c r="P451" s="36"/>
      <c r="Q451" s="16">
        <f t="shared" si="123"/>
        <v>0</v>
      </c>
      <c r="R451" s="34" t="s">
        <v>340</v>
      </c>
      <c r="S451" s="34" t="s">
        <v>102</v>
      </c>
      <c r="T451" s="36">
        <v>1.8</v>
      </c>
      <c r="U451" s="293">
        <f>Rutas[[#This Row],[Precio x Galón ($/gal)]]*Rutas[[#This Row],[Volumen de Combustible (gal)]]</f>
        <v>207</v>
      </c>
      <c r="V451" s="36"/>
      <c r="W451" s="36"/>
      <c r="X451" s="36"/>
      <c r="Y451" s="145">
        <f t="shared" si="124"/>
        <v>207</v>
      </c>
      <c r="Z451" s="567"/>
      <c r="AA451" s="12">
        <v>115</v>
      </c>
      <c r="AB451" s="12">
        <f t="shared" si="125"/>
        <v>5.5913043478260871</v>
      </c>
      <c r="AC451" s="12">
        <f t="shared" si="126"/>
        <v>0</v>
      </c>
      <c r="AD451" s="34"/>
    </row>
    <row r="452" spans="1:30" ht="16" x14ac:dyDescent="0.2">
      <c r="A452" s="47"/>
      <c r="B452" s="376"/>
      <c r="C452" s="176">
        <f t="shared" ref="C452:C515" si="132">ROW(A449)</f>
        <v>449</v>
      </c>
      <c r="D452" s="146"/>
      <c r="E452" s="37"/>
      <c r="F452" s="65"/>
      <c r="G452" s="11" t="str">
        <f ca="1">IF(AND(E452&lt;&gt;"",E452&lt;TODAY()),"Disponible",IFERROR(INDEX(Vehiculos[Estado Vehiculo],MATCH(F452,Vehiculos[Placa Vehiculo],0)),""))</f>
        <v/>
      </c>
      <c r="H452" s="34"/>
      <c r="I452" s="34"/>
      <c r="J452" s="34"/>
      <c r="K452" s="39"/>
      <c r="L452" s="39"/>
      <c r="M452" s="15">
        <f>L452-K452</f>
        <v>0</v>
      </c>
      <c r="N452" s="15"/>
      <c r="O452" s="39"/>
      <c r="P452" s="36"/>
      <c r="Q452" s="16">
        <f>M452*P452</f>
        <v>0</v>
      </c>
      <c r="R452" s="34"/>
      <c r="S452" s="34"/>
      <c r="T452" s="36"/>
      <c r="U452" s="293">
        <f>Rutas[[#This Row],[Precio x Galón ($/gal)]]*Rutas[[#This Row],[Volumen de Combustible (gal)]]</f>
        <v>0</v>
      </c>
      <c r="V452" s="36"/>
      <c r="W452" s="36"/>
      <c r="X452" s="36"/>
      <c r="Y452" s="145">
        <f>U452+SUM(V452:X452)</f>
        <v>0</v>
      </c>
      <c r="Z452" s="567"/>
      <c r="AA452" s="12"/>
      <c r="AB452" s="12">
        <f>IFERROR(M452/AA452,0)</f>
        <v>0</v>
      </c>
      <c r="AC452" s="12">
        <f>IFERROR(Q452/M452,0)</f>
        <v>0</v>
      </c>
      <c r="AD452" s="34"/>
    </row>
    <row r="453" spans="1:30" ht="16" x14ac:dyDescent="0.2">
      <c r="A453" s="47"/>
      <c r="B453" s="376"/>
      <c r="C453" s="176">
        <f t="shared" si="132"/>
        <v>450</v>
      </c>
      <c r="D453" s="90">
        <v>45748</v>
      </c>
      <c r="E453" s="90">
        <v>45757</v>
      </c>
      <c r="F453" s="68" t="s">
        <v>213</v>
      </c>
      <c r="G453" s="379" t="str">
        <f ca="1">IF(AND(E453&lt;&gt;"",E453&lt;TODAY()),"Disponible",IFERROR(INDEX(Vehiculos[Estado Vehiculo],MATCH(F453,Vehiculos[Placa Vehiculo],0)),""))</f>
        <v>Disponible</v>
      </c>
      <c r="H453" s="89" t="s">
        <v>232</v>
      </c>
      <c r="I453" s="89" t="s">
        <v>273</v>
      </c>
      <c r="J453" s="89" t="s">
        <v>317</v>
      </c>
      <c r="K453" s="380">
        <v>400250</v>
      </c>
      <c r="L453" s="380">
        <v>401431</v>
      </c>
      <c r="M453" s="381">
        <f>L453-K453</f>
        <v>1181</v>
      </c>
      <c r="N453" s="381"/>
      <c r="O453" s="380"/>
      <c r="P453" s="92"/>
      <c r="Q453" s="382">
        <f>M453*P453</f>
        <v>0</v>
      </c>
      <c r="R453" s="89" t="s">
        <v>339</v>
      </c>
      <c r="S453" s="89" t="s">
        <v>102</v>
      </c>
      <c r="T453" s="92">
        <v>1.8</v>
      </c>
      <c r="U453" s="266">
        <f>Rutas[[#This Row],[Precio x Galón ($/gal)]]*Rutas[[#This Row],[Volumen de Combustible (gal)]]</f>
        <v>216</v>
      </c>
      <c r="V453" s="92"/>
      <c r="W453" s="92"/>
      <c r="X453" s="92"/>
      <c r="Y453" s="382">
        <f>U453+SUM(V453:X453)</f>
        <v>216</v>
      </c>
      <c r="Z453" s="567"/>
      <c r="AA453" s="382">
        <v>120</v>
      </c>
      <c r="AB453" s="382">
        <f>IFERROR(M453/AA453,0)</f>
        <v>9.8416666666666668</v>
      </c>
      <c r="AC453" s="382">
        <f>IFERROR(Q453/M453,0)</f>
        <v>0</v>
      </c>
      <c r="AD453" s="89"/>
    </row>
    <row r="454" spans="1:30" ht="16" x14ac:dyDescent="0.2">
      <c r="A454" s="47"/>
      <c r="B454" s="376"/>
      <c r="C454" s="176">
        <f t="shared" si="132"/>
        <v>451</v>
      </c>
      <c r="D454" s="146">
        <v>45757</v>
      </c>
      <c r="E454" s="146">
        <v>45767</v>
      </c>
      <c r="F454" s="168" t="s">
        <v>213</v>
      </c>
      <c r="G454" s="12" t="str">
        <f ca="1">IF(AND(E454&lt;&gt;"",E454&lt;TODAY()),"Disponible",IFERROR(INDEX(Vehiculos[Estado Vehiculo],MATCH(F454,Vehiculos[Placa Vehiculo],0)),""))</f>
        <v>Disponible</v>
      </c>
      <c r="H454" s="169" t="s">
        <v>232</v>
      </c>
      <c r="I454" s="169" t="s">
        <v>273</v>
      </c>
      <c r="J454" s="169" t="s">
        <v>317</v>
      </c>
      <c r="K454" s="375">
        <v>401431</v>
      </c>
      <c r="L454" s="375">
        <v>402757</v>
      </c>
      <c r="M454" s="15">
        <f t="shared" si="122"/>
        <v>1326</v>
      </c>
      <c r="N454" s="15"/>
      <c r="O454" s="375"/>
      <c r="P454" s="171"/>
      <c r="Q454" s="16">
        <f t="shared" si="123"/>
        <v>0</v>
      </c>
      <c r="R454" s="169" t="s">
        <v>339</v>
      </c>
      <c r="S454" s="169" t="s">
        <v>102</v>
      </c>
      <c r="T454" s="171">
        <v>1.8</v>
      </c>
      <c r="U454" s="293">
        <f>Rutas[[#This Row],[Precio x Galón ($/gal)]]*Rutas[[#This Row],[Volumen de Combustible (gal)]]</f>
        <v>108</v>
      </c>
      <c r="V454" s="171"/>
      <c r="W454" s="171"/>
      <c r="X454" s="171"/>
      <c r="Y454" s="145">
        <f t="shared" si="124"/>
        <v>108</v>
      </c>
      <c r="Z454" s="567"/>
      <c r="AA454" s="12">
        <v>60</v>
      </c>
      <c r="AB454" s="12">
        <f t="shared" si="125"/>
        <v>22.1</v>
      </c>
      <c r="AC454" s="12">
        <f t="shared" si="126"/>
        <v>0</v>
      </c>
      <c r="AD454" s="169"/>
    </row>
    <row r="455" spans="1:30" ht="16" x14ac:dyDescent="0.2">
      <c r="A455" s="47"/>
      <c r="B455" s="376"/>
      <c r="C455" s="176">
        <f t="shared" si="132"/>
        <v>452</v>
      </c>
      <c r="D455" s="146">
        <v>45767</v>
      </c>
      <c r="E455" s="37">
        <v>45777</v>
      </c>
      <c r="F455" s="65" t="s">
        <v>213</v>
      </c>
      <c r="G455" s="11" t="str">
        <f ca="1">IF(AND(E455&lt;&gt;"",E455&lt;TODAY()),"Disponible",IFERROR(INDEX(Vehiculos[Estado Vehiculo],MATCH(F455,Vehiculos[Placa Vehiculo],0)),""))</f>
        <v>Disponible</v>
      </c>
      <c r="H455" s="34" t="s">
        <v>232</v>
      </c>
      <c r="I455" s="34" t="s">
        <v>273</v>
      </c>
      <c r="J455" s="34" t="s">
        <v>317</v>
      </c>
      <c r="K455" s="39">
        <v>402757</v>
      </c>
      <c r="L455" s="39">
        <v>403665</v>
      </c>
      <c r="M455" s="15">
        <f t="shared" si="122"/>
        <v>908</v>
      </c>
      <c r="N455" s="452">
        <v>309</v>
      </c>
      <c r="O455" s="39"/>
      <c r="P455" s="36"/>
      <c r="Q455" s="16">
        <f t="shared" si="123"/>
        <v>0</v>
      </c>
      <c r="R455" s="34" t="s">
        <v>339</v>
      </c>
      <c r="S455" s="34" t="s">
        <v>102</v>
      </c>
      <c r="T455" s="36">
        <v>1.8</v>
      </c>
      <c r="U455" s="293">
        <f>Rutas[[#This Row],[Precio x Galón ($/gal)]]*Rutas[[#This Row],[Volumen de Combustible (gal)]]</f>
        <v>225</v>
      </c>
      <c r="V455" s="36"/>
      <c r="W455" s="36"/>
      <c r="X455" s="36"/>
      <c r="Y455" s="145">
        <f t="shared" si="124"/>
        <v>225</v>
      </c>
      <c r="Z455" s="567"/>
      <c r="AA455" s="12">
        <v>125</v>
      </c>
      <c r="AB455" s="12">
        <f t="shared" si="125"/>
        <v>7.2640000000000002</v>
      </c>
      <c r="AC455" s="12">
        <f t="shared" si="126"/>
        <v>0</v>
      </c>
      <c r="AD455" s="34"/>
    </row>
    <row r="456" spans="1:30" ht="16" x14ac:dyDescent="0.2">
      <c r="A456" s="47"/>
      <c r="B456" s="376"/>
      <c r="C456" s="176">
        <f t="shared" si="132"/>
        <v>453</v>
      </c>
      <c r="D456" s="146"/>
      <c r="E456" s="37"/>
      <c r="F456" s="65"/>
      <c r="G456" s="11" t="str">
        <f ca="1">IF(AND(E456&lt;&gt;"",E456&lt;TODAY()),"Disponible",IFERROR(INDEX(Vehiculos[Estado Vehiculo],MATCH(F456,Vehiculos[Placa Vehiculo],0)),""))</f>
        <v/>
      </c>
      <c r="H456" s="34"/>
      <c r="I456" s="34"/>
      <c r="J456" s="34"/>
      <c r="K456" s="39"/>
      <c r="L456" s="39"/>
      <c r="M456" s="15">
        <f t="shared" si="122"/>
        <v>0</v>
      </c>
      <c r="N456" s="15"/>
      <c r="O456" s="39"/>
      <c r="P456" s="36"/>
      <c r="Q456" s="16">
        <f t="shared" si="123"/>
        <v>0</v>
      </c>
      <c r="R456" s="34"/>
      <c r="S456" s="34"/>
      <c r="T456" s="36"/>
      <c r="U456" s="293">
        <f>Rutas[[#This Row],[Precio x Galón ($/gal)]]*Rutas[[#This Row],[Volumen de Combustible (gal)]]</f>
        <v>0</v>
      </c>
      <c r="V456" s="36"/>
      <c r="W456" s="36"/>
      <c r="X456" s="36"/>
      <c r="Y456" s="145">
        <f t="shared" si="124"/>
        <v>0</v>
      </c>
      <c r="Z456" s="567"/>
      <c r="AA456" s="12"/>
      <c r="AB456" s="12">
        <f t="shared" si="125"/>
        <v>0</v>
      </c>
      <c r="AC456" s="12">
        <f t="shared" si="126"/>
        <v>0</v>
      </c>
      <c r="AD456" s="34"/>
    </row>
    <row r="457" spans="1:30" ht="16" x14ac:dyDescent="0.2">
      <c r="A457" s="47"/>
      <c r="B457" s="376"/>
      <c r="C457" s="176">
        <f t="shared" si="132"/>
        <v>454</v>
      </c>
      <c r="D457" s="122">
        <v>45748</v>
      </c>
      <c r="E457" s="122">
        <v>45751</v>
      </c>
      <c r="F457" s="68" t="s">
        <v>320</v>
      </c>
      <c r="G457" s="379" t="str">
        <f ca="1">IF(AND(E457&lt;&gt;"",E457&lt;TODAY()),"Disponible",IFERROR(INDEX(Vehiculos[Estado Vehiculo],MATCH(F457,Vehiculos[Placa Vehiculo],0)),""))</f>
        <v>Disponible</v>
      </c>
      <c r="H457" s="89"/>
      <c r="I457" s="89" t="s">
        <v>273</v>
      </c>
      <c r="J457" s="89" t="s">
        <v>274</v>
      </c>
      <c r="K457" s="401">
        <v>2262</v>
      </c>
      <c r="L457" s="401">
        <v>2291</v>
      </c>
      <c r="M457" s="381">
        <f>L457-K457</f>
        <v>29</v>
      </c>
      <c r="N457" s="381">
        <f>Rutas[[#This Row],[Kms Recorridos]]</f>
        <v>29</v>
      </c>
      <c r="O457" s="380"/>
      <c r="P457" s="92"/>
      <c r="Q457" s="382">
        <f>M457*P457</f>
        <v>0</v>
      </c>
      <c r="R457" s="89" t="s">
        <v>273</v>
      </c>
      <c r="S457" s="89" t="s">
        <v>102</v>
      </c>
      <c r="T457" s="92">
        <v>1.8</v>
      </c>
      <c r="U457" s="266">
        <f>Rutas[[#This Row],[Precio x Galón ($/gal)]]*Rutas[[#This Row],[Volumen de Combustible (gal)]]</f>
        <v>32.31</v>
      </c>
      <c r="V457" s="92"/>
      <c r="W457" s="92"/>
      <c r="X457" s="92"/>
      <c r="Y457" s="382">
        <f>U457+SUM(V457:X457)</f>
        <v>32.31</v>
      </c>
      <c r="Z457" s="567"/>
      <c r="AA457" s="402">
        <v>17.95</v>
      </c>
      <c r="AB457" s="382">
        <f>IFERROR(M457/AA457,0)</f>
        <v>1.6155988857938719</v>
      </c>
      <c r="AC457" s="382">
        <f>IFERROR(Q457/M457,0)</f>
        <v>0</v>
      </c>
      <c r="AD457" s="89"/>
    </row>
    <row r="458" spans="1:30" ht="16" x14ac:dyDescent="0.2">
      <c r="A458" s="47"/>
      <c r="B458" s="376"/>
      <c r="C458" s="176">
        <f t="shared" si="132"/>
        <v>455</v>
      </c>
      <c r="D458" s="122">
        <v>45751</v>
      </c>
      <c r="E458" s="122">
        <v>45754</v>
      </c>
      <c r="F458" s="65" t="s">
        <v>320</v>
      </c>
      <c r="G458" s="11" t="str">
        <f ca="1">IF(AND(E458&lt;&gt;"",E458&lt;TODAY()),"Disponible",IFERROR(INDEX(Vehiculos[Estado Vehiculo],MATCH(F458,Vehiculos[Placa Vehiculo],0)),""))</f>
        <v>Disponible</v>
      </c>
      <c r="H458" s="34"/>
      <c r="I458" s="34" t="s">
        <v>273</v>
      </c>
      <c r="J458" s="34" t="s">
        <v>274</v>
      </c>
      <c r="K458" s="401">
        <v>2291</v>
      </c>
      <c r="L458" s="401">
        <v>2318</v>
      </c>
      <c r="M458" s="15">
        <f t="shared" ref="M458:M499" si="133">L458-K458</f>
        <v>27</v>
      </c>
      <c r="N458" s="15">
        <f>Rutas[[#This Row],[Kms Recorridos]]</f>
        <v>27</v>
      </c>
      <c r="O458" s="39"/>
      <c r="P458" s="36"/>
      <c r="Q458" s="16">
        <f t="shared" ref="Q458:Q499" si="134">M458*P458</f>
        <v>0</v>
      </c>
      <c r="R458" s="34" t="s">
        <v>273</v>
      </c>
      <c r="S458" s="34" t="s">
        <v>102</v>
      </c>
      <c r="T458" s="36">
        <v>1.8</v>
      </c>
      <c r="U458" s="293">
        <f>Rutas[[#This Row],[Precio x Galón ($/gal)]]*Rutas[[#This Row],[Volumen de Combustible (gal)]]</f>
        <v>41.202000000000005</v>
      </c>
      <c r="V458" s="36"/>
      <c r="W458" s="36"/>
      <c r="X458" s="36"/>
      <c r="Y458" s="145">
        <f t="shared" ref="Y458:Y499" si="135">U458+SUM(V458:X458)</f>
        <v>41.202000000000005</v>
      </c>
      <c r="Z458" s="567"/>
      <c r="AA458" s="402">
        <v>22.89</v>
      </c>
      <c r="AB458" s="12">
        <f t="shared" ref="AB458:AB499" si="136">IFERROR(M458/AA458,0)</f>
        <v>1.1795543905635648</v>
      </c>
      <c r="AC458" s="12">
        <f t="shared" ref="AC458:AC499" si="137">IFERROR(Q458/M458,0)</f>
        <v>0</v>
      </c>
      <c r="AD458" s="34"/>
    </row>
    <row r="459" spans="1:30" ht="16" x14ac:dyDescent="0.2">
      <c r="A459" s="47"/>
      <c r="B459" s="376"/>
      <c r="C459" s="176">
        <f t="shared" si="132"/>
        <v>456</v>
      </c>
      <c r="D459" s="122">
        <v>45754</v>
      </c>
      <c r="E459" s="122">
        <v>45759</v>
      </c>
      <c r="F459" s="65" t="s">
        <v>320</v>
      </c>
      <c r="G459" s="11" t="str">
        <f ca="1">IF(AND(E459&lt;&gt;"",E459&lt;TODAY()),"Disponible",IFERROR(INDEX(Vehiculos[Estado Vehiculo],MATCH(F459,Vehiculos[Placa Vehiculo],0)),""))</f>
        <v>Disponible</v>
      </c>
      <c r="H459" s="34"/>
      <c r="I459" s="34" t="s">
        <v>273</v>
      </c>
      <c r="J459" s="34" t="s">
        <v>274</v>
      </c>
      <c r="K459" s="401">
        <v>2318</v>
      </c>
      <c r="L459" s="401">
        <v>2339</v>
      </c>
      <c r="M459" s="15">
        <f t="shared" si="133"/>
        <v>21</v>
      </c>
      <c r="N459" s="15">
        <f>Rutas[[#This Row],[Kms Recorridos]]</f>
        <v>21</v>
      </c>
      <c r="O459" s="39"/>
      <c r="P459" s="36"/>
      <c r="Q459" s="16">
        <f t="shared" si="134"/>
        <v>0</v>
      </c>
      <c r="R459" s="34" t="s">
        <v>273</v>
      </c>
      <c r="S459" s="34" t="s">
        <v>102</v>
      </c>
      <c r="T459" s="36">
        <v>1.8</v>
      </c>
      <c r="U459" s="293">
        <f>Rutas[[#This Row],[Precio x Galón ($/gal)]]*Rutas[[#This Row],[Volumen de Combustible (gal)]]</f>
        <v>40.338000000000001</v>
      </c>
      <c r="V459" s="36"/>
      <c r="W459" s="36"/>
      <c r="X459" s="36"/>
      <c r="Y459" s="145">
        <f t="shared" si="135"/>
        <v>40.338000000000001</v>
      </c>
      <c r="Z459" s="567"/>
      <c r="AA459" s="402">
        <v>22.41</v>
      </c>
      <c r="AB459" s="12">
        <f t="shared" si="136"/>
        <v>0.93708165997322623</v>
      </c>
      <c r="AC459" s="12">
        <f t="shared" si="137"/>
        <v>0</v>
      </c>
      <c r="AD459" s="34"/>
    </row>
    <row r="460" spans="1:30" ht="16" x14ac:dyDescent="0.2">
      <c r="A460" s="47"/>
      <c r="B460" s="376"/>
      <c r="C460" s="176">
        <f t="shared" si="132"/>
        <v>457</v>
      </c>
      <c r="D460" s="122">
        <v>45759</v>
      </c>
      <c r="E460" s="122">
        <v>45762</v>
      </c>
      <c r="F460" s="65" t="s">
        <v>320</v>
      </c>
      <c r="G460" s="11" t="str">
        <f ca="1">IF(AND(E460&lt;&gt;"",E460&lt;TODAY()),"Disponible",IFERROR(INDEX(Vehiculos[Estado Vehiculo],MATCH(F460,Vehiculos[Placa Vehiculo],0)),""))</f>
        <v>Disponible</v>
      </c>
      <c r="H460" s="34"/>
      <c r="I460" s="34" t="s">
        <v>273</v>
      </c>
      <c r="J460" s="34" t="s">
        <v>274</v>
      </c>
      <c r="K460" s="401">
        <v>2339</v>
      </c>
      <c r="L460" s="401">
        <v>2368</v>
      </c>
      <c r="M460" s="15">
        <f t="shared" si="133"/>
        <v>29</v>
      </c>
      <c r="N460" s="15">
        <f>Rutas[[#This Row],[Kms Recorridos]]</f>
        <v>29</v>
      </c>
      <c r="O460" s="39"/>
      <c r="P460" s="36"/>
      <c r="Q460" s="16">
        <f t="shared" si="134"/>
        <v>0</v>
      </c>
      <c r="R460" s="34" t="s">
        <v>273</v>
      </c>
      <c r="S460" s="34" t="s">
        <v>102</v>
      </c>
      <c r="T460" s="36">
        <v>1.8</v>
      </c>
      <c r="U460" s="293">
        <f>Rutas[[#This Row],[Precio x Galón ($/gal)]]*Rutas[[#This Row],[Volumen de Combustible (gal)]]</f>
        <v>25.884</v>
      </c>
      <c r="V460" s="36"/>
      <c r="W460" s="36"/>
      <c r="X460" s="36"/>
      <c r="Y460" s="145">
        <f t="shared" si="135"/>
        <v>25.884</v>
      </c>
      <c r="Z460" s="567"/>
      <c r="AA460" s="402">
        <v>14.38</v>
      </c>
      <c r="AB460" s="12">
        <f t="shared" si="136"/>
        <v>2.0166898470097356</v>
      </c>
      <c r="AC460" s="12">
        <f t="shared" si="137"/>
        <v>0</v>
      </c>
      <c r="AD460" s="34"/>
    </row>
    <row r="461" spans="1:30" ht="16" x14ac:dyDescent="0.2">
      <c r="A461" s="47"/>
      <c r="B461" s="376"/>
      <c r="C461" s="176">
        <f t="shared" si="132"/>
        <v>458</v>
      </c>
      <c r="D461" s="122">
        <v>45762</v>
      </c>
      <c r="E461" s="37">
        <v>45765</v>
      </c>
      <c r="F461" s="65" t="s">
        <v>320</v>
      </c>
      <c r="G461" s="11" t="str">
        <f ca="1">IF(AND(E461&lt;&gt;"",E461&lt;TODAY()),"Disponible",IFERROR(INDEX(Vehiculos[Estado Vehiculo],MATCH(F461,Vehiculos[Placa Vehiculo],0)),""))</f>
        <v>Disponible</v>
      </c>
      <c r="H461" s="34" t="s">
        <v>235</v>
      </c>
      <c r="I461" s="34" t="s">
        <v>273</v>
      </c>
      <c r="J461" s="34" t="s">
        <v>274</v>
      </c>
      <c r="K461" s="401">
        <v>2368</v>
      </c>
      <c r="L461" s="39">
        <v>2397</v>
      </c>
      <c r="M461" s="15">
        <f t="shared" ref="M461:M467" si="138">L461-K461</f>
        <v>29</v>
      </c>
      <c r="N461" s="15">
        <f>Rutas[[#This Row],[Kms Recorridos]]</f>
        <v>29</v>
      </c>
      <c r="O461" s="39"/>
      <c r="P461" s="36"/>
      <c r="Q461" s="16">
        <f t="shared" ref="Q461:Q467" si="139">M461*P461</f>
        <v>0</v>
      </c>
      <c r="R461" s="34" t="s">
        <v>273</v>
      </c>
      <c r="S461" s="34" t="s">
        <v>102</v>
      </c>
      <c r="T461" s="36">
        <v>1.8</v>
      </c>
      <c r="U461" s="293">
        <f>Rutas[[#This Row],[Precio x Galón ($/gal)]]*Rutas[[#This Row],[Volumen de Combustible (gal)]]</f>
        <v>35.387999999999998</v>
      </c>
      <c r="V461" s="36"/>
      <c r="W461" s="36"/>
      <c r="X461" s="36"/>
      <c r="Y461" s="145">
        <f t="shared" ref="Y461:Y467" si="140">U461+SUM(V461:X461)</f>
        <v>35.387999999999998</v>
      </c>
      <c r="Z461" s="567"/>
      <c r="AA461" s="402">
        <v>19.66</v>
      </c>
      <c r="AB461" s="12">
        <f t="shared" ref="AB461:AB467" si="141">IFERROR(M461/AA461,0)</f>
        <v>1.4750762970498474</v>
      </c>
      <c r="AC461" s="12">
        <f t="shared" ref="AC461:AC467" si="142">IFERROR(Q461/M461,0)</f>
        <v>0</v>
      </c>
      <c r="AD461" s="34"/>
    </row>
    <row r="462" spans="1:30" ht="16" x14ac:dyDescent="0.2">
      <c r="A462" s="47"/>
      <c r="B462" s="376"/>
      <c r="C462" s="176">
        <f t="shared" si="132"/>
        <v>459</v>
      </c>
      <c r="D462" s="146">
        <v>45765</v>
      </c>
      <c r="E462" s="37">
        <v>45768</v>
      </c>
      <c r="F462" s="65" t="s">
        <v>320</v>
      </c>
      <c r="G462" s="11" t="str">
        <f ca="1">IF(AND(E462&lt;&gt;"",E462&lt;TODAY()),"Disponible",IFERROR(INDEX(Vehiculos[Estado Vehiculo],MATCH(F462,Vehiculos[Placa Vehiculo],0)),""))</f>
        <v>Disponible</v>
      </c>
      <c r="H462" s="34" t="s">
        <v>235</v>
      </c>
      <c r="I462" s="34" t="s">
        <v>273</v>
      </c>
      <c r="J462" s="34" t="s">
        <v>274</v>
      </c>
      <c r="K462" s="401">
        <v>2397</v>
      </c>
      <c r="L462" s="39">
        <v>2427</v>
      </c>
      <c r="M462" s="15">
        <f t="shared" si="138"/>
        <v>30</v>
      </c>
      <c r="N462" s="15">
        <f>Rutas[[#This Row],[Kms Recorridos]]</f>
        <v>30</v>
      </c>
      <c r="O462" s="39"/>
      <c r="P462" s="36"/>
      <c r="Q462" s="16">
        <f t="shared" si="139"/>
        <v>0</v>
      </c>
      <c r="R462" s="34" t="s">
        <v>273</v>
      </c>
      <c r="S462" s="34" t="s">
        <v>102</v>
      </c>
      <c r="T462" s="36">
        <v>1.8</v>
      </c>
      <c r="U462" s="293">
        <f>Rutas[[#This Row],[Precio x Galón ($/gal)]]*Rutas[[#This Row],[Volumen de Combustible (gal)]]</f>
        <v>34.776000000000003</v>
      </c>
      <c r="V462" s="36"/>
      <c r="W462" s="36"/>
      <c r="X462" s="36"/>
      <c r="Y462" s="145">
        <f t="shared" si="140"/>
        <v>34.776000000000003</v>
      </c>
      <c r="Z462" s="567"/>
      <c r="AA462" s="12">
        <v>19.32</v>
      </c>
      <c r="AB462" s="12">
        <f t="shared" si="141"/>
        <v>1.5527950310559007</v>
      </c>
      <c r="AC462" s="12">
        <f t="shared" si="142"/>
        <v>0</v>
      </c>
      <c r="AD462" s="34"/>
    </row>
    <row r="463" spans="1:30" ht="16" x14ac:dyDescent="0.2">
      <c r="A463" s="47"/>
      <c r="B463" s="376"/>
      <c r="C463" s="176">
        <f t="shared" si="132"/>
        <v>460</v>
      </c>
      <c r="D463" s="146">
        <v>45768</v>
      </c>
      <c r="E463" s="37">
        <v>45771</v>
      </c>
      <c r="F463" s="65" t="s">
        <v>320</v>
      </c>
      <c r="G463" s="11" t="str">
        <f ca="1">IF(AND(E463&lt;&gt;"",E463&lt;TODAY()),"Disponible",IFERROR(INDEX(Vehiculos[Estado Vehiculo],MATCH(F463,Vehiculos[Placa Vehiculo],0)),""))</f>
        <v>Disponible</v>
      </c>
      <c r="H463" s="34"/>
      <c r="I463" s="34" t="s">
        <v>273</v>
      </c>
      <c r="J463" s="34" t="s">
        <v>274</v>
      </c>
      <c r="K463" s="401">
        <v>2427</v>
      </c>
      <c r="L463" s="39">
        <v>2456</v>
      </c>
      <c r="M463" s="15">
        <f t="shared" si="138"/>
        <v>29</v>
      </c>
      <c r="N463" s="15">
        <f>Rutas[[#This Row],[Kms Recorridos]]</f>
        <v>29</v>
      </c>
      <c r="O463" s="39"/>
      <c r="P463" s="36"/>
      <c r="Q463" s="16">
        <f t="shared" si="139"/>
        <v>0</v>
      </c>
      <c r="R463" s="34" t="s">
        <v>273</v>
      </c>
      <c r="S463" s="34" t="s">
        <v>102</v>
      </c>
      <c r="T463" s="36">
        <v>1.8</v>
      </c>
      <c r="U463" s="293">
        <f>Rutas[[#This Row],[Precio x Galón ($/gal)]]*Rutas[[#This Row],[Volumen de Combustible (gal)]]</f>
        <v>42.768000000000001</v>
      </c>
      <c r="V463" s="36"/>
      <c r="W463" s="36"/>
      <c r="X463" s="36"/>
      <c r="Y463" s="145">
        <f t="shared" si="140"/>
        <v>42.768000000000001</v>
      </c>
      <c r="Z463" s="567"/>
      <c r="AA463" s="12">
        <v>23.76</v>
      </c>
      <c r="AB463" s="12">
        <f t="shared" si="141"/>
        <v>1.2205387205387204</v>
      </c>
      <c r="AC463" s="12">
        <f t="shared" si="142"/>
        <v>0</v>
      </c>
      <c r="AD463" s="34"/>
    </row>
    <row r="464" spans="1:30" ht="16" x14ac:dyDescent="0.2">
      <c r="A464" s="47"/>
      <c r="B464" s="376"/>
      <c r="C464" s="176">
        <f t="shared" si="132"/>
        <v>461</v>
      </c>
      <c r="D464" s="146">
        <v>45771</v>
      </c>
      <c r="E464" s="37">
        <v>45774</v>
      </c>
      <c r="F464" s="65" t="s">
        <v>320</v>
      </c>
      <c r="G464" s="11" t="str">
        <f ca="1">IF(AND(E464&lt;&gt;"",E464&lt;TODAY()),"Disponible",IFERROR(INDEX(Vehiculos[Estado Vehiculo],MATCH(F464,Vehiculos[Placa Vehiculo],0)),""))</f>
        <v>Disponible</v>
      </c>
      <c r="H464" s="34"/>
      <c r="I464" s="34" t="s">
        <v>273</v>
      </c>
      <c r="J464" s="34" t="s">
        <v>274</v>
      </c>
      <c r="K464" s="401">
        <v>2456</v>
      </c>
      <c r="L464" s="39">
        <v>2487</v>
      </c>
      <c r="M464" s="15">
        <f t="shared" si="138"/>
        <v>31</v>
      </c>
      <c r="N464" s="15">
        <f>Rutas[[#This Row],[Kms Recorridos]]</f>
        <v>31</v>
      </c>
      <c r="O464" s="39"/>
      <c r="P464" s="36"/>
      <c r="Q464" s="16">
        <f t="shared" si="139"/>
        <v>0</v>
      </c>
      <c r="R464" s="34" t="s">
        <v>273</v>
      </c>
      <c r="S464" s="34" t="s">
        <v>102</v>
      </c>
      <c r="T464" s="36">
        <v>1.8</v>
      </c>
      <c r="U464" s="293">
        <f>Rutas[[#This Row],[Precio x Galón ($/gal)]]*Rutas[[#This Row],[Volumen de Combustible (gal)]]</f>
        <v>39.114000000000004</v>
      </c>
      <c r="V464" s="36"/>
      <c r="W464" s="36"/>
      <c r="X464" s="36"/>
      <c r="Y464" s="145">
        <f t="shared" si="140"/>
        <v>39.114000000000004</v>
      </c>
      <c r="Z464" s="567"/>
      <c r="AA464" s="12">
        <v>21.73</v>
      </c>
      <c r="AB464" s="12">
        <f t="shared" si="141"/>
        <v>1.4265991716520938</v>
      </c>
      <c r="AC464" s="12">
        <f t="shared" si="142"/>
        <v>0</v>
      </c>
      <c r="AD464" s="34"/>
    </row>
    <row r="465" spans="1:30" ht="16" x14ac:dyDescent="0.2">
      <c r="A465" s="47"/>
      <c r="B465" s="376"/>
      <c r="C465" s="176">
        <f t="shared" si="132"/>
        <v>462</v>
      </c>
      <c r="D465" s="146">
        <v>45774</v>
      </c>
      <c r="E465" s="37">
        <v>45777</v>
      </c>
      <c r="F465" s="65" t="s">
        <v>320</v>
      </c>
      <c r="G465" s="11" t="str">
        <f ca="1">IF(AND(E465&lt;&gt;"",E465&lt;TODAY()),"Disponible",IFERROR(INDEX(Vehiculos[Estado Vehiculo],MATCH(F465,Vehiculos[Placa Vehiculo],0)),""))</f>
        <v>Disponible</v>
      </c>
      <c r="H465" s="34"/>
      <c r="I465" s="34" t="s">
        <v>273</v>
      </c>
      <c r="J465" s="34" t="s">
        <v>274</v>
      </c>
      <c r="K465" s="401">
        <v>2487</v>
      </c>
      <c r="L465" s="39">
        <v>2509</v>
      </c>
      <c r="M465" s="15">
        <f t="shared" si="138"/>
        <v>22</v>
      </c>
      <c r="N465" s="15">
        <f>Rutas[[#This Row],[Kms Recorridos]]</f>
        <v>22</v>
      </c>
      <c r="O465" s="39"/>
      <c r="P465" s="36"/>
      <c r="Q465" s="16">
        <f t="shared" si="139"/>
        <v>0</v>
      </c>
      <c r="R465" s="34" t="s">
        <v>273</v>
      </c>
      <c r="S465" s="34" t="s">
        <v>102</v>
      </c>
      <c r="T465" s="36">
        <v>1.8</v>
      </c>
      <c r="U465" s="293">
        <f>Rutas[[#This Row],[Precio x Galón ($/gal)]]*Rutas[[#This Row],[Volumen de Combustible (gal)]]</f>
        <v>44.747999999999998</v>
      </c>
      <c r="V465" s="36"/>
      <c r="W465" s="36"/>
      <c r="X465" s="36"/>
      <c r="Y465" s="145">
        <f t="shared" si="140"/>
        <v>44.747999999999998</v>
      </c>
      <c r="Z465" s="567"/>
      <c r="AA465" s="12">
        <v>24.86</v>
      </c>
      <c r="AB465" s="12">
        <f t="shared" si="141"/>
        <v>0.88495575221238942</v>
      </c>
      <c r="AC465" s="12">
        <f t="shared" si="142"/>
        <v>0</v>
      </c>
      <c r="AD465" s="34"/>
    </row>
    <row r="466" spans="1:30" ht="16" x14ac:dyDescent="0.2">
      <c r="A466" s="47"/>
      <c r="B466" s="376"/>
      <c r="C466" s="176">
        <f t="shared" si="132"/>
        <v>463</v>
      </c>
      <c r="D466" s="146">
        <v>45777</v>
      </c>
      <c r="E466" s="37">
        <v>45777</v>
      </c>
      <c r="F466" s="65" t="s">
        <v>320</v>
      </c>
      <c r="G466" s="11" t="str">
        <f ca="1">IF(AND(E466&lt;&gt;"",E466&lt;TODAY()),"Disponible",IFERROR(INDEX(Vehiculos[Estado Vehiculo],MATCH(F466,Vehiculos[Placa Vehiculo],0)),""))</f>
        <v>Disponible</v>
      </c>
      <c r="H466" s="34"/>
      <c r="I466" s="34" t="s">
        <v>273</v>
      </c>
      <c r="J466" s="34" t="s">
        <v>274</v>
      </c>
      <c r="K466" s="401">
        <v>2509</v>
      </c>
      <c r="L466" s="39">
        <v>2510</v>
      </c>
      <c r="M466" s="15">
        <f>L466-K466</f>
        <v>1</v>
      </c>
      <c r="N466" s="15">
        <f>Rutas[[#This Row],[Kms Recorridos]]</f>
        <v>1</v>
      </c>
      <c r="O466" s="39"/>
      <c r="P466" s="36"/>
      <c r="Q466" s="16">
        <f>M466*P466</f>
        <v>0</v>
      </c>
      <c r="R466" s="34" t="s">
        <v>273</v>
      </c>
      <c r="S466" s="34" t="s">
        <v>102</v>
      </c>
      <c r="T466" s="36">
        <v>1.8</v>
      </c>
      <c r="U466" s="293">
        <f>Rutas[[#This Row],[Precio x Galón ($/gal)]]*Rutas[[#This Row],[Volumen de Combustible (gal)]]</f>
        <v>29.178000000000001</v>
      </c>
      <c r="V466" s="36"/>
      <c r="W466" s="36"/>
      <c r="X466" s="36"/>
      <c r="Y466" s="145">
        <f>U466+SUM(V466:X466)</f>
        <v>29.178000000000001</v>
      </c>
      <c r="Z466" s="567"/>
      <c r="AA466" s="12">
        <v>16.21</v>
      </c>
      <c r="AB466" s="12">
        <f>IFERROR(M466/AA466,0)</f>
        <v>6.1690314620604564E-2</v>
      </c>
      <c r="AC466" s="12">
        <f>IFERROR(Q466/M466,0)</f>
        <v>0</v>
      </c>
      <c r="AD466" s="34"/>
    </row>
    <row r="467" spans="1:30" ht="16" x14ac:dyDescent="0.2">
      <c r="A467" s="47"/>
      <c r="B467" s="376"/>
      <c r="C467" s="176">
        <f t="shared" si="132"/>
        <v>464</v>
      </c>
      <c r="D467" s="146"/>
      <c r="E467" s="37"/>
      <c r="F467" s="65"/>
      <c r="G467" s="11" t="str">
        <f ca="1">IF(AND(E467&lt;&gt;"",E467&lt;TODAY()),"Disponible",IFERROR(INDEX(Vehiculos[Estado Vehiculo],MATCH(F467,Vehiculos[Placa Vehiculo],0)),""))</f>
        <v/>
      </c>
      <c r="H467" s="34"/>
      <c r="I467" s="34"/>
      <c r="J467" s="34"/>
      <c r="K467" s="401"/>
      <c r="L467" s="39"/>
      <c r="M467" s="15">
        <f t="shared" si="138"/>
        <v>0</v>
      </c>
      <c r="N467" s="15"/>
      <c r="O467" s="39"/>
      <c r="P467" s="36"/>
      <c r="Q467" s="16">
        <f t="shared" si="139"/>
        <v>0</v>
      </c>
      <c r="R467" s="34"/>
      <c r="S467" s="34"/>
      <c r="T467" s="36"/>
      <c r="U467" s="293"/>
      <c r="V467" s="36"/>
      <c r="W467" s="36"/>
      <c r="X467" s="36"/>
      <c r="Y467" s="145">
        <f t="shared" si="140"/>
        <v>0</v>
      </c>
      <c r="Z467" s="567"/>
      <c r="AA467" s="12">
        <f>IFERROR(U467/T467,0)</f>
        <v>0</v>
      </c>
      <c r="AB467" s="12">
        <f t="shared" si="141"/>
        <v>0</v>
      </c>
      <c r="AC467" s="12">
        <f t="shared" si="142"/>
        <v>0</v>
      </c>
      <c r="AD467" s="34"/>
    </row>
    <row r="468" spans="1:30" ht="16" x14ac:dyDescent="0.2">
      <c r="A468" s="47"/>
      <c r="B468" s="376"/>
      <c r="C468" s="176">
        <f t="shared" si="132"/>
        <v>465</v>
      </c>
      <c r="D468" s="122">
        <v>45748</v>
      </c>
      <c r="E468" s="122">
        <v>45758</v>
      </c>
      <c r="F468" s="68" t="s">
        <v>311</v>
      </c>
      <c r="G468" s="379" t="str">
        <f ca="1">IF(AND(E468&lt;&gt;"",E468&lt;TODAY()),"Disponible",IFERROR(INDEX(Vehiculos[Estado Vehiculo],MATCH(F468,Vehiculos[Placa Vehiculo],0)),""))</f>
        <v>Disponible</v>
      </c>
      <c r="H468" s="89"/>
      <c r="I468" s="89" t="s">
        <v>273</v>
      </c>
      <c r="J468" s="89" t="s">
        <v>274</v>
      </c>
      <c r="K468" s="401">
        <v>1445</v>
      </c>
      <c r="L468" s="401">
        <v>1497</v>
      </c>
      <c r="M468" s="381">
        <f t="shared" si="133"/>
        <v>52</v>
      </c>
      <c r="N468" s="381">
        <f>Rutas[[#This Row],[Kms Recorridos]]</f>
        <v>52</v>
      </c>
      <c r="O468" s="380"/>
      <c r="P468" s="92"/>
      <c r="Q468" s="382">
        <f t="shared" si="134"/>
        <v>0</v>
      </c>
      <c r="R468" s="89" t="s">
        <v>273</v>
      </c>
      <c r="S468" s="89" t="s">
        <v>102</v>
      </c>
      <c r="T468" s="92">
        <v>1.8</v>
      </c>
      <c r="U468" s="266">
        <f>Rutas[[#This Row],[Precio x Galón ($/gal)]]*Rutas[[#This Row],[Volumen de Combustible (gal)]]</f>
        <v>29.898</v>
      </c>
      <c r="V468" s="92"/>
      <c r="W468" s="92"/>
      <c r="X468" s="92"/>
      <c r="Y468" s="382">
        <f t="shared" si="135"/>
        <v>29.898</v>
      </c>
      <c r="Z468" s="567"/>
      <c r="AA468" s="402">
        <v>16.61</v>
      </c>
      <c r="AB468" s="382">
        <f t="shared" si="136"/>
        <v>3.1306441902468394</v>
      </c>
      <c r="AC468" s="382">
        <f t="shared" si="137"/>
        <v>0</v>
      </c>
      <c r="AD468" s="89"/>
    </row>
    <row r="469" spans="1:30" ht="16" x14ac:dyDescent="0.2">
      <c r="A469" s="47"/>
      <c r="B469" s="376"/>
      <c r="C469" s="176">
        <f t="shared" si="132"/>
        <v>466</v>
      </c>
      <c r="D469" s="122">
        <v>45758</v>
      </c>
      <c r="E469" s="122">
        <v>45762</v>
      </c>
      <c r="F469" s="65" t="s">
        <v>311</v>
      </c>
      <c r="G469" s="11" t="str">
        <f ca="1">IF(AND(E469&lt;&gt;"",E469&lt;TODAY()),"Disponible",IFERROR(INDEX(Vehiculos[Estado Vehiculo],MATCH(F469,Vehiculos[Placa Vehiculo],0)),""))</f>
        <v>Disponible</v>
      </c>
      <c r="H469" s="34" t="s">
        <v>241</v>
      </c>
      <c r="I469" s="34" t="s">
        <v>273</v>
      </c>
      <c r="J469" s="34" t="s">
        <v>274</v>
      </c>
      <c r="K469" s="401">
        <v>1497</v>
      </c>
      <c r="L469" s="401">
        <v>1532</v>
      </c>
      <c r="M469" s="15">
        <f t="shared" si="133"/>
        <v>35</v>
      </c>
      <c r="N469" s="15">
        <f>Rutas[[#This Row],[Kms Recorridos]]</f>
        <v>35</v>
      </c>
      <c r="O469" s="39"/>
      <c r="P469" s="36"/>
      <c r="Q469" s="16">
        <f t="shared" si="134"/>
        <v>0</v>
      </c>
      <c r="R469" s="34" t="s">
        <v>273</v>
      </c>
      <c r="S469" s="34" t="s">
        <v>102</v>
      </c>
      <c r="T469" s="36">
        <v>1.8</v>
      </c>
      <c r="U469" s="293">
        <f>Rutas[[#This Row],[Precio x Galón ($/gal)]]*Rutas[[#This Row],[Volumen de Combustible (gal)]]</f>
        <v>28.980000000000004</v>
      </c>
      <c r="V469" s="36"/>
      <c r="W469" s="36"/>
      <c r="X469" s="36"/>
      <c r="Y469" s="145">
        <f t="shared" si="135"/>
        <v>28.980000000000004</v>
      </c>
      <c r="Z469" s="567"/>
      <c r="AA469" s="402">
        <v>16.100000000000001</v>
      </c>
      <c r="AB469" s="12">
        <f t="shared" si="136"/>
        <v>2.1739130434782608</v>
      </c>
      <c r="AC469" s="12">
        <f t="shared" si="137"/>
        <v>0</v>
      </c>
      <c r="AD469" s="34"/>
    </row>
    <row r="470" spans="1:30" ht="16" x14ac:dyDescent="0.2">
      <c r="A470" s="47"/>
      <c r="B470" s="376"/>
      <c r="C470" s="176">
        <f t="shared" si="132"/>
        <v>467</v>
      </c>
      <c r="D470" s="122">
        <v>45762</v>
      </c>
      <c r="E470" s="37">
        <v>45765</v>
      </c>
      <c r="F470" s="65" t="s">
        <v>311</v>
      </c>
      <c r="G470" s="11" t="str">
        <f ca="1">IF(AND(E470&lt;&gt;"",E470&lt;TODAY()),"Disponible",IFERROR(INDEX(Vehiculos[Estado Vehiculo],MATCH(F470,Vehiculos[Placa Vehiculo],0)),""))</f>
        <v>Disponible</v>
      </c>
      <c r="H470" s="34" t="s">
        <v>241</v>
      </c>
      <c r="I470" s="34" t="s">
        <v>273</v>
      </c>
      <c r="J470" s="34" t="s">
        <v>274</v>
      </c>
      <c r="K470" s="401">
        <v>1532</v>
      </c>
      <c r="L470" s="39">
        <v>1558</v>
      </c>
      <c r="M470" s="15">
        <f t="shared" si="133"/>
        <v>26</v>
      </c>
      <c r="N470" s="15">
        <f>Rutas[[#This Row],[Kms Recorridos]]</f>
        <v>26</v>
      </c>
      <c r="O470" s="39"/>
      <c r="P470" s="36"/>
      <c r="Q470" s="16">
        <f t="shared" si="134"/>
        <v>0</v>
      </c>
      <c r="R470" s="34" t="s">
        <v>273</v>
      </c>
      <c r="S470" s="34" t="s">
        <v>102</v>
      </c>
      <c r="T470" s="36">
        <v>1.8</v>
      </c>
      <c r="U470" s="293">
        <f>Rutas[[#This Row],[Precio x Galón ($/gal)]]*Rutas[[#This Row],[Volumen de Combustible (gal)]]</f>
        <v>41.345999999999997</v>
      </c>
      <c r="V470" s="36"/>
      <c r="W470" s="36"/>
      <c r="X470" s="36"/>
      <c r="Y470" s="145">
        <f t="shared" si="135"/>
        <v>41.345999999999997</v>
      </c>
      <c r="Z470" s="567"/>
      <c r="AA470" s="402">
        <v>22.97</v>
      </c>
      <c r="AB470" s="12">
        <f t="shared" si="136"/>
        <v>1.1319111885067479</v>
      </c>
      <c r="AC470" s="12">
        <f t="shared" si="137"/>
        <v>0</v>
      </c>
      <c r="AD470" s="34"/>
    </row>
    <row r="471" spans="1:30" ht="16" x14ac:dyDescent="0.2">
      <c r="A471" s="47"/>
      <c r="B471" s="376"/>
      <c r="C471" s="176">
        <f t="shared" si="132"/>
        <v>468</v>
      </c>
      <c r="D471" s="146">
        <v>45765</v>
      </c>
      <c r="E471" s="37">
        <v>45768</v>
      </c>
      <c r="F471" s="65" t="s">
        <v>311</v>
      </c>
      <c r="G471" s="11" t="str">
        <f ca="1">IF(AND(E471&lt;&gt;"",E471&lt;TODAY()),"Disponible",IFERROR(INDEX(Vehiculos[Estado Vehiculo],MATCH(F471,Vehiculos[Placa Vehiculo],0)),""))</f>
        <v>Disponible</v>
      </c>
      <c r="H471" s="34" t="s">
        <v>238</v>
      </c>
      <c r="I471" s="34" t="s">
        <v>273</v>
      </c>
      <c r="J471" s="34" t="s">
        <v>274</v>
      </c>
      <c r="K471" s="39">
        <v>1558</v>
      </c>
      <c r="L471" s="39">
        <v>1584</v>
      </c>
      <c r="M471" s="15">
        <f t="shared" si="133"/>
        <v>26</v>
      </c>
      <c r="N471" s="15">
        <f>Rutas[[#This Row],[Kms Recorridos]]</f>
        <v>26</v>
      </c>
      <c r="O471" s="39"/>
      <c r="P471" s="36"/>
      <c r="Q471" s="16">
        <f t="shared" si="134"/>
        <v>0</v>
      </c>
      <c r="R471" s="34" t="s">
        <v>273</v>
      </c>
      <c r="S471" s="34" t="s">
        <v>102</v>
      </c>
      <c r="T471" s="36">
        <v>1.8</v>
      </c>
      <c r="U471" s="293">
        <f>Rutas[[#This Row],[Precio x Galón ($/gal)]]*Rutas[[#This Row],[Volumen de Combustible (gal)]]</f>
        <v>34.614000000000004</v>
      </c>
      <c r="V471" s="36"/>
      <c r="W471" s="36"/>
      <c r="X471" s="36"/>
      <c r="Y471" s="145">
        <f t="shared" si="135"/>
        <v>34.614000000000004</v>
      </c>
      <c r="Z471" s="567"/>
      <c r="AA471" s="12">
        <v>19.23</v>
      </c>
      <c r="AB471" s="12">
        <f t="shared" si="136"/>
        <v>1.3520540821632865</v>
      </c>
      <c r="AC471" s="12">
        <f t="shared" si="137"/>
        <v>0</v>
      </c>
      <c r="AD471" s="34"/>
    </row>
    <row r="472" spans="1:30" ht="16" x14ac:dyDescent="0.2">
      <c r="A472" s="47"/>
      <c r="B472" s="376"/>
      <c r="C472" s="176">
        <f t="shared" si="132"/>
        <v>469</v>
      </c>
      <c r="D472" s="146">
        <v>45768</v>
      </c>
      <c r="E472" s="37">
        <v>45771</v>
      </c>
      <c r="F472" s="65" t="s">
        <v>311</v>
      </c>
      <c r="G472" s="11" t="str">
        <f ca="1">IF(AND(E472&lt;&gt;"",E472&lt;TODAY()),"Disponible",IFERROR(INDEX(Vehiculos[Estado Vehiculo],MATCH(F472,Vehiculos[Placa Vehiculo],0)),""))</f>
        <v>Disponible</v>
      </c>
      <c r="H472" s="34"/>
      <c r="I472" s="34" t="s">
        <v>273</v>
      </c>
      <c r="J472" s="34" t="s">
        <v>274</v>
      </c>
      <c r="K472" s="39">
        <v>1584</v>
      </c>
      <c r="L472" s="39">
        <v>1610</v>
      </c>
      <c r="M472" s="15">
        <f t="shared" si="133"/>
        <v>26</v>
      </c>
      <c r="N472" s="15">
        <f>Rutas[[#This Row],[Kms Recorridos]]</f>
        <v>26</v>
      </c>
      <c r="O472" s="39"/>
      <c r="P472" s="36"/>
      <c r="Q472" s="16">
        <f t="shared" si="134"/>
        <v>0</v>
      </c>
      <c r="R472" s="34" t="s">
        <v>273</v>
      </c>
      <c r="S472" s="34" t="s">
        <v>102</v>
      </c>
      <c r="T472" s="36">
        <v>1.8</v>
      </c>
      <c r="U472" s="293">
        <f>Rutas[[#This Row],[Precio x Galón ($/gal)]]*Rutas[[#This Row],[Volumen de Combustible (gal)]]</f>
        <v>35.963999999999999</v>
      </c>
      <c r="V472" s="36"/>
      <c r="W472" s="36"/>
      <c r="X472" s="36"/>
      <c r="Y472" s="145">
        <f t="shared" si="135"/>
        <v>35.963999999999999</v>
      </c>
      <c r="Z472" s="567"/>
      <c r="AA472" s="12">
        <v>19.98</v>
      </c>
      <c r="AB472" s="12">
        <f t="shared" si="136"/>
        <v>1.3013013013013013</v>
      </c>
      <c r="AC472" s="12">
        <f t="shared" si="137"/>
        <v>0</v>
      </c>
      <c r="AD472" s="34"/>
    </row>
    <row r="473" spans="1:30" ht="16" x14ac:dyDescent="0.2">
      <c r="A473" s="47"/>
      <c r="B473" s="376"/>
      <c r="C473" s="176">
        <f t="shared" si="132"/>
        <v>470</v>
      </c>
      <c r="D473" s="146">
        <v>45771</v>
      </c>
      <c r="E473" s="37">
        <v>45777</v>
      </c>
      <c r="F473" s="65" t="s">
        <v>311</v>
      </c>
      <c r="G473" s="11" t="str">
        <f ca="1">IF(AND(E473&lt;&gt;"",E473&lt;TODAY()),"Disponible",IFERROR(INDEX(Vehiculos[Estado Vehiculo],MATCH(F473,Vehiculos[Placa Vehiculo],0)),""))</f>
        <v>Disponible</v>
      </c>
      <c r="H473" s="34"/>
      <c r="I473" s="34" t="s">
        <v>273</v>
      </c>
      <c r="J473" s="34" t="s">
        <v>274</v>
      </c>
      <c r="K473" s="39">
        <v>1610</v>
      </c>
      <c r="L473" s="39">
        <v>1641</v>
      </c>
      <c r="M473" s="15">
        <f>L473-K473</f>
        <v>31</v>
      </c>
      <c r="N473" s="15">
        <f>Rutas[[#This Row],[Kms Recorridos]]</f>
        <v>31</v>
      </c>
      <c r="O473" s="39"/>
      <c r="P473" s="36"/>
      <c r="Q473" s="16">
        <f>M473*P473</f>
        <v>0</v>
      </c>
      <c r="R473" s="34" t="s">
        <v>273</v>
      </c>
      <c r="S473" s="34" t="s">
        <v>102</v>
      </c>
      <c r="T473" s="36">
        <v>1.8</v>
      </c>
      <c r="U473" s="293">
        <f>Rutas[[#This Row],[Precio x Galón ($/gal)]]*Rutas[[#This Row],[Volumen de Combustible (gal)]]</f>
        <v>29.628000000000004</v>
      </c>
      <c r="V473" s="36"/>
      <c r="W473" s="36"/>
      <c r="X473" s="36"/>
      <c r="Y473" s="145">
        <f>U473+SUM(V473:X473)</f>
        <v>29.628000000000004</v>
      </c>
      <c r="Z473" s="567"/>
      <c r="AA473" s="12">
        <v>16.46</v>
      </c>
      <c r="AB473" s="12">
        <f>IFERROR(M473/AA473,0)</f>
        <v>1.8833535844471445</v>
      </c>
      <c r="AC473" s="12">
        <f>IFERROR(Q473/M473,0)</f>
        <v>0</v>
      </c>
      <c r="AD473" s="34"/>
    </row>
    <row r="474" spans="1:30" ht="16" x14ac:dyDescent="0.2">
      <c r="A474" s="47"/>
      <c r="B474" s="376"/>
      <c r="C474" s="176">
        <f t="shared" si="132"/>
        <v>471</v>
      </c>
      <c r="D474" s="146">
        <v>45777</v>
      </c>
      <c r="E474" s="37">
        <v>45777</v>
      </c>
      <c r="F474" s="65" t="s">
        <v>311</v>
      </c>
      <c r="G474" s="11" t="str">
        <f ca="1">IF(AND(E474&lt;&gt;"",E474&lt;TODAY()),"Disponible",IFERROR(INDEX(Vehiculos[Estado Vehiculo],MATCH(F474,Vehiculos[Placa Vehiculo],0)),""))</f>
        <v>Disponible</v>
      </c>
      <c r="H474" s="34"/>
      <c r="I474" s="34" t="s">
        <v>273</v>
      </c>
      <c r="J474" s="34" t="s">
        <v>274</v>
      </c>
      <c r="K474" s="39">
        <v>1641</v>
      </c>
      <c r="L474" s="39">
        <v>1642</v>
      </c>
      <c r="M474" s="15">
        <f>L474-K474</f>
        <v>1</v>
      </c>
      <c r="N474" s="15">
        <f>Rutas[[#This Row],[Kms Recorridos]]</f>
        <v>1</v>
      </c>
      <c r="O474" s="39"/>
      <c r="P474" s="36"/>
      <c r="Q474" s="16">
        <f>M474*P474</f>
        <v>0</v>
      </c>
      <c r="R474" s="34" t="s">
        <v>273</v>
      </c>
      <c r="S474" s="34" t="s">
        <v>102</v>
      </c>
      <c r="T474" s="36">
        <v>1.8</v>
      </c>
      <c r="U474" s="293">
        <f>Rutas[[#This Row],[Precio x Galón ($/gal)]]*Rutas[[#This Row],[Volumen de Combustible (gal)]]</f>
        <v>33.606000000000002</v>
      </c>
      <c r="V474" s="36"/>
      <c r="W474" s="36"/>
      <c r="X474" s="36"/>
      <c r="Y474" s="145">
        <f>U474+SUM(V474:X474)</f>
        <v>33.606000000000002</v>
      </c>
      <c r="Z474" s="567"/>
      <c r="AA474" s="12">
        <v>18.670000000000002</v>
      </c>
      <c r="AB474" s="12">
        <f>IFERROR(M474/AA474,0)</f>
        <v>5.3561863952865552E-2</v>
      </c>
      <c r="AC474" s="12">
        <f>IFERROR(Q474/M474,0)</f>
        <v>0</v>
      </c>
      <c r="AD474" s="34"/>
    </row>
    <row r="475" spans="1:30" ht="16" x14ac:dyDescent="0.2">
      <c r="A475" s="47"/>
      <c r="B475" s="376"/>
      <c r="C475" s="176">
        <f t="shared" si="132"/>
        <v>472</v>
      </c>
      <c r="D475" s="146"/>
      <c r="E475" s="37"/>
      <c r="F475" s="65"/>
      <c r="G475" s="11" t="str">
        <f ca="1">IF(AND(E475&lt;&gt;"",E475&lt;TODAY()),"Disponible",IFERROR(INDEX(Vehiculos[Estado Vehiculo],MATCH(F475,Vehiculos[Placa Vehiculo],0)),""))</f>
        <v/>
      </c>
      <c r="H475" s="34"/>
      <c r="I475" s="34"/>
      <c r="J475" s="34"/>
      <c r="K475" s="39"/>
      <c r="L475" s="39"/>
      <c r="M475" s="15">
        <f t="shared" si="133"/>
        <v>0</v>
      </c>
      <c r="N475" s="15">
        <f>Rutas[[#This Row],[Kms Recorridos]]</f>
        <v>0</v>
      </c>
      <c r="O475" s="39"/>
      <c r="P475" s="36"/>
      <c r="Q475" s="16">
        <f t="shared" si="134"/>
        <v>0</v>
      </c>
      <c r="R475" s="34"/>
      <c r="S475" s="34"/>
      <c r="T475" s="36"/>
      <c r="U475" s="293">
        <f>Rutas[[#This Row],[Precio x Galón ($/gal)]]*Rutas[[#This Row],[Volumen de Combustible (gal)]]</f>
        <v>0</v>
      </c>
      <c r="V475" s="36"/>
      <c r="W475" s="36"/>
      <c r="X475" s="36"/>
      <c r="Y475" s="145">
        <f t="shared" si="135"/>
        <v>0</v>
      </c>
      <c r="Z475" s="567"/>
      <c r="AA475" s="12"/>
      <c r="AB475" s="12">
        <f t="shared" si="136"/>
        <v>0</v>
      </c>
      <c r="AC475" s="12">
        <f t="shared" si="137"/>
        <v>0</v>
      </c>
      <c r="AD475" s="34"/>
    </row>
    <row r="476" spans="1:30" ht="16" x14ac:dyDescent="0.2">
      <c r="A476" s="47"/>
      <c r="B476" s="376"/>
      <c r="C476" s="176">
        <f t="shared" si="132"/>
        <v>473</v>
      </c>
      <c r="D476" s="122">
        <v>45751</v>
      </c>
      <c r="E476" s="90">
        <v>45777</v>
      </c>
      <c r="F476" s="68" t="s">
        <v>313</v>
      </c>
      <c r="G476" s="379" t="str">
        <f ca="1">IF(AND(E476&lt;&gt;"",E476&lt;TODAY()),"Disponible",IFERROR(INDEX(Vehiculos[Estado Vehiculo],MATCH(F476,Vehiculos[Placa Vehiculo],0)),""))</f>
        <v>Disponible</v>
      </c>
      <c r="H476" s="89" t="s">
        <v>236</v>
      </c>
      <c r="I476" s="89" t="s">
        <v>273</v>
      </c>
      <c r="J476" s="89" t="s">
        <v>274</v>
      </c>
      <c r="K476" s="401">
        <v>2691</v>
      </c>
      <c r="L476" s="380">
        <v>2695</v>
      </c>
      <c r="M476" s="381">
        <f t="shared" si="133"/>
        <v>4</v>
      </c>
      <c r="N476" s="381">
        <f>Rutas[[#This Row],[Kms Recorridos]]</f>
        <v>4</v>
      </c>
      <c r="O476" s="380"/>
      <c r="P476" s="92"/>
      <c r="Q476" s="382">
        <f t="shared" si="134"/>
        <v>0</v>
      </c>
      <c r="R476" s="89" t="s">
        <v>273</v>
      </c>
      <c r="S476" s="89" t="s">
        <v>102</v>
      </c>
      <c r="T476" s="92">
        <v>1.8</v>
      </c>
      <c r="U476" s="266">
        <f>Rutas[[#This Row],[Precio x Galón ($/gal)]]*Rutas[[#This Row],[Volumen de Combustible (gal)]]</f>
        <v>28.224</v>
      </c>
      <c r="V476" s="92"/>
      <c r="W476" s="92"/>
      <c r="X476" s="92"/>
      <c r="Y476" s="382">
        <f t="shared" si="135"/>
        <v>28.224</v>
      </c>
      <c r="Z476" s="567"/>
      <c r="AA476" s="402">
        <v>15.68</v>
      </c>
      <c r="AB476" s="382">
        <f t="shared" si="136"/>
        <v>0.25510204081632654</v>
      </c>
      <c r="AC476" s="382">
        <f t="shared" si="137"/>
        <v>0</v>
      </c>
      <c r="AD476" s="89"/>
    </row>
    <row r="477" spans="1:30" ht="16" x14ac:dyDescent="0.2">
      <c r="A477" s="47"/>
      <c r="B477" s="376"/>
      <c r="C477" s="176">
        <f t="shared" si="132"/>
        <v>474</v>
      </c>
      <c r="D477" s="146"/>
      <c r="E477" s="37"/>
      <c r="F477" s="65"/>
      <c r="G477" s="11" t="str">
        <f ca="1">IF(AND(E477&lt;&gt;"",E477&lt;TODAY()),"Disponible",IFERROR(INDEX(Vehiculos[Estado Vehiculo],MATCH(F477,Vehiculos[Placa Vehiculo],0)),""))</f>
        <v/>
      </c>
      <c r="H477" s="34"/>
      <c r="I477" s="34"/>
      <c r="J477" s="34"/>
      <c r="K477" s="39"/>
      <c r="L477" s="39"/>
      <c r="M477" s="15">
        <f t="shared" si="133"/>
        <v>0</v>
      </c>
      <c r="N477" s="15">
        <f>Rutas[[#This Row],[Kms Recorridos]]</f>
        <v>0</v>
      </c>
      <c r="O477" s="39"/>
      <c r="P477" s="36"/>
      <c r="Q477" s="16">
        <f t="shared" si="134"/>
        <v>0</v>
      </c>
      <c r="R477" s="34"/>
      <c r="S477" s="34"/>
      <c r="T477" s="36"/>
      <c r="U477" s="293">
        <f>Rutas[[#This Row],[Precio x Galón ($/gal)]]*Rutas[[#This Row],[Volumen de Combustible (gal)]]</f>
        <v>0</v>
      </c>
      <c r="V477" s="36"/>
      <c r="W477" s="36"/>
      <c r="X477" s="36"/>
      <c r="Y477" s="145">
        <f t="shared" si="135"/>
        <v>0</v>
      </c>
      <c r="Z477" s="567"/>
      <c r="AA477" s="12"/>
      <c r="AB477" s="12">
        <f t="shared" si="136"/>
        <v>0</v>
      </c>
      <c r="AC477" s="12">
        <f t="shared" si="137"/>
        <v>0</v>
      </c>
      <c r="AD477" s="34"/>
    </row>
    <row r="478" spans="1:30" ht="16" x14ac:dyDescent="0.2">
      <c r="A478" s="47"/>
      <c r="B478" s="376"/>
      <c r="C478" s="176">
        <f t="shared" si="132"/>
        <v>475</v>
      </c>
      <c r="D478" s="146"/>
      <c r="E478" s="37"/>
      <c r="F478" s="65"/>
      <c r="G478" s="11" t="str">
        <f ca="1">IF(AND(E478&lt;&gt;"",E478&lt;TODAY()),"Disponible",IFERROR(INDEX(Vehiculos[Estado Vehiculo],MATCH(F478,Vehiculos[Placa Vehiculo],0)),""))</f>
        <v/>
      </c>
      <c r="H478" s="34"/>
      <c r="I478" s="34"/>
      <c r="J478" s="34"/>
      <c r="K478" s="39"/>
      <c r="L478" s="39"/>
      <c r="M478" s="15">
        <f t="shared" si="133"/>
        <v>0</v>
      </c>
      <c r="N478" s="15">
        <f>Rutas[[#This Row],[Kms Recorridos]]</f>
        <v>0</v>
      </c>
      <c r="O478" s="39"/>
      <c r="P478" s="36"/>
      <c r="Q478" s="16">
        <f t="shared" si="134"/>
        <v>0</v>
      </c>
      <c r="R478" s="34"/>
      <c r="S478" s="34"/>
      <c r="T478" s="36"/>
      <c r="U478" s="293">
        <f>Rutas[[#This Row],[Precio x Galón ($/gal)]]*Rutas[[#This Row],[Volumen de Combustible (gal)]]</f>
        <v>0</v>
      </c>
      <c r="V478" s="36"/>
      <c r="W478" s="36"/>
      <c r="X478" s="36"/>
      <c r="Y478" s="145">
        <f t="shared" si="135"/>
        <v>0</v>
      </c>
      <c r="Z478" s="567"/>
      <c r="AA478" s="12"/>
      <c r="AB478" s="12">
        <f t="shared" si="136"/>
        <v>0</v>
      </c>
      <c r="AC478" s="12">
        <f t="shared" si="137"/>
        <v>0</v>
      </c>
      <c r="AD478" s="34"/>
    </row>
    <row r="479" spans="1:30" ht="16" x14ac:dyDescent="0.2">
      <c r="A479" s="47"/>
      <c r="B479" s="376"/>
      <c r="C479" s="176">
        <f t="shared" si="132"/>
        <v>476</v>
      </c>
      <c r="D479" s="122">
        <v>45753</v>
      </c>
      <c r="E479" s="122">
        <v>45761</v>
      </c>
      <c r="F479" s="68" t="s">
        <v>307</v>
      </c>
      <c r="G479" s="379" t="str">
        <f ca="1">IF(AND(E479&lt;&gt;"",E479&lt;TODAY()),"Disponible",IFERROR(INDEX(Vehiculos[Estado Vehiculo],MATCH(F479,Vehiculos[Placa Vehiculo],0)),""))</f>
        <v>Disponible</v>
      </c>
      <c r="H479" s="89"/>
      <c r="I479" s="89" t="s">
        <v>273</v>
      </c>
      <c r="J479" s="89" t="s">
        <v>282</v>
      </c>
      <c r="K479" s="401">
        <v>4288</v>
      </c>
      <c r="L479" s="401">
        <v>4308</v>
      </c>
      <c r="M479" s="381">
        <f t="shared" si="133"/>
        <v>20</v>
      </c>
      <c r="N479" s="381">
        <f>Rutas[[#This Row],[Kms Recorridos]]</f>
        <v>20</v>
      </c>
      <c r="O479" s="380"/>
      <c r="P479" s="92"/>
      <c r="Q479" s="382">
        <f t="shared" si="134"/>
        <v>0</v>
      </c>
      <c r="R479" s="89" t="s">
        <v>273</v>
      </c>
      <c r="S479" s="89" t="s">
        <v>102</v>
      </c>
      <c r="T479" s="92">
        <v>1.8</v>
      </c>
      <c r="U479" s="266">
        <f>Rutas[[#This Row],[Precio x Galón ($/gal)]]*Rutas[[#This Row],[Volumen de Combustible (gal)]]</f>
        <v>21.006</v>
      </c>
      <c r="V479" s="92"/>
      <c r="W479" s="92"/>
      <c r="X479" s="92"/>
      <c r="Y479" s="382">
        <f t="shared" si="135"/>
        <v>21.006</v>
      </c>
      <c r="Z479" s="567"/>
      <c r="AA479" s="402">
        <v>11.67</v>
      </c>
      <c r="AB479" s="382">
        <f t="shared" si="136"/>
        <v>1.7137960582690659</v>
      </c>
      <c r="AC479" s="382">
        <f t="shared" si="137"/>
        <v>0</v>
      </c>
      <c r="AD479" s="89"/>
    </row>
    <row r="480" spans="1:30" ht="16" x14ac:dyDescent="0.2">
      <c r="A480" s="47"/>
      <c r="B480" s="376"/>
      <c r="C480" s="176">
        <f t="shared" si="132"/>
        <v>477</v>
      </c>
      <c r="D480" s="122">
        <v>45761</v>
      </c>
      <c r="E480" s="37">
        <v>45765</v>
      </c>
      <c r="F480" s="65" t="s">
        <v>307</v>
      </c>
      <c r="G480" s="11" t="str">
        <f ca="1">IF(AND(E480&lt;&gt;"",E480&lt;TODAY()),"Disponible",IFERROR(INDEX(Vehiculos[Estado Vehiculo],MATCH(F480,Vehiculos[Placa Vehiculo],0)),""))</f>
        <v>Disponible</v>
      </c>
      <c r="H480" s="34" t="s">
        <v>247</v>
      </c>
      <c r="I480" s="34" t="s">
        <v>273</v>
      </c>
      <c r="J480" s="34" t="s">
        <v>282</v>
      </c>
      <c r="K480" s="401">
        <v>4308</v>
      </c>
      <c r="L480" s="39">
        <v>4325</v>
      </c>
      <c r="M480" s="15">
        <f t="shared" si="133"/>
        <v>17</v>
      </c>
      <c r="N480" s="15">
        <f>Rutas[[#This Row],[Kms Recorridos]]</f>
        <v>17</v>
      </c>
      <c r="O480" s="39"/>
      <c r="P480" s="36"/>
      <c r="Q480" s="16">
        <f t="shared" si="134"/>
        <v>0</v>
      </c>
      <c r="R480" s="34" t="s">
        <v>273</v>
      </c>
      <c r="S480" s="34" t="s">
        <v>102</v>
      </c>
      <c r="T480" s="36">
        <v>1.8</v>
      </c>
      <c r="U480" s="293">
        <f>Rutas[[#This Row],[Precio x Galón ($/gal)]]*Rutas[[#This Row],[Volumen de Combustible (gal)]]</f>
        <v>18.666</v>
      </c>
      <c r="V480" s="36"/>
      <c r="W480" s="36"/>
      <c r="X480" s="36"/>
      <c r="Y480" s="145">
        <f t="shared" si="135"/>
        <v>18.666</v>
      </c>
      <c r="Z480" s="567"/>
      <c r="AA480" s="402">
        <v>10.37</v>
      </c>
      <c r="AB480" s="12">
        <f t="shared" si="136"/>
        <v>1.639344262295082</v>
      </c>
      <c r="AC480" s="12">
        <f t="shared" si="137"/>
        <v>0</v>
      </c>
      <c r="AD480" s="34"/>
    </row>
    <row r="481" spans="1:30" ht="16" x14ac:dyDescent="0.2">
      <c r="A481" s="47"/>
      <c r="B481" s="376"/>
      <c r="C481" s="176">
        <f t="shared" si="132"/>
        <v>478</v>
      </c>
      <c r="D481" s="146">
        <v>45765</v>
      </c>
      <c r="E481" s="37">
        <v>45775</v>
      </c>
      <c r="F481" s="65" t="s">
        <v>307</v>
      </c>
      <c r="G481" s="11" t="str">
        <f ca="1">IF(AND(E481&lt;&gt;"",E481&lt;TODAY()),"Disponible",IFERROR(INDEX(Vehiculos[Estado Vehiculo],MATCH(F481,Vehiculos[Placa Vehiculo],0)),""))</f>
        <v>Disponible</v>
      </c>
      <c r="H481" s="34" t="s">
        <v>247</v>
      </c>
      <c r="I481" s="34" t="s">
        <v>273</v>
      </c>
      <c r="J481" s="34" t="s">
        <v>282</v>
      </c>
      <c r="K481" s="39">
        <v>4325</v>
      </c>
      <c r="L481" s="39">
        <v>4355</v>
      </c>
      <c r="M481" s="15">
        <f t="shared" si="133"/>
        <v>30</v>
      </c>
      <c r="N481" s="15">
        <f>Rutas[[#This Row],[Kms Recorridos]]</f>
        <v>30</v>
      </c>
      <c r="O481" s="39"/>
      <c r="P481" s="36"/>
      <c r="Q481" s="16">
        <f t="shared" si="134"/>
        <v>0</v>
      </c>
      <c r="R481" s="34" t="s">
        <v>273</v>
      </c>
      <c r="S481" s="34" t="s">
        <v>102</v>
      </c>
      <c r="T481" s="36">
        <v>1.8</v>
      </c>
      <c r="U481" s="293">
        <f>Rutas[[#This Row],[Precio x Galón ($/gal)]]*Rutas[[#This Row],[Volumen de Combustible (gal)]]</f>
        <v>14.327999999999999</v>
      </c>
      <c r="V481" s="36"/>
      <c r="W481" s="36"/>
      <c r="X481" s="36"/>
      <c r="Y481" s="145">
        <f t="shared" si="135"/>
        <v>14.327999999999999</v>
      </c>
      <c r="Z481" s="567"/>
      <c r="AA481" s="12">
        <v>7.96</v>
      </c>
      <c r="AB481" s="12">
        <f t="shared" si="136"/>
        <v>3.7688442211055277</v>
      </c>
      <c r="AC481" s="12">
        <f t="shared" si="137"/>
        <v>0</v>
      </c>
      <c r="AD481" s="34"/>
    </row>
    <row r="482" spans="1:30" ht="16" x14ac:dyDescent="0.2">
      <c r="A482" s="47"/>
      <c r="B482" s="376"/>
      <c r="C482" s="176">
        <f t="shared" si="132"/>
        <v>479</v>
      </c>
      <c r="D482" s="146">
        <v>45775</v>
      </c>
      <c r="E482" s="37">
        <v>45777</v>
      </c>
      <c r="F482" s="65" t="s">
        <v>307</v>
      </c>
      <c r="G482" s="11" t="str">
        <f ca="1">IF(AND(E482&lt;&gt;"",E482&lt;TODAY()),"Disponible",IFERROR(INDEX(Vehiculos[Estado Vehiculo],MATCH(F482,Vehiculos[Placa Vehiculo],0)),""))</f>
        <v>Disponible</v>
      </c>
      <c r="H482" s="34" t="s">
        <v>247</v>
      </c>
      <c r="I482" s="34" t="s">
        <v>273</v>
      </c>
      <c r="J482" s="34" t="s">
        <v>282</v>
      </c>
      <c r="K482" s="39">
        <v>4355</v>
      </c>
      <c r="L482" s="39">
        <v>4357</v>
      </c>
      <c r="M482" s="15">
        <f t="shared" si="133"/>
        <v>2</v>
      </c>
      <c r="N482" s="15">
        <f>Rutas[[#This Row],[Kms Recorridos]]</f>
        <v>2</v>
      </c>
      <c r="O482" s="39"/>
      <c r="P482" s="36"/>
      <c r="Q482" s="16">
        <f t="shared" si="134"/>
        <v>0</v>
      </c>
      <c r="R482" s="34" t="s">
        <v>273</v>
      </c>
      <c r="S482" s="34" t="s">
        <v>102</v>
      </c>
      <c r="T482" s="36">
        <v>1.8</v>
      </c>
      <c r="U482" s="293">
        <f>Rutas[[#This Row],[Precio x Galón ($/gal)]]*Rutas[[#This Row],[Volumen de Combustible (gal)]]</f>
        <v>34.614000000000004</v>
      </c>
      <c r="V482" s="36"/>
      <c r="W482" s="36"/>
      <c r="X482" s="36"/>
      <c r="Y482" s="145">
        <f t="shared" si="135"/>
        <v>34.614000000000004</v>
      </c>
      <c r="Z482" s="567"/>
      <c r="AA482" s="12">
        <v>19.23</v>
      </c>
      <c r="AB482" s="12">
        <f t="shared" si="136"/>
        <v>0.10400416016640665</v>
      </c>
      <c r="AC482" s="12">
        <f t="shared" si="137"/>
        <v>0</v>
      </c>
      <c r="AD482" s="34"/>
    </row>
    <row r="483" spans="1:30" ht="16" x14ac:dyDescent="0.2">
      <c r="A483" s="47"/>
      <c r="B483" s="376"/>
      <c r="C483" s="176">
        <f t="shared" si="132"/>
        <v>480</v>
      </c>
      <c r="D483" s="146"/>
      <c r="E483" s="37"/>
      <c r="F483" s="65"/>
      <c r="G483" s="11" t="str">
        <f ca="1">IF(AND(E483&lt;&gt;"",E483&lt;TODAY()),"Disponible",IFERROR(INDEX(Vehiculos[Estado Vehiculo],MATCH(F483,Vehiculos[Placa Vehiculo],0)),""))</f>
        <v/>
      </c>
      <c r="H483" s="34"/>
      <c r="I483" s="34"/>
      <c r="J483" s="34"/>
      <c r="K483" s="39"/>
      <c r="L483" s="39"/>
      <c r="M483" s="15"/>
      <c r="N483" s="15"/>
      <c r="O483" s="39"/>
      <c r="P483" s="36"/>
      <c r="Q483" s="16">
        <f t="shared" si="134"/>
        <v>0</v>
      </c>
      <c r="R483" s="34"/>
      <c r="S483" s="34"/>
      <c r="T483" s="36"/>
      <c r="U483" s="293">
        <f>Rutas[[#This Row],[Precio x Galón ($/gal)]]*Rutas[[#This Row],[Volumen de Combustible (gal)]]</f>
        <v>0</v>
      </c>
      <c r="V483" s="36"/>
      <c r="W483" s="36"/>
      <c r="X483" s="36"/>
      <c r="Y483" s="145">
        <f t="shared" si="135"/>
        <v>0</v>
      </c>
      <c r="Z483" s="567"/>
      <c r="AA483" s="12"/>
      <c r="AB483" s="12">
        <f t="shared" si="136"/>
        <v>0</v>
      </c>
      <c r="AC483" s="12">
        <f t="shared" si="137"/>
        <v>0</v>
      </c>
      <c r="AD483" s="34"/>
    </row>
    <row r="484" spans="1:30" ht="16" x14ac:dyDescent="0.2">
      <c r="A484" s="47"/>
      <c r="B484" s="376"/>
      <c r="C484" s="176">
        <f t="shared" si="132"/>
        <v>481</v>
      </c>
      <c r="D484" s="122">
        <v>45753</v>
      </c>
      <c r="E484" s="122">
        <v>45757</v>
      </c>
      <c r="F484" s="68" t="s">
        <v>308</v>
      </c>
      <c r="G484" s="379" t="str">
        <f ca="1">IF(AND(E484&lt;&gt;"",E484&lt;TODAY()),"Disponible",IFERROR(INDEX(Vehiculos[Estado Vehiculo],MATCH(F484,Vehiculos[Placa Vehiculo],0)),""))</f>
        <v>Disponible</v>
      </c>
      <c r="H484" s="89"/>
      <c r="I484" s="89" t="s">
        <v>273</v>
      </c>
      <c r="J484" s="89" t="s">
        <v>282</v>
      </c>
      <c r="K484" s="401">
        <v>387</v>
      </c>
      <c r="L484" s="401">
        <v>400</v>
      </c>
      <c r="M484" s="381">
        <f t="shared" si="133"/>
        <v>13</v>
      </c>
      <c r="N484" s="381">
        <f>Rutas[[#This Row],[Kms Recorridos]]</f>
        <v>13</v>
      </c>
      <c r="O484" s="380"/>
      <c r="P484" s="92"/>
      <c r="Q484" s="382">
        <f t="shared" si="134"/>
        <v>0</v>
      </c>
      <c r="R484" s="89" t="s">
        <v>273</v>
      </c>
      <c r="S484" s="89" t="s">
        <v>102</v>
      </c>
      <c r="T484" s="92">
        <v>1.8</v>
      </c>
      <c r="U484" s="266">
        <f>Rutas[[#This Row],[Precio x Galón ($/gal)]]*Rutas[[#This Row],[Volumen de Combustible (gal)]]</f>
        <v>18.900000000000002</v>
      </c>
      <c r="V484" s="92"/>
      <c r="W484" s="92"/>
      <c r="X484" s="92"/>
      <c r="Y484" s="382">
        <f t="shared" si="135"/>
        <v>18.900000000000002</v>
      </c>
      <c r="Z484" s="567"/>
      <c r="AA484" s="402">
        <v>10.5</v>
      </c>
      <c r="AB484" s="382">
        <f t="shared" si="136"/>
        <v>1.2380952380952381</v>
      </c>
      <c r="AC484" s="382">
        <f t="shared" si="137"/>
        <v>0</v>
      </c>
      <c r="AD484" s="89"/>
    </row>
    <row r="485" spans="1:30" ht="16" x14ac:dyDescent="0.2">
      <c r="A485" s="47"/>
      <c r="B485" s="376"/>
      <c r="C485" s="176">
        <f t="shared" si="132"/>
        <v>482</v>
      </c>
      <c r="D485" s="122">
        <v>45757</v>
      </c>
      <c r="E485" s="122">
        <v>45761</v>
      </c>
      <c r="F485" s="65" t="s">
        <v>308</v>
      </c>
      <c r="G485" s="11" t="str">
        <f ca="1">IF(AND(E485&lt;&gt;"",E485&lt;TODAY()),"Disponible",IFERROR(INDEX(Vehiculos[Estado Vehiculo],MATCH(F485,Vehiculos[Placa Vehiculo],0)),""))</f>
        <v>Disponible</v>
      </c>
      <c r="H485" s="34" t="s">
        <v>242</v>
      </c>
      <c r="I485" s="34" t="s">
        <v>273</v>
      </c>
      <c r="J485" s="34" t="s">
        <v>282</v>
      </c>
      <c r="K485" s="401">
        <v>400</v>
      </c>
      <c r="L485" s="401">
        <v>413</v>
      </c>
      <c r="M485" s="15">
        <f t="shared" si="133"/>
        <v>13</v>
      </c>
      <c r="N485" s="15">
        <f>Rutas[[#This Row],[Kms Recorridos]]</f>
        <v>13</v>
      </c>
      <c r="O485" s="39"/>
      <c r="P485" s="36"/>
      <c r="Q485" s="16">
        <f t="shared" si="134"/>
        <v>0</v>
      </c>
      <c r="R485" s="34" t="s">
        <v>273</v>
      </c>
      <c r="S485" s="34" t="s">
        <v>102</v>
      </c>
      <c r="T485" s="36">
        <v>1.8</v>
      </c>
      <c r="U485" s="293">
        <f>Rutas[[#This Row],[Precio x Galón ($/gal)]]*Rutas[[#This Row],[Volumen de Combustible (gal)]]</f>
        <v>15.624000000000001</v>
      </c>
      <c r="V485" s="36"/>
      <c r="W485" s="36"/>
      <c r="X485" s="36"/>
      <c r="Y485" s="145">
        <f t="shared" si="135"/>
        <v>15.624000000000001</v>
      </c>
      <c r="Z485" s="567"/>
      <c r="AA485" s="402">
        <v>8.68</v>
      </c>
      <c r="AB485" s="12">
        <f t="shared" si="136"/>
        <v>1.4976958525345623</v>
      </c>
      <c r="AC485" s="12">
        <f t="shared" si="137"/>
        <v>0</v>
      </c>
      <c r="AD485" s="34"/>
    </row>
    <row r="486" spans="1:30" ht="16" x14ac:dyDescent="0.2">
      <c r="A486" s="47"/>
      <c r="B486" s="376"/>
      <c r="C486" s="176">
        <f t="shared" si="132"/>
        <v>483</v>
      </c>
      <c r="D486" s="122">
        <v>45761</v>
      </c>
      <c r="E486" s="37">
        <v>45768</v>
      </c>
      <c r="F486" s="65" t="s">
        <v>308</v>
      </c>
      <c r="G486" s="11" t="str">
        <f ca="1">IF(AND(E486&lt;&gt;"",E486&lt;TODAY()),"Disponible",IFERROR(INDEX(Vehiculos[Estado Vehiculo],MATCH(F486,Vehiculos[Placa Vehiculo],0)),""))</f>
        <v>Disponible</v>
      </c>
      <c r="H486" s="34" t="s">
        <v>242</v>
      </c>
      <c r="I486" s="34" t="s">
        <v>273</v>
      </c>
      <c r="J486" s="34" t="s">
        <v>282</v>
      </c>
      <c r="K486" s="401">
        <v>413</v>
      </c>
      <c r="L486" s="39">
        <v>430</v>
      </c>
      <c r="M486" s="15">
        <f t="shared" si="133"/>
        <v>17</v>
      </c>
      <c r="N486" s="15">
        <f>Rutas[[#This Row],[Kms Recorridos]]</f>
        <v>17</v>
      </c>
      <c r="O486" s="39"/>
      <c r="P486" s="36"/>
      <c r="Q486" s="16">
        <f t="shared" si="134"/>
        <v>0</v>
      </c>
      <c r="R486" s="34" t="s">
        <v>273</v>
      </c>
      <c r="S486" s="34" t="s">
        <v>102</v>
      </c>
      <c r="T486" s="36">
        <v>1.8</v>
      </c>
      <c r="U486" s="293">
        <f>Rutas[[#This Row],[Precio x Galón ($/gal)]]*Rutas[[#This Row],[Volumen de Combustible (gal)]]</f>
        <v>18.468</v>
      </c>
      <c r="V486" s="36"/>
      <c r="W486" s="36"/>
      <c r="X486" s="36"/>
      <c r="Y486" s="145">
        <f t="shared" si="135"/>
        <v>18.468</v>
      </c>
      <c r="Z486" s="567"/>
      <c r="AA486" s="402">
        <v>10.26</v>
      </c>
      <c r="AB486" s="12">
        <f t="shared" si="136"/>
        <v>1.6569200779727096</v>
      </c>
      <c r="AC486" s="12">
        <f t="shared" si="137"/>
        <v>0</v>
      </c>
      <c r="AD486" s="34"/>
    </row>
    <row r="487" spans="1:30" ht="16" x14ac:dyDescent="0.2">
      <c r="A487" s="47"/>
      <c r="B487" s="376"/>
      <c r="C487" s="176">
        <f t="shared" si="132"/>
        <v>484</v>
      </c>
      <c r="D487" s="146">
        <v>45768</v>
      </c>
      <c r="E487" s="37">
        <v>45776</v>
      </c>
      <c r="F487" s="65" t="s">
        <v>308</v>
      </c>
      <c r="G487" s="11" t="str">
        <f ca="1">IF(AND(E487&lt;&gt;"",E487&lt;TODAY()),"Disponible",IFERROR(INDEX(Vehiculos[Estado Vehiculo],MATCH(F487,Vehiculos[Placa Vehiculo],0)),""))</f>
        <v>Disponible</v>
      </c>
      <c r="H487" s="34" t="s">
        <v>242</v>
      </c>
      <c r="I487" s="34" t="s">
        <v>273</v>
      </c>
      <c r="J487" s="34" t="s">
        <v>282</v>
      </c>
      <c r="K487" s="39">
        <v>430</v>
      </c>
      <c r="L487" s="39">
        <v>455</v>
      </c>
      <c r="M487" s="15">
        <f t="shared" si="133"/>
        <v>25</v>
      </c>
      <c r="N487" s="15">
        <f>Rutas[[#This Row],[Kms Recorridos]]</f>
        <v>25</v>
      </c>
      <c r="O487" s="39"/>
      <c r="P487" s="36"/>
      <c r="Q487" s="16">
        <f t="shared" si="134"/>
        <v>0</v>
      </c>
      <c r="R487" s="34" t="s">
        <v>273</v>
      </c>
      <c r="S487" s="34" t="s">
        <v>102</v>
      </c>
      <c r="T487" s="36">
        <v>1.8</v>
      </c>
      <c r="U487" s="293">
        <f>Rutas[[#This Row],[Precio x Galón ($/gal)]]*Rutas[[#This Row],[Volumen de Combustible (gal)]]</f>
        <v>7.0919999999999996</v>
      </c>
      <c r="V487" s="36"/>
      <c r="W487" s="36"/>
      <c r="X487" s="36"/>
      <c r="Y487" s="145">
        <f t="shared" si="135"/>
        <v>7.0919999999999996</v>
      </c>
      <c r="Z487" s="567"/>
      <c r="AA487" s="12">
        <v>3.94</v>
      </c>
      <c r="AB487" s="12">
        <f t="shared" si="136"/>
        <v>6.345177664974619</v>
      </c>
      <c r="AC487" s="12">
        <f t="shared" si="137"/>
        <v>0</v>
      </c>
      <c r="AD487" s="34"/>
    </row>
    <row r="488" spans="1:30" ht="16" x14ac:dyDescent="0.2">
      <c r="A488" s="47"/>
      <c r="B488" s="376"/>
      <c r="C488" s="176">
        <f t="shared" si="132"/>
        <v>485</v>
      </c>
      <c r="D488" s="146">
        <v>45776</v>
      </c>
      <c r="E488" s="37">
        <v>45777</v>
      </c>
      <c r="F488" s="65" t="s">
        <v>308</v>
      </c>
      <c r="G488" s="11" t="str">
        <f ca="1">IF(AND(E488&lt;&gt;"",E488&lt;TODAY()),"Disponible",IFERROR(INDEX(Vehiculos[Estado Vehiculo],MATCH(F488,Vehiculos[Placa Vehiculo],0)),""))</f>
        <v>Disponible</v>
      </c>
      <c r="H488" s="34" t="s">
        <v>242</v>
      </c>
      <c r="I488" s="34" t="s">
        <v>273</v>
      </c>
      <c r="J488" s="34" t="s">
        <v>282</v>
      </c>
      <c r="K488" s="39">
        <v>455</v>
      </c>
      <c r="L488" s="39">
        <v>458</v>
      </c>
      <c r="M488" s="15">
        <f t="shared" si="133"/>
        <v>3</v>
      </c>
      <c r="N488" s="15">
        <f>Rutas[[#This Row],[Kms Recorridos]]</f>
        <v>3</v>
      </c>
      <c r="O488" s="39"/>
      <c r="P488" s="36"/>
      <c r="Q488" s="16">
        <f t="shared" si="134"/>
        <v>0</v>
      </c>
      <c r="R488" s="34" t="s">
        <v>273</v>
      </c>
      <c r="S488" s="34" t="s">
        <v>102</v>
      </c>
      <c r="T488" s="36">
        <v>1.8</v>
      </c>
      <c r="U488" s="293">
        <f>Rutas[[#This Row],[Precio x Galón ($/gal)]]*Rutas[[#This Row],[Volumen de Combustible (gal)]]</f>
        <v>15.965999999999999</v>
      </c>
      <c r="V488" s="36"/>
      <c r="W488" s="36"/>
      <c r="X488" s="36"/>
      <c r="Y488" s="145">
        <f t="shared" si="135"/>
        <v>15.965999999999999</v>
      </c>
      <c r="Z488" s="567"/>
      <c r="AA488" s="12">
        <v>8.8699999999999992</v>
      </c>
      <c r="AB488" s="12">
        <f t="shared" si="136"/>
        <v>0.33821871476888393</v>
      </c>
      <c r="AC488" s="12">
        <f t="shared" si="137"/>
        <v>0</v>
      </c>
      <c r="AD488" s="34"/>
    </row>
    <row r="489" spans="1:30" ht="16" x14ac:dyDescent="0.2">
      <c r="A489" s="47"/>
      <c r="B489" s="376"/>
      <c r="C489" s="176">
        <f t="shared" si="132"/>
        <v>486</v>
      </c>
      <c r="D489" s="146"/>
      <c r="E489" s="37"/>
      <c r="F489" s="65"/>
      <c r="G489" s="11" t="str">
        <f ca="1">IF(AND(E489&lt;&gt;"",E489&lt;TODAY()),"Disponible",IFERROR(INDEX(Vehiculos[Estado Vehiculo],MATCH(F489,Vehiculos[Placa Vehiculo],0)),""))</f>
        <v/>
      </c>
      <c r="H489" s="34"/>
      <c r="I489" s="34"/>
      <c r="J489" s="34"/>
      <c r="K489" s="39"/>
      <c r="L489" s="39"/>
      <c r="M489" s="15">
        <f>L489-K489</f>
        <v>0</v>
      </c>
      <c r="N489" s="15">
        <f>Rutas[[#This Row],[Kms Recorridos]]</f>
        <v>0</v>
      </c>
      <c r="O489" s="39"/>
      <c r="P489" s="36"/>
      <c r="Q489" s="16">
        <f>M489*P489</f>
        <v>0</v>
      </c>
      <c r="R489" s="34"/>
      <c r="S489" s="34"/>
      <c r="T489" s="36"/>
      <c r="U489" s="293"/>
      <c r="V489" s="36"/>
      <c r="W489" s="36"/>
      <c r="X489" s="36"/>
      <c r="Y489" s="145">
        <f>U489+SUM(V489:X489)</f>
        <v>0</v>
      </c>
      <c r="Z489" s="567"/>
      <c r="AA489" s="12"/>
      <c r="AB489" s="12">
        <f>IFERROR(M489/AA489,0)</f>
        <v>0</v>
      </c>
      <c r="AC489" s="12">
        <f>IFERROR(Q489/M489,0)</f>
        <v>0</v>
      </c>
      <c r="AD489" s="34"/>
    </row>
    <row r="490" spans="1:30" ht="16" x14ac:dyDescent="0.2">
      <c r="A490" s="47"/>
      <c r="B490" s="376"/>
      <c r="C490" s="176">
        <f t="shared" si="132"/>
        <v>487</v>
      </c>
      <c r="D490" s="122">
        <v>45753</v>
      </c>
      <c r="E490" s="122">
        <v>45756</v>
      </c>
      <c r="F490" s="68" t="s">
        <v>306</v>
      </c>
      <c r="G490" s="379" t="str">
        <f ca="1">IF(AND(E490&lt;&gt;"",E490&lt;TODAY()),"Disponible",IFERROR(INDEX(Vehiculos[Estado Vehiculo],MATCH(F490,Vehiculos[Placa Vehiculo],0)),""))</f>
        <v>Disponible</v>
      </c>
      <c r="H490" s="89"/>
      <c r="I490" s="89" t="s">
        <v>273</v>
      </c>
      <c r="J490" s="89" t="s">
        <v>274</v>
      </c>
      <c r="K490" s="401">
        <v>1499</v>
      </c>
      <c r="L490" s="401">
        <v>1520</v>
      </c>
      <c r="M490" s="381">
        <f t="shared" si="133"/>
        <v>21</v>
      </c>
      <c r="N490" s="381">
        <f>Rutas[[#This Row],[Kms Recorridos]]</f>
        <v>21</v>
      </c>
      <c r="O490" s="380"/>
      <c r="P490" s="92"/>
      <c r="Q490" s="382">
        <f t="shared" si="134"/>
        <v>0</v>
      </c>
      <c r="R490" s="89" t="s">
        <v>273</v>
      </c>
      <c r="S490" s="89" t="s">
        <v>102</v>
      </c>
      <c r="T490" s="92">
        <v>1.8</v>
      </c>
      <c r="U490" s="266">
        <f>Rutas[[#This Row],[Precio x Galón ($/gal)]]*Rutas[[#This Row],[Volumen de Combustible (gal)]]</f>
        <v>18.27</v>
      </c>
      <c r="V490" s="92"/>
      <c r="W490" s="92"/>
      <c r="X490" s="92"/>
      <c r="Y490" s="382">
        <f t="shared" si="135"/>
        <v>18.27</v>
      </c>
      <c r="Z490" s="567"/>
      <c r="AA490" s="402">
        <v>10.15</v>
      </c>
      <c r="AB490" s="382">
        <f t="shared" si="136"/>
        <v>2.0689655172413794</v>
      </c>
      <c r="AC490" s="382">
        <f t="shared" si="137"/>
        <v>0</v>
      </c>
      <c r="AD490" s="89"/>
    </row>
    <row r="491" spans="1:30" ht="16" x14ac:dyDescent="0.2">
      <c r="A491" s="47"/>
      <c r="B491" s="376"/>
      <c r="C491" s="176">
        <f t="shared" si="132"/>
        <v>488</v>
      </c>
      <c r="D491" s="122">
        <v>45756</v>
      </c>
      <c r="E491" s="122">
        <v>45759</v>
      </c>
      <c r="F491" s="65" t="s">
        <v>306</v>
      </c>
      <c r="G491" s="11" t="str">
        <f ca="1">IF(AND(E491&lt;&gt;"",E491&lt;TODAY()),"Disponible",IFERROR(INDEX(Vehiculos[Estado Vehiculo],MATCH(F491,Vehiculos[Placa Vehiculo],0)),""))</f>
        <v>Disponible</v>
      </c>
      <c r="H491" s="34" t="s">
        <v>236</v>
      </c>
      <c r="I491" s="34" t="s">
        <v>273</v>
      </c>
      <c r="J491" s="34" t="s">
        <v>274</v>
      </c>
      <c r="K491" s="401">
        <v>1520</v>
      </c>
      <c r="L491" s="401">
        <v>1548</v>
      </c>
      <c r="M491" s="15">
        <f t="shared" si="133"/>
        <v>28</v>
      </c>
      <c r="N491" s="15">
        <f>Rutas[[#This Row],[Kms Recorridos]]</f>
        <v>28</v>
      </c>
      <c r="O491" s="39"/>
      <c r="P491" s="36"/>
      <c r="Q491" s="16">
        <f t="shared" si="134"/>
        <v>0</v>
      </c>
      <c r="R491" s="34" t="s">
        <v>273</v>
      </c>
      <c r="S491" s="34" t="s">
        <v>102</v>
      </c>
      <c r="T491" s="36">
        <v>1.8</v>
      </c>
      <c r="U491" s="293">
        <f>Rutas[[#This Row],[Precio x Galón ($/gal)]]*Rutas[[#This Row],[Volumen de Combustible (gal)]]</f>
        <v>22.5</v>
      </c>
      <c r="V491" s="36"/>
      <c r="W491" s="36"/>
      <c r="X491" s="36"/>
      <c r="Y491" s="145">
        <f t="shared" si="135"/>
        <v>22.5</v>
      </c>
      <c r="Z491" s="567"/>
      <c r="AA491" s="402">
        <v>12.5</v>
      </c>
      <c r="AB491" s="12">
        <f t="shared" si="136"/>
        <v>2.2400000000000002</v>
      </c>
      <c r="AC491" s="12">
        <f t="shared" si="137"/>
        <v>0</v>
      </c>
      <c r="AD491" s="34"/>
    </row>
    <row r="492" spans="1:30" ht="16" x14ac:dyDescent="0.2">
      <c r="A492" s="47"/>
      <c r="B492" s="376"/>
      <c r="C492" s="176">
        <f t="shared" si="132"/>
        <v>489</v>
      </c>
      <c r="D492" s="122">
        <v>45759</v>
      </c>
      <c r="E492" s="122">
        <v>45762</v>
      </c>
      <c r="F492" s="65" t="s">
        <v>306</v>
      </c>
      <c r="G492" s="11" t="str">
        <f ca="1">IF(AND(E492&lt;&gt;"",E492&lt;TODAY()),"Disponible",IFERROR(INDEX(Vehiculos[Estado Vehiculo],MATCH(F492,Vehiculos[Placa Vehiculo],0)),""))</f>
        <v>Disponible</v>
      </c>
      <c r="H492" s="34" t="s">
        <v>236</v>
      </c>
      <c r="I492" s="34" t="s">
        <v>273</v>
      </c>
      <c r="J492" s="34" t="s">
        <v>274</v>
      </c>
      <c r="K492" s="401">
        <v>1548</v>
      </c>
      <c r="L492" s="401">
        <v>1577</v>
      </c>
      <c r="M492" s="15">
        <f t="shared" si="133"/>
        <v>29</v>
      </c>
      <c r="N492" s="15">
        <f>Rutas[[#This Row],[Kms Recorridos]]</f>
        <v>29</v>
      </c>
      <c r="O492" s="39"/>
      <c r="P492" s="36"/>
      <c r="Q492" s="16">
        <f t="shared" si="134"/>
        <v>0</v>
      </c>
      <c r="R492" s="34" t="s">
        <v>273</v>
      </c>
      <c r="S492" s="34" t="s">
        <v>102</v>
      </c>
      <c r="T492" s="36">
        <v>1.8</v>
      </c>
      <c r="U492" s="293">
        <f>Rutas[[#This Row],[Precio x Galón ($/gal)]]*Rutas[[#This Row],[Volumen de Combustible (gal)]]</f>
        <v>21.78</v>
      </c>
      <c r="V492" s="36"/>
      <c r="W492" s="36"/>
      <c r="X492" s="36"/>
      <c r="Y492" s="145">
        <f t="shared" si="135"/>
        <v>21.78</v>
      </c>
      <c r="Z492" s="567"/>
      <c r="AA492" s="402">
        <v>12.1</v>
      </c>
      <c r="AB492" s="12">
        <f t="shared" si="136"/>
        <v>2.3966942148760331</v>
      </c>
      <c r="AC492" s="12">
        <f t="shared" si="137"/>
        <v>0</v>
      </c>
      <c r="AD492" s="34"/>
    </row>
    <row r="493" spans="1:30" ht="16" x14ac:dyDescent="0.2">
      <c r="A493" s="47"/>
      <c r="B493" s="376"/>
      <c r="C493" s="176">
        <f t="shared" si="132"/>
        <v>490</v>
      </c>
      <c r="D493" s="122">
        <v>45762</v>
      </c>
      <c r="E493" s="37">
        <v>45765</v>
      </c>
      <c r="F493" s="65" t="s">
        <v>306</v>
      </c>
      <c r="G493" s="11" t="str">
        <f ca="1">IF(AND(E493&lt;&gt;"",E493&lt;TODAY()),"Disponible",IFERROR(INDEX(Vehiculos[Estado Vehiculo],MATCH(F493,Vehiculos[Placa Vehiculo],0)),""))</f>
        <v>Disponible</v>
      </c>
      <c r="H493" s="34" t="s">
        <v>231</v>
      </c>
      <c r="I493" s="34" t="s">
        <v>273</v>
      </c>
      <c r="J493" s="34" t="s">
        <v>274</v>
      </c>
      <c r="K493" s="401">
        <v>1577</v>
      </c>
      <c r="L493" s="39">
        <v>1608</v>
      </c>
      <c r="M493" s="15">
        <f t="shared" si="133"/>
        <v>31</v>
      </c>
      <c r="N493" s="15">
        <f>Rutas[[#This Row],[Kms Recorridos]]</f>
        <v>31</v>
      </c>
      <c r="O493" s="39"/>
      <c r="P493" s="36"/>
      <c r="Q493" s="16">
        <f t="shared" si="134"/>
        <v>0</v>
      </c>
      <c r="R493" s="34" t="s">
        <v>273</v>
      </c>
      <c r="S493" s="34" t="s">
        <v>102</v>
      </c>
      <c r="T493" s="36">
        <v>1.8</v>
      </c>
      <c r="U493" s="293">
        <f>Rutas[[#This Row],[Precio x Galón ($/gal)]]*Rutas[[#This Row],[Volumen de Combustible (gal)]]</f>
        <v>24.047999999999998</v>
      </c>
      <c r="V493" s="36"/>
      <c r="W493" s="36"/>
      <c r="X493" s="36"/>
      <c r="Y493" s="145">
        <f t="shared" si="135"/>
        <v>24.047999999999998</v>
      </c>
      <c r="Z493" s="567"/>
      <c r="AA493" s="402">
        <v>13.36</v>
      </c>
      <c r="AB493" s="12">
        <f t="shared" si="136"/>
        <v>2.3203592814371259</v>
      </c>
      <c r="AC493" s="12">
        <f t="shared" si="137"/>
        <v>0</v>
      </c>
      <c r="AD493" s="34"/>
    </row>
    <row r="494" spans="1:30" ht="16" x14ac:dyDescent="0.2">
      <c r="A494" s="47"/>
      <c r="B494" s="376"/>
      <c r="C494" s="176">
        <f t="shared" si="132"/>
        <v>491</v>
      </c>
      <c r="D494" s="146">
        <v>45765</v>
      </c>
      <c r="E494" s="37">
        <v>45768</v>
      </c>
      <c r="F494" s="65" t="s">
        <v>306</v>
      </c>
      <c r="G494" s="11" t="str">
        <f ca="1">IF(AND(E494&lt;&gt;"",E494&lt;TODAY()),"Disponible",IFERROR(INDEX(Vehiculos[Estado Vehiculo],MATCH(F494,Vehiculos[Placa Vehiculo],0)),""))</f>
        <v>Disponible</v>
      </c>
      <c r="H494" s="34" t="s">
        <v>231</v>
      </c>
      <c r="I494" s="34" t="s">
        <v>273</v>
      </c>
      <c r="J494" s="34" t="s">
        <v>274</v>
      </c>
      <c r="K494" s="401">
        <v>1608</v>
      </c>
      <c r="L494" s="39">
        <v>1638</v>
      </c>
      <c r="M494" s="15">
        <f>L494-K494</f>
        <v>30</v>
      </c>
      <c r="N494" s="15">
        <f>Rutas[[#This Row],[Kms Recorridos]]</f>
        <v>30</v>
      </c>
      <c r="O494" s="39"/>
      <c r="P494" s="36"/>
      <c r="Q494" s="16">
        <f>M494*P494</f>
        <v>0</v>
      </c>
      <c r="R494" s="34" t="s">
        <v>273</v>
      </c>
      <c r="S494" s="34" t="s">
        <v>102</v>
      </c>
      <c r="T494" s="36">
        <v>1.8</v>
      </c>
      <c r="U494" s="293">
        <f>Rutas[[#This Row],[Precio x Galón ($/gal)]]*Rutas[[#This Row],[Volumen de Combustible (gal)]]</f>
        <v>26.315999999999999</v>
      </c>
      <c r="V494" s="36"/>
      <c r="W494" s="36"/>
      <c r="X494" s="36"/>
      <c r="Y494" s="145">
        <f>U494+SUM(V494:X494)</f>
        <v>26.315999999999999</v>
      </c>
      <c r="Z494" s="567"/>
      <c r="AA494" s="12">
        <v>14.62</v>
      </c>
      <c r="AB494" s="12">
        <f>IFERROR(M494/AA494,0)</f>
        <v>2.0519835841313272</v>
      </c>
      <c r="AC494" s="12">
        <f>IFERROR(Q494/M494,0)</f>
        <v>0</v>
      </c>
      <c r="AD494" s="34"/>
    </row>
    <row r="495" spans="1:30" ht="16" x14ac:dyDescent="0.2">
      <c r="A495" s="47"/>
      <c r="B495" s="376"/>
      <c r="C495" s="176">
        <f t="shared" si="132"/>
        <v>492</v>
      </c>
      <c r="D495" s="146">
        <v>45768</v>
      </c>
      <c r="E495" s="37">
        <v>45771</v>
      </c>
      <c r="F495" s="65" t="s">
        <v>306</v>
      </c>
      <c r="G495" s="11" t="str">
        <f ca="1">IF(AND(E495&lt;&gt;"",E495&lt;TODAY()),"Disponible",IFERROR(INDEX(Vehiculos[Estado Vehiculo],MATCH(F495,Vehiculos[Placa Vehiculo],0)),""))</f>
        <v>Disponible</v>
      </c>
      <c r="H495" s="34" t="s">
        <v>231</v>
      </c>
      <c r="I495" s="34" t="s">
        <v>273</v>
      </c>
      <c r="J495" s="34" t="s">
        <v>274</v>
      </c>
      <c r="K495" s="401">
        <v>1638</v>
      </c>
      <c r="L495" s="39">
        <v>1668</v>
      </c>
      <c r="M495" s="15">
        <f>L495-K495</f>
        <v>30</v>
      </c>
      <c r="N495" s="15">
        <f>Rutas[[#This Row],[Kms Recorridos]]</f>
        <v>30</v>
      </c>
      <c r="O495" s="39"/>
      <c r="P495" s="36"/>
      <c r="Q495" s="16">
        <f>M495*P495</f>
        <v>0</v>
      </c>
      <c r="R495" s="34" t="s">
        <v>273</v>
      </c>
      <c r="S495" s="34" t="s">
        <v>102</v>
      </c>
      <c r="T495" s="36">
        <v>1.8</v>
      </c>
      <c r="U495" s="293">
        <f>Rutas[[#This Row],[Precio x Galón ($/gal)]]*Rutas[[#This Row],[Volumen de Combustible (gal)]]</f>
        <v>25.884</v>
      </c>
      <c r="V495" s="36"/>
      <c r="W495" s="36"/>
      <c r="X495" s="36"/>
      <c r="Y495" s="145">
        <f>U495+SUM(V495:X495)</f>
        <v>25.884</v>
      </c>
      <c r="Z495" s="567"/>
      <c r="AA495" s="12">
        <v>14.38</v>
      </c>
      <c r="AB495" s="12">
        <f>IFERROR(M495/AA495,0)</f>
        <v>2.0862308762169679</v>
      </c>
      <c r="AC495" s="12">
        <f>IFERROR(Q495/M495,0)</f>
        <v>0</v>
      </c>
      <c r="AD495" s="34"/>
    </row>
    <row r="496" spans="1:30" ht="16" x14ac:dyDescent="0.2">
      <c r="A496" s="47"/>
      <c r="B496" s="376"/>
      <c r="C496" s="176">
        <f t="shared" si="132"/>
        <v>493</v>
      </c>
      <c r="D496" s="146">
        <v>45771</v>
      </c>
      <c r="E496" s="37">
        <v>45774</v>
      </c>
      <c r="F496" s="65" t="s">
        <v>306</v>
      </c>
      <c r="G496" s="11" t="str">
        <f ca="1">IF(AND(E496&lt;&gt;"",E496&lt;TODAY()),"Disponible",IFERROR(INDEX(Vehiculos[Estado Vehiculo],MATCH(F496,Vehiculos[Placa Vehiculo],0)),""))</f>
        <v>Disponible</v>
      </c>
      <c r="H496" s="34" t="s">
        <v>231</v>
      </c>
      <c r="I496" s="34" t="s">
        <v>273</v>
      </c>
      <c r="J496" s="34" t="s">
        <v>274</v>
      </c>
      <c r="K496" s="401">
        <v>1668</v>
      </c>
      <c r="L496" s="39">
        <v>1699</v>
      </c>
      <c r="M496" s="15">
        <f>L496-K496</f>
        <v>31</v>
      </c>
      <c r="N496" s="15">
        <f>Rutas[[#This Row],[Kms Recorridos]]</f>
        <v>31</v>
      </c>
      <c r="O496" s="39"/>
      <c r="P496" s="36"/>
      <c r="Q496" s="16">
        <f>M496*P496</f>
        <v>0</v>
      </c>
      <c r="R496" s="34" t="s">
        <v>273</v>
      </c>
      <c r="S496" s="34" t="s">
        <v>102</v>
      </c>
      <c r="T496" s="36">
        <v>1.8</v>
      </c>
      <c r="U496" s="293">
        <f>Rutas[[#This Row],[Precio x Galón ($/gal)]]*Rutas[[#This Row],[Volumen de Combustible (gal)]]</f>
        <v>23.021999999999998</v>
      </c>
      <c r="V496" s="36"/>
      <c r="W496" s="36"/>
      <c r="X496" s="36"/>
      <c r="Y496" s="145">
        <f>U496+SUM(V496:X496)</f>
        <v>23.021999999999998</v>
      </c>
      <c r="Z496" s="567"/>
      <c r="AA496" s="12">
        <v>12.79</v>
      </c>
      <c r="AB496" s="12">
        <f>IFERROR(M496/AA496,0)</f>
        <v>2.4237685691946833</v>
      </c>
      <c r="AC496" s="12">
        <f>IFERROR(Q496/M496,0)</f>
        <v>0</v>
      </c>
      <c r="AD496" s="34"/>
    </row>
    <row r="497" spans="1:30" ht="16" x14ac:dyDescent="0.2">
      <c r="A497" s="47"/>
      <c r="B497" s="376"/>
      <c r="C497" s="176">
        <f t="shared" si="132"/>
        <v>494</v>
      </c>
      <c r="D497" s="146">
        <v>45774</v>
      </c>
      <c r="E497" s="37">
        <v>45777</v>
      </c>
      <c r="F497" s="65" t="s">
        <v>306</v>
      </c>
      <c r="G497" s="11" t="str">
        <f ca="1">IF(AND(E497&lt;&gt;"",E497&lt;TODAY()),"Disponible",IFERROR(INDEX(Vehiculos[Estado Vehiculo],MATCH(F497,Vehiculos[Placa Vehiculo],0)),""))</f>
        <v>Disponible</v>
      </c>
      <c r="H497" s="34" t="s">
        <v>231</v>
      </c>
      <c r="I497" s="34" t="s">
        <v>273</v>
      </c>
      <c r="J497" s="34" t="s">
        <v>274</v>
      </c>
      <c r="K497" s="401">
        <v>1699</v>
      </c>
      <c r="L497" s="39">
        <v>1732</v>
      </c>
      <c r="M497" s="15">
        <f>L497-K497</f>
        <v>33</v>
      </c>
      <c r="N497" s="15">
        <f>Rutas[[#This Row],[Kms Recorridos]]</f>
        <v>33</v>
      </c>
      <c r="O497" s="39"/>
      <c r="P497" s="36"/>
      <c r="Q497" s="16">
        <f>M497*P497</f>
        <v>0</v>
      </c>
      <c r="R497" s="34" t="s">
        <v>273</v>
      </c>
      <c r="S497" s="34" t="s">
        <v>102</v>
      </c>
      <c r="T497" s="36">
        <v>1.8</v>
      </c>
      <c r="U497" s="293">
        <f>Rutas[[#This Row],[Precio x Galón ($/gal)]]*Rutas[[#This Row],[Volumen de Combustible (gal)]]</f>
        <v>38.322000000000003</v>
      </c>
      <c r="V497" s="36"/>
      <c r="W497" s="36"/>
      <c r="X497" s="36"/>
      <c r="Y497" s="145">
        <f>U497+SUM(V497:X497)</f>
        <v>38.322000000000003</v>
      </c>
      <c r="Z497" s="567"/>
      <c r="AA497" s="12">
        <v>21.29</v>
      </c>
      <c r="AB497" s="12">
        <f>IFERROR(M497/AA497,0)</f>
        <v>1.5500234852043213</v>
      </c>
      <c r="AC497" s="12">
        <f>IFERROR(Q497/M497,0)</f>
        <v>0</v>
      </c>
      <c r="AD497" s="34"/>
    </row>
    <row r="498" spans="1:30" ht="16" x14ac:dyDescent="0.2">
      <c r="A498" s="47"/>
      <c r="B498" s="376"/>
      <c r="C498" s="176">
        <f t="shared" si="132"/>
        <v>495</v>
      </c>
      <c r="D498" s="146"/>
      <c r="E498" s="37"/>
      <c r="F498" s="65"/>
      <c r="G498" s="11" t="str">
        <f ca="1">IF(AND(E498&lt;&gt;"",E498&lt;TODAY()),"Disponible",IFERROR(INDEX(Vehiculos[Estado Vehiculo],MATCH(F498,Vehiculos[Placa Vehiculo],0)),""))</f>
        <v/>
      </c>
      <c r="H498" s="34"/>
      <c r="I498" s="34"/>
      <c r="J498" s="34"/>
      <c r="K498" s="375"/>
      <c r="L498" s="39"/>
      <c r="M498" s="15"/>
      <c r="N498" s="15"/>
      <c r="O498" s="39"/>
      <c r="P498" s="36"/>
      <c r="Q498" s="16">
        <f>M498*P498</f>
        <v>0</v>
      </c>
      <c r="R498" s="34"/>
      <c r="S498" s="34"/>
      <c r="T498" s="36"/>
      <c r="U498" s="293"/>
      <c r="V498" s="36"/>
      <c r="W498" s="36"/>
      <c r="X498" s="36"/>
      <c r="Y498" s="145">
        <f>U498+SUM(V498:X498)</f>
        <v>0</v>
      </c>
      <c r="Z498" s="567"/>
      <c r="AA498" s="12"/>
      <c r="AB498" s="12">
        <f>IFERROR(M498/AA498,0)</f>
        <v>0</v>
      </c>
      <c r="AC498" s="12">
        <f>IFERROR(Q498/M498,0)</f>
        <v>0</v>
      </c>
      <c r="AD498" s="34"/>
    </row>
    <row r="499" spans="1:30" ht="16" x14ac:dyDescent="0.2">
      <c r="A499" s="47"/>
      <c r="B499" s="376"/>
      <c r="C499" s="176">
        <f t="shared" si="132"/>
        <v>496</v>
      </c>
      <c r="D499" s="122">
        <v>46119</v>
      </c>
      <c r="E499" s="90">
        <v>45774</v>
      </c>
      <c r="F499" s="68" t="s">
        <v>312</v>
      </c>
      <c r="G499" s="379" t="str">
        <f ca="1">IF(AND(E499&lt;&gt;"",E499&lt;TODAY()),"Disponible",IFERROR(INDEX(Vehiculos[Estado Vehiculo],MATCH(F499,Vehiculos[Placa Vehiculo],0)),""))</f>
        <v>Disponible</v>
      </c>
      <c r="H499" s="89" t="s">
        <v>250</v>
      </c>
      <c r="I499" s="89" t="s">
        <v>273</v>
      </c>
      <c r="J499" s="89" t="s">
        <v>274</v>
      </c>
      <c r="K499" s="401">
        <v>3192</v>
      </c>
      <c r="L499" s="380">
        <v>3193</v>
      </c>
      <c r="M499" s="381">
        <f t="shared" si="133"/>
        <v>1</v>
      </c>
      <c r="N499" s="381">
        <f>Rutas[[#This Row],[Kms Recorridos]]</f>
        <v>1</v>
      </c>
      <c r="O499" s="380"/>
      <c r="P499" s="92"/>
      <c r="Q499" s="382">
        <f t="shared" si="134"/>
        <v>0</v>
      </c>
      <c r="R499" s="89" t="s">
        <v>273</v>
      </c>
      <c r="S499" s="89" t="s">
        <v>102</v>
      </c>
      <c r="T499" s="92">
        <v>1.8</v>
      </c>
      <c r="U499" s="266">
        <f>Rutas[[#This Row],[Precio x Galón ($/gal)]]*Rutas[[#This Row],[Volumen de Combustible (gal)]]</f>
        <v>31.788</v>
      </c>
      <c r="V499" s="92"/>
      <c r="W499" s="92"/>
      <c r="X499" s="92"/>
      <c r="Y499" s="382">
        <f t="shared" si="135"/>
        <v>31.788</v>
      </c>
      <c r="Z499" s="567"/>
      <c r="AA499" s="402">
        <v>17.66</v>
      </c>
      <c r="AB499" s="382">
        <f t="shared" si="136"/>
        <v>5.6625141562853906E-2</v>
      </c>
      <c r="AC499" s="382">
        <f t="shared" si="137"/>
        <v>0</v>
      </c>
      <c r="AD499" s="89"/>
    </row>
    <row r="500" spans="1:30" ht="16" x14ac:dyDescent="0.2">
      <c r="A500" s="47"/>
      <c r="B500" s="376"/>
      <c r="C500" s="176">
        <f t="shared" si="132"/>
        <v>497</v>
      </c>
      <c r="D500" s="37">
        <v>45774</v>
      </c>
      <c r="E500" s="37">
        <v>45777</v>
      </c>
      <c r="F500" s="65" t="s">
        <v>312</v>
      </c>
      <c r="G500" s="11" t="str">
        <f ca="1">IF(AND(E500&lt;&gt;"",E500&lt;TODAY()),"Disponible",IFERROR(INDEX(Vehiculos[Estado Vehiculo],MATCH(F500,Vehiculos[Placa Vehiculo],0)),""))</f>
        <v>Disponible</v>
      </c>
      <c r="H500" s="34" t="s">
        <v>250</v>
      </c>
      <c r="I500" s="34" t="s">
        <v>273</v>
      </c>
      <c r="J500" s="34" t="s">
        <v>274</v>
      </c>
      <c r="K500" s="39">
        <v>3193</v>
      </c>
      <c r="L500" s="39">
        <v>3194</v>
      </c>
      <c r="M500" s="15">
        <f>L500-K500</f>
        <v>1</v>
      </c>
      <c r="N500" s="15">
        <f>Rutas[[#This Row],[Kms Recorridos]]</f>
        <v>1</v>
      </c>
      <c r="O500" s="39"/>
      <c r="P500" s="36"/>
      <c r="Q500" s="16">
        <f t="shared" ref="Q500:Q519" si="143">M500*P500</f>
        <v>0</v>
      </c>
      <c r="R500" s="34" t="s">
        <v>273</v>
      </c>
      <c r="S500" s="34" t="s">
        <v>102</v>
      </c>
      <c r="T500" s="36">
        <v>1.8</v>
      </c>
      <c r="U500" s="293">
        <f>Rutas[[#This Row],[Precio x Galón ($/gal)]]*Rutas[[#This Row],[Volumen de Combustible (gal)]]</f>
        <v>9.7200000000000006</v>
      </c>
      <c r="V500" s="36"/>
      <c r="W500" s="36"/>
      <c r="X500" s="36"/>
      <c r="Y500" s="14">
        <f t="shared" ref="Y500:Y519" si="144">U500+SUM(V500:X500)</f>
        <v>9.7200000000000006</v>
      </c>
      <c r="Z500" s="566"/>
      <c r="AA500" s="12">
        <v>5.4</v>
      </c>
      <c r="AB500" s="12">
        <f t="shared" ref="AB500:AB519" si="145">IFERROR(M500/AA500,0)</f>
        <v>0.18518518518518517</v>
      </c>
      <c r="AC500" s="12">
        <f t="shared" ref="AC500:AC519" si="146">IFERROR(Q500/M500,0)</f>
        <v>0</v>
      </c>
      <c r="AD500" s="34"/>
    </row>
    <row r="501" spans="1:30" ht="16" x14ac:dyDescent="0.2">
      <c r="A501" s="47"/>
      <c r="B501" s="376"/>
      <c r="C501" s="176">
        <f t="shared" si="132"/>
        <v>498</v>
      </c>
      <c r="D501" s="146">
        <v>45777</v>
      </c>
      <c r="E501" s="37">
        <v>45777</v>
      </c>
      <c r="F501" s="65" t="s">
        <v>312</v>
      </c>
      <c r="G501" s="11" t="str">
        <f ca="1">IF(AND(E501&lt;&gt;"",E501&lt;TODAY()),"Disponible",IFERROR(INDEX(Vehiculos[Estado Vehiculo],MATCH(F501,Vehiculos[Placa Vehiculo],0)),""))</f>
        <v>Disponible</v>
      </c>
      <c r="H501" s="34" t="s">
        <v>250</v>
      </c>
      <c r="I501" s="34" t="s">
        <v>273</v>
      </c>
      <c r="J501" s="34" t="s">
        <v>274</v>
      </c>
      <c r="K501" s="39">
        <v>3194</v>
      </c>
      <c r="L501" s="39">
        <v>3195</v>
      </c>
      <c r="M501" s="15">
        <f>L501-K501</f>
        <v>1</v>
      </c>
      <c r="N501" s="15">
        <f>Rutas[[#This Row],[Kms Recorridos]]</f>
        <v>1</v>
      </c>
      <c r="O501" s="39"/>
      <c r="P501" s="36"/>
      <c r="Q501" s="16">
        <f t="shared" si="143"/>
        <v>0</v>
      </c>
      <c r="R501" s="34" t="s">
        <v>273</v>
      </c>
      <c r="S501" s="34" t="s">
        <v>102</v>
      </c>
      <c r="T501" s="36">
        <v>1.8</v>
      </c>
      <c r="U501" s="293">
        <f>Rutas[[#This Row],[Precio x Galón ($/gal)]]*Rutas[[#This Row],[Volumen de Combustible (gal)]]</f>
        <v>25.721999999999998</v>
      </c>
      <c r="V501" s="36"/>
      <c r="W501" s="36"/>
      <c r="X501" s="36"/>
      <c r="Y501" s="145">
        <f t="shared" si="144"/>
        <v>25.721999999999998</v>
      </c>
      <c r="Z501" s="567"/>
      <c r="AA501" s="12">
        <v>14.29</v>
      </c>
      <c r="AB501" s="12">
        <f t="shared" si="145"/>
        <v>6.9979006298110574E-2</v>
      </c>
      <c r="AC501" s="12">
        <f t="shared" si="146"/>
        <v>0</v>
      </c>
      <c r="AD501" s="34"/>
    </row>
    <row r="502" spans="1:30" x14ac:dyDescent="0.2">
      <c r="A502" s="47"/>
      <c r="B502" s="376"/>
      <c r="C502" s="176">
        <f t="shared" si="132"/>
        <v>499</v>
      </c>
      <c r="D502" s="146"/>
      <c r="E502" s="37"/>
      <c r="F502" s="35"/>
      <c r="G502" s="11" t="str">
        <f ca="1">IF(AND(E502&lt;&gt;"",E502&lt;TODAY()),"Disponible",IFERROR(INDEX(Vehiculos[Estado Vehiculo],MATCH(F502,Vehiculos[Placa Vehiculo],0)),""))</f>
        <v/>
      </c>
      <c r="H502" s="34"/>
      <c r="I502" s="34"/>
      <c r="J502" s="34"/>
      <c r="K502" s="39"/>
      <c r="L502" s="39"/>
      <c r="M502" s="15"/>
      <c r="N502" s="15"/>
      <c r="O502" s="39"/>
      <c r="P502" s="36"/>
      <c r="Q502" s="16">
        <f t="shared" si="143"/>
        <v>0</v>
      </c>
      <c r="R502" s="34"/>
      <c r="S502" s="34"/>
      <c r="T502" s="36"/>
      <c r="U502" s="293">
        <f>Rutas[[#This Row],[Precio x Galón ($/gal)]]*Rutas[[#This Row],[Volumen de Combustible (gal)]]</f>
        <v>0</v>
      </c>
      <c r="V502" s="36"/>
      <c r="W502" s="36"/>
      <c r="X502" s="36"/>
      <c r="Y502" s="145">
        <f t="shared" si="144"/>
        <v>0</v>
      </c>
      <c r="Z502" s="567"/>
      <c r="AA502" s="12"/>
      <c r="AB502" s="12">
        <f t="shared" si="145"/>
        <v>0</v>
      </c>
      <c r="AC502" s="12">
        <f t="shared" si="146"/>
        <v>0</v>
      </c>
      <c r="AD502" s="34"/>
    </row>
    <row r="503" spans="1:30" ht="16" x14ac:dyDescent="0.2">
      <c r="A503" s="47"/>
      <c r="B503" s="376"/>
      <c r="C503" s="176">
        <f t="shared" si="132"/>
        <v>500</v>
      </c>
      <c r="D503" s="122">
        <v>45748</v>
      </c>
      <c r="E503" s="122">
        <v>45757</v>
      </c>
      <c r="F503" s="68" t="s">
        <v>318</v>
      </c>
      <c r="G503" s="379" t="str">
        <f ca="1">IF(AND(E503&lt;&gt;"",E503&lt;TODAY()),"Disponible",IFERROR(INDEX(Vehiculos[Estado Vehiculo],MATCH(F503,Vehiculos[Placa Vehiculo],0)),""))</f>
        <v>Disponible</v>
      </c>
      <c r="H503" s="89" t="s">
        <v>245</v>
      </c>
      <c r="I503" s="89" t="s">
        <v>273</v>
      </c>
      <c r="J503" s="89" t="s">
        <v>274</v>
      </c>
      <c r="K503" s="401">
        <v>275</v>
      </c>
      <c r="L503" s="401">
        <v>305</v>
      </c>
      <c r="M503" s="381">
        <f t="shared" ref="M503:M519" si="147">L503-K503</f>
        <v>30</v>
      </c>
      <c r="N503" s="381">
        <f>Rutas[[#This Row],[Kms Recorridos]]</f>
        <v>30</v>
      </c>
      <c r="O503" s="380"/>
      <c r="P503" s="92"/>
      <c r="Q503" s="382">
        <f t="shared" si="143"/>
        <v>0</v>
      </c>
      <c r="R503" s="89" t="s">
        <v>273</v>
      </c>
      <c r="S503" s="89" t="s">
        <v>102</v>
      </c>
      <c r="T503" s="92">
        <v>1.8</v>
      </c>
      <c r="U503" s="266">
        <f>Rutas[[#This Row],[Precio x Galón ($/gal)]]*Rutas[[#This Row],[Volumen de Combustible (gal)]]</f>
        <v>30.869999999999997</v>
      </c>
      <c r="V503" s="92"/>
      <c r="W503" s="92"/>
      <c r="X503" s="92"/>
      <c r="Y503" s="382">
        <f t="shared" si="144"/>
        <v>30.869999999999997</v>
      </c>
      <c r="Z503" s="567"/>
      <c r="AA503" s="402">
        <v>17.149999999999999</v>
      </c>
      <c r="AB503" s="382">
        <f t="shared" si="145"/>
        <v>1.7492711370262393</v>
      </c>
      <c r="AC503" s="382">
        <f t="shared" si="146"/>
        <v>0</v>
      </c>
      <c r="AD503" s="89"/>
    </row>
    <row r="504" spans="1:30" x14ac:dyDescent="0.2">
      <c r="A504" s="47"/>
      <c r="B504" s="376"/>
      <c r="C504" s="176">
        <f t="shared" si="132"/>
        <v>501</v>
      </c>
      <c r="D504" s="122">
        <v>45757</v>
      </c>
      <c r="E504" s="37">
        <v>45777</v>
      </c>
      <c r="F504" s="377" t="s">
        <v>318</v>
      </c>
      <c r="G504" s="11" t="str">
        <f ca="1">IF(AND(E504&lt;&gt;"",E504&lt;TODAY()),"Disponible",IFERROR(INDEX(Vehiculos[Estado Vehiculo],MATCH(F504,Vehiculos[Placa Vehiculo],0)),""))</f>
        <v>Disponible</v>
      </c>
      <c r="H504" s="34" t="s">
        <v>245</v>
      </c>
      <c r="I504" s="34" t="s">
        <v>273</v>
      </c>
      <c r="J504" s="34" t="s">
        <v>274</v>
      </c>
      <c r="K504" s="401">
        <v>305</v>
      </c>
      <c r="L504" s="39">
        <v>353</v>
      </c>
      <c r="M504" s="15">
        <f t="shared" si="147"/>
        <v>48</v>
      </c>
      <c r="N504" s="15">
        <f>Rutas[[#This Row],[Kms Recorridos]]</f>
        <v>48</v>
      </c>
      <c r="O504" s="39"/>
      <c r="P504" s="36"/>
      <c r="Q504" s="16">
        <f t="shared" si="143"/>
        <v>0</v>
      </c>
      <c r="R504" s="34" t="s">
        <v>273</v>
      </c>
      <c r="S504" s="34" t="s">
        <v>102</v>
      </c>
      <c r="T504" s="36">
        <v>1.8</v>
      </c>
      <c r="U504" s="293">
        <f>Rutas[[#This Row],[Precio x Galón ($/gal)]]*Rutas[[#This Row],[Volumen de Combustible (gal)]]</f>
        <v>27.053999999999998</v>
      </c>
      <c r="V504" s="36"/>
      <c r="W504" s="36"/>
      <c r="X504" s="36"/>
      <c r="Y504" s="145">
        <f t="shared" si="144"/>
        <v>27.053999999999998</v>
      </c>
      <c r="Z504" s="567"/>
      <c r="AA504" s="402">
        <v>15.03</v>
      </c>
      <c r="AB504" s="12">
        <f t="shared" si="145"/>
        <v>3.1936127744510978</v>
      </c>
      <c r="AC504" s="12">
        <f t="shared" si="146"/>
        <v>0</v>
      </c>
      <c r="AD504" s="34"/>
    </row>
    <row r="505" spans="1:30" x14ac:dyDescent="0.2">
      <c r="A505" s="47"/>
      <c r="B505" s="376"/>
      <c r="C505" s="176">
        <f t="shared" si="132"/>
        <v>502</v>
      </c>
      <c r="D505" s="146">
        <v>45777</v>
      </c>
      <c r="E505" s="37">
        <v>45777</v>
      </c>
      <c r="F505" s="377" t="s">
        <v>318</v>
      </c>
      <c r="G505" s="11" t="str">
        <f ca="1">IF(AND(E505&lt;&gt;"",E505&lt;TODAY()),"Disponible",IFERROR(INDEX(Vehiculos[Estado Vehiculo],MATCH(F505,Vehiculos[Placa Vehiculo],0)),""))</f>
        <v>Disponible</v>
      </c>
      <c r="H505" s="34" t="s">
        <v>231</v>
      </c>
      <c r="I505" s="34" t="s">
        <v>273</v>
      </c>
      <c r="J505" s="34" t="s">
        <v>274</v>
      </c>
      <c r="K505" s="39">
        <v>353</v>
      </c>
      <c r="L505" s="39">
        <v>354</v>
      </c>
      <c r="M505" s="15">
        <f t="shared" si="147"/>
        <v>1</v>
      </c>
      <c r="N505" s="15">
        <f>Rutas[[#This Row],[Kms Recorridos]]</f>
        <v>1</v>
      </c>
      <c r="O505" s="39"/>
      <c r="P505" s="36"/>
      <c r="Q505" s="16">
        <f t="shared" si="143"/>
        <v>0</v>
      </c>
      <c r="R505" s="34" t="s">
        <v>273</v>
      </c>
      <c r="S505" s="34" t="s">
        <v>102</v>
      </c>
      <c r="T505" s="36">
        <v>1.8</v>
      </c>
      <c r="U505" s="293">
        <f>Rutas[[#This Row],[Precio x Galón ($/gal)]]*Rutas[[#This Row],[Volumen de Combustible (gal)]]</f>
        <v>39.798000000000002</v>
      </c>
      <c r="V505" s="36"/>
      <c r="W505" s="36"/>
      <c r="X505" s="36"/>
      <c r="Y505" s="145">
        <f t="shared" si="144"/>
        <v>39.798000000000002</v>
      </c>
      <c r="Z505" s="567"/>
      <c r="AA505" s="12">
        <v>22.11</v>
      </c>
      <c r="AB505" s="12">
        <f t="shared" si="145"/>
        <v>4.5228403437358664E-2</v>
      </c>
      <c r="AC505" s="12">
        <f t="shared" si="146"/>
        <v>0</v>
      </c>
      <c r="AD505" s="34"/>
    </row>
    <row r="506" spans="1:30" ht="16" thickBot="1" x14ac:dyDescent="0.25">
      <c r="A506" s="174"/>
      <c r="B506" s="423"/>
      <c r="C506" s="176">
        <f t="shared" si="132"/>
        <v>503</v>
      </c>
      <c r="D506" s="156"/>
      <c r="E506" s="157"/>
      <c r="F506" s="406"/>
      <c r="G506" s="159" t="str">
        <f ca="1">IF(AND(E506&lt;&gt;"",E506&lt;TODAY()),"Disponible",IFERROR(INDEX(Vehiculos[Estado Vehiculo],MATCH(F506,Vehiculos[Placa Vehiculo],0)),""))</f>
        <v/>
      </c>
      <c r="H506" s="160"/>
      <c r="I506" s="160"/>
      <c r="J506" s="160"/>
      <c r="K506" s="161"/>
      <c r="L506" s="161"/>
      <c r="M506" s="162">
        <f t="shared" si="147"/>
        <v>0</v>
      </c>
      <c r="N506" s="162"/>
      <c r="O506" s="161"/>
      <c r="P506" s="163"/>
      <c r="Q506" s="164">
        <f t="shared" si="143"/>
        <v>0</v>
      </c>
      <c r="R506" s="160"/>
      <c r="S506" s="160"/>
      <c r="T506" s="163"/>
      <c r="U506" s="407">
        <f>Rutas[[#This Row],[Precio x Galón ($/gal)]]*Rutas[[#This Row],[Volumen de Combustible (gal)]]</f>
        <v>0</v>
      </c>
      <c r="V506" s="163"/>
      <c r="W506" s="163"/>
      <c r="X506" s="163"/>
      <c r="Y506" s="165">
        <f t="shared" si="144"/>
        <v>0</v>
      </c>
      <c r="Z506" s="568"/>
      <c r="AA506" s="166"/>
      <c r="AB506" s="166">
        <f t="shared" si="145"/>
        <v>0</v>
      </c>
      <c r="AC506" s="166">
        <f t="shared" si="146"/>
        <v>0</v>
      </c>
      <c r="AD506" s="160"/>
    </row>
    <row r="507" spans="1:30" ht="17" thickTop="1" x14ac:dyDescent="0.2">
      <c r="A507" s="47"/>
      <c r="B507" s="422"/>
      <c r="C507" s="176">
        <f t="shared" si="132"/>
        <v>504</v>
      </c>
      <c r="D507" s="90">
        <v>45778</v>
      </c>
      <c r="E507" s="90">
        <v>45780</v>
      </c>
      <c r="F507" s="68" t="s">
        <v>204</v>
      </c>
      <c r="G507" s="379" t="str">
        <f ca="1">IF(AND(E507&lt;&gt;"",E507&lt;TODAY()),"Disponible",IFERROR(INDEX(Vehiculos[Estado Vehiculo],MATCH(F507,Vehiculos[Placa Vehiculo],0)),""))</f>
        <v>Disponible</v>
      </c>
      <c r="H507" s="89" t="s">
        <v>247</v>
      </c>
      <c r="I507" s="89" t="s">
        <v>273</v>
      </c>
      <c r="J507" s="89" t="s">
        <v>282</v>
      </c>
      <c r="K507" s="380">
        <v>26608</v>
      </c>
      <c r="L507" s="380">
        <v>27361</v>
      </c>
      <c r="M507" s="381">
        <f t="shared" si="147"/>
        <v>753</v>
      </c>
      <c r="N507" s="381"/>
      <c r="O507" s="380"/>
      <c r="P507" s="92"/>
      <c r="Q507" s="382">
        <f t="shared" si="143"/>
        <v>0</v>
      </c>
      <c r="R507" s="89" t="s">
        <v>273</v>
      </c>
      <c r="S507" s="89" t="s">
        <v>102</v>
      </c>
      <c r="T507" s="92">
        <v>1.8</v>
      </c>
      <c r="U507" s="266">
        <f>Rutas[[#This Row],[Precio x Galón ($/gal)]]*Rutas[[#This Row],[Volumen de Combustible (gal)]]</f>
        <v>198.126</v>
      </c>
      <c r="V507" s="92"/>
      <c r="W507" s="92"/>
      <c r="X507" s="92"/>
      <c r="Y507" s="382">
        <f t="shared" si="144"/>
        <v>198.126</v>
      </c>
      <c r="Z507" s="567"/>
      <c r="AA507" s="382">
        <v>110.07</v>
      </c>
      <c r="AB507" s="382">
        <f t="shared" si="145"/>
        <v>6.8411011174707008</v>
      </c>
      <c r="AC507" s="382">
        <f t="shared" si="146"/>
        <v>0</v>
      </c>
      <c r="AD507" s="89"/>
    </row>
    <row r="508" spans="1:30" ht="16" x14ac:dyDescent="0.2">
      <c r="A508" s="47"/>
      <c r="B508" s="422"/>
      <c r="C508" s="176">
        <f t="shared" si="132"/>
        <v>505</v>
      </c>
      <c r="D508" s="146">
        <v>45780</v>
      </c>
      <c r="E508" s="37">
        <v>45786</v>
      </c>
      <c r="F508" s="65" t="s">
        <v>204</v>
      </c>
      <c r="G508" s="11" t="str">
        <f ca="1">IF(AND(E508&lt;&gt;"",E508&lt;TODAY()),"Disponible",IFERROR(INDEX(Vehiculos[Estado Vehiculo],MATCH(F508,Vehiculos[Placa Vehiculo],0)),""))</f>
        <v>Disponible</v>
      </c>
      <c r="H508" s="34" t="s">
        <v>247</v>
      </c>
      <c r="I508" s="34" t="s">
        <v>273</v>
      </c>
      <c r="J508" s="34" t="s">
        <v>282</v>
      </c>
      <c r="K508" s="39">
        <v>27361</v>
      </c>
      <c r="L508" s="39">
        <v>27962</v>
      </c>
      <c r="M508" s="15">
        <f t="shared" si="147"/>
        <v>601</v>
      </c>
      <c r="N508" s="15"/>
      <c r="O508" s="39"/>
      <c r="P508" s="36"/>
      <c r="Q508" s="16">
        <f t="shared" si="143"/>
        <v>0</v>
      </c>
      <c r="R508" s="34" t="s">
        <v>273</v>
      </c>
      <c r="S508" s="34" t="s">
        <v>102</v>
      </c>
      <c r="T508" s="36">
        <v>1.8</v>
      </c>
      <c r="U508" s="293">
        <f>Rutas[[#This Row],[Precio x Galón ($/gal)]]*Rutas[[#This Row],[Volumen de Combustible (gal)]]</f>
        <v>165.67200000000003</v>
      </c>
      <c r="V508" s="36"/>
      <c r="W508" s="36"/>
      <c r="X508" s="36"/>
      <c r="Y508" s="145">
        <f t="shared" si="144"/>
        <v>165.67200000000003</v>
      </c>
      <c r="Z508" s="567"/>
      <c r="AA508" s="12">
        <v>92.04</v>
      </c>
      <c r="AB508" s="12">
        <f t="shared" si="145"/>
        <v>6.5297696653628856</v>
      </c>
      <c r="AC508" s="12">
        <f t="shared" si="146"/>
        <v>0</v>
      </c>
      <c r="AD508" s="34"/>
    </row>
    <row r="509" spans="1:30" ht="16" x14ac:dyDescent="0.2">
      <c r="A509" s="47"/>
      <c r="B509" s="422"/>
      <c r="C509" s="176">
        <f t="shared" si="132"/>
        <v>506</v>
      </c>
      <c r="D509" s="146">
        <v>45786</v>
      </c>
      <c r="E509" s="37">
        <v>45794</v>
      </c>
      <c r="F509" s="65" t="s">
        <v>204</v>
      </c>
      <c r="G509" s="11" t="str">
        <f ca="1">IF(AND(E509&lt;&gt;"",E509&lt;TODAY()),"Disponible",IFERROR(INDEX(Vehiculos[Estado Vehiculo],MATCH(F509,Vehiculos[Placa Vehiculo],0)),""))</f>
        <v>Disponible</v>
      </c>
      <c r="H509" s="34" t="s">
        <v>247</v>
      </c>
      <c r="I509" s="34" t="s">
        <v>273</v>
      </c>
      <c r="J509" s="34" t="s">
        <v>282</v>
      </c>
      <c r="K509" s="39">
        <v>27962</v>
      </c>
      <c r="L509" s="39">
        <v>28686</v>
      </c>
      <c r="M509" s="15">
        <f t="shared" si="147"/>
        <v>724</v>
      </c>
      <c r="N509" s="15"/>
      <c r="O509" s="39"/>
      <c r="P509" s="36"/>
      <c r="Q509" s="16">
        <f t="shared" si="143"/>
        <v>0</v>
      </c>
      <c r="R509" s="34" t="s">
        <v>273</v>
      </c>
      <c r="S509" s="34" t="s">
        <v>102</v>
      </c>
      <c r="T509" s="36">
        <v>1.8</v>
      </c>
      <c r="U509" s="293">
        <f>Rutas[[#This Row],[Precio x Galón ($/gal)]]*Rutas[[#This Row],[Volumen de Combustible (gal)]]</f>
        <v>189.684</v>
      </c>
      <c r="V509" s="36"/>
      <c r="W509" s="36"/>
      <c r="X509" s="36"/>
      <c r="Y509" s="145">
        <f t="shared" si="144"/>
        <v>189.684</v>
      </c>
      <c r="Z509" s="567"/>
      <c r="AA509" s="12">
        <v>105.38</v>
      </c>
      <c r="AB509" s="12">
        <f t="shared" si="145"/>
        <v>6.8703738849876643</v>
      </c>
      <c r="AC509" s="12">
        <f t="shared" si="146"/>
        <v>0</v>
      </c>
      <c r="AD509" s="34"/>
    </row>
    <row r="510" spans="1:30" ht="16" x14ac:dyDescent="0.2">
      <c r="A510" s="47"/>
      <c r="B510" s="422"/>
      <c r="C510" s="176">
        <f t="shared" si="132"/>
        <v>507</v>
      </c>
      <c r="D510" s="146">
        <v>45794</v>
      </c>
      <c r="E510" s="37">
        <v>45797</v>
      </c>
      <c r="F510" s="65" t="s">
        <v>204</v>
      </c>
      <c r="G510" s="11" t="str">
        <f ca="1">IF(AND(E510&lt;&gt;"",E510&lt;TODAY()),"Disponible",IFERROR(INDEX(Vehiculos[Estado Vehiculo],MATCH(F510,Vehiculos[Placa Vehiculo],0)),""))</f>
        <v>Disponible</v>
      </c>
      <c r="H510" s="34"/>
      <c r="I510" s="34" t="s">
        <v>273</v>
      </c>
      <c r="J510" s="34" t="s">
        <v>282</v>
      </c>
      <c r="K510" s="39">
        <v>28686</v>
      </c>
      <c r="L510" s="39">
        <v>29265</v>
      </c>
      <c r="M510" s="15">
        <f t="shared" si="147"/>
        <v>579</v>
      </c>
      <c r="N510" s="15"/>
      <c r="O510" s="39"/>
      <c r="P510" s="36"/>
      <c r="Q510" s="16">
        <f t="shared" si="143"/>
        <v>0</v>
      </c>
      <c r="R510" s="34" t="s">
        <v>273</v>
      </c>
      <c r="S510" s="34" t="s">
        <v>102</v>
      </c>
      <c r="T510" s="36">
        <v>1.8</v>
      </c>
      <c r="U510" s="293">
        <f>Rutas[[#This Row],[Precio x Galón ($/gal)]]*Rutas[[#This Row],[Volumen de Combustible (gal)]]</f>
        <v>180.18</v>
      </c>
      <c r="V510" s="36"/>
      <c r="W510" s="36"/>
      <c r="X510" s="36"/>
      <c r="Y510" s="145">
        <f t="shared" si="144"/>
        <v>180.18</v>
      </c>
      <c r="Z510" s="567"/>
      <c r="AA510" s="12">
        <v>100.1</v>
      </c>
      <c r="AB510" s="12">
        <f t="shared" si="145"/>
        <v>5.7842157842157844</v>
      </c>
      <c r="AC510" s="12">
        <f t="shared" si="146"/>
        <v>0</v>
      </c>
      <c r="AD510" s="34"/>
    </row>
    <row r="511" spans="1:30" ht="16" x14ac:dyDescent="0.2">
      <c r="A511" s="47"/>
      <c r="B511" s="422"/>
      <c r="C511" s="176">
        <f t="shared" si="132"/>
        <v>508</v>
      </c>
      <c r="D511" s="146">
        <v>45797</v>
      </c>
      <c r="E511" s="37">
        <v>45806</v>
      </c>
      <c r="F511" s="65" t="s">
        <v>204</v>
      </c>
      <c r="G511" s="11" t="str">
        <f ca="1">IF(AND(E511&lt;&gt;"",E511&lt;TODAY()),"Disponible",IFERROR(INDEX(Vehiculos[Estado Vehiculo],MATCH(F511,Vehiculos[Placa Vehiculo],0)),""))</f>
        <v>Disponible</v>
      </c>
      <c r="H511" s="34" t="s">
        <v>247</v>
      </c>
      <c r="I511" s="34" t="s">
        <v>273</v>
      </c>
      <c r="J511" s="34" t="s">
        <v>282</v>
      </c>
      <c r="K511" s="39">
        <v>29265</v>
      </c>
      <c r="L511" s="39">
        <v>29842</v>
      </c>
      <c r="M511" s="15">
        <f t="shared" si="147"/>
        <v>577</v>
      </c>
      <c r="N511" s="15"/>
      <c r="O511" s="39"/>
      <c r="P511" s="36"/>
      <c r="Q511" s="16">
        <f t="shared" si="143"/>
        <v>0</v>
      </c>
      <c r="R511" s="34" t="s">
        <v>273</v>
      </c>
      <c r="S511" s="34" t="s">
        <v>102</v>
      </c>
      <c r="T511" s="36">
        <v>1.8</v>
      </c>
      <c r="U511" s="293">
        <f>Rutas[[#This Row],[Precio x Galón ($/gal)]]*Rutas[[#This Row],[Volumen de Combustible (gal)]]</f>
        <v>0</v>
      </c>
      <c r="V511" s="36"/>
      <c r="W511" s="36"/>
      <c r="X511" s="36"/>
      <c r="Y511" s="145">
        <f t="shared" si="144"/>
        <v>0</v>
      </c>
      <c r="Z511" s="567"/>
      <c r="AA511" s="12"/>
      <c r="AB511" s="12">
        <f t="shared" si="145"/>
        <v>0</v>
      </c>
      <c r="AC511" s="12">
        <f t="shared" si="146"/>
        <v>0</v>
      </c>
      <c r="AD511" s="34"/>
    </row>
    <row r="512" spans="1:30" ht="16" x14ac:dyDescent="0.2">
      <c r="A512" s="47"/>
      <c r="B512" s="422"/>
      <c r="C512" s="176">
        <f t="shared" si="132"/>
        <v>509</v>
      </c>
      <c r="D512" s="146">
        <v>45806</v>
      </c>
      <c r="E512" s="37">
        <v>45808</v>
      </c>
      <c r="F512" s="65" t="s">
        <v>204</v>
      </c>
      <c r="G512" s="11" t="str">
        <f ca="1">IF(AND(E512&lt;&gt;"",E512&lt;TODAY()),"Disponible",IFERROR(INDEX(Vehiculos[Estado Vehiculo],MATCH(F512,Vehiculos[Placa Vehiculo],0)),""))</f>
        <v>Disponible</v>
      </c>
      <c r="H512" s="34" t="s">
        <v>247</v>
      </c>
      <c r="I512" s="34" t="s">
        <v>273</v>
      </c>
      <c r="J512" s="34" t="s">
        <v>282</v>
      </c>
      <c r="K512" s="39">
        <v>29842</v>
      </c>
      <c r="L512" s="39">
        <v>29871</v>
      </c>
      <c r="M512" s="15">
        <f t="shared" si="147"/>
        <v>29</v>
      </c>
      <c r="N512" s="452">
        <v>317</v>
      </c>
      <c r="O512" s="39"/>
      <c r="P512" s="36"/>
      <c r="Q512" s="16">
        <f t="shared" si="143"/>
        <v>0</v>
      </c>
      <c r="R512" s="34" t="s">
        <v>273</v>
      </c>
      <c r="S512" s="34" t="s">
        <v>102</v>
      </c>
      <c r="T512" s="36">
        <v>1.8</v>
      </c>
      <c r="U512" s="293">
        <f>Rutas[[#This Row],[Precio x Galón ($/gal)]]*Rutas[[#This Row],[Volumen de Combustible (gal)]]</f>
        <v>99.378</v>
      </c>
      <c r="V512" s="36"/>
      <c r="W512" s="36"/>
      <c r="X512" s="36"/>
      <c r="Y512" s="145">
        <f t="shared" si="144"/>
        <v>99.378</v>
      </c>
      <c r="Z512" s="567"/>
      <c r="AA512" s="12">
        <v>55.21</v>
      </c>
      <c r="AB512" s="12">
        <f t="shared" si="145"/>
        <v>0.52526716174606047</v>
      </c>
      <c r="AC512" s="12">
        <f t="shared" si="146"/>
        <v>0</v>
      </c>
      <c r="AD512" s="34"/>
    </row>
    <row r="513" spans="1:30" ht="16" x14ac:dyDescent="0.2">
      <c r="A513" s="47"/>
      <c r="B513" s="422"/>
      <c r="C513" s="176">
        <f t="shared" si="132"/>
        <v>510</v>
      </c>
      <c r="D513" s="437"/>
      <c r="E513" s="438"/>
      <c r="F513" s="439"/>
      <c r="G513" s="440" t="str">
        <f ca="1">IF(AND(E513&lt;&gt;"",E513&lt;TODAY()),"Disponible",IFERROR(INDEX(Vehiculos[Estado Vehiculo],MATCH(F513,Vehiculos[Placa Vehiculo],0)),""))</f>
        <v/>
      </c>
      <c r="H513" s="441"/>
      <c r="I513" s="441"/>
      <c r="J513" s="441"/>
      <c r="K513" s="442"/>
      <c r="L513" s="442"/>
      <c r="M513" s="443">
        <f t="shared" si="147"/>
        <v>0</v>
      </c>
      <c r="N513" s="443"/>
      <c r="O513" s="442"/>
      <c r="P513" s="444"/>
      <c r="Q513" s="445">
        <f t="shared" si="143"/>
        <v>0</v>
      </c>
      <c r="R513" s="441" t="s">
        <v>273</v>
      </c>
      <c r="S513" s="441" t="s">
        <v>102</v>
      </c>
      <c r="T513" s="444"/>
      <c r="U513" s="446">
        <f>Rutas[[#This Row],[Precio x Galón ($/gal)]]*Rutas[[#This Row],[Volumen de Combustible (gal)]]</f>
        <v>0</v>
      </c>
      <c r="V513" s="444"/>
      <c r="W513" s="444"/>
      <c r="X513" s="444"/>
      <c r="Y513" s="447">
        <f t="shared" si="144"/>
        <v>0</v>
      </c>
      <c r="Z513" s="570"/>
      <c r="AA513" s="448"/>
      <c r="AB513" s="448">
        <f t="shared" si="145"/>
        <v>0</v>
      </c>
      <c r="AC513" s="448">
        <f t="shared" si="146"/>
        <v>0</v>
      </c>
      <c r="AD513" s="441"/>
    </row>
    <row r="514" spans="1:30" ht="16" x14ac:dyDescent="0.2">
      <c r="A514" s="47"/>
      <c r="B514" s="422"/>
      <c r="C514" s="176">
        <f t="shared" si="132"/>
        <v>511</v>
      </c>
      <c r="D514" s="90">
        <v>45778</v>
      </c>
      <c r="E514" s="90">
        <v>45779</v>
      </c>
      <c r="F514" s="68" t="s">
        <v>207</v>
      </c>
      <c r="G514" s="379" t="str">
        <f ca="1">IF(AND(E514&lt;&gt;"",E514&lt;TODAY()),"Disponible",IFERROR(INDEX(Vehiculos[Estado Vehiculo],MATCH(F514,Vehiculos[Placa Vehiculo],0)),""))</f>
        <v>Disponible</v>
      </c>
      <c r="H514" s="89" t="s">
        <v>237</v>
      </c>
      <c r="I514" s="89" t="s">
        <v>273</v>
      </c>
      <c r="J514" s="89" t="s">
        <v>282</v>
      </c>
      <c r="K514" s="380">
        <v>44586</v>
      </c>
      <c r="L514" s="380">
        <v>45001</v>
      </c>
      <c r="M514" s="381">
        <f t="shared" si="147"/>
        <v>415</v>
      </c>
      <c r="N514" s="381"/>
      <c r="O514" s="380"/>
      <c r="P514" s="92"/>
      <c r="Q514" s="382">
        <f t="shared" si="143"/>
        <v>0</v>
      </c>
      <c r="R514" s="89" t="s">
        <v>273</v>
      </c>
      <c r="S514" s="89" t="s">
        <v>102</v>
      </c>
      <c r="T514" s="92">
        <v>1.8</v>
      </c>
      <c r="U514" s="266">
        <f>Rutas[[#This Row],[Precio x Galón ($/gal)]]*Rutas[[#This Row],[Volumen de Combustible (gal)]]</f>
        <v>207.738</v>
      </c>
      <c r="V514" s="92"/>
      <c r="W514" s="92"/>
      <c r="X514" s="92"/>
      <c r="Y514" s="382">
        <f t="shared" si="144"/>
        <v>207.738</v>
      </c>
      <c r="Z514" s="567"/>
      <c r="AA514" s="382">
        <v>115.41</v>
      </c>
      <c r="AB514" s="382">
        <f t="shared" si="145"/>
        <v>3.5958755740403778</v>
      </c>
      <c r="AC514" s="382">
        <f t="shared" si="146"/>
        <v>0</v>
      </c>
      <c r="AD514" s="89"/>
    </row>
    <row r="515" spans="1:30" ht="16" x14ac:dyDescent="0.2">
      <c r="A515" s="47"/>
      <c r="B515" s="422"/>
      <c r="C515" s="176">
        <f t="shared" si="132"/>
        <v>512</v>
      </c>
      <c r="D515" s="454">
        <v>45779</v>
      </c>
      <c r="E515" s="90">
        <v>45781</v>
      </c>
      <c r="F515" s="68" t="s">
        <v>207</v>
      </c>
      <c r="G515" s="11" t="str">
        <f ca="1">IF(AND(E515&lt;&gt;"",E515&lt;TODAY()),"Disponible",IFERROR(INDEX(Vehiculos[Estado Vehiculo],MATCH(F515,Vehiculos[Placa Vehiculo],0)),""))</f>
        <v>Disponible</v>
      </c>
      <c r="H515" s="89"/>
      <c r="I515" s="89" t="s">
        <v>273</v>
      </c>
      <c r="J515" s="89" t="s">
        <v>282</v>
      </c>
      <c r="K515" s="380">
        <v>45001</v>
      </c>
      <c r="L515" s="380">
        <v>45514</v>
      </c>
      <c r="M515" s="15">
        <f>L515-K515</f>
        <v>513</v>
      </c>
      <c r="N515" s="15"/>
      <c r="O515" s="380"/>
      <c r="P515" s="92"/>
      <c r="Q515" s="16">
        <f>M515*P515</f>
        <v>0</v>
      </c>
      <c r="R515" s="89" t="s">
        <v>273</v>
      </c>
      <c r="S515" s="89" t="s">
        <v>102</v>
      </c>
      <c r="T515" s="92">
        <v>1.8</v>
      </c>
      <c r="U515" s="266">
        <f>Rutas[[#This Row],[Precio x Galón ($/gal)]]*Rutas[[#This Row],[Volumen de Combustible (gal)]]</f>
        <v>264.69000000000005</v>
      </c>
      <c r="V515" s="92"/>
      <c r="W515" s="92"/>
      <c r="X515" s="92"/>
      <c r="Y515" s="145">
        <f>U515+SUM(V515:X515)</f>
        <v>264.69000000000005</v>
      </c>
      <c r="Z515" s="567"/>
      <c r="AA515" s="12">
        <v>147.05000000000001</v>
      </c>
      <c r="AB515" s="12">
        <f>IFERROR(M515/AA515,0)</f>
        <v>3.4886093165589931</v>
      </c>
      <c r="AC515" s="12">
        <f>IFERROR(Q515/M515,0)</f>
        <v>0</v>
      </c>
      <c r="AD515" s="89"/>
    </row>
    <row r="516" spans="1:30" ht="16" x14ac:dyDescent="0.2">
      <c r="A516" s="47"/>
      <c r="B516" s="422"/>
      <c r="C516" s="176">
        <f t="shared" ref="C516:C579" si="148">ROW(A513)</f>
        <v>513</v>
      </c>
      <c r="D516" s="146">
        <v>45781</v>
      </c>
      <c r="E516" s="37">
        <v>45785</v>
      </c>
      <c r="F516" s="65" t="s">
        <v>207</v>
      </c>
      <c r="G516" s="11" t="str">
        <f ca="1">IF(AND(E516&lt;&gt;"",E516&lt;TODAY()),"Disponible",IFERROR(INDEX(Vehiculos[Estado Vehiculo],MATCH(F516,Vehiculos[Placa Vehiculo],0)),""))</f>
        <v>Disponible</v>
      </c>
      <c r="H516" s="34" t="s">
        <v>237</v>
      </c>
      <c r="I516" s="34" t="s">
        <v>273</v>
      </c>
      <c r="J516" s="34" t="s">
        <v>282</v>
      </c>
      <c r="K516" s="39">
        <v>45514</v>
      </c>
      <c r="L516" s="39">
        <v>46122</v>
      </c>
      <c r="M516" s="15">
        <f t="shared" si="147"/>
        <v>608</v>
      </c>
      <c r="N516" s="15"/>
      <c r="O516" s="39"/>
      <c r="P516" s="36"/>
      <c r="Q516" s="16">
        <f t="shared" si="143"/>
        <v>0</v>
      </c>
      <c r="R516" s="34" t="s">
        <v>273</v>
      </c>
      <c r="S516" s="34" t="s">
        <v>102</v>
      </c>
      <c r="T516" s="36">
        <v>1.8</v>
      </c>
      <c r="U516" s="293">
        <f>Rutas[[#This Row],[Precio x Galón ($/gal)]]*Rutas[[#This Row],[Volumen de Combustible (gal)]]</f>
        <v>173.376</v>
      </c>
      <c r="V516" s="36"/>
      <c r="W516" s="36"/>
      <c r="X516" s="36"/>
      <c r="Y516" s="145">
        <f t="shared" si="144"/>
        <v>173.376</v>
      </c>
      <c r="Z516" s="567"/>
      <c r="AA516" s="12">
        <v>96.32</v>
      </c>
      <c r="AB516" s="12">
        <f t="shared" si="145"/>
        <v>6.3122923588039868</v>
      </c>
      <c r="AC516" s="12">
        <f t="shared" si="146"/>
        <v>0</v>
      </c>
      <c r="AD516" s="34"/>
    </row>
    <row r="517" spans="1:30" ht="16" x14ac:dyDescent="0.2">
      <c r="A517" s="47"/>
      <c r="B517" s="422"/>
      <c r="C517" s="176">
        <f t="shared" si="148"/>
        <v>514</v>
      </c>
      <c r="D517" s="146">
        <v>45785</v>
      </c>
      <c r="E517" s="37">
        <v>45789</v>
      </c>
      <c r="F517" s="65" t="s">
        <v>207</v>
      </c>
      <c r="G517" s="11" t="str">
        <f ca="1">IF(AND(E517&lt;&gt;"",E517&lt;TODAY()),"Disponible",IFERROR(INDEX(Vehiculos[Estado Vehiculo],MATCH(F517,Vehiculos[Placa Vehiculo],0)),""))</f>
        <v>Disponible</v>
      </c>
      <c r="H517" s="34" t="s">
        <v>237</v>
      </c>
      <c r="I517" s="34" t="s">
        <v>273</v>
      </c>
      <c r="J517" s="34" t="s">
        <v>282</v>
      </c>
      <c r="K517" s="39">
        <v>46122</v>
      </c>
      <c r="L517" s="39">
        <v>46873</v>
      </c>
      <c r="M517" s="15">
        <f t="shared" si="147"/>
        <v>751</v>
      </c>
      <c r="N517" s="15"/>
      <c r="O517" s="39"/>
      <c r="P517" s="36"/>
      <c r="Q517" s="16">
        <f t="shared" si="143"/>
        <v>0</v>
      </c>
      <c r="R517" s="34" t="s">
        <v>273</v>
      </c>
      <c r="S517" s="34" t="s">
        <v>102</v>
      </c>
      <c r="T517" s="36">
        <v>1.8</v>
      </c>
      <c r="U517" s="293">
        <f>Rutas[[#This Row],[Precio x Galón ($/gal)]]*Rutas[[#This Row],[Volumen de Combustible (gal)]]</f>
        <v>205.65</v>
      </c>
      <c r="V517" s="36"/>
      <c r="W517" s="36"/>
      <c r="X517" s="36"/>
      <c r="Y517" s="145">
        <f t="shared" si="144"/>
        <v>205.65</v>
      </c>
      <c r="Z517" s="567"/>
      <c r="AA517" s="12">
        <v>114.25</v>
      </c>
      <c r="AB517" s="12">
        <f t="shared" si="145"/>
        <v>6.5733041575492344</v>
      </c>
      <c r="AC517" s="12">
        <f t="shared" si="146"/>
        <v>0</v>
      </c>
      <c r="AD517" s="34"/>
    </row>
    <row r="518" spans="1:30" ht="16" x14ac:dyDescent="0.2">
      <c r="A518" s="47"/>
      <c r="B518" s="422"/>
      <c r="C518" s="176">
        <f t="shared" si="148"/>
        <v>515</v>
      </c>
      <c r="D518" s="146">
        <v>45789</v>
      </c>
      <c r="E518" s="37">
        <v>45794</v>
      </c>
      <c r="F518" s="65" t="s">
        <v>207</v>
      </c>
      <c r="G518" s="11" t="str">
        <f ca="1">IF(AND(E518&lt;&gt;"",E518&lt;TODAY()),"Disponible",IFERROR(INDEX(Vehiculos[Estado Vehiculo],MATCH(F518,Vehiculos[Placa Vehiculo],0)),""))</f>
        <v>Disponible</v>
      </c>
      <c r="H518" s="34" t="s">
        <v>237</v>
      </c>
      <c r="I518" s="34" t="s">
        <v>273</v>
      </c>
      <c r="J518" s="34" t="s">
        <v>282</v>
      </c>
      <c r="K518" s="39">
        <v>46873</v>
      </c>
      <c r="L518" s="39">
        <v>47319</v>
      </c>
      <c r="M518" s="15">
        <f t="shared" si="147"/>
        <v>446</v>
      </c>
      <c r="N518" s="15"/>
      <c r="O518" s="39"/>
      <c r="P518" s="36"/>
      <c r="Q518" s="16">
        <f t="shared" si="143"/>
        <v>0</v>
      </c>
      <c r="R518" s="34" t="s">
        <v>273</v>
      </c>
      <c r="S518" s="34" t="s">
        <v>102</v>
      </c>
      <c r="T518" s="36">
        <v>1.8</v>
      </c>
      <c r="U518" s="293">
        <f>Rutas[[#This Row],[Precio x Galón ($/gal)]]*Rutas[[#This Row],[Volumen de Combustible (gal)]]</f>
        <v>120.33</v>
      </c>
      <c r="V518" s="36"/>
      <c r="W518" s="36"/>
      <c r="X518" s="36"/>
      <c r="Y518" s="145">
        <f t="shared" si="144"/>
        <v>120.33</v>
      </c>
      <c r="Z518" s="567"/>
      <c r="AA518" s="12">
        <v>66.849999999999994</v>
      </c>
      <c r="AB518" s="12">
        <f t="shared" si="145"/>
        <v>6.6716529543754683</v>
      </c>
      <c r="AC518" s="12">
        <f t="shared" si="146"/>
        <v>0</v>
      </c>
      <c r="AD518" s="34"/>
    </row>
    <row r="519" spans="1:30" ht="16" x14ac:dyDescent="0.2">
      <c r="A519" s="47"/>
      <c r="B519" s="422"/>
      <c r="C519" s="176">
        <f t="shared" si="148"/>
        <v>516</v>
      </c>
      <c r="D519" s="146">
        <v>45794</v>
      </c>
      <c r="E519" s="37">
        <v>45796</v>
      </c>
      <c r="F519" s="65" t="s">
        <v>207</v>
      </c>
      <c r="G519" s="11" t="str">
        <f ca="1">IF(AND(E519&lt;&gt;"",E519&lt;TODAY()),"Disponible",IFERROR(INDEX(Vehiculos[Estado Vehiculo],MATCH(F519,Vehiculos[Placa Vehiculo],0)),""))</f>
        <v>Disponible</v>
      </c>
      <c r="H519" s="34" t="s">
        <v>242</v>
      </c>
      <c r="I519" s="34" t="s">
        <v>273</v>
      </c>
      <c r="J519" s="34" t="s">
        <v>282</v>
      </c>
      <c r="K519" s="39">
        <v>47319</v>
      </c>
      <c r="L519" s="39">
        <v>47825</v>
      </c>
      <c r="M519" s="15">
        <f t="shared" si="147"/>
        <v>506</v>
      </c>
      <c r="N519" s="15"/>
      <c r="O519" s="39"/>
      <c r="P519" s="36"/>
      <c r="Q519" s="16">
        <f t="shared" si="143"/>
        <v>0</v>
      </c>
      <c r="R519" s="34" t="s">
        <v>273</v>
      </c>
      <c r="S519" s="34" t="s">
        <v>102</v>
      </c>
      <c r="T519" s="36">
        <v>1.8</v>
      </c>
      <c r="U519" s="293">
        <f>Rutas[[#This Row],[Precio x Galón ($/gal)]]*Rutas[[#This Row],[Volumen de Combustible (gal)]]</f>
        <v>177.22799999999998</v>
      </c>
      <c r="V519" s="36"/>
      <c r="W519" s="36"/>
      <c r="X519" s="36"/>
      <c r="Y519" s="145">
        <f t="shared" si="144"/>
        <v>177.22799999999998</v>
      </c>
      <c r="Z519" s="567"/>
      <c r="AA519" s="12">
        <v>98.46</v>
      </c>
      <c r="AB519" s="12">
        <f t="shared" si="145"/>
        <v>5.1391427991062359</v>
      </c>
      <c r="AC519" s="12">
        <f t="shared" si="146"/>
        <v>0</v>
      </c>
      <c r="AD519" s="34"/>
    </row>
    <row r="520" spans="1:30" ht="16" x14ac:dyDescent="0.2">
      <c r="A520" s="47"/>
      <c r="B520" s="422"/>
      <c r="C520" s="176">
        <f t="shared" si="148"/>
        <v>517</v>
      </c>
      <c r="D520" s="146">
        <v>45796</v>
      </c>
      <c r="E520" s="37">
        <v>45799</v>
      </c>
      <c r="F520" s="65" t="s">
        <v>207</v>
      </c>
      <c r="G520" s="11" t="str">
        <f ca="1">IF(AND(E520&lt;&gt;"",E520&lt;TODAY()),"Disponible",IFERROR(INDEX(Vehiculos[Estado Vehiculo],MATCH(F520,Vehiculos[Placa Vehiculo],0)),""))</f>
        <v>Disponible</v>
      </c>
      <c r="H520" s="34" t="s">
        <v>237</v>
      </c>
      <c r="I520" s="34" t="s">
        <v>273</v>
      </c>
      <c r="J520" s="34" t="s">
        <v>282</v>
      </c>
      <c r="K520" s="39">
        <v>47825</v>
      </c>
      <c r="L520" s="39">
        <v>48647</v>
      </c>
      <c r="M520" s="15">
        <f t="shared" ref="M520:M525" si="149">L520-K520</f>
        <v>822</v>
      </c>
      <c r="N520" s="15"/>
      <c r="O520" s="39"/>
      <c r="P520" s="36"/>
      <c r="Q520" s="16">
        <f t="shared" ref="Q520:Q525" si="150">M520*P520</f>
        <v>0</v>
      </c>
      <c r="R520" s="34" t="s">
        <v>273</v>
      </c>
      <c r="S520" s="34" t="s">
        <v>102</v>
      </c>
      <c r="T520" s="36">
        <v>1.8</v>
      </c>
      <c r="U520" s="293">
        <f>Rutas[[#This Row],[Precio x Galón ($/gal)]]*Rutas[[#This Row],[Volumen de Combustible (gal)]]</f>
        <v>108.16200000000001</v>
      </c>
      <c r="V520" s="36"/>
      <c r="W520" s="36"/>
      <c r="X520" s="36"/>
      <c r="Y520" s="145">
        <f t="shared" ref="Y520:Y525" si="151">U520+SUM(V520:X520)</f>
        <v>108.16200000000001</v>
      </c>
      <c r="Z520" s="567"/>
      <c r="AA520" s="12">
        <v>60.09</v>
      </c>
      <c r="AB520" s="12">
        <f t="shared" ref="AB520:AB525" si="152">IFERROR(M520/AA520,0)</f>
        <v>13.679480778831751</v>
      </c>
      <c r="AC520" s="12">
        <f t="shared" ref="AC520:AC525" si="153">IFERROR(Q520/M520,0)</f>
        <v>0</v>
      </c>
      <c r="AD520" s="34"/>
    </row>
    <row r="521" spans="1:30" ht="16" x14ac:dyDescent="0.2">
      <c r="A521" s="47"/>
      <c r="B521" s="422"/>
      <c r="C521" s="176">
        <f t="shared" si="148"/>
        <v>518</v>
      </c>
      <c r="D521" s="146">
        <v>45799</v>
      </c>
      <c r="E521" s="37">
        <v>45800</v>
      </c>
      <c r="F521" s="65" t="s">
        <v>207</v>
      </c>
      <c r="G521" s="11" t="str">
        <f ca="1">IF(AND(E521&lt;&gt;"",E521&lt;TODAY()),"Disponible",IFERROR(INDEX(Vehiculos[Estado Vehiculo],MATCH(F521,Vehiculos[Placa Vehiculo],0)),""))</f>
        <v>Disponible</v>
      </c>
      <c r="H521" s="34" t="s">
        <v>237</v>
      </c>
      <c r="I521" s="34" t="s">
        <v>273</v>
      </c>
      <c r="J521" s="34" t="s">
        <v>282</v>
      </c>
      <c r="K521" s="39">
        <v>48647</v>
      </c>
      <c r="L521" s="39">
        <v>48986</v>
      </c>
      <c r="M521" s="15">
        <f t="shared" si="149"/>
        <v>339</v>
      </c>
      <c r="N521" s="15"/>
      <c r="O521" s="39"/>
      <c r="P521" s="36"/>
      <c r="Q521" s="16">
        <f t="shared" si="150"/>
        <v>0</v>
      </c>
      <c r="R521" s="34" t="s">
        <v>273</v>
      </c>
      <c r="S521" s="34" t="s">
        <v>102</v>
      </c>
      <c r="T521" s="36">
        <v>1.8</v>
      </c>
      <c r="U521" s="293">
        <f>Rutas[[#This Row],[Precio x Galón ($/gal)]]*Rutas[[#This Row],[Volumen de Combustible (gal)]]</f>
        <v>206.55</v>
      </c>
      <c r="V521" s="36"/>
      <c r="W521" s="36"/>
      <c r="X521" s="36"/>
      <c r="Y521" s="145">
        <f t="shared" si="151"/>
        <v>206.55</v>
      </c>
      <c r="Z521" s="567"/>
      <c r="AA521" s="12">
        <v>114.75</v>
      </c>
      <c r="AB521" s="12">
        <f t="shared" si="152"/>
        <v>2.9542483660130721</v>
      </c>
      <c r="AC521" s="12">
        <f t="shared" si="153"/>
        <v>0</v>
      </c>
      <c r="AD521" s="34"/>
    </row>
    <row r="522" spans="1:30" ht="16" x14ac:dyDescent="0.2">
      <c r="A522" s="47"/>
      <c r="B522" s="422"/>
      <c r="C522" s="176">
        <f t="shared" si="148"/>
        <v>519</v>
      </c>
      <c r="D522" s="146">
        <v>45800</v>
      </c>
      <c r="E522" s="37">
        <v>45804</v>
      </c>
      <c r="F522" s="65" t="s">
        <v>207</v>
      </c>
      <c r="G522" s="11" t="str">
        <f ca="1">IF(AND(E522&lt;&gt;"",E522&lt;TODAY()),"Disponible",IFERROR(INDEX(Vehiculos[Estado Vehiculo],MATCH(F522,Vehiculos[Placa Vehiculo],0)),""))</f>
        <v>Disponible</v>
      </c>
      <c r="H522" s="34" t="s">
        <v>237</v>
      </c>
      <c r="I522" s="34" t="s">
        <v>273</v>
      </c>
      <c r="J522" s="34" t="s">
        <v>282</v>
      </c>
      <c r="K522" s="39">
        <v>48986</v>
      </c>
      <c r="L522" s="39">
        <v>49848</v>
      </c>
      <c r="M522" s="15">
        <f t="shared" si="149"/>
        <v>862</v>
      </c>
      <c r="N522" s="15"/>
      <c r="O522" s="39"/>
      <c r="P522" s="36"/>
      <c r="Q522" s="16">
        <f t="shared" si="150"/>
        <v>0</v>
      </c>
      <c r="R522" s="34" t="s">
        <v>273</v>
      </c>
      <c r="S522" s="34" t="s">
        <v>102</v>
      </c>
      <c r="T522" s="36">
        <v>1.8</v>
      </c>
      <c r="U522" s="293">
        <f>Rutas[[#This Row],[Precio x Galón ($/gal)]]*Rutas[[#This Row],[Volumen de Combustible (gal)]]</f>
        <v>210.54599999999999</v>
      </c>
      <c r="V522" s="36"/>
      <c r="W522" s="36"/>
      <c r="X522" s="36"/>
      <c r="Y522" s="145">
        <f t="shared" si="151"/>
        <v>210.54599999999999</v>
      </c>
      <c r="Z522" s="567"/>
      <c r="AA522" s="12">
        <v>116.97</v>
      </c>
      <c r="AB522" s="12">
        <f t="shared" si="152"/>
        <v>7.3694109600752329</v>
      </c>
      <c r="AC522" s="12">
        <f t="shared" si="153"/>
        <v>0</v>
      </c>
      <c r="AD522" s="34"/>
    </row>
    <row r="523" spans="1:30" ht="16" x14ac:dyDescent="0.2">
      <c r="A523" s="47"/>
      <c r="B523" s="422"/>
      <c r="C523" s="176">
        <f t="shared" si="148"/>
        <v>520</v>
      </c>
      <c r="D523" s="146">
        <v>45804</v>
      </c>
      <c r="E523" s="37">
        <v>45805</v>
      </c>
      <c r="F523" s="65" t="s">
        <v>207</v>
      </c>
      <c r="G523" s="11" t="str">
        <f ca="1">IF(AND(E523&lt;&gt;"",E523&lt;TODAY()),"Disponible",IFERROR(INDEX(Vehiculos[Estado Vehiculo],MATCH(F523,Vehiculos[Placa Vehiculo],0)),""))</f>
        <v>Disponible</v>
      </c>
      <c r="H523" s="34" t="s">
        <v>237</v>
      </c>
      <c r="I523" s="34" t="s">
        <v>273</v>
      </c>
      <c r="J523" s="34" t="s">
        <v>282</v>
      </c>
      <c r="K523" s="39">
        <v>49848</v>
      </c>
      <c r="L523" s="39">
        <v>50430</v>
      </c>
      <c r="M523" s="15">
        <f t="shared" si="149"/>
        <v>582</v>
      </c>
      <c r="N523" s="15"/>
      <c r="O523" s="39"/>
      <c r="P523" s="36"/>
      <c r="Q523" s="16">
        <f t="shared" si="150"/>
        <v>0</v>
      </c>
      <c r="R523" s="34" t="s">
        <v>273</v>
      </c>
      <c r="S523" s="34" t="s">
        <v>102</v>
      </c>
      <c r="T523" s="36">
        <v>1.8</v>
      </c>
      <c r="U523" s="293">
        <f>Rutas[[#This Row],[Precio x Galón ($/gal)]]*Rutas[[#This Row],[Volumen de Combustible (gal)]]</f>
        <v>100.152</v>
      </c>
      <c r="V523" s="36"/>
      <c r="W523" s="36"/>
      <c r="X523" s="36"/>
      <c r="Y523" s="145">
        <f t="shared" si="151"/>
        <v>100.152</v>
      </c>
      <c r="Z523" s="567"/>
      <c r="AA523" s="12">
        <v>55.64</v>
      </c>
      <c r="AB523" s="12">
        <f t="shared" si="152"/>
        <v>10.460100647016535</v>
      </c>
      <c r="AC523" s="12">
        <f t="shared" si="153"/>
        <v>0</v>
      </c>
      <c r="AD523" s="34"/>
    </row>
    <row r="524" spans="1:30" ht="16" x14ac:dyDescent="0.2">
      <c r="A524" s="47"/>
      <c r="B524" s="422"/>
      <c r="C524" s="176">
        <f t="shared" si="148"/>
        <v>521</v>
      </c>
      <c r="D524" s="146">
        <v>45805</v>
      </c>
      <c r="E524" s="37">
        <v>45806</v>
      </c>
      <c r="F524" s="65" t="s">
        <v>207</v>
      </c>
      <c r="G524" s="11" t="str">
        <f ca="1">IF(AND(E524&lt;&gt;"",E524&lt;TODAY()),"Disponible",IFERROR(INDEX(Vehiculos[Estado Vehiculo],MATCH(F524,Vehiculos[Placa Vehiculo],0)),""))</f>
        <v>Disponible</v>
      </c>
      <c r="H524" s="34" t="s">
        <v>237</v>
      </c>
      <c r="I524" s="34" t="s">
        <v>273</v>
      </c>
      <c r="J524" s="34" t="s">
        <v>282</v>
      </c>
      <c r="K524" s="39">
        <v>50430</v>
      </c>
      <c r="L524" s="39">
        <v>50948</v>
      </c>
      <c r="M524" s="15">
        <f t="shared" si="149"/>
        <v>518</v>
      </c>
      <c r="N524" s="15"/>
      <c r="O524" s="39"/>
      <c r="P524" s="36"/>
      <c r="Q524" s="16">
        <f t="shared" si="150"/>
        <v>0</v>
      </c>
      <c r="R524" s="34" t="s">
        <v>273</v>
      </c>
      <c r="S524" s="34" t="s">
        <v>102</v>
      </c>
      <c r="T524" s="36">
        <v>1.8</v>
      </c>
      <c r="U524" s="293">
        <f>Rutas[[#This Row],[Precio x Galón ($/gal)]]*Rutas[[#This Row],[Volumen de Combustible (gal)]]</f>
        <v>116.982</v>
      </c>
      <c r="V524" s="36"/>
      <c r="W524" s="36"/>
      <c r="X524" s="36"/>
      <c r="Y524" s="145">
        <f t="shared" si="151"/>
        <v>116.982</v>
      </c>
      <c r="Z524" s="567"/>
      <c r="AA524" s="12">
        <v>64.989999999999995</v>
      </c>
      <c r="AB524" s="12">
        <f t="shared" si="152"/>
        <v>7.970456993383598</v>
      </c>
      <c r="AC524" s="12">
        <f t="shared" si="153"/>
        <v>0</v>
      </c>
      <c r="AD524" s="34"/>
    </row>
    <row r="525" spans="1:30" ht="16" x14ac:dyDescent="0.2">
      <c r="A525" s="47"/>
      <c r="B525" s="422"/>
      <c r="C525" s="176">
        <f t="shared" si="148"/>
        <v>522</v>
      </c>
      <c r="D525" s="146">
        <v>45806</v>
      </c>
      <c r="E525" s="37">
        <v>45808</v>
      </c>
      <c r="F525" s="65" t="s">
        <v>207</v>
      </c>
      <c r="G525" s="11" t="str">
        <f ca="1">IF(AND(E525&lt;&gt;"",E525&lt;TODAY()),"Disponible",IFERROR(INDEX(Vehiculos[Estado Vehiculo],MATCH(F525,Vehiculos[Placa Vehiculo],0)),""))</f>
        <v>Disponible</v>
      </c>
      <c r="H525" s="34" t="s">
        <v>237</v>
      </c>
      <c r="I525" s="34" t="s">
        <v>273</v>
      </c>
      <c r="J525" s="34" t="s">
        <v>282</v>
      </c>
      <c r="K525" s="39">
        <v>50948</v>
      </c>
      <c r="L525" s="39">
        <v>51047</v>
      </c>
      <c r="M525" s="15">
        <f t="shared" si="149"/>
        <v>99</v>
      </c>
      <c r="N525" s="452">
        <v>440</v>
      </c>
      <c r="O525" s="39"/>
      <c r="P525" s="36"/>
      <c r="Q525" s="16">
        <f t="shared" si="150"/>
        <v>0</v>
      </c>
      <c r="R525" s="34" t="s">
        <v>273</v>
      </c>
      <c r="S525" s="34" t="s">
        <v>102</v>
      </c>
      <c r="T525" s="36"/>
      <c r="U525" s="293"/>
      <c r="V525" s="36"/>
      <c r="W525" s="36"/>
      <c r="X525" s="36"/>
      <c r="Y525" s="145">
        <f t="shared" si="151"/>
        <v>0</v>
      </c>
      <c r="Z525" s="567"/>
      <c r="AA525" s="12"/>
      <c r="AB525" s="12">
        <f t="shared" si="152"/>
        <v>0</v>
      </c>
      <c r="AC525" s="12">
        <f t="shared" si="153"/>
        <v>0</v>
      </c>
      <c r="AD525" s="34"/>
    </row>
    <row r="526" spans="1:30" ht="16" x14ac:dyDescent="0.2">
      <c r="A526" s="47"/>
      <c r="B526" s="422"/>
      <c r="C526" s="176">
        <f t="shared" si="148"/>
        <v>523</v>
      </c>
      <c r="D526" s="437"/>
      <c r="E526" s="438"/>
      <c r="F526" s="439"/>
      <c r="G526" s="440" t="str">
        <f ca="1">IF(AND(E526&lt;&gt;"",E526&lt;TODAY()),"Disponible",IFERROR(INDEX(Vehiculos[Estado Vehiculo],MATCH(F526,Vehiculos[Placa Vehiculo],0)),""))</f>
        <v/>
      </c>
      <c r="H526" s="441"/>
      <c r="I526" s="441"/>
      <c r="J526" s="441"/>
      <c r="K526" s="442"/>
      <c r="L526" s="442"/>
      <c r="M526" s="443"/>
      <c r="N526" s="443"/>
      <c r="O526" s="442"/>
      <c r="P526" s="444"/>
      <c r="Q526" s="445">
        <f t="shared" ref="Q526:Q531" si="154">M526*P526</f>
        <v>0</v>
      </c>
      <c r="R526" s="441"/>
      <c r="S526" s="441"/>
      <c r="T526" s="444"/>
      <c r="U526" s="446">
        <f>Rutas[[#This Row],[Precio x Galón ($/gal)]]*Rutas[[#This Row],[Volumen de Combustible (gal)]]</f>
        <v>0</v>
      </c>
      <c r="V526" s="444"/>
      <c r="W526" s="444"/>
      <c r="X526" s="444"/>
      <c r="Y526" s="447">
        <f t="shared" ref="Y526:Y531" si="155">U526+SUM(V526:X526)</f>
        <v>0</v>
      </c>
      <c r="Z526" s="570"/>
      <c r="AA526" s="448"/>
      <c r="AB526" s="448">
        <f t="shared" ref="AB526:AB531" si="156">IFERROR(M526/AA526,0)</f>
        <v>0</v>
      </c>
      <c r="AC526" s="448">
        <f t="shared" ref="AC526:AC531" si="157">IFERROR(Q526/M526,0)</f>
        <v>0</v>
      </c>
      <c r="AD526" s="441"/>
    </row>
    <row r="527" spans="1:30" ht="16" x14ac:dyDescent="0.2">
      <c r="A527" s="47"/>
      <c r="B527" s="422"/>
      <c r="C527" s="176">
        <f t="shared" si="148"/>
        <v>524</v>
      </c>
      <c r="D527" s="90">
        <v>45778</v>
      </c>
      <c r="E527" s="90">
        <v>45779</v>
      </c>
      <c r="F527" s="68" t="s">
        <v>208</v>
      </c>
      <c r="G527" s="379" t="str">
        <f ca="1">IF(AND(E527&lt;&gt;"",E527&lt;TODAY()),"Disponible",IFERROR(INDEX(Vehiculos[Estado Vehiculo],MATCH(F527,Vehiculos[Placa Vehiculo],0)),""))</f>
        <v>Disponible</v>
      </c>
      <c r="H527" s="89" t="s">
        <v>236</v>
      </c>
      <c r="I527" s="89" t="s">
        <v>273</v>
      </c>
      <c r="J527" s="89" t="s">
        <v>274</v>
      </c>
      <c r="K527" s="380">
        <v>90903</v>
      </c>
      <c r="L527" s="380">
        <v>91515</v>
      </c>
      <c r="M527" s="381">
        <f>L527-K527</f>
        <v>612</v>
      </c>
      <c r="N527" s="381"/>
      <c r="O527" s="380"/>
      <c r="P527" s="92"/>
      <c r="Q527" s="382">
        <f t="shared" si="154"/>
        <v>0</v>
      </c>
      <c r="R527" s="89" t="s">
        <v>273</v>
      </c>
      <c r="S527" s="89" t="s">
        <v>102</v>
      </c>
      <c r="T527" s="92">
        <v>1.8</v>
      </c>
      <c r="U527" s="266">
        <f>Rutas[[#This Row],[Precio x Galón ($/gal)]]*Rutas[[#This Row],[Volumen de Combustible (gal)]]</f>
        <v>204.732</v>
      </c>
      <c r="V527" s="92"/>
      <c r="W527" s="92"/>
      <c r="X527" s="92"/>
      <c r="Y527" s="382">
        <f t="shared" si="155"/>
        <v>204.732</v>
      </c>
      <c r="Z527" s="567"/>
      <c r="AA527" s="382">
        <v>113.74</v>
      </c>
      <c r="AB527" s="382">
        <f t="shared" si="156"/>
        <v>5.3806928081589591</v>
      </c>
      <c r="AC527" s="382">
        <f t="shared" si="157"/>
        <v>0</v>
      </c>
      <c r="AD527" s="89"/>
    </row>
    <row r="528" spans="1:30" ht="16" x14ac:dyDescent="0.2">
      <c r="A528" s="47"/>
      <c r="B528" s="422"/>
      <c r="C528" s="176">
        <f t="shared" si="148"/>
        <v>525</v>
      </c>
      <c r="D528" s="146">
        <v>45779</v>
      </c>
      <c r="E528" s="37">
        <v>45785</v>
      </c>
      <c r="F528" s="65" t="s">
        <v>208</v>
      </c>
      <c r="G528" s="11" t="str">
        <f ca="1">IF(AND(E528&lt;&gt;"",E528&lt;TODAY()),"Disponible",IFERROR(INDEX(Vehiculos[Estado Vehiculo],MATCH(F528,Vehiculos[Placa Vehiculo],0)),""))</f>
        <v>Disponible</v>
      </c>
      <c r="H528" s="34" t="s">
        <v>236</v>
      </c>
      <c r="I528" s="34" t="s">
        <v>273</v>
      </c>
      <c r="J528" s="34" t="s">
        <v>274</v>
      </c>
      <c r="K528" s="39">
        <v>91514</v>
      </c>
      <c r="L528" s="39">
        <v>91931</v>
      </c>
      <c r="M528" s="15">
        <f>L528-K528</f>
        <v>417</v>
      </c>
      <c r="N528" s="15"/>
      <c r="O528" s="39"/>
      <c r="P528" s="36"/>
      <c r="Q528" s="16">
        <f t="shared" si="154"/>
        <v>0</v>
      </c>
      <c r="R528" s="34" t="s">
        <v>273</v>
      </c>
      <c r="S528" s="34" t="s">
        <v>102</v>
      </c>
      <c r="T528" s="36">
        <v>1.8</v>
      </c>
      <c r="U528" s="293">
        <f>Rutas[[#This Row],[Precio x Galón ($/gal)]]*Rutas[[#This Row],[Volumen de Combustible (gal)]]</f>
        <v>149.59800000000001</v>
      </c>
      <c r="V528" s="36"/>
      <c r="W528" s="36"/>
      <c r="X528" s="36"/>
      <c r="Y528" s="145">
        <f t="shared" si="155"/>
        <v>149.59800000000001</v>
      </c>
      <c r="Z528" s="567"/>
      <c r="AA528" s="12">
        <v>83.11</v>
      </c>
      <c r="AB528" s="12">
        <f t="shared" si="156"/>
        <v>5.0174467573095898</v>
      </c>
      <c r="AC528" s="12">
        <f t="shared" si="157"/>
        <v>0</v>
      </c>
      <c r="AD528" s="34"/>
    </row>
    <row r="529" spans="1:30" ht="16" x14ac:dyDescent="0.2">
      <c r="A529" s="47"/>
      <c r="B529" s="422"/>
      <c r="C529" s="176">
        <f t="shared" si="148"/>
        <v>526</v>
      </c>
      <c r="D529" s="146">
        <v>45785</v>
      </c>
      <c r="E529" s="37">
        <v>45787</v>
      </c>
      <c r="F529" s="65" t="s">
        <v>208</v>
      </c>
      <c r="G529" s="11" t="str">
        <f ca="1">IF(AND(E529&lt;&gt;"",E529&lt;TODAY()),"Disponible",IFERROR(INDEX(Vehiculos[Estado Vehiculo],MATCH(F529,Vehiculos[Placa Vehiculo],0)),""))</f>
        <v>Disponible</v>
      </c>
      <c r="H529" s="34" t="s">
        <v>236</v>
      </c>
      <c r="I529" s="34" t="s">
        <v>273</v>
      </c>
      <c r="J529" s="34" t="s">
        <v>274</v>
      </c>
      <c r="K529" s="39">
        <v>91931</v>
      </c>
      <c r="L529" s="39">
        <v>92456</v>
      </c>
      <c r="M529" s="15">
        <f>L529-K529</f>
        <v>525</v>
      </c>
      <c r="N529" s="15"/>
      <c r="O529" s="39"/>
      <c r="P529" s="36"/>
      <c r="Q529" s="16">
        <f t="shared" si="154"/>
        <v>0</v>
      </c>
      <c r="R529" s="34" t="s">
        <v>273</v>
      </c>
      <c r="S529" s="34" t="s">
        <v>102</v>
      </c>
      <c r="T529" s="36">
        <v>1.8</v>
      </c>
      <c r="U529" s="293">
        <f>Rutas[[#This Row],[Precio x Galón ($/gal)]]*Rutas[[#This Row],[Volumen de Combustible (gal)]]</f>
        <v>178.03800000000001</v>
      </c>
      <c r="V529" s="36"/>
      <c r="W529" s="36"/>
      <c r="X529" s="36"/>
      <c r="Y529" s="145">
        <f t="shared" si="155"/>
        <v>178.03800000000001</v>
      </c>
      <c r="Z529" s="567"/>
      <c r="AA529" s="12">
        <v>98.91</v>
      </c>
      <c r="AB529" s="12">
        <f t="shared" si="156"/>
        <v>5.3078556263269645</v>
      </c>
      <c r="AC529" s="12">
        <f t="shared" si="157"/>
        <v>0</v>
      </c>
      <c r="AD529" s="34"/>
    </row>
    <row r="530" spans="1:30" ht="16" x14ac:dyDescent="0.2">
      <c r="A530" s="47"/>
      <c r="B530" s="422"/>
      <c r="C530" s="176">
        <f t="shared" si="148"/>
        <v>527</v>
      </c>
      <c r="D530" s="146">
        <v>45787</v>
      </c>
      <c r="E530" s="37">
        <v>45789</v>
      </c>
      <c r="F530" s="65" t="s">
        <v>208</v>
      </c>
      <c r="G530" s="11" t="str">
        <f ca="1">IF(AND(E530&lt;&gt;"",E530&lt;TODAY()),"Disponible",IFERROR(INDEX(Vehiculos[Estado Vehiculo],MATCH(F530,Vehiculos[Placa Vehiculo],0)),""))</f>
        <v>Disponible</v>
      </c>
      <c r="H530" s="34" t="s">
        <v>236</v>
      </c>
      <c r="I530" s="34" t="s">
        <v>273</v>
      </c>
      <c r="J530" s="34" t="s">
        <v>274</v>
      </c>
      <c r="K530" s="39">
        <v>92456</v>
      </c>
      <c r="L530" s="39">
        <v>92802</v>
      </c>
      <c r="M530" s="15">
        <f>L530-K530</f>
        <v>346</v>
      </c>
      <c r="N530" s="15"/>
      <c r="O530" s="39"/>
      <c r="P530" s="36"/>
      <c r="Q530" s="16">
        <f t="shared" si="154"/>
        <v>0</v>
      </c>
      <c r="R530" s="34" t="s">
        <v>273</v>
      </c>
      <c r="S530" s="34" t="s">
        <v>102</v>
      </c>
      <c r="T530" s="36">
        <v>1.8</v>
      </c>
      <c r="U530" s="293">
        <f>Rutas[[#This Row],[Precio x Galón ($/gal)]]*Rutas[[#This Row],[Volumen de Combustible (gal)]]</f>
        <v>135.46800000000002</v>
      </c>
      <c r="V530" s="36"/>
      <c r="W530" s="36"/>
      <c r="X530" s="36"/>
      <c r="Y530" s="145">
        <f t="shared" si="155"/>
        <v>135.46800000000002</v>
      </c>
      <c r="Z530" s="567"/>
      <c r="AA530" s="12">
        <v>75.260000000000005</v>
      </c>
      <c r="AB530" s="12">
        <f t="shared" si="156"/>
        <v>4.5973956949242618</v>
      </c>
      <c r="AC530" s="12">
        <f t="shared" si="157"/>
        <v>0</v>
      </c>
      <c r="AD530" s="34"/>
    </row>
    <row r="531" spans="1:30" ht="16" x14ac:dyDescent="0.2">
      <c r="A531" s="47"/>
      <c r="B531" s="422"/>
      <c r="C531" s="176">
        <f t="shared" si="148"/>
        <v>528</v>
      </c>
      <c r="D531" s="146">
        <v>45789</v>
      </c>
      <c r="E531" s="37">
        <v>45791</v>
      </c>
      <c r="F531" s="65" t="s">
        <v>208</v>
      </c>
      <c r="G531" s="11" t="str">
        <f ca="1">IF(AND(E531&lt;&gt;"",E531&lt;TODAY()),"Disponible",IFERROR(INDEX(Vehiculos[Estado Vehiculo],MATCH(F531,Vehiculos[Placa Vehiculo],0)),""))</f>
        <v>Disponible</v>
      </c>
      <c r="H531" s="34" t="s">
        <v>246</v>
      </c>
      <c r="I531" s="34" t="s">
        <v>273</v>
      </c>
      <c r="J531" s="34" t="s">
        <v>274</v>
      </c>
      <c r="K531" s="39">
        <v>92802</v>
      </c>
      <c r="L531" s="39">
        <v>93474</v>
      </c>
      <c r="M531" s="15">
        <f>L531-K531</f>
        <v>672</v>
      </c>
      <c r="N531" s="15"/>
      <c r="O531" s="39"/>
      <c r="P531" s="36"/>
      <c r="Q531" s="16">
        <f t="shared" si="154"/>
        <v>0</v>
      </c>
      <c r="R531" s="34" t="s">
        <v>273</v>
      </c>
      <c r="S531" s="34" t="s">
        <v>102</v>
      </c>
      <c r="T531" s="36">
        <v>1.8</v>
      </c>
      <c r="U531" s="293">
        <f>Rutas[[#This Row],[Precio x Galón ($/gal)]]*Rutas[[#This Row],[Volumen de Combustible (gal)]]</f>
        <v>229.626</v>
      </c>
      <c r="V531" s="36"/>
      <c r="W531" s="36"/>
      <c r="X531" s="36"/>
      <c r="Y531" s="145">
        <f t="shared" si="155"/>
        <v>229.626</v>
      </c>
      <c r="Z531" s="567"/>
      <c r="AA531" s="12">
        <v>127.57</v>
      </c>
      <c r="AB531" s="12">
        <f t="shared" si="156"/>
        <v>5.2676961668103788</v>
      </c>
      <c r="AC531" s="12">
        <f t="shared" si="157"/>
        <v>0</v>
      </c>
      <c r="AD531" s="34"/>
    </row>
    <row r="532" spans="1:30" ht="16" x14ac:dyDescent="0.2">
      <c r="A532" s="47"/>
      <c r="B532" s="422"/>
      <c r="C532" s="176">
        <f t="shared" si="148"/>
        <v>529</v>
      </c>
      <c r="D532" s="146">
        <v>45791</v>
      </c>
      <c r="E532" s="37">
        <v>45794</v>
      </c>
      <c r="F532" s="65" t="s">
        <v>208</v>
      </c>
      <c r="G532" s="11" t="str">
        <f ca="1">IF(AND(E532&lt;&gt;"",E532&lt;TODAY()),"Disponible",IFERROR(INDEX(Vehiculos[Estado Vehiculo],MATCH(F532,Vehiculos[Placa Vehiculo],0)),""))</f>
        <v>Disponible</v>
      </c>
      <c r="H532" s="34" t="s">
        <v>246</v>
      </c>
      <c r="I532" s="34" t="s">
        <v>273</v>
      </c>
      <c r="J532" s="34" t="s">
        <v>274</v>
      </c>
      <c r="K532" s="39">
        <v>93474</v>
      </c>
      <c r="L532" s="39">
        <v>94061</v>
      </c>
      <c r="M532" s="15">
        <f t="shared" ref="M532:M538" si="158">L532-K532</f>
        <v>587</v>
      </c>
      <c r="N532" s="15"/>
      <c r="O532" s="39"/>
      <c r="P532" s="36"/>
      <c r="Q532" s="16">
        <f t="shared" ref="Q532:Q538" si="159">M532*P532</f>
        <v>0</v>
      </c>
      <c r="R532" s="34" t="s">
        <v>273</v>
      </c>
      <c r="S532" s="34" t="s">
        <v>102</v>
      </c>
      <c r="T532" s="36">
        <v>1.8</v>
      </c>
      <c r="U532" s="293">
        <f>Rutas[[#This Row],[Precio x Galón ($/gal)]]*Rutas[[#This Row],[Volumen de Combustible (gal)]]</f>
        <v>182.934</v>
      </c>
      <c r="V532" s="36"/>
      <c r="W532" s="36"/>
      <c r="X532" s="36"/>
      <c r="Y532" s="145">
        <f t="shared" ref="Y532:Y538" si="160">U532+SUM(V532:X532)</f>
        <v>182.934</v>
      </c>
      <c r="Z532" s="567"/>
      <c r="AA532" s="12">
        <v>101.63</v>
      </c>
      <c r="AB532" s="12">
        <f t="shared" ref="AB532:AB538" si="161">IFERROR(M532/AA532,0)</f>
        <v>5.7758535865394078</v>
      </c>
      <c r="AC532" s="12">
        <f t="shared" ref="AC532:AC538" si="162">IFERROR(Q532/M532,0)</f>
        <v>0</v>
      </c>
      <c r="AD532" s="34"/>
    </row>
    <row r="533" spans="1:30" ht="16" x14ac:dyDescent="0.2">
      <c r="A533" s="47"/>
      <c r="B533" s="422"/>
      <c r="C533" s="176">
        <f t="shared" si="148"/>
        <v>530</v>
      </c>
      <c r="D533" s="146">
        <v>45794</v>
      </c>
      <c r="E533" s="37">
        <v>45796</v>
      </c>
      <c r="F533" s="65" t="s">
        <v>208</v>
      </c>
      <c r="G533" s="11" t="str">
        <f ca="1">IF(AND(E533&lt;&gt;"",E533&lt;TODAY()),"Disponible",IFERROR(INDEX(Vehiculos[Estado Vehiculo],MATCH(F533,Vehiculos[Placa Vehiculo],0)),""))</f>
        <v>Disponible</v>
      </c>
      <c r="H533" s="34" t="s">
        <v>246</v>
      </c>
      <c r="I533" s="34" t="s">
        <v>273</v>
      </c>
      <c r="J533" s="34" t="s">
        <v>274</v>
      </c>
      <c r="K533" s="39">
        <v>94061</v>
      </c>
      <c r="L533" s="39">
        <v>94768</v>
      </c>
      <c r="M533" s="15">
        <f t="shared" si="158"/>
        <v>707</v>
      </c>
      <c r="N533" s="15"/>
      <c r="O533" s="39"/>
      <c r="P533" s="36"/>
      <c r="Q533" s="16">
        <f t="shared" si="159"/>
        <v>0</v>
      </c>
      <c r="R533" s="34" t="s">
        <v>273</v>
      </c>
      <c r="S533" s="34" t="s">
        <v>102</v>
      </c>
      <c r="T533" s="36">
        <v>1.8</v>
      </c>
      <c r="U533" s="293">
        <f>Rutas[[#This Row],[Precio x Galón ($/gal)]]*Rutas[[#This Row],[Volumen de Combustible (gal)]]</f>
        <v>251.62199999999999</v>
      </c>
      <c r="V533" s="36"/>
      <c r="W533" s="36"/>
      <c r="X533" s="36"/>
      <c r="Y533" s="145">
        <f t="shared" si="160"/>
        <v>251.62199999999999</v>
      </c>
      <c r="Z533" s="567"/>
      <c r="AA533" s="12">
        <v>139.79</v>
      </c>
      <c r="AB533" s="12">
        <f t="shared" si="161"/>
        <v>5.0575863795693543</v>
      </c>
      <c r="AC533" s="12">
        <f t="shared" si="162"/>
        <v>0</v>
      </c>
      <c r="AD533" s="34"/>
    </row>
    <row r="534" spans="1:30" ht="16" x14ac:dyDescent="0.2">
      <c r="A534" s="47"/>
      <c r="B534" s="422"/>
      <c r="C534" s="176">
        <f t="shared" si="148"/>
        <v>531</v>
      </c>
      <c r="D534" s="146">
        <v>45796</v>
      </c>
      <c r="E534" s="37">
        <v>45797</v>
      </c>
      <c r="F534" s="65" t="s">
        <v>208</v>
      </c>
      <c r="G534" s="11" t="str">
        <f ca="1">IF(AND(E534&lt;&gt;"",E534&lt;TODAY()),"Disponible",IFERROR(INDEX(Vehiculos[Estado Vehiculo],MATCH(F534,Vehiculos[Placa Vehiculo],0)),""))</f>
        <v>Disponible</v>
      </c>
      <c r="H534" s="34" t="s">
        <v>246</v>
      </c>
      <c r="I534" s="34" t="s">
        <v>273</v>
      </c>
      <c r="J534" s="34" t="s">
        <v>274</v>
      </c>
      <c r="K534" s="39">
        <v>94768</v>
      </c>
      <c r="L534" s="39">
        <v>95413</v>
      </c>
      <c r="M534" s="15">
        <f t="shared" si="158"/>
        <v>645</v>
      </c>
      <c r="N534" s="15"/>
      <c r="O534" s="39"/>
      <c r="P534" s="36"/>
      <c r="Q534" s="16">
        <f t="shared" si="159"/>
        <v>0</v>
      </c>
      <c r="R534" s="34" t="s">
        <v>273</v>
      </c>
      <c r="S534" s="34" t="s">
        <v>102</v>
      </c>
      <c r="T534" s="36">
        <v>1.8</v>
      </c>
      <c r="U534" s="293">
        <f>Rutas[[#This Row],[Precio x Galón ($/gal)]]*Rutas[[#This Row],[Volumen de Combustible (gal)]]</f>
        <v>220.12200000000001</v>
      </c>
      <c r="V534" s="36"/>
      <c r="W534" s="36"/>
      <c r="X534" s="36"/>
      <c r="Y534" s="145">
        <f t="shared" si="160"/>
        <v>220.12200000000001</v>
      </c>
      <c r="Z534" s="567"/>
      <c r="AA534" s="12">
        <v>122.29</v>
      </c>
      <c r="AB534" s="12">
        <f t="shared" si="161"/>
        <v>5.2743478616403632</v>
      </c>
      <c r="AC534" s="12">
        <f t="shared" si="162"/>
        <v>0</v>
      </c>
      <c r="AD534" s="34"/>
    </row>
    <row r="535" spans="1:30" ht="16" x14ac:dyDescent="0.2">
      <c r="A535" s="47"/>
      <c r="B535" s="422"/>
      <c r="C535" s="176">
        <f t="shared" si="148"/>
        <v>532</v>
      </c>
      <c r="D535" s="146">
        <v>45797</v>
      </c>
      <c r="E535" s="37">
        <v>45798</v>
      </c>
      <c r="F535" s="65" t="s">
        <v>208</v>
      </c>
      <c r="G535" s="11" t="str">
        <f ca="1">IF(AND(E535&lt;&gt;"",E535&lt;TODAY()),"Disponible",IFERROR(INDEX(Vehiculos[Estado Vehiculo],MATCH(F535,Vehiculos[Placa Vehiculo],0)),""))</f>
        <v>Disponible</v>
      </c>
      <c r="H535" s="34" t="s">
        <v>246</v>
      </c>
      <c r="I535" s="34" t="s">
        <v>273</v>
      </c>
      <c r="J535" s="34" t="s">
        <v>274</v>
      </c>
      <c r="K535" s="39">
        <v>95413</v>
      </c>
      <c r="L535" s="39">
        <v>96192</v>
      </c>
      <c r="M535" s="15">
        <f t="shared" si="158"/>
        <v>779</v>
      </c>
      <c r="N535" s="15"/>
      <c r="O535" s="39"/>
      <c r="P535" s="36"/>
      <c r="Q535" s="16">
        <f t="shared" si="159"/>
        <v>0</v>
      </c>
      <c r="R535" s="34" t="s">
        <v>273</v>
      </c>
      <c r="S535" s="34" t="s">
        <v>102</v>
      </c>
      <c r="T535" s="36">
        <v>1.8</v>
      </c>
      <c r="U535" s="293">
        <f>Rutas[[#This Row],[Precio x Galón ($/gal)]]*Rutas[[#This Row],[Volumen de Combustible (gal)]]</f>
        <v>236.70000000000002</v>
      </c>
      <c r="V535" s="36"/>
      <c r="W535" s="36"/>
      <c r="X535" s="36"/>
      <c r="Y535" s="145">
        <f t="shared" si="160"/>
        <v>236.70000000000002</v>
      </c>
      <c r="Z535" s="567"/>
      <c r="AA535" s="12">
        <v>131.5</v>
      </c>
      <c r="AB535" s="12">
        <f t="shared" si="161"/>
        <v>5.9239543726235739</v>
      </c>
      <c r="AC535" s="12">
        <f t="shared" si="162"/>
        <v>0</v>
      </c>
      <c r="AD535" s="34"/>
    </row>
    <row r="536" spans="1:30" ht="16" x14ac:dyDescent="0.2">
      <c r="A536" s="47"/>
      <c r="B536" s="422"/>
      <c r="C536" s="176">
        <f t="shared" si="148"/>
        <v>533</v>
      </c>
      <c r="D536" s="146">
        <v>45798</v>
      </c>
      <c r="E536" s="37">
        <v>45800</v>
      </c>
      <c r="F536" s="65" t="s">
        <v>208</v>
      </c>
      <c r="G536" s="11" t="str">
        <f ca="1">IF(AND(E536&lt;&gt;"",E536&lt;TODAY()),"Disponible",IFERROR(INDEX(Vehiculos[Estado Vehiculo],MATCH(F536,Vehiculos[Placa Vehiculo],0)),""))</f>
        <v>Disponible</v>
      </c>
      <c r="H536" s="34" t="s">
        <v>231</v>
      </c>
      <c r="I536" s="34" t="s">
        <v>273</v>
      </c>
      <c r="J536" s="34" t="s">
        <v>274</v>
      </c>
      <c r="K536" s="39">
        <v>96192</v>
      </c>
      <c r="L536" s="39">
        <v>96756</v>
      </c>
      <c r="M536" s="15">
        <f t="shared" si="158"/>
        <v>564</v>
      </c>
      <c r="N536" s="15"/>
      <c r="O536" s="39"/>
      <c r="P536" s="36"/>
      <c r="Q536" s="16">
        <f t="shared" si="159"/>
        <v>0</v>
      </c>
      <c r="R536" s="34" t="s">
        <v>273</v>
      </c>
      <c r="S536" s="34" t="s">
        <v>102</v>
      </c>
      <c r="T536" s="36">
        <v>1.8</v>
      </c>
      <c r="U536" s="293">
        <f>Rutas[[#This Row],[Precio x Galón ($/gal)]]*Rutas[[#This Row],[Volumen de Combustible (gal)]]</f>
        <v>195.3</v>
      </c>
      <c r="V536" s="36"/>
      <c r="W536" s="36"/>
      <c r="X536" s="36"/>
      <c r="Y536" s="145">
        <f t="shared" si="160"/>
        <v>195.3</v>
      </c>
      <c r="Z536" s="567"/>
      <c r="AA536" s="12">
        <v>108.5</v>
      </c>
      <c r="AB536" s="12">
        <f t="shared" si="161"/>
        <v>5.1981566820276495</v>
      </c>
      <c r="AC536" s="12">
        <f t="shared" si="162"/>
        <v>0</v>
      </c>
      <c r="AD536" s="34"/>
    </row>
    <row r="537" spans="1:30" ht="16" x14ac:dyDescent="0.2">
      <c r="A537" s="47"/>
      <c r="B537" s="422"/>
      <c r="C537" s="176">
        <f t="shared" si="148"/>
        <v>534</v>
      </c>
      <c r="D537" s="146">
        <v>45800</v>
      </c>
      <c r="E537" s="37">
        <v>45802</v>
      </c>
      <c r="F537" s="65" t="s">
        <v>208</v>
      </c>
      <c r="G537" s="11" t="str">
        <f ca="1">IF(AND(E537&lt;&gt;"",E537&lt;TODAY()),"Disponible",IFERROR(INDEX(Vehiculos[Estado Vehiculo],MATCH(F537,Vehiculos[Placa Vehiculo],0)),""))</f>
        <v>Disponible</v>
      </c>
      <c r="H537" s="34" t="s">
        <v>231</v>
      </c>
      <c r="I537" s="34" t="s">
        <v>273</v>
      </c>
      <c r="J537" s="34" t="s">
        <v>274</v>
      </c>
      <c r="K537" s="39">
        <v>96756</v>
      </c>
      <c r="L537" s="39">
        <v>97434</v>
      </c>
      <c r="M537" s="15">
        <f>L537-K537</f>
        <v>678</v>
      </c>
      <c r="N537" s="15"/>
      <c r="O537" s="39"/>
      <c r="P537" s="36"/>
      <c r="Q537" s="16">
        <f>M537*P537</f>
        <v>0</v>
      </c>
      <c r="R537" s="34" t="s">
        <v>273</v>
      </c>
      <c r="S537" s="34" t="s">
        <v>102</v>
      </c>
      <c r="T537" s="36">
        <v>1.8</v>
      </c>
      <c r="U537" s="293">
        <f>Rutas[[#This Row],[Precio x Galón ($/gal)]]*Rutas[[#This Row],[Volumen de Combustible (gal)]]</f>
        <v>202.08599999999998</v>
      </c>
      <c r="V537" s="36"/>
      <c r="W537" s="36"/>
      <c r="X537" s="36"/>
      <c r="Y537" s="145">
        <f>U537+SUM(V537:X537)</f>
        <v>202.08599999999998</v>
      </c>
      <c r="Z537" s="567"/>
      <c r="AA537" s="12">
        <v>112.27</v>
      </c>
      <c r="AB537" s="12">
        <f>IFERROR(M537/AA537,0)</f>
        <v>6.039013093435468</v>
      </c>
      <c r="AC537" s="12">
        <f>IFERROR(Q537/M537,0)</f>
        <v>0</v>
      </c>
      <c r="AD537" s="34"/>
    </row>
    <row r="538" spans="1:30" ht="16" x14ac:dyDescent="0.2">
      <c r="A538" s="47"/>
      <c r="B538" s="422"/>
      <c r="C538" s="176">
        <f t="shared" si="148"/>
        <v>535</v>
      </c>
      <c r="D538" s="146">
        <v>45802</v>
      </c>
      <c r="E538" s="37">
        <v>45804</v>
      </c>
      <c r="F538" s="65" t="s">
        <v>208</v>
      </c>
      <c r="G538" s="11" t="str">
        <f ca="1">IF(AND(E538&lt;&gt;"",E538&lt;TODAY()),"Disponible",IFERROR(INDEX(Vehiculos[Estado Vehiculo],MATCH(F538,Vehiculos[Placa Vehiculo],0)),""))</f>
        <v>Disponible</v>
      </c>
      <c r="H538" s="34" t="s">
        <v>231</v>
      </c>
      <c r="I538" s="34" t="s">
        <v>273</v>
      </c>
      <c r="J538" s="34" t="s">
        <v>274</v>
      </c>
      <c r="K538" s="39">
        <v>97434</v>
      </c>
      <c r="L538" s="39">
        <v>98010</v>
      </c>
      <c r="M538" s="15">
        <f t="shared" si="158"/>
        <v>576</v>
      </c>
      <c r="N538" s="15"/>
      <c r="O538" s="39"/>
      <c r="P538" s="36"/>
      <c r="Q538" s="16">
        <f t="shared" si="159"/>
        <v>0</v>
      </c>
      <c r="R538" s="34" t="s">
        <v>273</v>
      </c>
      <c r="S538" s="34" t="s">
        <v>102</v>
      </c>
      <c r="T538" s="36">
        <v>1.8</v>
      </c>
      <c r="U538" s="293">
        <f>Rutas[[#This Row],[Precio x Galón ($/gal)]]*Rutas[[#This Row],[Volumen de Combustible (gal)]]</f>
        <v>76.5</v>
      </c>
      <c r="V538" s="36"/>
      <c r="W538" s="36"/>
      <c r="X538" s="36"/>
      <c r="Y538" s="145">
        <f t="shared" si="160"/>
        <v>76.5</v>
      </c>
      <c r="Z538" s="567"/>
      <c r="AA538" s="12">
        <v>42.5</v>
      </c>
      <c r="AB538" s="12">
        <f t="shared" si="161"/>
        <v>13.552941176470588</v>
      </c>
      <c r="AC538" s="12">
        <f t="shared" si="162"/>
        <v>0</v>
      </c>
      <c r="AD538" s="34"/>
    </row>
    <row r="539" spans="1:30" ht="16" x14ac:dyDescent="0.2">
      <c r="A539" s="47"/>
      <c r="B539" s="422"/>
      <c r="C539" s="176">
        <f t="shared" si="148"/>
        <v>536</v>
      </c>
      <c r="D539" s="146">
        <v>45804</v>
      </c>
      <c r="E539" s="37">
        <v>45805</v>
      </c>
      <c r="F539" s="65" t="s">
        <v>208</v>
      </c>
      <c r="G539" s="11" t="s">
        <v>349</v>
      </c>
      <c r="H539" s="34" t="s">
        <v>231</v>
      </c>
      <c r="I539" s="34" t="s">
        <v>273</v>
      </c>
      <c r="J539" s="34" t="s">
        <v>274</v>
      </c>
      <c r="K539" s="39">
        <v>98010</v>
      </c>
      <c r="L539" s="39">
        <v>98344</v>
      </c>
      <c r="M539" s="15">
        <f t="shared" ref="M539:M546" si="163">L539-K539</f>
        <v>334</v>
      </c>
      <c r="N539" s="15"/>
      <c r="O539" s="39"/>
      <c r="P539" s="36"/>
      <c r="Q539" s="16">
        <f t="shared" ref="Q539:Q546" si="164">M539*P539</f>
        <v>0</v>
      </c>
      <c r="R539" s="34" t="s">
        <v>273</v>
      </c>
      <c r="S539" s="34" t="s">
        <v>102</v>
      </c>
      <c r="T539" s="36">
        <v>1.8</v>
      </c>
      <c r="U539" s="293">
        <f>Rutas[[#This Row],[Precio x Galón ($/gal)]]*Rutas[[#This Row],[Volumen de Combustible (gal)]]</f>
        <v>180.16200000000001</v>
      </c>
      <c r="V539" s="36"/>
      <c r="W539" s="36"/>
      <c r="X539" s="36"/>
      <c r="Y539" s="145">
        <f t="shared" ref="Y539:Y546" si="165">U539+SUM(V539:X539)</f>
        <v>180.16200000000001</v>
      </c>
      <c r="Z539" s="567"/>
      <c r="AA539" s="12">
        <v>100.09</v>
      </c>
      <c r="AB539" s="12">
        <f t="shared" ref="AB539:AB546" si="166">IFERROR(M539/AA539,0)</f>
        <v>3.3369967029673293</v>
      </c>
      <c r="AC539" s="12">
        <f t="shared" ref="AC539:AC546" si="167">IFERROR(Q539/M539,0)</f>
        <v>0</v>
      </c>
      <c r="AD539" s="34"/>
    </row>
    <row r="540" spans="1:30" ht="16" x14ac:dyDescent="0.2">
      <c r="A540" s="47"/>
      <c r="B540" s="422"/>
      <c r="C540" s="176">
        <f t="shared" si="148"/>
        <v>537</v>
      </c>
      <c r="D540" s="146">
        <v>45805</v>
      </c>
      <c r="E540" s="37">
        <v>45807</v>
      </c>
      <c r="F540" s="65" t="s">
        <v>208</v>
      </c>
      <c r="G540" s="11" t="str">
        <f ca="1">IF(AND(E540&lt;&gt;"",E540&lt;TODAY()),"Disponible",IFERROR(INDEX(Vehiculos[Estado Vehiculo],MATCH(F540,Vehiculos[Placa Vehiculo],0)),""))</f>
        <v>Disponible</v>
      </c>
      <c r="H540" s="34" t="s">
        <v>231</v>
      </c>
      <c r="I540" s="34" t="s">
        <v>273</v>
      </c>
      <c r="J540" s="34" t="s">
        <v>274</v>
      </c>
      <c r="K540" s="39">
        <v>98344</v>
      </c>
      <c r="L540" s="39">
        <v>98926</v>
      </c>
      <c r="M540" s="15">
        <f t="shared" si="163"/>
        <v>582</v>
      </c>
      <c r="N540" s="15"/>
      <c r="O540" s="39"/>
      <c r="P540" s="36"/>
      <c r="Q540" s="16">
        <f t="shared" si="164"/>
        <v>0</v>
      </c>
      <c r="R540" s="34" t="s">
        <v>273</v>
      </c>
      <c r="S540" s="34" t="s">
        <v>102</v>
      </c>
      <c r="T540" s="36">
        <v>1.8</v>
      </c>
      <c r="U540" s="293">
        <f>Rutas[[#This Row],[Precio x Galón ($/gal)]]*Rutas[[#This Row],[Volumen de Combustible (gal)]]</f>
        <v>162.41400000000002</v>
      </c>
      <c r="V540" s="36"/>
      <c r="W540" s="36"/>
      <c r="X540" s="36"/>
      <c r="Y540" s="145">
        <f t="shared" si="165"/>
        <v>162.41400000000002</v>
      </c>
      <c r="Z540" s="567"/>
      <c r="AA540" s="12">
        <v>90.23</v>
      </c>
      <c r="AB540" s="12">
        <f t="shared" si="166"/>
        <v>6.4501828660090874</v>
      </c>
      <c r="AC540" s="12">
        <f t="shared" si="167"/>
        <v>0</v>
      </c>
      <c r="AD540" s="34"/>
    </row>
    <row r="541" spans="1:30" ht="16" x14ac:dyDescent="0.2">
      <c r="A541" s="47"/>
      <c r="B541" s="422"/>
      <c r="C541" s="176">
        <f t="shared" si="148"/>
        <v>538</v>
      </c>
      <c r="D541" s="146">
        <v>45807</v>
      </c>
      <c r="E541" s="37">
        <v>45808</v>
      </c>
      <c r="F541" s="65" t="s">
        <v>208</v>
      </c>
      <c r="G541" s="11" t="str">
        <f ca="1">IF(AND(E541&lt;&gt;"",E541&lt;TODAY()),"Disponible",IFERROR(INDEX(Vehiculos[Estado Vehiculo],MATCH(F541,Vehiculos[Placa Vehiculo],0)),""))</f>
        <v>Disponible</v>
      </c>
      <c r="H541" s="34" t="s">
        <v>231</v>
      </c>
      <c r="I541" s="34" t="s">
        <v>273</v>
      </c>
      <c r="J541" s="34" t="s">
        <v>274</v>
      </c>
      <c r="K541" s="39">
        <v>98926</v>
      </c>
      <c r="L541" s="39">
        <v>99095</v>
      </c>
      <c r="M541" s="15">
        <f t="shared" si="163"/>
        <v>169</v>
      </c>
      <c r="N541" s="452">
        <v>623</v>
      </c>
      <c r="O541" s="39"/>
      <c r="P541" s="36"/>
      <c r="Q541" s="16">
        <f t="shared" si="164"/>
        <v>0</v>
      </c>
      <c r="R541" s="34" t="s">
        <v>273</v>
      </c>
      <c r="S541" s="34" t="s">
        <v>102</v>
      </c>
      <c r="T541" s="36">
        <v>1.8</v>
      </c>
      <c r="U541" s="293">
        <f>Rutas[[#This Row],[Precio x Galón ($/gal)]]*Rutas[[#This Row],[Volumen de Combustible (gal)]]</f>
        <v>103.986</v>
      </c>
      <c r="V541" s="36"/>
      <c r="W541" s="36"/>
      <c r="X541" s="36"/>
      <c r="Y541" s="145">
        <f t="shared" si="165"/>
        <v>103.986</v>
      </c>
      <c r="Z541" s="567"/>
      <c r="AA541" s="12">
        <v>57.77</v>
      </c>
      <c r="AB541" s="12">
        <f t="shared" si="166"/>
        <v>2.9253938030119437</v>
      </c>
      <c r="AC541" s="12">
        <f t="shared" si="167"/>
        <v>0</v>
      </c>
      <c r="AD541" s="34"/>
    </row>
    <row r="542" spans="1:30" ht="16" x14ac:dyDescent="0.2">
      <c r="A542" s="47"/>
      <c r="B542" s="422"/>
      <c r="C542" s="176">
        <f t="shared" si="148"/>
        <v>539</v>
      </c>
      <c r="D542" s="437"/>
      <c r="E542" s="438"/>
      <c r="F542" s="439"/>
      <c r="G542" s="440" t="str">
        <f ca="1">IF(AND(E542&lt;&gt;"",E542&lt;TODAY()),"Disponible",IFERROR(INDEX(Vehiculos[Estado Vehiculo],MATCH(F542,Vehiculos[Placa Vehiculo],0)),""))</f>
        <v/>
      </c>
      <c r="H542" s="441"/>
      <c r="I542" s="441"/>
      <c r="J542" s="441"/>
      <c r="K542" s="442"/>
      <c r="L542" s="442"/>
      <c r="M542" s="443">
        <f t="shared" si="163"/>
        <v>0</v>
      </c>
      <c r="N542" s="443"/>
      <c r="O542" s="442"/>
      <c r="P542" s="444"/>
      <c r="Q542" s="445">
        <f t="shared" si="164"/>
        <v>0</v>
      </c>
      <c r="R542" s="441"/>
      <c r="S542" s="441"/>
      <c r="T542" s="444"/>
      <c r="U542" s="446"/>
      <c r="V542" s="444"/>
      <c r="W542" s="444"/>
      <c r="X542" s="444"/>
      <c r="Y542" s="447">
        <f t="shared" si="165"/>
        <v>0</v>
      </c>
      <c r="Z542" s="570"/>
      <c r="AA542" s="448"/>
      <c r="AB542" s="448">
        <f t="shared" si="166"/>
        <v>0</v>
      </c>
      <c r="AC542" s="448">
        <f t="shared" si="167"/>
        <v>0</v>
      </c>
      <c r="AD542" s="441"/>
    </row>
    <row r="543" spans="1:30" ht="16" x14ac:dyDescent="0.2">
      <c r="A543" s="47"/>
      <c r="B543" s="422"/>
      <c r="C543" s="176">
        <f t="shared" si="148"/>
        <v>540</v>
      </c>
      <c r="D543" s="90">
        <v>45778</v>
      </c>
      <c r="E543" s="90">
        <v>45779</v>
      </c>
      <c r="F543" s="68" t="s">
        <v>209</v>
      </c>
      <c r="G543" s="379" t="str">
        <f ca="1">IF(AND(E543&lt;&gt;"",E543&lt;TODAY()),"Disponible",IFERROR(INDEX(Vehiculos[Estado Vehiculo],MATCH(F543,Vehiculos[Placa Vehiculo],0)),""))</f>
        <v>Disponible</v>
      </c>
      <c r="H543" s="89" t="s">
        <v>235</v>
      </c>
      <c r="I543" s="89" t="s">
        <v>273</v>
      </c>
      <c r="J543" s="89" t="s">
        <v>274</v>
      </c>
      <c r="K543" s="380">
        <v>91100</v>
      </c>
      <c r="L543" s="380">
        <v>91697</v>
      </c>
      <c r="M543" s="381">
        <f t="shared" si="163"/>
        <v>597</v>
      </c>
      <c r="N543" s="381"/>
      <c r="O543" s="380"/>
      <c r="P543" s="92"/>
      <c r="Q543" s="382">
        <f t="shared" si="164"/>
        <v>0</v>
      </c>
      <c r="R543" s="89" t="s">
        <v>273</v>
      </c>
      <c r="S543" s="89" t="s">
        <v>102</v>
      </c>
      <c r="T543" s="92">
        <v>1.8</v>
      </c>
      <c r="U543" s="266">
        <f>Rutas[[#This Row],[Precio x Galón ($/gal)]]*Rutas[[#This Row],[Volumen de Combustible (gal)]]</f>
        <v>198.99</v>
      </c>
      <c r="V543" s="92"/>
      <c r="W543" s="92"/>
      <c r="X543" s="92"/>
      <c r="Y543" s="382">
        <f t="shared" si="165"/>
        <v>198.99</v>
      </c>
      <c r="Z543" s="567"/>
      <c r="AA543" s="382">
        <v>110.55</v>
      </c>
      <c r="AB543" s="382">
        <f t="shared" si="166"/>
        <v>5.400271370420624</v>
      </c>
      <c r="AC543" s="382">
        <f t="shared" si="167"/>
        <v>0</v>
      </c>
      <c r="AD543" s="89"/>
    </row>
    <row r="544" spans="1:30" ht="16" x14ac:dyDescent="0.2">
      <c r="A544" s="47"/>
      <c r="B544" s="422"/>
      <c r="C544" s="176">
        <f t="shared" si="148"/>
        <v>541</v>
      </c>
      <c r="D544" s="146">
        <v>45779</v>
      </c>
      <c r="E544" s="37">
        <v>45781</v>
      </c>
      <c r="F544" s="65" t="s">
        <v>209</v>
      </c>
      <c r="G544" s="11" t="str">
        <f ca="1">IF(AND(E544&lt;&gt;"",E544&lt;TODAY()),"Disponible",IFERROR(INDEX(Vehiculos[Estado Vehiculo],MATCH(F544,Vehiculos[Placa Vehiculo],0)),""))</f>
        <v>Disponible</v>
      </c>
      <c r="H544" s="34" t="s">
        <v>241</v>
      </c>
      <c r="I544" s="34" t="s">
        <v>273</v>
      </c>
      <c r="J544" s="34" t="s">
        <v>274</v>
      </c>
      <c r="K544" s="39">
        <v>91697</v>
      </c>
      <c r="L544" s="39">
        <v>92288</v>
      </c>
      <c r="M544" s="15">
        <f t="shared" si="163"/>
        <v>591</v>
      </c>
      <c r="N544" s="15"/>
      <c r="O544" s="39"/>
      <c r="P544" s="36"/>
      <c r="Q544" s="16">
        <f t="shared" si="164"/>
        <v>0</v>
      </c>
      <c r="R544" s="34" t="s">
        <v>273</v>
      </c>
      <c r="S544" s="34" t="s">
        <v>102</v>
      </c>
      <c r="T544" s="36">
        <v>1.8</v>
      </c>
      <c r="U544" s="293">
        <f>Rutas[[#This Row],[Precio x Galón ($/gal)]]*Rutas[[#This Row],[Volumen de Combustible (gal)]]</f>
        <v>202.12200000000001</v>
      </c>
      <c r="V544" s="36"/>
      <c r="W544" s="36"/>
      <c r="X544" s="36"/>
      <c r="Y544" s="145">
        <f t="shared" si="165"/>
        <v>202.12200000000001</v>
      </c>
      <c r="Z544" s="567"/>
      <c r="AA544" s="12">
        <v>112.29</v>
      </c>
      <c r="AB544" s="12">
        <f t="shared" si="166"/>
        <v>5.2631578947368416</v>
      </c>
      <c r="AC544" s="12">
        <f t="shared" si="167"/>
        <v>0</v>
      </c>
      <c r="AD544" s="34"/>
    </row>
    <row r="545" spans="1:30" ht="16" x14ac:dyDescent="0.2">
      <c r="A545" s="47"/>
      <c r="B545" s="422"/>
      <c r="C545" s="176">
        <f t="shared" si="148"/>
        <v>542</v>
      </c>
      <c r="D545" s="146">
        <v>45781</v>
      </c>
      <c r="E545" s="37">
        <v>45783</v>
      </c>
      <c r="F545" s="65" t="s">
        <v>209</v>
      </c>
      <c r="G545" s="11" t="str">
        <f ca="1">IF(AND(E545&lt;&gt;"",E545&lt;TODAY()),"Disponible",IFERROR(INDEX(Vehiculos[Estado Vehiculo],MATCH(F545,Vehiculos[Placa Vehiculo],0)),""))</f>
        <v>Disponible</v>
      </c>
      <c r="H545" s="34" t="s">
        <v>235</v>
      </c>
      <c r="I545" s="34" t="s">
        <v>273</v>
      </c>
      <c r="J545" s="34" t="s">
        <v>274</v>
      </c>
      <c r="K545" s="39">
        <v>92288</v>
      </c>
      <c r="L545" s="39">
        <v>92714</v>
      </c>
      <c r="M545" s="15">
        <f t="shared" si="163"/>
        <v>426</v>
      </c>
      <c r="N545" s="15"/>
      <c r="O545" s="39"/>
      <c r="P545" s="36"/>
      <c r="Q545" s="16">
        <f t="shared" si="164"/>
        <v>0</v>
      </c>
      <c r="R545" s="34" t="s">
        <v>273</v>
      </c>
      <c r="S545" s="34" t="s">
        <v>102</v>
      </c>
      <c r="T545" s="36">
        <v>1.8</v>
      </c>
      <c r="U545" s="293">
        <f>Rutas[[#This Row],[Precio x Galón ($/gal)]]*Rutas[[#This Row],[Volumen de Combustible (gal)]]</f>
        <v>128.68199999999999</v>
      </c>
      <c r="V545" s="36"/>
      <c r="W545" s="36"/>
      <c r="X545" s="36"/>
      <c r="Y545" s="145">
        <f t="shared" si="165"/>
        <v>128.68199999999999</v>
      </c>
      <c r="Z545" s="567"/>
      <c r="AA545" s="12">
        <v>71.489999999999995</v>
      </c>
      <c r="AB545" s="12">
        <f t="shared" si="166"/>
        <v>5.9588753671842216</v>
      </c>
      <c r="AC545" s="12">
        <f t="shared" si="167"/>
        <v>0</v>
      </c>
      <c r="AD545" s="34"/>
    </row>
    <row r="546" spans="1:30" ht="16" x14ac:dyDescent="0.2">
      <c r="A546" s="47"/>
      <c r="B546" s="422"/>
      <c r="C546" s="176">
        <f t="shared" si="148"/>
        <v>543</v>
      </c>
      <c r="D546" s="146">
        <v>45783</v>
      </c>
      <c r="E546" s="37">
        <v>45785</v>
      </c>
      <c r="F546" s="65" t="s">
        <v>209</v>
      </c>
      <c r="G546" s="11" t="str">
        <f ca="1">IF(AND(E546&lt;&gt;"",E546&lt;TODAY()),"Disponible",IFERROR(INDEX(Vehiculos[Estado Vehiculo],MATCH(F546,Vehiculos[Placa Vehiculo],0)),""))</f>
        <v>Disponible</v>
      </c>
      <c r="H546" s="34" t="s">
        <v>241</v>
      </c>
      <c r="I546" s="34" t="s">
        <v>273</v>
      </c>
      <c r="J546" s="34" t="s">
        <v>274</v>
      </c>
      <c r="K546" s="39">
        <v>92714</v>
      </c>
      <c r="L546" s="39">
        <v>93304</v>
      </c>
      <c r="M546" s="15">
        <f t="shared" si="163"/>
        <v>590</v>
      </c>
      <c r="N546" s="15"/>
      <c r="O546" s="39"/>
      <c r="P546" s="36"/>
      <c r="Q546" s="16">
        <f t="shared" si="164"/>
        <v>0</v>
      </c>
      <c r="R546" s="34" t="s">
        <v>273</v>
      </c>
      <c r="S546" s="34" t="s">
        <v>102</v>
      </c>
      <c r="T546" s="36">
        <v>1.8</v>
      </c>
      <c r="U546" s="293">
        <f>Rutas[[#This Row],[Precio x Galón ($/gal)]]*Rutas[[#This Row],[Volumen de Combustible (gal)]]</f>
        <v>198.126</v>
      </c>
      <c r="V546" s="36"/>
      <c r="W546" s="36"/>
      <c r="X546" s="36"/>
      <c r="Y546" s="145">
        <f t="shared" si="165"/>
        <v>198.126</v>
      </c>
      <c r="Z546" s="567"/>
      <c r="AA546" s="12">
        <v>110.07</v>
      </c>
      <c r="AB546" s="12">
        <f t="shared" si="166"/>
        <v>5.360225311165622</v>
      </c>
      <c r="AC546" s="12">
        <f t="shared" si="167"/>
        <v>0</v>
      </c>
      <c r="AD546" s="34"/>
    </row>
    <row r="547" spans="1:30" ht="16" x14ac:dyDescent="0.2">
      <c r="A547" s="47"/>
      <c r="B547" s="422"/>
      <c r="C547" s="176">
        <f t="shared" si="148"/>
        <v>544</v>
      </c>
      <c r="D547" s="146">
        <v>45785</v>
      </c>
      <c r="E547" s="37">
        <v>45787</v>
      </c>
      <c r="F547" s="65" t="s">
        <v>209</v>
      </c>
      <c r="G547" s="11" t="str">
        <f ca="1">IF(AND(E547&lt;&gt;"",E547&lt;TODAY()),"Disponible",IFERROR(INDEX(Vehiculos[Estado Vehiculo],MATCH(F547,Vehiculos[Placa Vehiculo],0)),""))</f>
        <v>Disponible</v>
      </c>
      <c r="H547" s="34" t="s">
        <v>239</v>
      </c>
      <c r="I547" s="34" t="s">
        <v>273</v>
      </c>
      <c r="J547" s="34" t="s">
        <v>274</v>
      </c>
      <c r="K547" s="39">
        <v>93304</v>
      </c>
      <c r="L547" s="39">
        <v>94054</v>
      </c>
      <c r="M547" s="15">
        <f t="shared" ref="M547:M552" si="168">L547-K547</f>
        <v>750</v>
      </c>
      <c r="N547" s="15"/>
      <c r="O547" s="39"/>
      <c r="P547" s="36"/>
      <c r="Q547" s="16">
        <f t="shared" ref="Q547:Q552" si="169">M547*P547</f>
        <v>0</v>
      </c>
      <c r="R547" s="34" t="s">
        <v>273</v>
      </c>
      <c r="S547" s="34" t="s">
        <v>102</v>
      </c>
      <c r="T547" s="36">
        <v>1.8</v>
      </c>
      <c r="U547" s="293">
        <f>Rutas[[#This Row],[Precio x Galón ($/gal)]]*Rutas[[#This Row],[Volumen de Combustible (gal)]]</f>
        <v>245.66399999999999</v>
      </c>
      <c r="V547" s="36"/>
      <c r="W547" s="36"/>
      <c r="X547" s="36"/>
      <c r="Y547" s="145">
        <f t="shared" ref="Y547:Y552" si="170">U547+SUM(V547:X547)</f>
        <v>245.66399999999999</v>
      </c>
      <c r="Z547" s="567"/>
      <c r="AA547" s="12">
        <v>136.47999999999999</v>
      </c>
      <c r="AB547" s="12">
        <f t="shared" ref="AB547:AB552" si="171">IFERROR(M547/AA547,0)</f>
        <v>5.4953106682297781</v>
      </c>
      <c r="AC547" s="12">
        <f t="shared" ref="AC547:AC552" si="172">IFERROR(Q547/M547,0)</f>
        <v>0</v>
      </c>
      <c r="AD547" s="34"/>
    </row>
    <row r="548" spans="1:30" ht="16" x14ac:dyDescent="0.2">
      <c r="A548" s="47"/>
      <c r="B548" s="422"/>
      <c r="C548" s="176">
        <f t="shared" si="148"/>
        <v>545</v>
      </c>
      <c r="D548" s="146">
        <v>45787</v>
      </c>
      <c r="E548" s="37">
        <v>45789</v>
      </c>
      <c r="F548" s="65" t="s">
        <v>209</v>
      </c>
      <c r="G548" s="11" t="str">
        <f ca="1">IF(AND(E548&lt;&gt;"",E548&lt;TODAY()),"Disponible",IFERROR(INDEX(Vehiculos[Estado Vehiculo],MATCH(F548,Vehiculos[Placa Vehiculo],0)),""))</f>
        <v>Disponible</v>
      </c>
      <c r="H548" s="34" t="s">
        <v>305</v>
      </c>
      <c r="I548" s="34" t="s">
        <v>273</v>
      </c>
      <c r="J548" s="34" t="s">
        <v>274</v>
      </c>
      <c r="K548" s="39">
        <v>94054</v>
      </c>
      <c r="L548" s="39">
        <v>94887</v>
      </c>
      <c r="M548" s="15">
        <f t="shared" si="168"/>
        <v>833</v>
      </c>
      <c r="N548" s="15"/>
      <c r="O548" s="39"/>
      <c r="P548" s="36"/>
      <c r="Q548" s="16">
        <f t="shared" si="169"/>
        <v>0</v>
      </c>
      <c r="R548" s="34" t="s">
        <v>273</v>
      </c>
      <c r="S548" s="34" t="s">
        <v>102</v>
      </c>
      <c r="T548" s="36">
        <v>1.8</v>
      </c>
      <c r="U548" s="293">
        <f>Rutas[[#This Row],[Precio x Galón ($/gal)]]*Rutas[[#This Row],[Volumen de Combustible (gal)]]</f>
        <v>232.79400000000004</v>
      </c>
      <c r="V548" s="36"/>
      <c r="W548" s="36"/>
      <c r="X548" s="36"/>
      <c r="Y548" s="145">
        <f t="shared" si="170"/>
        <v>232.79400000000004</v>
      </c>
      <c r="Z548" s="567"/>
      <c r="AA548" s="12">
        <v>129.33000000000001</v>
      </c>
      <c r="AB548" s="12">
        <f t="shared" si="171"/>
        <v>6.4408876517436013</v>
      </c>
      <c r="AC548" s="12">
        <f t="shared" si="172"/>
        <v>0</v>
      </c>
      <c r="AD548" s="34"/>
    </row>
    <row r="549" spans="1:30" ht="16" x14ac:dyDescent="0.2">
      <c r="A549" s="47"/>
      <c r="B549" s="422"/>
      <c r="C549" s="176">
        <f t="shared" si="148"/>
        <v>546</v>
      </c>
      <c r="D549" s="146">
        <v>45789</v>
      </c>
      <c r="E549" s="37">
        <v>45791</v>
      </c>
      <c r="F549" s="65" t="s">
        <v>209</v>
      </c>
      <c r="G549" s="11" t="str">
        <f ca="1">IF(AND(E549&lt;&gt;"",E549&lt;TODAY()),"Disponible",IFERROR(INDEX(Vehiculos[Estado Vehiculo],MATCH(F549,Vehiculos[Placa Vehiculo],0)),""))</f>
        <v>Disponible</v>
      </c>
      <c r="H549" s="34" t="s">
        <v>239</v>
      </c>
      <c r="I549" s="34" t="s">
        <v>273</v>
      </c>
      <c r="J549" s="34" t="s">
        <v>274</v>
      </c>
      <c r="K549" s="39">
        <v>94887</v>
      </c>
      <c r="L549" s="39">
        <v>95513</v>
      </c>
      <c r="M549" s="15">
        <f t="shared" si="168"/>
        <v>626</v>
      </c>
      <c r="N549" s="15"/>
      <c r="O549" s="39"/>
      <c r="P549" s="36"/>
      <c r="Q549" s="16">
        <f t="shared" si="169"/>
        <v>0</v>
      </c>
      <c r="R549" s="34" t="s">
        <v>273</v>
      </c>
      <c r="S549" s="34" t="s">
        <v>102</v>
      </c>
      <c r="T549" s="36">
        <v>1.8</v>
      </c>
      <c r="U549" s="293">
        <f>Rutas[[#This Row],[Precio x Galón ($/gal)]]*Rutas[[#This Row],[Volumen de Combustible (gal)]]</f>
        <v>196.84800000000001</v>
      </c>
      <c r="V549" s="36"/>
      <c r="W549" s="36"/>
      <c r="X549" s="36"/>
      <c r="Y549" s="145">
        <f t="shared" si="170"/>
        <v>196.84800000000001</v>
      </c>
      <c r="Z549" s="567"/>
      <c r="AA549" s="12">
        <v>109.36</v>
      </c>
      <c r="AB549" s="12">
        <f t="shared" si="171"/>
        <v>5.7242136064374547</v>
      </c>
      <c r="AC549" s="12">
        <f t="shared" si="172"/>
        <v>0</v>
      </c>
      <c r="AD549" s="34"/>
    </row>
    <row r="550" spans="1:30" ht="16" x14ac:dyDescent="0.2">
      <c r="A550" s="47"/>
      <c r="B550" s="422"/>
      <c r="C550" s="176">
        <f t="shared" si="148"/>
        <v>547</v>
      </c>
      <c r="D550" s="146">
        <v>45791</v>
      </c>
      <c r="E550" s="37">
        <v>45793</v>
      </c>
      <c r="F550" s="65" t="s">
        <v>209</v>
      </c>
      <c r="G550" s="11" t="str">
        <f ca="1">IF(AND(E550&lt;&gt;"",E550&lt;TODAY()),"Disponible",IFERROR(INDEX(Vehiculos[Estado Vehiculo],MATCH(F550,Vehiculos[Placa Vehiculo],0)),""))</f>
        <v>Disponible</v>
      </c>
      <c r="H550" s="34" t="s">
        <v>239</v>
      </c>
      <c r="I550" s="34" t="s">
        <v>273</v>
      </c>
      <c r="J550" s="34" t="s">
        <v>274</v>
      </c>
      <c r="K550" s="39">
        <v>95513</v>
      </c>
      <c r="L550" s="39">
        <v>96112</v>
      </c>
      <c r="M550" s="15">
        <f t="shared" si="168"/>
        <v>599</v>
      </c>
      <c r="N550" s="15"/>
      <c r="O550" s="39"/>
      <c r="P550" s="36"/>
      <c r="Q550" s="16">
        <f t="shared" si="169"/>
        <v>0</v>
      </c>
      <c r="R550" s="34" t="s">
        <v>273</v>
      </c>
      <c r="S550" s="34" t="s">
        <v>102</v>
      </c>
      <c r="T550" s="36">
        <v>1.8</v>
      </c>
      <c r="U550" s="293">
        <f>Rutas[[#This Row],[Precio x Galón ($/gal)]]*Rutas[[#This Row],[Volumen de Combustible (gal)]]</f>
        <v>174.94200000000001</v>
      </c>
      <c r="V550" s="36"/>
      <c r="W550" s="36"/>
      <c r="X550" s="36"/>
      <c r="Y550" s="145">
        <f t="shared" si="170"/>
        <v>174.94200000000001</v>
      </c>
      <c r="Z550" s="567"/>
      <c r="AA550" s="12">
        <v>97.19</v>
      </c>
      <c r="AB550" s="12">
        <f t="shared" si="171"/>
        <v>6.1631855129128512</v>
      </c>
      <c r="AC550" s="12">
        <f t="shared" si="172"/>
        <v>0</v>
      </c>
      <c r="AD550" s="34"/>
    </row>
    <row r="551" spans="1:30" ht="16" x14ac:dyDescent="0.2">
      <c r="A551" s="47"/>
      <c r="B551" s="422"/>
      <c r="C551" s="176">
        <f t="shared" si="148"/>
        <v>548</v>
      </c>
      <c r="D551" s="146">
        <v>45793</v>
      </c>
      <c r="E551" s="37">
        <v>45795</v>
      </c>
      <c r="F551" s="65" t="s">
        <v>209</v>
      </c>
      <c r="G551" s="11" t="str">
        <f ca="1">IF(AND(E551&lt;&gt;"",E551&lt;TODAY()),"Disponible",IFERROR(INDEX(Vehiculos[Estado Vehiculo],MATCH(F551,Vehiculos[Placa Vehiculo],0)),""))</f>
        <v>Disponible</v>
      </c>
      <c r="H551" s="34" t="s">
        <v>242</v>
      </c>
      <c r="I551" s="34" t="s">
        <v>273</v>
      </c>
      <c r="J551" s="34" t="s">
        <v>274</v>
      </c>
      <c r="K551" s="39">
        <v>96112</v>
      </c>
      <c r="L551" s="39">
        <v>96837</v>
      </c>
      <c r="M551" s="15">
        <f t="shared" si="168"/>
        <v>725</v>
      </c>
      <c r="N551" s="15"/>
      <c r="O551" s="39"/>
      <c r="P551" s="36"/>
      <c r="Q551" s="16">
        <f t="shared" si="169"/>
        <v>0</v>
      </c>
      <c r="R551" s="34" t="s">
        <v>273</v>
      </c>
      <c r="S551" s="34" t="s">
        <v>102</v>
      </c>
      <c r="T551" s="36">
        <v>1.8</v>
      </c>
      <c r="U551" s="293">
        <f>Rutas[[#This Row],[Precio x Galón ($/gal)]]*Rutas[[#This Row],[Volumen de Combustible (gal)]]</f>
        <v>223.452</v>
      </c>
      <c r="V551" s="36"/>
      <c r="W551" s="36"/>
      <c r="X551" s="36"/>
      <c r="Y551" s="145">
        <f t="shared" si="170"/>
        <v>223.452</v>
      </c>
      <c r="Z551" s="567"/>
      <c r="AA551" s="12">
        <v>124.14</v>
      </c>
      <c r="AB551" s="12">
        <f t="shared" si="171"/>
        <v>5.840180441437087</v>
      </c>
      <c r="AC551" s="12">
        <f t="shared" si="172"/>
        <v>0</v>
      </c>
      <c r="AD551" s="34"/>
    </row>
    <row r="552" spans="1:30" ht="16" x14ac:dyDescent="0.2">
      <c r="A552" s="47"/>
      <c r="B552" s="422"/>
      <c r="C552" s="176">
        <f t="shared" si="148"/>
        <v>549</v>
      </c>
      <c r="D552" s="146">
        <v>45795</v>
      </c>
      <c r="E552" s="37">
        <v>45796</v>
      </c>
      <c r="F552" s="65" t="s">
        <v>209</v>
      </c>
      <c r="G552" s="11" t="str">
        <f ca="1">IF(AND(E552&lt;&gt;"",E552&lt;TODAY()),"Disponible",IFERROR(INDEX(Vehiculos[Estado Vehiculo],MATCH(F552,Vehiculos[Placa Vehiculo],0)),""))</f>
        <v>Disponible</v>
      </c>
      <c r="H552" s="34" t="s">
        <v>241</v>
      </c>
      <c r="I552" s="34" t="s">
        <v>273</v>
      </c>
      <c r="J552" s="34" t="s">
        <v>274</v>
      </c>
      <c r="K552" s="39">
        <v>96837</v>
      </c>
      <c r="L552" s="39">
        <v>97473</v>
      </c>
      <c r="M552" s="15">
        <f t="shared" si="168"/>
        <v>636</v>
      </c>
      <c r="N552" s="15"/>
      <c r="O552" s="39"/>
      <c r="P552" s="36"/>
      <c r="Q552" s="16">
        <f t="shared" si="169"/>
        <v>0</v>
      </c>
      <c r="R552" s="34" t="s">
        <v>273</v>
      </c>
      <c r="S552" s="34" t="s">
        <v>102</v>
      </c>
      <c r="T552" s="36">
        <v>1.8</v>
      </c>
      <c r="U552" s="293">
        <f>Rutas[[#This Row],[Precio x Galón ($/gal)]]*Rutas[[#This Row],[Volumen de Combustible (gal)]]</f>
        <v>202.554</v>
      </c>
      <c r="V552" s="36"/>
      <c r="W552" s="36"/>
      <c r="X552" s="36"/>
      <c r="Y552" s="145">
        <f t="shared" si="170"/>
        <v>202.554</v>
      </c>
      <c r="Z552" s="567"/>
      <c r="AA552" s="12">
        <v>112.53</v>
      </c>
      <c r="AB552" s="12">
        <f t="shared" si="171"/>
        <v>5.6518261796854175</v>
      </c>
      <c r="AC552" s="12">
        <f t="shared" si="172"/>
        <v>0</v>
      </c>
      <c r="AD552" s="34"/>
    </row>
    <row r="553" spans="1:30" ht="16" x14ac:dyDescent="0.2">
      <c r="A553" s="47"/>
      <c r="B553" s="422"/>
      <c r="C553" s="176">
        <f t="shared" si="148"/>
        <v>550</v>
      </c>
      <c r="D553" s="146">
        <v>45796</v>
      </c>
      <c r="E553" s="37">
        <v>45797</v>
      </c>
      <c r="F553" s="65" t="s">
        <v>209</v>
      </c>
      <c r="G553" s="11" t="str">
        <f ca="1">IF(AND(E553&lt;&gt;"",E553&lt;TODAY()),"Disponible",IFERROR(INDEX(Vehiculos[Estado Vehiculo],MATCH(F553,Vehiculos[Placa Vehiculo],0)),""))</f>
        <v>Disponible</v>
      </c>
      <c r="H553" s="34" t="s">
        <v>241</v>
      </c>
      <c r="I553" s="34" t="s">
        <v>273</v>
      </c>
      <c r="J553" s="34" t="s">
        <v>274</v>
      </c>
      <c r="K553" s="39">
        <v>97473</v>
      </c>
      <c r="L553" s="39">
        <v>98151</v>
      </c>
      <c r="M553" s="15">
        <f t="shared" ref="M553:M559" si="173">L553-K553</f>
        <v>678</v>
      </c>
      <c r="N553" s="15"/>
      <c r="O553" s="39"/>
      <c r="P553" s="36"/>
      <c r="Q553" s="16">
        <f t="shared" ref="Q553:Q559" si="174">M553*P553</f>
        <v>0</v>
      </c>
      <c r="R553" s="34" t="s">
        <v>273</v>
      </c>
      <c r="S553" s="34" t="s">
        <v>102</v>
      </c>
      <c r="T553" s="36">
        <v>1.8</v>
      </c>
      <c r="U553" s="293">
        <f>Rutas[[#This Row],[Precio x Galón ($/gal)]]*Rutas[[#This Row],[Volumen de Combustible (gal)]]</f>
        <v>210.99600000000001</v>
      </c>
      <c r="V553" s="36"/>
      <c r="W553" s="36"/>
      <c r="X553" s="36"/>
      <c r="Y553" s="145">
        <f t="shared" ref="Y553:Y559" si="175">U553+SUM(V553:X553)</f>
        <v>210.99600000000001</v>
      </c>
      <c r="Z553" s="567"/>
      <c r="AA553" s="12">
        <v>117.22</v>
      </c>
      <c r="AB553" s="12">
        <f t="shared" ref="AB553:AB559" si="176">IFERROR(M553/AA553,0)</f>
        <v>5.7839959051356429</v>
      </c>
      <c r="AC553" s="12">
        <f t="shared" ref="AC553:AC559" si="177">IFERROR(Q553/M553,0)</f>
        <v>0</v>
      </c>
      <c r="AD553" s="34"/>
    </row>
    <row r="554" spans="1:30" ht="16" x14ac:dyDescent="0.2">
      <c r="A554" s="47"/>
      <c r="B554" s="422"/>
      <c r="C554" s="176">
        <f t="shared" si="148"/>
        <v>551</v>
      </c>
      <c r="D554" s="146">
        <v>45797</v>
      </c>
      <c r="E554" s="37">
        <v>45800</v>
      </c>
      <c r="F554" s="65" t="s">
        <v>209</v>
      </c>
      <c r="G554" s="11" t="str">
        <f ca="1">IF(AND(E554&lt;&gt;"",E554&lt;TODAY()),"Disponible",IFERROR(INDEX(Vehiculos[Estado Vehiculo],MATCH(F554,Vehiculos[Placa Vehiculo],0)),""))</f>
        <v>Disponible</v>
      </c>
      <c r="H554" s="34" t="s">
        <v>305</v>
      </c>
      <c r="I554" s="34" t="s">
        <v>273</v>
      </c>
      <c r="J554" s="34" t="s">
        <v>274</v>
      </c>
      <c r="K554" s="39">
        <v>98151</v>
      </c>
      <c r="L554" s="39">
        <v>98863</v>
      </c>
      <c r="M554" s="15">
        <f t="shared" si="173"/>
        <v>712</v>
      </c>
      <c r="N554" s="15"/>
      <c r="O554" s="39"/>
      <c r="P554" s="36"/>
      <c r="Q554" s="16">
        <f t="shared" si="174"/>
        <v>0</v>
      </c>
      <c r="R554" s="34" t="s">
        <v>273</v>
      </c>
      <c r="S554" s="34" t="s">
        <v>102</v>
      </c>
      <c r="T554" s="36">
        <v>1.8</v>
      </c>
      <c r="U554" s="293">
        <f>Rutas[[#This Row],[Precio x Galón ($/gal)]]*Rutas[[#This Row],[Volumen de Combustible (gal)]]</f>
        <v>216</v>
      </c>
      <c r="V554" s="36"/>
      <c r="W554" s="36"/>
      <c r="X554" s="36"/>
      <c r="Y554" s="145">
        <f t="shared" si="175"/>
        <v>216</v>
      </c>
      <c r="Z554" s="567"/>
      <c r="AA554" s="12">
        <v>120</v>
      </c>
      <c r="AB554" s="12">
        <f t="shared" si="176"/>
        <v>5.9333333333333336</v>
      </c>
      <c r="AC554" s="12">
        <f t="shared" si="177"/>
        <v>0</v>
      </c>
      <c r="AD554" s="34"/>
    </row>
    <row r="555" spans="1:30" ht="16" x14ac:dyDescent="0.2">
      <c r="A555" s="47"/>
      <c r="B555" s="422"/>
      <c r="C555" s="176">
        <f t="shared" si="148"/>
        <v>552</v>
      </c>
      <c r="D555" s="146">
        <v>45800</v>
      </c>
      <c r="E555" s="37">
        <v>45801</v>
      </c>
      <c r="F555" s="65" t="s">
        <v>209</v>
      </c>
      <c r="G555" s="11" t="str">
        <f ca="1">IF(AND(E555&lt;&gt;"",E555&lt;TODAY()),"Disponible",IFERROR(INDEX(Vehiculos[Estado Vehiculo],MATCH(F555,Vehiculos[Placa Vehiculo],0)),""))</f>
        <v>Disponible</v>
      </c>
      <c r="H555" s="34" t="s">
        <v>241</v>
      </c>
      <c r="I555" s="34" t="s">
        <v>273</v>
      </c>
      <c r="J555" s="34" t="s">
        <v>274</v>
      </c>
      <c r="K555" s="39">
        <v>98863</v>
      </c>
      <c r="L555" s="39">
        <v>99479</v>
      </c>
      <c r="M555" s="15">
        <f t="shared" si="173"/>
        <v>616</v>
      </c>
      <c r="N555" s="15"/>
      <c r="O555" s="39"/>
      <c r="P555" s="36"/>
      <c r="Q555" s="16">
        <f t="shared" si="174"/>
        <v>0</v>
      </c>
      <c r="R555" s="34" t="s">
        <v>273</v>
      </c>
      <c r="S555" s="34" t="s">
        <v>102</v>
      </c>
      <c r="T555" s="36">
        <v>1.8</v>
      </c>
      <c r="U555" s="293">
        <f>Rutas[[#This Row],[Precio x Galón ($/gal)]]*Rutas[[#This Row],[Volumen de Combustible (gal)]]</f>
        <v>193.06800000000001</v>
      </c>
      <c r="V555" s="36"/>
      <c r="W555" s="36"/>
      <c r="X555" s="36"/>
      <c r="Y555" s="145">
        <f t="shared" si="175"/>
        <v>193.06800000000001</v>
      </c>
      <c r="Z555" s="567"/>
      <c r="AA555" s="12">
        <v>107.26</v>
      </c>
      <c r="AB555" s="12">
        <f t="shared" si="176"/>
        <v>5.7430542606749952</v>
      </c>
      <c r="AC555" s="12">
        <f t="shared" si="177"/>
        <v>0</v>
      </c>
      <c r="AD555" s="34"/>
    </row>
    <row r="556" spans="1:30" ht="16" x14ac:dyDescent="0.2">
      <c r="A556" s="47"/>
      <c r="B556" s="422"/>
      <c r="C556" s="176">
        <f t="shared" si="148"/>
        <v>553</v>
      </c>
      <c r="D556" s="146">
        <v>45801</v>
      </c>
      <c r="E556" s="37">
        <v>45803</v>
      </c>
      <c r="F556" s="65" t="s">
        <v>209</v>
      </c>
      <c r="G556" s="11" t="str">
        <f ca="1">IF(AND(E556&lt;&gt;"",E556&lt;TODAY()),"Disponible",IFERROR(INDEX(Vehiculos[Estado Vehiculo],MATCH(F556,Vehiculos[Placa Vehiculo],0)),""))</f>
        <v>Disponible</v>
      </c>
      <c r="H556" s="34" t="s">
        <v>241</v>
      </c>
      <c r="I556" s="34" t="s">
        <v>273</v>
      </c>
      <c r="J556" s="34" t="s">
        <v>274</v>
      </c>
      <c r="K556" s="39">
        <v>99479</v>
      </c>
      <c r="L556" s="39">
        <v>99982</v>
      </c>
      <c r="M556" s="15">
        <f t="shared" si="173"/>
        <v>503</v>
      </c>
      <c r="N556" s="15"/>
      <c r="O556" s="39"/>
      <c r="P556" s="36"/>
      <c r="Q556" s="16">
        <f t="shared" si="174"/>
        <v>0</v>
      </c>
      <c r="R556" s="34" t="s">
        <v>273</v>
      </c>
      <c r="S556" s="34" t="s">
        <v>102</v>
      </c>
      <c r="T556" s="36">
        <v>1.8</v>
      </c>
      <c r="U556" s="293">
        <f>Rutas[[#This Row],[Precio x Galón ($/gal)]]*Rutas[[#This Row],[Volumen de Combustible (gal)]]</f>
        <v>162.41400000000002</v>
      </c>
      <c r="V556" s="36"/>
      <c r="W556" s="36"/>
      <c r="X556" s="36"/>
      <c r="Y556" s="145">
        <f t="shared" si="175"/>
        <v>162.41400000000002</v>
      </c>
      <c r="Z556" s="567"/>
      <c r="AA556" s="12">
        <v>90.23</v>
      </c>
      <c r="AB556" s="12">
        <f t="shared" si="176"/>
        <v>5.5746425800731458</v>
      </c>
      <c r="AC556" s="12">
        <f t="shared" si="177"/>
        <v>0</v>
      </c>
      <c r="AD556" s="34"/>
    </row>
    <row r="557" spans="1:30" ht="16" x14ac:dyDescent="0.2">
      <c r="A557" s="47"/>
      <c r="B557" s="422"/>
      <c r="C557" s="176">
        <f t="shared" si="148"/>
        <v>554</v>
      </c>
      <c r="D557" s="146">
        <v>45803</v>
      </c>
      <c r="E557" s="37">
        <v>45805</v>
      </c>
      <c r="F557" s="65" t="s">
        <v>209</v>
      </c>
      <c r="G557" s="11" t="str">
        <f ca="1">IF(AND(E557&lt;&gt;"",E557&lt;TODAY()),"Disponible",IFERROR(INDEX(Vehiculos[Estado Vehiculo],MATCH(F557,Vehiculos[Placa Vehiculo],0)),""))</f>
        <v>Disponible</v>
      </c>
      <c r="H557" s="34" t="s">
        <v>241</v>
      </c>
      <c r="I557" s="34" t="s">
        <v>273</v>
      </c>
      <c r="J557" s="34" t="s">
        <v>274</v>
      </c>
      <c r="K557" s="39">
        <v>99982</v>
      </c>
      <c r="L557" s="39">
        <v>100600</v>
      </c>
      <c r="M557" s="15">
        <f t="shared" si="173"/>
        <v>618</v>
      </c>
      <c r="N557" s="15"/>
      <c r="O557" s="39"/>
      <c r="P557" s="36"/>
      <c r="Q557" s="16">
        <f t="shared" si="174"/>
        <v>0</v>
      </c>
      <c r="R557" s="34" t="s">
        <v>273</v>
      </c>
      <c r="S557" s="34" t="s">
        <v>102</v>
      </c>
      <c r="T557" s="36">
        <v>1.8</v>
      </c>
      <c r="U557" s="293">
        <f>Rutas[[#This Row],[Precio x Galón ($/gal)]]*Rutas[[#This Row],[Volumen de Combustible (gal)]]</f>
        <v>162</v>
      </c>
      <c r="V557" s="36"/>
      <c r="W557" s="36"/>
      <c r="X557" s="36"/>
      <c r="Y557" s="145">
        <f t="shared" si="175"/>
        <v>162</v>
      </c>
      <c r="Z557" s="567"/>
      <c r="AA557" s="12">
        <v>90</v>
      </c>
      <c r="AB557" s="12">
        <f t="shared" si="176"/>
        <v>6.8666666666666663</v>
      </c>
      <c r="AC557" s="12">
        <f t="shared" si="177"/>
        <v>0</v>
      </c>
      <c r="AD557" s="34"/>
    </row>
    <row r="558" spans="1:30" ht="16" x14ac:dyDescent="0.2">
      <c r="A558" s="47"/>
      <c r="B558" s="422"/>
      <c r="C558" s="176">
        <f t="shared" si="148"/>
        <v>555</v>
      </c>
      <c r="D558" s="146">
        <v>45805</v>
      </c>
      <c r="E558" s="37">
        <v>45807</v>
      </c>
      <c r="F558" s="65" t="s">
        <v>209</v>
      </c>
      <c r="G558" s="11" t="str">
        <f ca="1">IF(AND(E558&lt;&gt;"",E558&lt;TODAY()),"Disponible",IFERROR(INDEX(Vehiculos[Estado Vehiculo],MATCH(F558,Vehiculos[Placa Vehiculo],0)),""))</f>
        <v>Disponible</v>
      </c>
      <c r="H558" s="34" t="s">
        <v>241</v>
      </c>
      <c r="I558" s="34" t="s">
        <v>273</v>
      </c>
      <c r="J558" s="34" t="s">
        <v>274</v>
      </c>
      <c r="K558" s="39">
        <v>100600</v>
      </c>
      <c r="L558" s="39">
        <v>101362</v>
      </c>
      <c r="M558" s="15">
        <f>L558-K558</f>
        <v>762</v>
      </c>
      <c r="N558" s="15"/>
      <c r="O558" s="39"/>
      <c r="P558" s="36"/>
      <c r="Q558" s="16">
        <f>M558*P558</f>
        <v>0</v>
      </c>
      <c r="R558" s="34" t="s">
        <v>273</v>
      </c>
      <c r="S558" s="34" t="s">
        <v>102</v>
      </c>
      <c r="T558" s="36">
        <v>1.8</v>
      </c>
      <c r="U558" s="293">
        <f>Rutas[[#This Row],[Precio x Galón ($/gal)]]*Rutas[[#This Row],[Volumen de Combustible (gal)]]</f>
        <v>179.38800000000001</v>
      </c>
      <c r="V558" s="36"/>
      <c r="W558" s="36"/>
      <c r="X558" s="36"/>
      <c r="Y558" s="145">
        <f>U558+SUM(V558:X558)</f>
        <v>179.38800000000001</v>
      </c>
      <c r="Z558" s="567"/>
      <c r="AA558" s="12">
        <v>99.66</v>
      </c>
      <c r="AB558" s="12">
        <f>IFERROR(M558/AA558,0)</f>
        <v>7.6459963877182426</v>
      </c>
      <c r="AC558" s="12">
        <f>IFERROR(Q558/M558,0)</f>
        <v>0</v>
      </c>
      <c r="AD558" s="34"/>
    </row>
    <row r="559" spans="1:30" ht="16" x14ac:dyDescent="0.2">
      <c r="A559" s="47"/>
      <c r="B559" s="422"/>
      <c r="C559" s="176">
        <f t="shared" si="148"/>
        <v>556</v>
      </c>
      <c r="D559" s="146">
        <v>45807</v>
      </c>
      <c r="E559" s="37">
        <v>45808</v>
      </c>
      <c r="F559" s="65" t="s">
        <v>209</v>
      </c>
      <c r="G559" s="11" t="str">
        <f ca="1">IF(AND(E559&lt;&gt;"",E559&lt;TODAY()),"Disponible",IFERROR(INDEX(Vehiculos[Estado Vehiculo],MATCH(F559,Vehiculos[Placa Vehiculo],0)),""))</f>
        <v>Disponible</v>
      </c>
      <c r="H559" s="34" t="s">
        <v>241</v>
      </c>
      <c r="I559" s="34" t="s">
        <v>273</v>
      </c>
      <c r="J559" s="34" t="s">
        <v>274</v>
      </c>
      <c r="K559" s="39">
        <v>101362</v>
      </c>
      <c r="L559" s="39">
        <v>101363</v>
      </c>
      <c r="M559" s="15">
        <f t="shared" si="173"/>
        <v>1</v>
      </c>
      <c r="N559" s="452">
        <v>622</v>
      </c>
      <c r="O559" s="39"/>
      <c r="P559" s="36"/>
      <c r="Q559" s="16">
        <f t="shared" si="174"/>
        <v>0</v>
      </c>
      <c r="R559" s="34"/>
      <c r="S559" s="34"/>
      <c r="T559" s="36"/>
      <c r="U559" s="293"/>
      <c r="V559" s="36"/>
      <c r="W559" s="36"/>
      <c r="X559" s="36"/>
      <c r="Y559" s="145">
        <f t="shared" si="175"/>
        <v>0</v>
      </c>
      <c r="Z559" s="567"/>
      <c r="AA559" s="12"/>
      <c r="AB559" s="12">
        <f t="shared" si="176"/>
        <v>0</v>
      </c>
      <c r="AC559" s="12">
        <f t="shared" si="177"/>
        <v>0</v>
      </c>
      <c r="AD559" s="34"/>
    </row>
    <row r="560" spans="1:30" ht="16" x14ac:dyDescent="0.2">
      <c r="A560" s="47"/>
      <c r="B560" s="422"/>
      <c r="C560" s="176">
        <f t="shared" si="148"/>
        <v>557</v>
      </c>
      <c r="D560" s="437"/>
      <c r="E560" s="438"/>
      <c r="F560" s="439"/>
      <c r="G560" s="440" t="str">
        <f ca="1">IF(AND(E560&lt;&gt;"",E560&lt;TODAY()),"Disponible",IFERROR(INDEX(Vehiculos[Estado Vehiculo],MATCH(F560,Vehiculos[Placa Vehiculo],0)),""))</f>
        <v/>
      </c>
      <c r="H560" s="441"/>
      <c r="I560" s="441"/>
      <c r="J560" s="441"/>
      <c r="K560" s="442"/>
      <c r="L560" s="442"/>
      <c r="M560" s="443">
        <f t="shared" ref="M560:M565" si="178">L560-K560</f>
        <v>0</v>
      </c>
      <c r="N560" s="443"/>
      <c r="O560" s="442"/>
      <c r="P560" s="444"/>
      <c r="Q560" s="445">
        <f t="shared" ref="Q560:Q565" si="179">M560*P560</f>
        <v>0</v>
      </c>
      <c r="R560" s="441" t="s">
        <v>273</v>
      </c>
      <c r="S560" s="441" t="s">
        <v>102</v>
      </c>
      <c r="T560" s="444"/>
      <c r="U560" s="446">
        <f>Rutas[[#This Row],[Precio x Galón ($/gal)]]*Rutas[[#This Row],[Volumen de Combustible (gal)]]</f>
        <v>0</v>
      </c>
      <c r="V560" s="444"/>
      <c r="W560" s="444"/>
      <c r="X560" s="444"/>
      <c r="Y560" s="447">
        <f t="shared" ref="Y560:Y565" si="180">U560+SUM(V560:X560)</f>
        <v>0</v>
      </c>
      <c r="Z560" s="570"/>
      <c r="AA560" s="448"/>
      <c r="AB560" s="448">
        <f t="shared" ref="AB560:AB565" si="181">IFERROR(M560/AA560,0)</f>
        <v>0</v>
      </c>
      <c r="AC560" s="448">
        <f t="shared" ref="AC560:AC565" si="182">IFERROR(Q560/M560,0)</f>
        <v>0</v>
      </c>
      <c r="AD560" s="441"/>
    </row>
    <row r="561" spans="1:30" ht="16" x14ac:dyDescent="0.2">
      <c r="A561" s="47"/>
      <c r="B561" s="422"/>
      <c r="C561" s="176">
        <f t="shared" si="148"/>
        <v>558</v>
      </c>
      <c r="D561" s="90">
        <v>45778</v>
      </c>
      <c r="E561" s="90">
        <v>45779</v>
      </c>
      <c r="F561" s="68" t="s">
        <v>210</v>
      </c>
      <c r="G561" s="379" t="str">
        <f ca="1">IF(AND(E561&lt;&gt;"",E561&lt;TODAY()),"Disponible",IFERROR(INDEX(Vehiculos[Estado Vehiculo],MATCH(F561,Vehiculos[Placa Vehiculo],0)),""))</f>
        <v>Disponible</v>
      </c>
      <c r="H561" s="89" t="s">
        <v>245</v>
      </c>
      <c r="I561" s="89" t="s">
        <v>273</v>
      </c>
      <c r="J561" s="89" t="s">
        <v>274</v>
      </c>
      <c r="K561" s="380">
        <v>75837</v>
      </c>
      <c r="L561" s="380">
        <v>76359</v>
      </c>
      <c r="M561" s="381">
        <f t="shared" si="178"/>
        <v>522</v>
      </c>
      <c r="N561" s="381"/>
      <c r="O561" s="380"/>
      <c r="P561" s="92"/>
      <c r="Q561" s="382">
        <f t="shared" si="179"/>
        <v>0</v>
      </c>
      <c r="R561" s="89" t="s">
        <v>273</v>
      </c>
      <c r="S561" s="89" t="s">
        <v>102</v>
      </c>
      <c r="T561" s="92">
        <v>1.8</v>
      </c>
      <c r="U561" s="266">
        <f>Rutas[[#This Row],[Precio x Galón ($/gal)]]*Rutas[[#This Row],[Volumen de Combustible (gal)]]</f>
        <v>164.952</v>
      </c>
      <c r="V561" s="92"/>
      <c r="W561" s="92"/>
      <c r="X561" s="92"/>
      <c r="Y561" s="382">
        <f t="shared" si="180"/>
        <v>164.952</v>
      </c>
      <c r="Z561" s="567"/>
      <c r="AA561" s="382">
        <v>91.64</v>
      </c>
      <c r="AB561" s="382">
        <f t="shared" si="181"/>
        <v>5.6962025316455698</v>
      </c>
      <c r="AC561" s="382">
        <f t="shared" si="182"/>
        <v>0</v>
      </c>
      <c r="AD561" s="89"/>
    </row>
    <row r="562" spans="1:30" ht="16" x14ac:dyDescent="0.2">
      <c r="A562" s="47"/>
      <c r="B562" s="422"/>
      <c r="C562" s="176">
        <f t="shared" si="148"/>
        <v>559</v>
      </c>
      <c r="D562" s="146">
        <v>45779</v>
      </c>
      <c r="E562" s="37">
        <v>45781</v>
      </c>
      <c r="F562" s="65" t="s">
        <v>210</v>
      </c>
      <c r="G562" s="11" t="s">
        <v>349</v>
      </c>
      <c r="H562" s="34" t="s">
        <v>245</v>
      </c>
      <c r="I562" s="34" t="s">
        <v>273</v>
      </c>
      <c r="J562" s="34" t="s">
        <v>274</v>
      </c>
      <c r="K562" s="39">
        <v>76359</v>
      </c>
      <c r="L562" s="39">
        <v>76912</v>
      </c>
      <c r="M562" s="15">
        <f t="shared" si="178"/>
        <v>553</v>
      </c>
      <c r="N562" s="15"/>
      <c r="O562" s="39"/>
      <c r="P562" s="36"/>
      <c r="Q562" s="16">
        <f t="shared" si="179"/>
        <v>0</v>
      </c>
      <c r="R562" s="34" t="s">
        <v>273</v>
      </c>
      <c r="S562" s="34" t="s">
        <v>102</v>
      </c>
      <c r="T562" s="36">
        <v>1.8</v>
      </c>
      <c r="U562" s="293">
        <f>Rutas[[#This Row],[Precio x Galón ($/gal)]]*Rutas[[#This Row],[Volumen de Combustible (gal)]]</f>
        <v>187.05600000000001</v>
      </c>
      <c r="V562" s="36"/>
      <c r="W562" s="36"/>
      <c r="X562" s="36"/>
      <c r="Y562" s="145">
        <f t="shared" si="180"/>
        <v>187.05600000000001</v>
      </c>
      <c r="Z562" s="567"/>
      <c r="AA562" s="12">
        <v>103.92</v>
      </c>
      <c r="AB562" s="12">
        <f t="shared" si="181"/>
        <v>5.3214010777521166</v>
      </c>
      <c r="AC562" s="12">
        <f t="shared" si="182"/>
        <v>0</v>
      </c>
      <c r="AD562" s="34"/>
    </row>
    <row r="563" spans="1:30" ht="16" x14ac:dyDescent="0.2">
      <c r="A563" s="47"/>
      <c r="B563" s="422"/>
      <c r="C563" s="176">
        <f t="shared" si="148"/>
        <v>560</v>
      </c>
      <c r="D563" s="146">
        <v>45781</v>
      </c>
      <c r="E563" s="37">
        <v>45783</v>
      </c>
      <c r="F563" s="65" t="s">
        <v>210</v>
      </c>
      <c r="G563" s="11" t="str">
        <f ca="1">IF(AND(E563&lt;&gt;"",E563&lt;TODAY()),"Disponible",IFERROR(INDEX(Vehiculos[Estado Vehiculo],MATCH(F563,Vehiculos[Placa Vehiculo],0)),""))</f>
        <v>Disponible</v>
      </c>
      <c r="H563" s="34" t="s">
        <v>245</v>
      </c>
      <c r="I563" s="34" t="s">
        <v>273</v>
      </c>
      <c r="J563" s="34" t="s">
        <v>274</v>
      </c>
      <c r="K563" s="39">
        <v>76912</v>
      </c>
      <c r="L563" s="39">
        <v>77280</v>
      </c>
      <c r="M563" s="15">
        <f t="shared" si="178"/>
        <v>368</v>
      </c>
      <c r="N563" s="15"/>
      <c r="O563" s="39"/>
      <c r="P563" s="36"/>
      <c r="Q563" s="16">
        <f t="shared" si="179"/>
        <v>0</v>
      </c>
      <c r="R563" s="34" t="s">
        <v>273</v>
      </c>
      <c r="S563" s="34" t="s">
        <v>102</v>
      </c>
      <c r="T563" s="36">
        <v>1.8</v>
      </c>
      <c r="U563" s="293">
        <f>Rutas[[#This Row],[Precio x Galón ($/gal)]]*Rutas[[#This Row],[Volumen de Combustible (gal)]]</f>
        <v>121.32000000000001</v>
      </c>
      <c r="V563" s="36"/>
      <c r="W563" s="36"/>
      <c r="X563" s="36"/>
      <c r="Y563" s="145">
        <f t="shared" si="180"/>
        <v>121.32000000000001</v>
      </c>
      <c r="Z563" s="567"/>
      <c r="AA563" s="12">
        <v>67.400000000000006</v>
      </c>
      <c r="AB563" s="12">
        <f t="shared" si="181"/>
        <v>5.4599406528189904</v>
      </c>
      <c r="AC563" s="12">
        <f t="shared" si="182"/>
        <v>0</v>
      </c>
      <c r="AD563" s="34"/>
    </row>
    <row r="564" spans="1:30" ht="16" x14ac:dyDescent="0.2">
      <c r="A564" s="47"/>
      <c r="B564" s="422"/>
      <c r="C564" s="176">
        <f t="shared" si="148"/>
        <v>561</v>
      </c>
      <c r="D564" s="146">
        <v>45783</v>
      </c>
      <c r="E564" s="37">
        <v>45785</v>
      </c>
      <c r="F564" s="65" t="s">
        <v>210</v>
      </c>
      <c r="G564" s="11" t="str">
        <f ca="1">IF(AND(E564&lt;&gt;"",E564&lt;TODAY()),"Disponible",IFERROR(INDEX(Vehiculos[Estado Vehiculo],MATCH(F564,Vehiculos[Placa Vehiculo],0)),""))</f>
        <v>Disponible</v>
      </c>
      <c r="H564" s="34" t="s">
        <v>245</v>
      </c>
      <c r="I564" s="34" t="s">
        <v>273</v>
      </c>
      <c r="J564" s="34" t="s">
        <v>274</v>
      </c>
      <c r="K564" s="39">
        <v>77280</v>
      </c>
      <c r="L564" s="39">
        <v>77928</v>
      </c>
      <c r="M564" s="15">
        <f t="shared" si="178"/>
        <v>648</v>
      </c>
      <c r="N564" s="15"/>
      <c r="O564" s="39"/>
      <c r="P564" s="36"/>
      <c r="Q564" s="16">
        <f t="shared" si="179"/>
        <v>0</v>
      </c>
      <c r="R564" s="34" t="s">
        <v>273</v>
      </c>
      <c r="S564" s="34" t="s">
        <v>102</v>
      </c>
      <c r="T564" s="36">
        <v>1.8</v>
      </c>
      <c r="U564" s="293">
        <f>Rutas[[#This Row],[Precio x Galón ($/gal)]]*Rutas[[#This Row],[Volumen de Combustible (gal)]]</f>
        <v>196.38</v>
      </c>
      <c r="V564" s="36"/>
      <c r="W564" s="36"/>
      <c r="X564" s="36"/>
      <c r="Y564" s="145">
        <f t="shared" si="180"/>
        <v>196.38</v>
      </c>
      <c r="Z564" s="567"/>
      <c r="AA564" s="12">
        <v>109.1</v>
      </c>
      <c r="AB564" s="12">
        <f t="shared" si="181"/>
        <v>5.9395050412465631</v>
      </c>
      <c r="AC564" s="12">
        <f t="shared" si="182"/>
        <v>0</v>
      </c>
      <c r="AD564" s="34"/>
    </row>
    <row r="565" spans="1:30" ht="16" x14ac:dyDescent="0.2">
      <c r="A565" s="47"/>
      <c r="B565" s="422"/>
      <c r="C565" s="176">
        <f t="shared" si="148"/>
        <v>562</v>
      </c>
      <c r="D565" s="146">
        <v>45785</v>
      </c>
      <c r="E565" s="37">
        <v>45787</v>
      </c>
      <c r="F565" s="65" t="s">
        <v>210</v>
      </c>
      <c r="G565" s="11" t="str">
        <f ca="1">IF(AND(E565&lt;&gt;"",E565&lt;TODAY()),"Disponible",IFERROR(INDEX(Vehiculos[Estado Vehiculo],MATCH(F565,Vehiculos[Placa Vehiculo],0)),""))</f>
        <v>Disponible</v>
      </c>
      <c r="H565" s="34" t="s">
        <v>246</v>
      </c>
      <c r="I565" s="34" t="s">
        <v>273</v>
      </c>
      <c r="J565" s="34" t="s">
        <v>274</v>
      </c>
      <c r="K565" s="39">
        <v>77928</v>
      </c>
      <c r="L565" s="39">
        <v>78540</v>
      </c>
      <c r="M565" s="15">
        <f t="shared" si="178"/>
        <v>612</v>
      </c>
      <c r="N565" s="15"/>
      <c r="O565" s="39"/>
      <c r="P565" s="36"/>
      <c r="Q565" s="16">
        <f t="shared" si="179"/>
        <v>0</v>
      </c>
      <c r="R565" s="34" t="s">
        <v>273</v>
      </c>
      <c r="S565" s="34" t="s">
        <v>102</v>
      </c>
      <c r="T565" s="36">
        <v>1.8</v>
      </c>
      <c r="U565" s="293">
        <f>Rutas[[#This Row],[Precio x Galón ($/gal)]]*Rutas[[#This Row],[Volumen de Combustible (gal)]]</f>
        <v>185.11200000000002</v>
      </c>
      <c r="V565" s="36"/>
      <c r="W565" s="36"/>
      <c r="X565" s="36"/>
      <c r="Y565" s="145">
        <f t="shared" si="180"/>
        <v>185.11200000000002</v>
      </c>
      <c r="Z565" s="567"/>
      <c r="AA565" s="12">
        <v>102.84</v>
      </c>
      <c r="AB565" s="12">
        <f t="shared" si="181"/>
        <v>5.9509918319719954</v>
      </c>
      <c r="AC565" s="12">
        <f t="shared" si="182"/>
        <v>0</v>
      </c>
      <c r="AD565" s="34"/>
    </row>
    <row r="566" spans="1:30" ht="16" x14ac:dyDescent="0.2">
      <c r="A566" s="47"/>
      <c r="B566" s="422"/>
      <c r="C566" s="176">
        <f t="shared" si="148"/>
        <v>563</v>
      </c>
      <c r="D566" s="146">
        <v>45787</v>
      </c>
      <c r="E566" s="37">
        <v>45789</v>
      </c>
      <c r="F566" s="65" t="s">
        <v>210</v>
      </c>
      <c r="G566" s="11" t="str">
        <f ca="1">IF(AND(E566&lt;&gt;"",E566&lt;TODAY()),"Disponible",IFERROR(INDEX(Vehiculos[Estado Vehiculo],MATCH(F566,Vehiculos[Placa Vehiculo],0)),""))</f>
        <v>Disponible</v>
      </c>
      <c r="H566" s="34" t="s">
        <v>238</v>
      </c>
      <c r="I566" s="34" t="s">
        <v>273</v>
      </c>
      <c r="J566" s="34" t="s">
        <v>274</v>
      </c>
      <c r="K566" s="39">
        <v>78540</v>
      </c>
      <c r="L566" s="39">
        <v>79215</v>
      </c>
      <c r="M566" s="15">
        <f t="shared" ref="M566:M577" si="183">L566-K566</f>
        <v>675</v>
      </c>
      <c r="N566" s="15"/>
      <c r="O566" s="39"/>
      <c r="P566" s="36"/>
      <c r="Q566" s="16">
        <f t="shared" ref="Q566:Q577" si="184">M566*P566</f>
        <v>0</v>
      </c>
      <c r="R566" s="34" t="s">
        <v>273</v>
      </c>
      <c r="S566" s="34" t="s">
        <v>102</v>
      </c>
      <c r="T566" s="36">
        <v>1.8</v>
      </c>
      <c r="U566" s="293">
        <f>Rutas[[#This Row],[Precio x Galón ($/gal)]]*Rutas[[#This Row],[Volumen de Combustible (gal)]]</f>
        <v>210.34800000000001</v>
      </c>
      <c r="V566" s="36"/>
      <c r="W566" s="36"/>
      <c r="X566" s="36"/>
      <c r="Y566" s="145">
        <f t="shared" ref="Y566:Y577" si="185">U566+SUM(V566:X566)</f>
        <v>210.34800000000001</v>
      </c>
      <c r="Z566" s="567"/>
      <c r="AA566" s="12">
        <v>116.86</v>
      </c>
      <c r="AB566" s="12">
        <f t="shared" ref="AB566:AB577" si="186">IFERROR(M566/AA566,0)</f>
        <v>5.7761423926065376</v>
      </c>
      <c r="AC566" s="12">
        <f t="shared" ref="AC566:AC577" si="187">IFERROR(Q566/M566,0)</f>
        <v>0</v>
      </c>
      <c r="AD566" s="34"/>
    </row>
    <row r="567" spans="1:30" ht="16" x14ac:dyDescent="0.2">
      <c r="A567" s="47"/>
      <c r="B567" s="422"/>
      <c r="C567" s="176">
        <f t="shared" si="148"/>
        <v>564</v>
      </c>
      <c r="D567" s="146">
        <v>45789</v>
      </c>
      <c r="E567" s="37">
        <v>45791</v>
      </c>
      <c r="F567" s="65" t="s">
        <v>210</v>
      </c>
      <c r="G567" s="11" t="str">
        <f ca="1">IF(AND(E567&lt;&gt;"",E567&lt;TODAY()),"Disponible",IFERROR(INDEX(Vehiculos[Estado Vehiculo],MATCH(F567,Vehiculos[Placa Vehiculo],0)),""))</f>
        <v>Disponible</v>
      </c>
      <c r="H567" s="34" t="s">
        <v>238</v>
      </c>
      <c r="I567" s="34" t="s">
        <v>273</v>
      </c>
      <c r="J567" s="34" t="s">
        <v>274</v>
      </c>
      <c r="K567" s="39">
        <v>79215</v>
      </c>
      <c r="L567" s="39">
        <v>79904</v>
      </c>
      <c r="M567" s="15">
        <f t="shared" si="183"/>
        <v>689</v>
      </c>
      <c r="N567" s="15"/>
      <c r="O567" s="39"/>
      <c r="P567" s="36"/>
      <c r="Q567" s="16">
        <f t="shared" si="184"/>
        <v>0</v>
      </c>
      <c r="R567" s="34" t="s">
        <v>273</v>
      </c>
      <c r="S567" s="34" t="s">
        <v>102</v>
      </c>
      <c r="T567" s="36">
        <v>1.8</v>
      </c>
      <c r="U567" s="293">
        <f>Rutas[[#This Row],[Precio x Galón ($/gal)]]*Rutas[[#This Row],[Volumen de Combustible (gal)]]</f>
        <v>219.69</v>
      </c>
      <c r="V567" s="36"/>
      <c r="W567" s="36"/>
      <c r="X567" s="36"/>
      <c r="Y567" s="145">
        <f t="shared" si="185"/>
        <v>219.69</v>
      </c>
      <c r="Z567" s="567"/>
      <c r="AA567" s="12">
        <v>122.05</v>
      </c>
      <c r="AB567" s="12">
        <f t="shared" si="186"/>
        <v>5.6452273658336747</v>
      </c>
      <c r="AC567" s="12">
        <f t="shared" si="187"/>
        <v>0</v>
      </c>
      <c r="AD567" s="34"/>
    </row>
    <row r="568" spans="1:30" ht="16" x14ac:dyDescent="0.2">
      <c r="A568" s="47"/>
      <c r="B568" s="422"/>
      <c r="C568" s="176">
        <f t="shared" si="148"/>
        <v>565</v>
      </c>
      <c r="D568" s="146">
        <v>45791</v>
      </c>
      <c r="E568" s="37">
        <v>45793</v>
      </c>
      <c r="F568" s="65" t="s">
        <v>210</v>
      </c>
      <c r="G568" s="11" t="str">
        <f ca="1">IF(AND(E568&lt;&gt;"",E568&lt;TODAY()),"Disponible",IFERROR(INDEX(Vehiculos[Estado Vehiculo],MATCH(F568,Vehiculos[Placa Vehiculo],0)),""))</f>
        <v>Disponible</v>
      </c>
      <c r="H568" s="34" t="s">
        <v>238</v>
      </c>
      <c r="I568" s="34" t="s">
        <v>273</v>
      </c>
      <c r="J568" s="34" t="s">
        <v>274</v>
      </c>
      <c r="K568" s="39">
        <v>79904</v>
      </c>
      <c r="L568" s="39">
        <v>80531</v>
      </c>
      <c r="M568" s="15">
        <f t="shared" si="183"/>
        <v>627</v>
      </c>
      <c r="N568" s="15"/>
      <c r="O568" s="39"/>
      <c r="P568" s="36"/>
      <c r="Q568" s="16">
        <f t="shared" si="184"/>
        <v>0</v>
      </c>
      <c r="R568" s="34" t="s">
        <v>273</v>
      </c>
      <c r="S568" s="34" t="s">
        <v>102</v>
      </c>
      <c r="T568" s="36">
        <v>1.8</v>
      </c>
      <c r="U568" s="293">
        <f>Rutas[[#This Row],[Precio x Galón ($/gal)]]*Rutas[[#This Row],[Volumen de Combustible (gal)]]</f>
        <v>199.602</v>
      </c>
      <c r="V568" s="36"/>
      <c r="W568" s="36"/>
      <c r="X568" s="36"/>
      <c r="Y568" s="145">
        <f t="shared" si="185"/>
        <v>199.602</v>
      </c>
      <c r="Z568" s="567"/>
      <c r="AA568" s="12">
        <v>110.89</v>
      </c>
      <c r="AB568" s="12">
        <f t="shared" si="186"/>
        <v>5.6542519614031921</v>
      </c>
      <c r="AC568" s="12">
        <f t="shared" si="187"/>
        <v>0</v>
      </c>
      <c r="AD568" s="34"/>
    </row>
    <row r="569" spans="1:30" ht="16" x14ac:dyDescent="0.2">
      <c r="A569" s="47"/>
      <c r="B569" s="422"/>
      <c r="C569" s="176">
        <f t="shared" si="148"/>
        <v>566</v>
      </c>
      <c r="D569" s="146">
        <v>45793</v>
      </c>
      <c r="E569" s="37">
        <v>45795</v>
      </c>
      <c r="F569" s="65" t="s">
        <v>210</v>
      </c>
      <c r="G569" s="11" t="s">
        <v>349</v>
      </c>
      <c r="H569" s="34" t="s">
        <v>238</v>
      </c>
      <c r="I569" s="34" t="s">
        <v>273</v>
      </c>
      <c r="J569" s="34" t="s">
        <v>274</v>
      </c>
      <c r="K569" s="39">
        <v>80531</v>
      </c>
      <c r="L569" s="39">
        <v>81268</v>
      </c>
      <c r="M569" s="15">
        <f t="shared" si="183"/>
        <v>737</v>
      </c>
      <c r="N569" s="15"/>
      <c r="O569" s="39"/>
      <c r="P569" s="36"/>
      <c r="Q569" s="16">
        <f t="shared" si="184"/>
        <v>0</v>
      </c>
      <c r="R569" s="34" t="s">
        <v>273</v>
      </c>
      <c r="S569" s="34" t="s">
        <v>102</v>
      </c>
      <c r="T569" s="36">
        <v>1.8</v>
      </c>
      <c r="U569" s="293">
        <f>Rutas[[#This Row],[Precio x Galón ($/gal)]]*Rutas[[#This Row],[Volumen de Combustible (gal)]]</f>
        <v>221.04</v>
      </c>
      <c r="V569" s="36"/>
      <c r="W569" s="36"/>
      <c r="X569" s="36"/>
      <c r="Y569" s="145">
        <f t="shared" si="185"/>
        <v>221.04</v>
      </c>
      <c r="Z569" s="567"/>
      <c r="AA569" s="12">
        <v>122.8</v>
      </c>
      <c r="AB569" s="12">
        <f t="shared" si="186"/>
        <v>6.0016286644951142</v>
      </c>
      <c r="AC569" s="12">
        <f t="shared" si="187"/>
        <v>0</v>
      </c>
      <c r="AD569" s="34"/>
    </row>
    <row r="570" spans="1:30" ht="16" x14ac:dyDescent="0.2">
      <c r="A570" s="47"/>
      <c r="B570" s="422"/>
      <c r="C570" s="176">
        <f t="shared" si="148"/>
        <v>567</v>
      </c>
      <c r="D570" s="146">
        <v>45795</v>
      </c>
      <c r="E570" s="37">
        <v>45796</v>
      </c>
      <c r="F570" s="65" t="s">
        <v>210</v>
      </c>
      <c r="G570" s="11" t="str">
        <f ca="1">IF(AND(E570&lt;&gt;"",E570&lt;TODAY()),"Disponible",IFERROR(INDEX(Vehiculos[Estado Vehiculo],MATCH(F570,Vehiculos[Placa Vehiculo],0)),""))</f>
        <v>Disponible</v>
      </c>
      <c r="H570" s="34" t="s">
        <v>238</v>
      </c>
      <c r="I570" s="34" t="s">
        <v>273</v>
      </c>
      <c r="J570" s="34" t="s">
        <v>274</v>
      </c>
      <c r="K570" s="39">
        <v>81268</v>
      </c>
      <c r="L570" s="39">
        <v>81831</v>
      </c>
      <c r="M570" s="15">
        <f t="shared" si="183"/>
        <v>563</v>
      </c>
      <c r="N570" s="15"/>
      <c r="O570" s="39"/>
      <c r="P570" s="36"/>
      <c r="Q570" s="16">
        <f t="shared" si="184"/>
        <v>0</v>
      </c>
      <c r="R570" s="34" t="s">
        <v>273</v>
      </c>
      <c r="S570" s="34" t="s">
        <v>102</v>
      </c>
      <c r="T570" s="36">
        <v>1.8</v>
      </c>
      <c r="U570" s="293">
        <f>Rutas[[#This Row],[Precio x Galón ($/gal)]]*Rutas[[#This Row],[Volumen de Combustible (gal)]]</f>
        <v>174.726</v>
      </c>
      <c r="V570" s="36"/>
      <c r="W570" s="36"/>
      <c r="X570" s="36"/>
      <c r="Y570" s="145">
        <f t="shared" si="185"/>
        <v>174.726</v>
      </c>
      <c r="Z570" s="567"/>
      <c r="AA570" s="12">
        <v>97.07</v>
      </c>
      <c r="AB570" s="12">
        <f t="shared" si="186"/>
        <v>5.7999381889358199</v>
      </c>
      <c r="AC570" s="12">
        <f t="shared" si="187"/>
        <v>0</v>
      </c>
      <c r="AD570" s="34"/>
    </row>
    <row r="571" spans="1:30" ht="16" x14ac:dyDescent="0.2">
      <c r="A571" s="47"/>
      <c r="B571" s="422"/>
      <c r="C571" s="176">
        <f t="shared" si="148"/>
        <v>568</v>
      </c>
      <c r="D571" s="146">
        <v>45796</v>
      </c>
      <c r="E571" s="37">
        <v>45797</v>
      </c>
      <c r="F571" s="65" t="s">
        <v>210</v>
      </c>
      <c r="G571" s="11" t="str">
        <f ca="1">IF(AND(E571&lt;&gt;"",E571&lt;TODAY()),"Disponible",IFERROR(INDEX(Vehiculos[Estado Vehiculo],MATCH(F571,Vehiculos[Placa Vehiculo],0)),""))</f>
        <v>Disponible</v>
      </c>
      <c r="H571" s="34" t="s">
        <v>238</v>
      </c>
      <c r="I571" s="34" t="s">
        <v>273</v>
      </c>
      <c r="J571" s="34" t="s">
        <v>274</v>
      </c>
      <c r="K571" s="39">
        <v>81831</v>
      </c>
      <c r="L571" s="39">
        <v>82317</v>
      </c>
      <c r="M571" s="15">
        <f t="shared" si="183"/>
        <v>486</v>
      </c>
      <c r="N571" s="15"/>
      <c r="O571" s="39"/>
      <c r="P571" s="36"/>
      <c r="Q571" s="16">
        <f t="shared" si="184"/>
        <v>0</v>
      </c>
      <c r="R571" s="34" t="s">
        <v>273</v>
      </c>
      <c r="S571" s="34" t="s">
        <v>102</v>
      </c>
      <c r="T571" s="36">
        <v>1.8</v>
      </c>
      <c r="U571" s="293">
        <f>Rutas[[#This Row],[Precio x Galón ($/gal)]]*Rutas[[#This Row],[Volumen de Combustible (gal)]]</f>
        <v>144.54</v>
      </c>
      <c r="V571" s="36"/>
      <c r="W571" s="36"/>
      <c r="X571" s="36"/>
      <c r="Y571" s="145">
        <f t="shared" si="185"/>
        <v>144.54</v>
      </c>
      <c r="Z571" s="567"/>
      <c r="AA571" s="12">
        <v>80.3</v>
      </c>
      <c r="AB571" s="12">
        <f t="shared" si="186"/>
        <v>6.0523038605230388</v>
      </c>
      <c r="AC571" s="12">
        <f t="shared" si="187"/>
        <v>0</v>
      </c>
      <c r="AD571" s="34"/>
    </row>
    <row r="572" spans="1:30" ht="16" x14ac:dyDescent="0.2">
      <c r="A572" s="47"/>
      <c r="B572" s="422"/>
      <c r="C572" s="176">
        <f t="shared" si="148"/>
        <v>569</v>
      </c>
      <c r="D572" s="146">
        <v>45797</v>
      </c>
      <c r="E572" s="37">
        <v>45798</v>
      </c>
      <c r="F572" s="65" t="s">
        <v>210</v>
      </c>
      <c r="G572" s="11" t="str">
        <f ca="1">IF(AND(E572&lt;&gt;"",E572&lt;TODAY()),"Disponible",IFERROR(INDEX(Vehiculos[Estado Vehiculo],MATCH(F572,Vehiculos[Placa Vehiculo],0)),""))</f>
        <v>Disponible</v>
      </c>
      <c r="H572" s="34" t="s">
        <v>250</v>
      </c>
      <c r="I572" s="34" t="s">
        <v>273</v>
      </c>
      <c r="J572" s="34" t="s">
        <v>274</v>
      </c>
      <c r="K572" s="39">
        <v>82317</v>
      </c>
      <c r="L572" s="39">
        <v>82824</v>
      </c>
      <c r="M572" s="15">
        <f t="shared" si="183"/>
        <v>507</v>
      </c>
      <c r="N572" s="15"/>
      <c r="O572" s="39"/>
      <c r="P572" s="36"/>
      <c r="Q572" s="16">
        <f t="shared" si="184"/>
        <v>0</v>
      </c>
      <c r="R572" s="34" t="s">
        <v>273</v>
      </c>
      <c r="S572" s="34" t="s">
        <v>102</v>
      </c>
      <c r="T572" s="36">
        <v>1.8</v>
      </c>
      <c r="U572" s="293">
        <f>Rutas[[#This Row],[Precio x Galón ($/gal)]]*Rutas[[#This Row],[Volumen de Combustible (gal)]]</f>
        <v>164.75400000000002</v>
      </c>
      <c r="V572" s="36"/>
      <c r="W572" s="36"/>
      <c r="X572" s="36"/>
      <c r="Y572" s="145">
        <f t="shared" si="185"/>
        <v>164.75400000000002</v>
      </c>
      <c r="Z572" s="567"/>
      <c r="AA572" s="12">
        <v>91.53</v>
      </c>
      <c r="AB572" s="12">
        <f t="shared" si="186"/>
        <v>5.5391674860701405</v>
      </c>
      <c r="AC572" s="12">
        <f t="shared" si="187"/>
        <v>0</v>
      </c>
      <c r="AD572" s="34"/>
    </row>
    <row r="573" spans="1:30" ht="16" x14ac:dyDescent="0.2">
      <c r="A573" s="47"/>
      <c r="B573" s="422"/>
      <c r="C573" s="176">
        <f t="shared" si="148"/>
        <v>570</v>
      </c>
      <c r="D573" s="146">
        <v>45798</v>
      </c>
      <c r="E573" s="37">
        <v>45799</v>
      </c>
      <c r="F573" s="65" t="s">
        <v>210</v>
      </c>
      <c r="G573" s="11" t="str">
        <f ca="1">IF(AND(E573&lt;&gt;"",E573&lt;TODAY()),"Disponible",IFERROR(INDEX(Vehiculos[Estado Vehiculo],MATCH(F573,Vehiculos[Placa Vehiculo],0)),""))</f>
        <v>Disponible</v>
      </c>
      <c r="H573" s="34" t="s">
        <v>250</v>
      </c>
      <c r="I573" s="34" t="s">
        <v>273</v>
      </c>
      <c r="J573" s="34" t="s">
        <v>274</v>
      </c>
      <c r="K573" s="39">
        <v>82824</v>
      </c>
      <c r="L573" s="39">
        <v>83236</v>
      </c>
      <c r="M573" s="15">
        <f t="shared" si="183"/>
        <v>412</v>
      </c>
      <c r="N573" s="15"/>
      <c r="O573" s="39"/>
      <c r="P573" s="36"/>
      <c r="Q573" s="16">
        <f t="shared" si="184"/>
        <v>0</v>
      </c>
      <c r="R573" s="34" t="s">
        <v>273</v>
      </c>
      <c r="S573" s="34" t="s">
        <v>102</v>
      </c>
      <c r="T573" s="36">
        <v>1.8</v>
      </c>
      <c r="U573" s="293">
        <f>Rutas[[#This Row],[Precio x Galón ($/gal)]]*Rutas[[#This Row],[Volumen de Combustible (gal)]]</f>
        <v>126.82799999999999</v>
      </c>
      <c r="V573" s="36"/>
      <c r="W573" s="36"/>
      <c r="X573" s="36"/>
      <c r="Y573" s="145">
        <f t="shared" si="185"/>
        <v>126.82799999999999</v>
      </c>
      <c r="Z573" s="567"/>
      <c r="AA573" s="12">
        <v>70.459999999999994</v>
      </c>
      <c r="AB573" s="12">
        <f t="shared" si="186"/>
        <v>5.8472892421231908</v>
      </c>
      <c r="AC573" s="12">
        <f t="shared" si="187"/>
        <v>0</v>
      </c>
      <c r="AD573" s="34"/>
    </row>
    <row r="574" spans="1:30" ht="16" x14ac:dyDescent="0.2">
      <c r="A574" s="47"/>
      <c r="B574" s="422"/>
      <c r="C574" s="176">
        <f t="shared" si="148"/>
        <v>571</v>
      </c>
      <c r="D574" s="146">
        <v>45799</v>
      </c>
      <c r="E574" s="37">
        <v>45801</v>
      </c>
      <c r="F574" s="65" t="s">
        <v>210</v>
      </c>
      <c r="G574" s="11" t="str">
        <f ca="1">IF(AND(E574&lt;&gt;"",E574&lt;TODAY()),"Disponible",IFERROR(INDEX(Vehiculos[Estado Vehiculo],MATCH(F574,Vehiculos[Placa Vehiculo],0)),""))</f>
        <v>Disponible</v>
      </c>
      <c r="H574" s="34" t="s">
        <v>250</v>
      </c>
      <c r="I574" s="34" t="s">
        <v>273</v>
      </c>
      <c r="J574" s="34" t="s">
        <v>274</v>
      </c>
      <c r="K574" s="39">
        <v>83236</v>
      </c>
      <c r="L574" s="39">
        <v>83884</v>
      </c>
      <c r="M574" s="15">
        <f>L574-K574</f>
        <v>648</v>
      </c>
      <c r="N574" s="15"/>
      <c r="O574" s="39"/>
      <c r="P574" s="36"/>
      <c r="Q574" s="16">
        <f>M574*P574</f>
        <v>0</v>
      </c>
      <c r="R574" s="34" t="s">
        <v>273</v>
      </c>
      <c r="S574" s="34" t="s">
        <v>102</v>
      </c>
      <c r="T574" s="36">
        <v>1.8</v>
      </c>
      <c r="U574" s="293">
        <f>Rutas[[#This Row],[Precio x Galón ($/gal)]]*Rutas[[#This Row],[Volumen de Combustible (gal)]]</f>
        <v>206.262</v>
      </c>
      <c r="V574" s="36"/>
      <c r="W574" s="36"/>
      <c r="X574" s="36"/>
      <c r="Y574" s="145">
        <f>U574+SUM(V574:X574)</f>
        <v>206.262</v>
      </c>
      <c r="Z574" s="567"/>
      <c r="AA574" s="12">
        <v>114.59</v>
      </c>
      <c r="AB574" s="12">
        <f>IFERROR(M574/AA574,0)</f>
        <v>5.6549437123658262</v>
      </c>
      <c r="AC574" s="12">
        <f>IFERROR(Q574/M574,0)</f>
        <v>0</v>
      </c>
      <c r="AD574" s="34"/>
    </row>
    <row r="575" spans="1:30" ht="16" x14ac:dyDescent="0.2">
      <c r="A575" s="47"/>
      <c r="B575" s="422"/>
      <c r="C575" s="176">
        <f t="shared" si="148"/>
        <v>572</v>
      </c>
      <c r="D575" s="146">
        <v>45801</v>
      </c>
      <c r="E575" s="37">
        <v>45802</v>
      </c>
      <c r="F575" s="65" t="s">
        <v>210</v>
      </c>
      <c r="G575" s="11" t="str">
        <f ca="1">IF(AND(E575&lt;&gt;"",E575&lt;TODAY()),"Disponible",IFERROR(INDEX(Vehiculos[Estado Vehiculo],MATCH(F575,Vehiculos[Placa Vehiculo],0)),""))</f>
        <v>Disponible</v>
      </c>
      <c r="H575" s="34" t="s">
        <v>250</v>
      </c>
      <c r="I575" s="34" t="s">
        <v>273</v>
      </c>
      <c r="J575" s="34" t="s">
        <v>274</v>
      </c>
      <c r="K575" s="39">
        <v>83884</v>
      </c>
      <c r="L575" s="39">
        <v>84231</v>
      </c>
      <c r="M575" s="15">
        <f>L575-K575</f>
        <v>347</v>
      </c>
      <c r="N575" s="15"/>
      <c r="O575" s="39"/>
      <c r="P575" s="36"/>
      <c r="Q575" s="16">
        <f>M575*P575</f>
        <v>0</v>
      </c>
      <c r="R575" s="34" t="s">
        <v>273</v>
      </c>
      <c r="S575" s="34" t="s">
        <v>102</v>
      </c>
      <c r="T575" s="36">
        <v>1.8</v>
      </c>
      <c r="U575" s="293">
        <f>Rutas[[#This Row],[Precio x Galón ($/gal)]]*Rutas[[#This Row],[Volumen de Combustible (gal)]]</f>
        <v>115.23599999999999</v>
      </c>
      <c r="V575" s="36"/>
      <c r="W575" s="36"/>
      <c r="X575" s="36"/>
      <c r="Y575" s="145">
        <f>U575+SUM(V575:X575)</f>
        <v>115.23599999999999</v>
      </c>
      <c r="Z575" s="567"/>
      <c r="AA575" s="12">
        <v>64.02</v>
      </c>
      <c r="AB575" s="12">
        <f>IFERROR(M575/AA575,0)</f>
        <v>5.4201811933770703</v>
      </c>
      <c r="AC575" s="12">
        <f>IFERROR(Q575/M575,0)</f>
        <v>0</v>
      </c>
      <c r="AD575" s="34"/>
    </row>
    <row r="576" spans="1:30" ht="16" x14ac:dyDescent="0.2">
      <c r="A576" s="47"/>
      <c r="B576" s="422"/>
      <c r="C576" s="176">
        <f t="shared" si="148"/>
        <v>573</v>
      </c>
      <c r="D576" s="146">
        <v>45802</v>
      </c>
      <c r="E576" s="37">
        <v>45804</v>
      </c>
      <c r="F576" s="65" t="s">
        <v>210</v>
      </c>
      <c r="G576" s="11" t="str">
        <f ca="1">IF(AND(E576&lt;&gt;"",E576&lt;TODAY()),"Disponible",IFERROR(INDEX(Vehiculos[Estado Vehiculo],MATCH(F576,Vehiculos[Placa Vehiculo],0)),""))</f>
        <v>Disponible</v>
      </c>
      <c r="H576" s="34" t="s">
        <v>250</v>
      </c>
      <c r="I576" s="34" t="s">
        <v>273</v>
      </c>
      <c r="J576" s="34" t="s">
        <v>274</v>
      </c>
      <c r="K576" s="39">
        <v>84231</v>
      </c>
      <c r="L576" s="39">
        <v>84788</v>
      </c>
      <c r="M576" s="15">
        <f>L576-K576</f>
        <v>557</v>
      </c>
      <c r="N576" s="15"/>
      <c r="O576" s="39"/>
      <c r="P576" s="36"/>
      <c r="Q576" s="16">
        <f>M576*P576</f>
        <v>0</v>
      </c>
      <c r="R576" s="34" t="s">
        <v>273</v>
      </c>
      <c r="S576" s="34" t="s">
        <v>102</v>
      </c>
      <c r="T576" s="36">
        <v>1.8</v>
      </c>
      <c r="U576" s="293">
        <f>Rutas[[#This Row],[Precio x Galón ($/gal)]]*Rutas[[#This Row],[Volumen de Combustible (gal)]]</f>
        <v>167.67000000000002</v>
      </c>
      <c r="V576" s="36"/>
      <c r="W576" s="36"/>
      <c r="X576" s="36"/>
      <c r="Y576" s="145">
        <f>U576+SUM(V576:X576)</f>
        <v>167.67000000000002</v>
      </c>
      <c r="Z576" s="567"/>
      <c r="AA576" s="12">
        <v>93.15</v>
      </c>
      <c r="AB576" s="12">
        <f>IFERROR(M576/AA576,0)</f>
        <v>5.979602791196994</v>
      </c>
      <c r="AC576" s="12">
        <f>IFERROR(Q576/M576,0)</f>
        <v>0</v>
      </c>
      <c r="AD576" s="34"/>
    </row>
    <row r="577" spans="1:30" ht="16" x14ac:dyDescent="0.2">
      <c r="A577" s="47"/>
      <c r="B577" s="422"/>
      <c r="C577" s="176">
        <f t="shared" si="148"/>
        <v>574</v>
      </c>
      <c r="D577" s="146">
        <v>45804</v>
      </c>
      <c r="E577" s="37">
        <v>45805</v>
      </c>
      <c r="F577" s="65" t="s">
        <v>210</v>
      </c>
      <c r="G577" s="11" t="str">
        <f ca="1">IF(AND(E577&lt;&gt;"",E577&lt;TODAY()),"Disponible",IFERROR(INDEX(Vehiculos[Estado Vehiculo],MATCH(F577,Vehiculos[Placa Vehiculo],0)),""))</f>
        <v>Disponible</v>
      </c>
      <c r="H577" s="34" t="s">
        <v>238</v>
      </c>
      <c r="I577" s="34" t="s">
        <v>273</v>
      </c>
      <c r="J577" s="34" t="s">
        <v>274</v>
      </c>
      <c r="K577" s="39">
        <v>84788</v>
      </c>
      <c r="L577" s="39">
        <v>85139</v>
      </c>
      <c r="M577" s="15">
        <f t="shared" si="183"/>
        <v>351</v>
      </c>
      <c r="N577" s="15"/>
      <c r="O577" s="39"/>
      <c r="P577" s="36"/>
      <c r="Q577" s="16">
        <f t="shared" si="184"/>
        <v>0</v>
      </c>
      <c r="R577" s="34" t="s">
        <v>273</v>
      </c>
      <c r="S577" s="34" t="s">
        <v>102</v>
      </c>
      <c r="T577" s="36">
        <v>1.8</v>
      </c>
      <c r="U577" s="293">
        <f>Rutas[[#This Row],[Precio x Galón ($/gal)]]*Rutas[[#This Row],[Volumen de Combustible (gal)]]</f>
        <v>102.65400000000001</v>
      </c>
      <c r="V577" s="36"/>
      <c r="W577" s="36"/>
      <c r="X577" s="36"/>
      <c r="Y577" s="145">
        <f t="shared" si="185"/>
        <v>102.65400000000001</v>
      </c>
      <c r="Z577" s="567"/>
      <c r="AA577" s="12">
        <v>57.03</v>
      </c>
      <c r="AB577" s="12">
        <f t="shared" si="186"/>
        <v>6.1546554445028931</v>
      </c>
      <c r="AC577" s="12">
        <f t="shared" si="187"/>
        <v>0</v>
      </c>
      <c r="AD577" s="34"/>
    </row>
    <row r="578" spans="1:30" ht="16" x14ac:dyDescent="0.2">
      <c r="A578" s="47"/>
      <c r="B578" s="422"/>
      <c r="C578" s="176">
        <f t="shared" si="148"/>
        <v>575</v>
      </c>
      <c r="D578" s="146">
        <v>45805</v>
      </c>
      <c r="E578" s="37">
        <v>45807</v>
      </c>
      <c r="F578" s="65" t="s">
        <v>210</v>
      </c>
      <c r="G578" s="11" t="str">
        <f ca="1">IF(AND(E578&lt;&gt;"",E578&lt;TODAY()),"Disponible",IFERROR(INDEX(Vehiculos[Estado Vehiculo],MATCH(F578,Vehiculos[Placa Vehiculo],0)),""))</f>
        <v>Disponible</v>
      </c>
      <c r="H578" s="34" t="s">
        <v>250</v>
      </c>
      <c r="I578" s="34" t="s">
        <v>273</v>
      </c>
      <c r="J578" s="34" t="s">
        <v>274</v>
      </c>
      <c r="K578" s="39">
        <v>85139</v>
      </c>
      <c r="L578" s="39">
        <v>85688</v>
      </c>
      <c r="M578" s="15">
        <f>L578-K578</f>
        <v>549</v>
      </c>
      <c r="N578" s="15"/>
      <c r="O578" s="39"/>
      <c r="P578" s="36"/>
      <c r="Q578" s="16">
        <f t="shared" ref="Q578:Q592" si="188">M578*P578</f>
        <v>0</v>
      </c>
      <c r="R578" s="34" t="s">
        <v>273</v>
      </c>
      <c r="S578" s="34" t="s">
        <v>102</v>
      </c>
      <c r="T578" s="36">
        <v>1.8</v>
      </c>
      <c r="U578" s="293">
        <f>Rutas[[#This Row],[Precio x Galón ($/gal)]]*Rutas[[#This Row],[Volumen de Combustible (gal)]]</f>
        <v>144.34200000000001</v>
      </c>
      <c r="V578" s="36"/>
      <c r="W578" s="36"/>
      <c r="X578" s="36"/>
      <c r="Y578" s="145">
        <f t="shared" ref="Y578:Y592" si="189">U578+SUM(V578:X578)</f>
        <v>144.34200000000001</v>
      </c>
      <c r="Z578" s="567"/>
      <c r="AA578" s="12">
        <v>80.19</v>
      </c>
      <c r="AB578" s="12">
        <f t="shared" ref="AB578:AB592" si="190">IFERROR(M578/AA578,0)</f>
        <v>6.8462401795735133</v>
      </c>
      <c r="AC578" s="12">
        <f t="shared" ref="AC578:AC592" si="191">IFERROR(Q578/M578,0)</f>
        <v>0</v>
      </c>
      <c r="AD578" s="34"/>
    </row>
    <row r="579" spans="1:30" ht="16" x14ac:dyDescent="0.2">
      <c r="A579" s="47"/>
      <c r="B579" s="422"/>
      <c r="C579" s="176">
        <f t="shared" si="148"/>
        <v>576</v>
      </c>
      <c r="D579" s="146">
        <v>45807</v>
      </c>
      <c r="E579" s="37">
        <v>45808</v>
      </c>
      <c r="F579" s="65" t="s">
        <v>210</v>
      </c>
      <c r="G579" s="11" t="str">
        <f ca="1">IF(AND(E579&lt;&gt;"",E579&lt;TODAY()),"Disponible",IFERROR(INDEX(Vehiculos[Estado Vehiculo],MATCH(F579,Vehiculos[Placa Vehiculo],0)),""))</f>
        <v>Disponible</v>
      </c>
      <c r="H579" s="34" t="s">
        <v>245</v>
      </c>
      <c r="I579" s="34" t="s">
        <v>273</v>
      </c>
      <c r="J579" s="34" t="s">
        <v>274</v>
      </c>
      <c r="K579" s="39">
        <v>85688</v>
      </c>
      <c r="L579" s="39">
        <v>85689</v>
      </c>
      <c r="M579" s="15">
        <f>L579-K579</f>
        <v>1</v>
      </c>
      <c r="N579" s="452">
        <v>636</v>
      </c>
      <c r="O579" s="39"/>
      <c r="P579" s="36"/>
      <c r="Q579" s="16">
        <f t="shared" si="188"/>
        <v>0</v>
      </c>
      <c r="R579" s="34" t="s">
        <v>273</v>
      </c>
      <c r="S579" s="34" t="s">
        <v>102</v>
      </c>
      <c r="T579" s="36"/>
      <c r="U579" s="293"/>
      <c r="V579" s="36"/>
      <c r="W579" s="36"/>
      <c r="X579" s="36"/>
      <c r="Y579" s="145">
        <f t="shared" si="189"/>
        <v>0</v>
      </c>
      <c r="Z579" s="567"/>
      <c r="AA579" s="12"/>
      <c r="AB579" s="12">
        <f t="shared" si="190"/>
        <v>0</v>
      </c>
      <c r="AC579" s="12">
        <f t="shared" si="191"/>
        <v>0</v>
      </c>
      <c r="AD579" s="34"/>
    </row>
    <row r="580" spans="1:30" ht="16" x14ac:dyDescent="0.2">
      <c r="A580" s="47"/>
      <c r="B580" s="422"/>
      <c r="C580" s="176">
        <f t="shared" ref="C580:C643" si="192">ROW(A577)</f>
        <v>577</v>
      </c>
      <c r="D580" s="437"/>
      <c r="E580" s="438"/>
      <c r="F580" s="439"/>
      <c r="G580" s="440" t="str">
        <f ca="1">IF(AND(E580&lt;&gt;"",E580&lt;TODAY()),"Disponible",IFERROR(INDEX(Vehiculos[Estado Vehiculo],MATCH(F580,Vehiculos[Placa Vehiculo],0)),""))</f>
        <v/>
      </c>
      <c r="H580" s="441"/>
      <c r="I580" s="441"/>
      <c r="J580" s="441"/>
      <c r="K580" s="442"/>
      <c r="L580" s="442"/>
      <c r="M580" s="443"/>
      <c r="N580" s="443"/>
      <c r="O580" s="442"/>
      <c r="P580" s="444"/>
      <c r="Q580" s="445">
        <f t="shared" si="188"/>
        <v>0</v>
      </c>
      <c r="R580" s="441"/>
      <c r="S580" s="441"/>
      <c r="T580" s="444"/>
      <c r="U580" s="446">
        <f>Rutas[[#This Row],[Precio x Galón ($/gal)]]*Rutas[[#This Row],[Volumen de Combustible (gal)]]</f>
        <v>0</v>
      </c>
      <c r="V580" s="444"/>
      <c r="W580" s="444"/>
      <c r="X580" s="444"/>
      <c r="Y580" s="447">
        <f t="shared" si="189"/>
        <v>0</v>
      </c>
      <c r="Z580" s="570"/>
      <c r="AA580" s="448"/>
      <c r="AB580" s="448">
        <f t="shared" si="190"/>
        <v>0</v>
      </c>
      <c r="AC580" s="448">
        <f t="shared" si="191"/>
        <v>0</v>
      </c>
      <c r="AD580" s="441"/>
    </row>
    <row r="581" spans="1:30" ht="16" x14ac:dyDescent="0.2">
      <c r="A581" s="47"/>
      <c r="B581" s="422"/>
      <c r="C581" s="176">
        <f t="shared" si="192"/>
        <v>578</v>
      </c>
      <c r="D581" s="90">
        <v>45778</v>
      </c>
      <c r="E581" s="90">
        <v>45779</v>
      </c>
      <c r="F581" s="68" t="s">
        <v>211</v>
      </c>
      <c r="G581" s="379" t="str">
        <f ca="1">IF(AND(E581&lt;&gt;"",E581&lt;TODAY()),"Disponible",IFERROR(INDEX(Vehiculos[Estado Vehiculo],MATCH(F581,Vehiculos[Placa Vehiculo],0)),""))</f>
        <v>Disponible</v>
      </c>
      <c r="H581" s="89" t="s">
        <v>246</v>
      </c>
      <c r="I581" s="89" t="s">
        <v>273</v>
      </c>
      <c r="J581" s="89" t="s">
        <v>274</v>
      </c>
      <c r="K581" s="380">
        <v>36102</v>
      </c>
      <c r="L581" s="380">
        <v>36445</v>
      </c>
      <c r="M581" s="381">
        <f t="shared" ref="M581:M586" si="193">L581-K581</f>
        <v>343</v>
      </c>
      <c r="N581" s="381"/>
      <c r="O581" s="380"/>
      <c r="P581" s="92"/>
      <c r="Q581" s="382">
        <f t="shared" si="188"/>
        <v>0</v>
      </c>
      <c r="R581" s="89" t="s">
        <v>273</v>
      </c>
      <c r="S581" s="89" t="s">
        <v>102</v>
      </c>
      <c r="T581" s="92">
        <v>1.8</v>
      </c>
      <c r="U581" s="266">
        <f>Rutas[[#This Row],[Precio x Galón ($/gal)]]*Rutas[[#This Row],[Volumen de Combustible (gal)]]</f>
        <v>207.738</v>
      </c>
      <c r="V581" s="92"/>
      <c r="W581" s="92"/>
      <c r="X581" s="92"/>
      <c r="Y581" s="382">
        <f t="shared" si="189"/>
        <v>207.738</v>
      </c>
      <c r="Z581" s="567"/>
      <c r="AA581" s="382">
        <v>115.41</v>
      </c>
      <c r="AB581" s="382">
        <f t="shared" si="190"/>
        <v>2.9720128238454206</v>
      </c>
      <c r="AC581" s="382">
        <f t="shared" si="191"/>
        <v>0</v>
      </c>
      <c r="AD581" s="89"/>
    </row>
    <row r="582" spans="1:30" ht="16" x14ac:dyDescent="0.2">
      <c r="A582" s="47"/>
      <c r="B582" s="422"/>
      <c r="C582" s="176">
        <f t="shared" si="192"/>
        <v>579</v>
      </c>
      <c r="D582" s="146">
        <v>45779</v>
      </c>
      <c r="E582" s="37">
        <v>45781</v>
      </c>
      <c r="F582" s="65" t="s">
        <v>211</v>
      </c>
      <c r="G582" s="11" t="str">
        <f ca="1">IF(AND(E582&lt;&gt;"",E582&lt;TODAY()),"Disponible",IFERROR(INDEX(Vehiculos[Estado Vehiculo],MATCH(F582,Vehiculos[Placa Vehiculo],0)),""))</f>
        <v>Disponible</v>
      </c>
      <c r="H582" s="34" t="s">
        <v>246</v>
      </c>
      <c r="I582" s="34" t="s">
        <v>273</v>
      </c>
      <c r="J582" s="34" t="s">
        <v>274</v>
      </c>
      <c r="K582" s="39">
        <v>36445</v>
      </c>
      <c r="L582" s="39">
        <v>36964</v>
      </c>
      <c r="M582" s="15">
        <f t="shared" si="193"/>
        <v>519</v>
      </c>
      <c r="N582" s="15"/>
      <c r="O582" s="39"/>
      <c r="P582" s="36"/>
      <c r="Q582" s="16">
        <f t="shared" si="188"/>
        <v>0</v>
      </c>
      <c r="R582" s="34" t="s">
        <v>273</v>
      </c>
      <c r="S582" s="34" t="s">
        <v>102</v>
      </c>
      <c r="T582" s="36">
        <v>1.8</v>
      </c>
      <c r="U582" s="293">
        <f>Rutas[[#This Row],[Precio x Galón ($/gal)]]*Rutas[[#This Row],[Volumen de Combustible (gal)]]</f>
        <v>176.45400000000001</v>
      </c>
      <c r="V582" s="36"/>
      <c r="W582" s="36"/>
      <c r="X582" s="36"/>
      <c r="Y582" s="145">
        <f t="shared" si="189"/>
        <v>176.45400000000001</v>
      </c>
      <c r="Z582" s="567"/>
      <c r="AA582" s="12">
        <v>98.03</v>
      </c>
      <c r="AB582" s="12">
        <f t="shared" si="190"/>
        <v>5.294297663980414</v>
      </c>
      <c r="AC582" s="12">
        <f t="shared" si="191"/>
        <v>0</v>
      </c>
      <c r="AD582" s="34"/>
    </row>
    <row r="583" spans="1:30" ht="16" x14ac:dyDescent="0.2">
      <c r="A583" s="47"/>
      <c r="B583" s="422"/>
      <c r="C583" s="176">
        <f t="shared" si="192"/>
        <v>580</v>
      </c>
      <c r="D583" s="146">
        <v>45781</v>
      </c>
      <c r="E583" s="37">
        <v>45786</v>
      </c>
      <c r="F583" s="65" t="s">
        <v>211</v>
      </c>
      <c r="G583" s="11" t="str">
        <f ca="1">IF(AND(E583&lt;&gt;"",E583&lt;TODAY()),"Disponible",IFERROR(INDEX(Vehiculos[Estado Vehiculo],MATCH(F583,Vehiculos[Placa Vehiculo],0)),""))</f>
        <v>Disponible</v>
      </c>
      <c r="H583" s="34"/>
      <c r="I583" s="34" t="s">
        <v>273</v>
      </c>
      <c r="J583" s="34" t="s">
        <v>274</v>
      </c>
      <c r="K583" s="39">
        <v>36964</v>
      </c>
      <c r="L583" s="39">
        <v>37400</v>
      </c>
      <c r="M583" s="15">
        <f t="shared" si="193"/>
        <v>436</v>
      </c>
      <c r="N583" s="15"/>
      <c r="O583" s="39"/>
      <c r="P583" s="36"/>
      <c r="Q583" s="16">
        <f t="shared" si="188"/>
        <v>0</v>
      </c>
      <c r="R583" s="34" t="s">
        <v>273</v>
      </c>
      <c r="S583" s="34" t="s">
        <v>102</v>
      </c>
      <c r="T583" s="36">
        <v>1.8</v>
      </c>
      <c r="U583" s="293">
        <f>Rutas[[#This Row],[Precio x Galón ($/gal)]]*Rutas[[#This Row],[Volumen de Combustible (gal)]]</f>
        <v>229.68</v>
      </c>
      <c r="V583" s="36"/>
      <c r="W583" s="36"/>
      <c r="X583" s="36"/>
      <c r="Y583" s="145">
        <f t="shared" si="189"/>
        <v>229.68</v>
      </c>
      <c r="Z583" s="567"/>
      <c r="AA583" s="12">
        <v>127.6</v>
      </c>
      <c r="AB583" s="12">
        <f t="shared" si="190"/>
        <v>3.4169278996865207</v>
      </c>
      <c r="AC583" s="12">
        <f t="shared" si="191"/>
        <v>0</v>
      </c>
      <c r="AD583" s="34"/>
    </row>
    <row r="584" spans="1:30" ht="16" x14ac:dyDescent="0.2">
      <c r="A584" s="47"/>
      <c r="B584" s="422"/>
      <c r="C584" s="176">
        <f t="shared" si="192"/>
        <v>581</v>
      </c>
      <c r="D584" s="146">
        <v>45786</v>
      </c>
      <c r="E584" s="37">
        <v>45793</v>
      </c>
      <c r="F584" s="65" t="s">
        <v>211</v>
      </c>
      <c r="G584" s="11" t="str">
        <f ca="1">IF(AND(E584&lt;&gt;"",E584&lt;TODAY()),"Disponible",IFERROR(INDEX(Vehiculos[Estado Vehiculo],MATCH(F584,Vehiculos[Placa Vehiculo],0)),""))</f>
        <v>Disponible</v>
      </c>
      <c r="H584" s="34"/>
      <c r="I584" s="34" t="s">
        <v>273</v>
      </c>
      <c r="J584" s="34" t="s">
        <v>274</v>
      </c>
      <c r="K584" s="39">
        <v>37400</v>
      </c>
      <c r="L584" s="39">
        <v>38362</v>
      </c>
      <c r="M584" s="15">
        <f t="shared" si="193"/>
        <v>962</v>
      </c>
      <c r="N584" s="15"/>
      <c r="O584" s="39"/>
      <c r="P584" s="36"/>
      <c r="Q584" s="16">
        <f t="shared" si="188"/>
        <v>0</v>
      </c>
      <c r="R584" s="34" t="s">
        <v>273</v>
      </c>
      <c r="S584" s="34" t="s">
        <v>102</v>
      </c>
      <c r="T584" s="36">
        <v>1.8</v>
      </c>
      <c r="U584" s="293">
        <f>Rutas[[#This Row],[Precio x Galón ($/gal)]]*Rutas[[#This Row],[Volumen de Combustible (gal)]]</f>
        <v>207</v>
      </c>
      <c r="V584" s="36"/>
      <c r="W584" s="36"/>
      <c r="X584" s="36"/>
      <c r="Y584" s="145">
        <f t="shared" si="189"/>
        <v>207</v>
      </c>
      <c r="Z584" s="567"/>
      <c r="AA584" s="12">
        <v>115</v>
      </c>
      <c r="AB584" s="12">
        <f t="shared" si="190"/>
        <v>8.3652173913043484</v>
      </c>
      <c r="AC584" s="12">
        <f t="shared" si="191"/>
        <v>0</v>
      </c>
      <c r="AD584" s="34"/>
    </row>
    <row r="585" spans="1:30" ht="16" x14ac:dyDescent="0.2">
      <c r="A585" s="47"/>
      <c r="B585" s="422"/>
      <c r="C585" s="176">
        <f t="shared" si="192"/>
        <v>582</v>
      </c>
      <c r="D585" s="146">
        <v>45793</v>
      </c>
      <c r="E585" s="37">
        <v>45795</v>
      </c>
      <c r="F585" s="65" t="s">
        <v>211</v>
      </c>
      <c r="G585" s="11" t="str">
        <f ca="1">IF(AND(E585&lt;&gt;"",E585&lt;TODAY()),"Disponible",IFERROR(INDEX(Vehiculos[Estado Vehiculo],MATCH(F585,Vehiculos[Placa Vehiculo],0)),""))</f>
        <v>Disponible</v>
      </c>
      <c r="H585" s="34" t="s">
        <v>269</v>
      </c>
      <c r="I585" s="34" t="s">
        <v>273</v>
      </c>
      <c r="J585" s="34" t="s">
        <v>274</v>
      </c>
      <c r="K585" s="39">
        <v>38362</v>
      </c>
      <c r="L585" s="39">
        <v>38844</v>
      </c>
      <c r="M585" s="15">
        <f t="shared" si="193"/>
        <v>482</v>
      </c>
      <c r="N585" s="15"/>
      <c r="O585" s="39"/>
      <c r="P585" s="36"/>
      <c r="Q585" s="16">
        <f t="shared" si="188"/>
        <v>0</v>
      </c>
      <c r="R585" s="34" t="s">
        <v>273</v>
      </c>
      <c r="S585" s="34" t="s">
        <v>102</v>
      </c>
      <c r="T585" s="36">
        <v>1.8</v>
      </c>
      <c r="U585" s="293">
        <f>Rutas[[#This Row],[Precio x Galón ($/gal)]]*Rutas[[#This Row],[Volumen de Combustible (gal)]]</f>
        <v>159.26400000000001</v>
      </c>
      <c r="V585" s="36"/>
      <c r="W585" s="36"/>
      <c r="X585" s="36"/>
      <c r="Y585" s="145">
        <f t="shared" si="189"/>
        <v>159.26400000000001</v>
      </c>
      <c r="Z585" s="567"/>
      <c r="AA585" s="12">
        <v>88.48</v>
      </c>
      <c r="AB585" s="12">
        <f t="shared" si="190"/>
        <v>5.4475587703435799</v>
      </c>
      <c r="AC585" s="12">
        <f t="shared" si="191"/>
        <v>0</v>
      </c>
      <c r="AD585" s="34"/>
    </row>
    <row r="586" spans="1:30" ht="16" x14ac:dyDescent="0.2">
      <c r="A586" s="47"/>
      <c r="B586" s="422"/>
      <c r="C586" s="176">
        <f t="shared" si="192"/>
        <v>583</v>
      </c>
      <c r="D586" s="146">
        <v>45795</v>
      </c>
      <c r="E586" s="37">
        <v>45802</v>
      </c>
      <c r="F586" s="65" t="s">
        <v>211</v>
      </c>
      <c r="G586" s="11" t="str">
        <f ca="1">IF(AND(E586&lt;&gt;"",E586&lt;TODAY()),"Disponible",IFERROR(INDEX(Vehiculos[Estado Vehiculo],MATCH(F586,Vehiculos[Placa Vehiculo],0)),""))</f>
        <v>Disponible</v>
      </c>
      <c r="H586" s="34" t="s">
        <v>269</v>
      </c>
      <c r="I586" s="34" t="s">
        <v>273</v>
      </c>
      <c r="J586" s="34" t="s">
        <v>274</v>
      </c>
      <c r="K586" s="39">
        <v>38844</v>
      </c>
      <c r="L586" s="39">
        <v>39400</v>
      </c>
      <c r="M586" s="15">
        <f t="shared" si="193"/>
        <v>556</v>
      </c>
      <c r="N586" s="452">
        <v>82</v>
      </c>
      <c r="O586" s="39"/>
      <c r="P586" s="36"/>
      <c r="Q586" s="16">
        <f t="shared" si="188"/>
        <v>0</v>
      </c>
      <c r="R586" s="34" t="s">
        <v>273</v>
      </c>
      <c r="S586" s="34" t="s">
        <v>102</v>
      </c>
      <c r="T586" s="36">
        <v>1.8</v>
      </c>
      <c r="U586" s="293">
        <f>Rutas[[#This Row],[Precio x Galón ($/gal)]]*Rutas[[#This Row],[Volumen de Combustible (gal)]]</f>
        <v>253.8</v>
      </c>
      <c r="V586" s="36"/>
      <c r="W586" s="36"/>
      <c r="X586" s="36"/>
      <c r="Y586" s="145">
        <f t="shared" si="189"/>
        <v>253.8</v>
      </c>
      <c r="Z586" s="567"/>
      <c r="AA586" s="12">
        <v>141</v>
      </c>
      <c r="AB586" s="12">
        <f t="shared" si="190"/>
        <v>3.9432624113475176</v>
      </c>
      <c r="AC586" s="12">
        <f t="shared" si="191"/>
        <v>0</v>
      </c>
      <c r="AD586" s="34"/>
    </row>
    <row r="587" spans="1:30" ht="16" x14ac:dyDescent="0.2">
      <c r="A587" s="47"/>
      <c r="B587" s="422"/>
      <c r="C587" s="176">
        <f t="shared" si="192"/>
        <v>584</v>
      </c>
      <c r="D587" s="146"/>
      <c r="E587" s="37"/>
      <c r="F587" s="65"/>
      <c r="G587" s="11" t="str">
        <f ca="1">IF(AND(E587&lt;&gt;"",E587&lt;TODAY()),"Disponible",IFERROR(INDEX(Vehiculos[Estado Vehiculo],MATCH(F587,Vehiculos[Placa Vehiculo],0)),""))</f>
        <v/>
      </c>
      <c r="H587" s="34"/>
      <c r="I587" s="34"/>
      <c r="J587" s="34"/>
      <c r="K587" s="39"/>
      <c r="L587" s="39"/>
      <c r="M587" s="15"/>
      <c r="N587" s="15"/>
      <c r="O587" s="39"/>
      <c r="P587" s="36"/>
      <c r="Q587" s="16">
        <f t="shared" si="188"/>
        <v>0</v>
      </c>
      <c r="R587" s="34"/>
      <c r="S587" s="34"/>
      <c r="T587" s="36"/>
      <c r="U587" s="293"/>
      <c r="V587" s="36"/>
      <c r="W587" s="36"/>
      <c r="X587" s="36"/>
      <c r="Y587" s="145">
        <f t="shared" si="189"/>
        <v>0</v>
      </c>
      <c r="Z587" s="567"/>
      <c r="AA587" s="12"/>
      <c r="AB587" s="12">
        <f t="shared" si="190"/>
        <v>0</v>
      </c>
      <c r="AC587" s="12">
        <f t="shared" si="191"/>
        <v>0</v>
      </c>
      <c r="AD587" s="34"/>
    </row>
    <row r="588" spans="1:30" ht="16" x14ac:dyDescent="0.2">
      <c r="A588" s="47"/>
      <c r="B588" s="422"/>
      <c r="C588" s="176">
        <f t="shared" si="192"/>
        <v>585</v>
      </c>
      <c r="D588" s="437"/>
      <c r="E588" s="438"/>
      <c r="F588" s="439"/>
      <c r="G588" s="440" t="str">
        <f ca="1">IF(AND(E588&lt;&gt;"",E588&lt;TODAY()),"Disponible",IFERROR(INDEX(Vehiculos[Estado Vehiculo],MATCH(F588,Vehiculos[Placa Vehiculo],0)),""))</f>
        <v/>
      </c>
      <c r="H588" s="441"/>
      <c r="I588" s="441"/>
      <c r="J588" s="441"/>
      <c r="K588" s="442"/>
      <c r="L588" s="442"/>
      <c r="M588" s="443"/>
      <c r="N588" s="443"/>
      <c r="O588" s="442"/>
      <c r="P588" s="444"/>
      <c r="Q588" s="445">
        <f t="shared" si="188"/>
        <v>0</v>
      </c>
      <c r="R588" s="441" t="s">
        <v>273</v>
      </c>
      <c r="S588" s="441" t="s">
        <v>102</v>
      </c>
      <c r="T588" s="444"/>
      <c r="U588" s="446">
        <f>Rutas[[#This Row],[Precio x Galón ($/gal)]]*Rutas[[#This Row],[Volumen de Combustible (gal)]]</f>
        <v>0</v>
      </c>
      <c r="V588" s="444"/>
      <c r="W588" s="444"/>
      <c r="X588" s="444"/>
      <c r="Y588" s="447">
        <f t="shared" si="189"/>
        <v>0</v>
      </c>
      <c r="Z588" s="570"/>
      <c r="AA588" s="448"/>
      <c r="AB588" s="448">
        <f t="shared" si="190"/>
        <v>0</v>
      </c>
      <c r="AC588" s="448">
        <f t="shared" si="191"/>
        <v>0</v>
      </c>
      <c r="AD588" s="441"/>
    </row>
    <row r="589" spans="1:30" ht="16" x14ac:dyDescent="0.2">
      <c r="A589" s="47"/>
      <c r="B589" s="422"/>
      <c r="C589" s="176">
        <f t="shared" si="192"/>
        <v>586</v>
      </c>
      <c r="D589" s="90">
        <v>45778</v>
      </c>
      <c r="E589" s="90">
        <v>45780</v>
      </c>
      <c r="F589" s="68" t="s">
        <v>212</v>
      </c>
      <c r="G589" s="379" t="str">
        <f ca="1">IF(AND(E589&lt;&gt;"",E589&lt;TODAY()),"Disponible",IFERROR(INDEX(Vehiculos[Estado Vehiculo],MATCH(F589,Vehiculos[Placa Vehiculo],0)),""))</f>
        <v>Disponible</v>
      </c>
      <c r="H589" s="89" t="s">
        <v>242</v>
      </c>
      <c r="I589" s="89" t="s">
        <v>273</v>
      </c>
      <c r="J589" s="89" t="s">
        <v>282</v>
      </c>
      <c r="K589" s="380">
        <v>259879</v>
      </c>
      <c r="L589" s="380">
        <v>260327</v>
      </c>
      <c r="M589" s="381">
        <f>L589-K589</f>
        <v>448</v>
      </c>
      <c r="N589" s="381"/>
      <c r="O589" s="380"/>
      <c r="P589" s="92"/>
      <c r="Q589" s="382">
        <f t="shared" si="188"/>
        <v>0</v>
      </c>
      <c r="R589" s="89" t="s">
        <v>273</v>
      </c>
      <c r="S589" s="89" t="s">
        <v>102</v>
      </c>
      <c r="T589" s="92">
        <v>1.8</v>
      </c>
      <c r="U589" s="266">
        <f>Rutas[[#This Row],[Precio x Galón ($/gal)]]*Rutas[[#This Row],[Volumen de Combustible (gal)]]</f>
        <v>199.85400000000001</v>
      </c>
      <c r="V589" s="92"/>
      <c r="W589" s="92"/>
      <c r="X589" s="92"/>
      <c r="Y589" s="382">
        <f t="shared" si="189"/>
        <v>199.85400000000001</v>
      </c>
      <c r="Z589" s="567"/>
      <c r="AA589" s="382">
        <v>111.03</v>
      </c>
      <c r="AB589" s="382">
        <f t="shared" si="190"/>
        <v>4.0349455102224621</v>
      </c>
      <c r="AC589" s="382">
        <f t="shared" si="191"/>
        <v>0</v>
      </c>
      <c r="AD589" s="89"/>
    </row>
    <row r="590" spans="1:30" ht="16" x14ac:dyDescent="0.2">
      <c r="A590" s="47"/>
      <c r="B590" s="422"/>
      <c r="C590" s="176">
        <f t="shared" si="192"/>
        <v>587</v>
      </c>
      <c r="D590" s="146">
        <v>45780</v>
      </c>
      <c r="E590" s="37">
        <v>45785</v>
      </c>
      <c r="F590" s="65" t="s">
        <v>212</v>
      </c>
      <c r="G590" s="11" t="str">
        <f ca="1">IF(AND(E590&lt;&gt;"",E590&lt;TODAY()),"Disponible",IFERROR(INDEX(Vehiculos[Estado Vehiculo],MATCH(F590,Vehiculos[Placa Vehiculo],0)),""))</f>
        <v>Disponible</v>
      </c>
      <c r="H590" s="34" t="s">
        <v>242</v>
      </c>
      <c r="I590" s="34" t="s">
        <v>273</v>
      </c>
      <c r="J590" s="34" t="s">
        <v>282</v>
      </c>
      <c r="K590" s="39">
        <v>260327</v>
      </c>
      <c r="L590" s="39">
        <v>260957</v>
      </c>
      <c r="M590" s="15">
        <f>L590-K590</f>
        <v>630</v>
      </c>
      <c r="N590" s="15"/>
      <c r="O590" s="39"/>
      <c r="P590" s="36"/>
      <c r="Q590" s="16">
        <f t="shared" si="188"/>
        <v>0</v>
      </c>
      <c r="R590" s="34" t="s">
        <v>273</v>
      </c>
      <c r="S590" s="34" t="s">
        <v>102</v>
      </c>
      <c r="T590" s="36">
        <v>1.8</v>
      </c>
      <c r="U590" s="293">
        <f>Rutas[[#This Row],[Precio x Galón ($/gal)]]*Rutas[[#This Row],[Volumen de Combustible (gal)]]</f>
        <v>214.86600000000001</v>
      </c>
      <c r="V590" s="36"/>
      <c r="W590" s="36"/>
      <c r="X590" s="36"/>
      <c r="Y590" s="145">
        <f t="shared" si="189"/>
        <v>214.86600000000001</v>
      </c>
      <c r="Z590" s="567"/>
      <c r="AA590" s="12">
        <v>119.37</v>
      </c>
      <c r="AB590" s="12">
        <f t="shared" si="190"/>
        <v>5.2777079668258358</v>
      </c>
      <c r="AC590" s="12">
        <f t="shared" si="191"/>
        <v>0</v>
      </c>
      <c r="AD590" s="34"/>
    </row>
    <row r="591" spans="1:30" ht="16" x14ac:dyDescent="0.2">
      <c r="A591" s="47"/>
      <c r="B591" s="422"/>
      <c r="C591" s="176">
        <f t="shared" si="192"/>
        <v>588</v>
      </c>
      <c r="D591" s="146">
        <v>45785</v>
      </c>
      <c r="E591" s="37">
        <v>45789</v>
      </c>
      <c r="F591" s="65" t="s">
        <v>212</v>
      </c>
      <c r="G591" s="11" t="str">
        <f ca="1">IF(AND(E591&lt;&gt;"",E591&lt;TODAY()),"Disponible",IFERROR(INDEX(Vehiculos[Estado Vehiculo],MATCH(F591,Vehiculos[Placa Vehiculo],0)),""))</f>
        <v>Disponible</v>
      </c>
      <c r="H591" s="34" t="s">
        <v>242</v>
      </c>
      <c r="I591" s="34" t="s">
        <v>273</v>
      </c>
      <c r="J591" s="34" t="s">
        <v>282</v>
      </c>
      <c r="K591" s="39">
        <v>260957</v>
      </c>
      <c r="L591" s="39">
        <v>261508</v>
      </c>
      <c r="M591" s="15">
        <f>L591-K591</f>
        <v>551</v>
      </c>
      <c r="N591" s="15"/>
      <c r="O591" s="39"/>
      <c r="P591" s="36"/>
      <c r="Q591" s="16">
        <f t="shared" si="188"/>
        <v>0</v>
      </c>
      <c r="R591" s="34" t="s">
        <v>273</v>
      </c>
      <c r="S591" s="34" t="s">
        <v>102</v>
      </c>
      <c r="T591" s="36">
        <v>1.8</v>
      </c>
      <c r="U591" s="293">
        <f>Rutas[[#This Row],[Precio x Galón ($/gal)]]*Rutas[[#This Row],[Volumen de Combustible (gal)]]</f>
        <v>195.94800000000001</v>
      </c>
      <c r="V591" s="36"/>
      <c r="W591" s="36"/>
      <c r="X591" s="36"/>
      <c r="Y591" s="145">
        <f t="shared" si="189"/>
        <v>195.94800000000001</v>
      </c>
      <c r="Z591" s="567"/>
      <c r="AA591" s="12">
        <v>108.86</v>
      </c>
      <c r="AB591" s="12">
        <f t="shared" si="190"/>
        <v>5.0615469410251697</v>
      </c>
      <c r="AC591" s="12">
        <f t="shared" si="191"/>
        <v>0</v>
      </c>
      <c r="AD591" s="34"/>
    </row>
    <row r="592" spans="1:30" ht="16" x14ac:dyDescent="0.2">
      <c r="A592" s="47"/>
      <c r="B592" s="422"/>
      <c r="C592" s="176">
        <f t="shared" si="192"/>
        <v>589</v>
      </c>
      <c r="D592" s="146">
        <v>45789</v>
      </c>
      <c r="E592" s="37">
        <v>45793</v>
      </c>
      <c r="F592" s="65" t="s">
        <v>212</v>
      </c>
      <c r="G592" s="11" t="str">
        <f ca="1">IF(AND(E592&lt;&gt;"",E592&lt;TODAY()),"Disponible",IFERROR(INDEX(Vehiculos[Estado Vehiculo],MATCH(F592,Vehiculos[Placa Vehiculo],0)),""))</f>
        <v>Disponible</v>
      </c>
      <c r="H592" s="34" t="s">
        <v>242</v>
      </c>
      <c r="I592" s="34" t="s">
        <v>273</v>
      </c>
      <c r="J592" s="34" t="s">
        <v>282</v>
      </c>
      <c r="K592" s="39">
        <v>261508</v>
      </c>
      <c r="L592" s="39">
        <v>262164</v>
      </c>
      <c r="M592" s="15">
        <f>L592-K592</f>
        <v>656</v>
      </c>
      <c r="N592" s="15"/>
      <c r="O592" s="39"/>
      <c r="P592" s="36"/>
      <c r="Q592" s="16">
        <f t="shared" si="188"/>
        <v>0</v>
      </c>
      <c r="R592" s="34" t="s">
        <v>273</v>
      </c>
      <c r="S592" s="34" t="s">
        <v>102</v>
      </c>
      <c r="T592" s="36">
        <v>1.8</v>
      </c>
      <c r="U592" s="293">
        <f>Rutas[[#This Row],[Precio x Galón ($/gal)]]*Rutas[[#This Row],[Volumen de Combustible (gal)]]</f>
        <v>204.91200000000001</v>
      </c>
      <c r="V592" s="36"/>
      <c r="W592" s="36"/>
      <c r="X592" s="36"/>
      <c r="Y592" s="145">
        <f t="shared" si="189"/>
        <v>204.91200000000001</v>
      </c>
      <c r="Z592" s="567"/>
      <c r="AA592" s="12">
        <v>113.84</v>
      </c>
      <c r="AB592" s="12">
        <f t="shared" si="190"/>
        <v>5.7624736472241738</v>
      </c>
      <c r="AC592" s="12">
        <f t="shared" si="191"/>
        <v>0</v>
      </c>
      <c r="AD592" s="34"/>
    </row>
    <row r="593" spans="1:30" ht="16" x14ac:dyDescent="0.2">
      <c r="A593" s="47"/>
      <c r="B593" s="422"/>
      <c r="C593" s="176">
        <f t="shared" si="192"/>
        <v>590</v>
      </c>
      <c r="D593" s="146">
        <v>45793</v>
      </c>
      <c r="E593" s="37">
        <v>45796</v>
      </c>
      <c r="F593" s="65" t="s">
        <v>212</v>
      </c>
      <c r="G593" s="11" t="str">
        <f ca="1">IF(AND(E593&lt;&gt;"",E593&lt;TODAY()),"Disponible",IFERROR(INDEX(Vehiculos[Estado Vehiculo],MATCH(F593,Vehiculos[Placa Vehiculo],0)),""))</f>
        <v>Disponible</v>
      </c>
      <c r="H593" s="34" t="s">
        <v>236</v>
      </c>
      <c r="I593" s="34" t="s">
        <v>273</v>
      </c>
      <c r="J593" s="34" t="s">
        <v>282</v>
      </c>
      <c r="K593" s="39">
        <v>262164</v>
      </c>
      <c r="L593" s="39">
        <v>262890</v>
      </c>
      <c r="M593" s="15">
        <f t="shared" ref="M593:M599" si="194">L593-K593</f>
        <v>726</v>
      </c>
      <c r="N593" s="15"/>
      <c r="O593" s="39"/>
      <c r="P593" s="36"/>
      <c r="Q593" s="16">
        <f t="shared" ref="Q593:Q599" si="195">M593*P593</f>
        <v>0</v>
      </c>
      <c r="R593" s="34" t="s">
        <v>273</v>
      </c>
      <c r="S593" s="34" t="s">
        <v>102</v>
      </c>
      <c r="T593" s="36">
        <v>1.8</v>
      </c>
      <c r="U593" s="293">
        <f>Rutas[[#This Row],[Precio x Galón ($/gal)]]*Rutas[[#This Row],[Volumen de Combustible (gal)]]</f>
        <v>260.226</v>
      </c>
      <c r="V593" s="36"/>
      <c r="W593" s="36"/>
      <c r="X593" s="36"/>
      <c r="Y593" s="145">
        <f t="shared" ref="Y593:Y599" si="196">U593+SUM(V593:X593)</f>
        <v>260.226</v>
      </c>
      <c r="Z593" s="567"/>
      <c r="AA593" s="12">
        <v>144.57</v>
      </c>
      <c r="AB593" s="12">
        <f t="shared" ref="AB593:AB599" si="197">IFERROR(M593/AA593,0)</f>
        <v>5.021788752853289</v>
      </c>
      <c r="AC593" s="12">
        <f t="shared" ref="AC593:AC599" si="198">IFERROR(Q593/M593,0)</f>
        <v>0</v>
      </c>
      <c r="AD593" s="34"/>
    </row>
    <row r="594" spans="1:30" ht="16" x14ac:dyDescent="0.2">
      <c r="A594" s="47"/>
      <c r="B594" s="422"/>
      <c r="C594" s="176">
        <f t="shared" si="192"/>
        <v>591</v>
      </c>
      <c r="D594" s="146">
        <v>45796</v>
      </c>
      <c r="E594" s="37">
        <v>45799</v>
      </c>
      <c r="F594" s="65" t="s">
        <v>212</v>
      </c>
      <c r="G594" s="11" t="str">
        <f ca="1">IF(AND(E594&lt;&gt;"",E594&lt;TODAY()),"Disponible",IFERROR(INDEX(Vehiculos[Estado Vehiculo],MATCH(F594,Vehiculos[Placa Vehiculo],0)),""))</f>
        <v>Disponible</v>
      </c>
      <c r="H594" s="34" t="s">
        <v>269</v>
      </c>
      <c r="I594" s="34" t="s">
        <v>273</v>
      </c>
      <c r="J594" s="34" t="s">
        <v>282</v>
      </c>
      <c r="K594" s="39">
        <v>262890</v>
      </c>
      <c r="L594" s="39">
        <v>263541</v>
      </c>
      <c r="M594" s="15">
        <f t="shared" si="194"/>
        <v>651</v>
      </c>
      <c r="N594" s="15"/>
      <c r="O594" s="39"/>
      <c r="P594" s="36"/>
      <c r="Q594" s="16">
        <f t="shared" si="195"/>
        <v>0</v>
      </c>
      <c r="R594" s="34" t="s">
        <v>273</v>
      </c>
      <c r="S594" s="34" t="s">
        <v>102</v>
      </c>
      <c r="T594" s="36">
        <v>1.8</v>
      </c>
      <c r="U594" s="293">
        <f>Rutas[[#This Row],[Precio x Galón ($/gal)]]*Rutas[[#This Row],[Volumen de Combustible (gal)]]</f>
        <v>166.28399999999999</v>
      </c>
      <c r="V594" s="36"/>
      <c r="W594" s="36"/>
      <c r="X594" s="36"/>
      <c r="Y594" s="145">
        <f t="shared" si="196"/>
        <v>166.28399999999999</v>
      </c>
      <c r="Z594" s="567"/>
      <c r="AA594" s="12">
        <v>92.38</v>
      </c>
      <c r="AB594" s="12">
        <f t="shared" si="197"/>
        <v>7.0469798657718128</v>
      </c>
      <c r="AC594" s="12">
        <f t="shared" si="198"/>
        <v>0</v>
      </c>
      <c r="AD594" s="34"/>
    </row>
    <row r="595" spans="1:30" ht="16" x14ac:dyDescent="0.2">
      <c r="A595" s="47"/>
      <c r="B595" s="422"/>
      <c r="C595" s="176">
        <f t="shared" si="192"/>
        <v>592</v>
      </c>
      <c r="D595" s="146">
        <v>45799</v>
      </c>
      <c r="E595" s="37">
        <v>45802</v>
      </c>
      <c r="F595" s="65" t="s">
        <v>212</v>
      </c>
      <c r="G595" s="11" t="str">
        <f ca="1">IF(AND(E595&lt;&gt;"",E595&lt;TODAY()),"Disponible",IFERROR(INDEX(Vehiculos[Estado Vehiculo],MATCH(F595,Vehiculos[Placa Vehiculo],0)),""))</f>
        <v>Disponible</v>
      </c>
      <c r="H595" s="34" t="s">
        <v>269</v>
      </c>
      <c r="I595" s="34" t="s">
        <v>273</v>
      </c>
      <c r="J595" s="34" t="s">
        <v>282</v>
      </c>
      <c r="K595" s="39">
        <v>263541</v>
      </c>
      <c r="L595" s="39">
        <v>264200</v>
      </c>
      <c r="M595" s="15">
        <f t="shared" si="194"/>
        <v>659</v>
      </c>
      <c r="N595" s="15"/>
      <c r="O595" s="39"/>
      <c r="P595" s="36"/>
      <c r="Q595" s="16">
        <f t="shared" si="195"/>
        <v>0</v>
      </c>
      <c r="R595" s="34" t="s">
        <v>273</v>
      </c>
      <c r="S595" s="34" t="s">
        <v>102</v>
      </c>
      <c r="T595" s="36">
        <v>1.8</v>
      </c>
      <c r="U595" s="293">
        <f>Rutas[[#This Row],[Precio x Galón ($/gal)]]*Rutas[[#This Row],[Volumen de Combustible (gal)]]</f>
        <v>237.6</v>
      </c>
      <c r="V595" s="36"/>
      <c r="W595" s="36"/>
      <c r="X595" s="36"/>
      <c r="Y595" s="145">
        <f t="shared" si="196"/>
        <v>237.6</v>
      </c>
      <c r="Z595" s="567"/>
      <c r="AA595" s="12">
        <v>132</v>
      </c>
      <c r="AB595" s="12">
        <f t="shared" si="197"/>
        <v>4.9924242424242422</v>
      </c>
      <c r="AC595" s="12">
        <f t="shared" si="198"/>
        <v>0</v>
      </c>
      <c r="AD595" s="34"/>
    </row>
    <row r="596" spans="1:30" ht="16" x14ac:dyDescent="0.2">
      <c r="A596" s="47"/>
      <c r="B596" s="422"/>
      <c r="C596" s="176">
        <f t="shared" si="192"/>
        <v>593</v>
      </c>
      <c r="D596" s="146">
        <v>45802</v>
      </c>
      <c r="E596" s="37">
        <v>45804</v>
      </c>
      <c r="F596" s="65" t="s">
        <v>212</v>
      </c>
      <c r="G596" s="11" t="str">
        <f ca="1">IF(AND(E596&lt;&gt;"",E596&lt;TODAY()),"Disponible",IFERROR(INDEX(Vehiculos[Estado Vehiculo],MATCH(F596,Vehiculos[Placa Vehiculo],0)),""))</f>
        <v>Disponible</v>
      </c>
      <c r="H596" s="34" t="s">
        <v>417</v>
      </c>
      <c r="I596" s="34" t="s">
        <v>273</v>
      </c>
      <c r="J596" s="34" t="s">
        <v>282</v>
      </c>
      <c r="K596" s="39">
        <v>264200</v>
      </c>
      <c r="L596" s="39">
        <v>264970</v>
      </c>
      <c r="M596" s="15">
        <f t="shared" si="194"/>
        <v>770</v>
      </c>
      <c r="N596" s="15"/>
      <c r="O596" s="39"/>
      <c r="P596" s="36"/>
      <c r="Q596" s="16">
        <f t="shared" si="195"/>
        <v>0</v>
      </c>
      <c r="R596" s="34" t="s">
        <v>273</v>
      </c>
      <c r="S596" s="34" t="s">
        <v>102</v>
      </c>
      <c r="T596" s="36">
        <v>1.8</v>
      </c>
      <c r="U596" s="293">
        <f>Rutas[[#This Row],[Precio x Galón ($/gal)]]*Rutas[[#This Row],[Volumen de Combustible (gal)]]</f>
        <v>139.37400000000002</v>
      </c>
      <c r="V596" s="36"/>
      <c r="W596" s="36"/>
      <c r="X596" s="36"/>
      <c r="Y596" s="145">
        <f t="shared" si="196"/>
        <v>139.37400000000002</v>
      </c>
      <c r="Z596" s="567"/>
      <c r="AA596" s="12">
        <v>77.430000000000007</v>
      </c>
      <c r="AB596" s="12">
        <f t="shared" si="197"/>
        <v>9.9444659692625592</v>
      </c>
      <c r="AC596" s="12">
        <f t="shared" si="198"/>
        <v>0</v>
      </c>
      <c r="AD596" s="34"/>
    </row>
    <row r="597" spans="1:30" ht="16" x14ac:dyDescent="0.2">
      <c r="A597" s="47"/>
      <c r="B597" s="422"/>
      <c r="C597" s="176">
        <f t="shared" si="192"/>
        <v>594</v>
      </c>
      <c r="D597" s="146">
        <v>45804</v>
      </c>
      <c r="E597" s="37">
        <v>45806</v>
      </c>
      <c r="F597" s="65" t="s">
        <v>212</v>
      </c>
      <c r="G597" s="11" t="str">
        <f ca="1">IF(AND(E597&lt;&gt;"",E597&lt;TODAY()),"Disponible",IFERROR(INDEX(Vehiculos[Estado Vehiculo],MATCH(F597,Vehiculos[Placa Vehiculo],0)),""))</f>
        <v>Disponible</v>
      </c>
      <c r="H597" s="34" t="s">
        <v>248</v>
      </c>
      <c r="I597" s="34" t="s">
        <v>273</v>
      </c>
      <c r="J597" s="34" t="s">
        <v>282</v>
      </c>
      <c r="K597" s="39">
        <v>264970</v>
      </c>
      <c r="L597" s="39">
        <v>265450</v>
      </c>
      <c r="M597" s="15">
        <f t="shared" si="194"/>
        <v>480</v>
      </c>
      <c r="N597" s="15"/>
      <c r="O597" s="39"/>
      <c r="P597" s="36"/>
      <c r="Q597" s="16">
        <f t="shared" si="195"/>
        <v>0</v>
      </c>
      <c r="R597" s="34" t="s">
        <v>273</v>
      </c>
      <c r="S597" s="34" t="s">
        <v>102</v>
      </c>
      <c r="T597" s="36">
        <v>1.8</v>
      </c>
      <c r="U597" s="293">
        <f>Rutas[[#This Row],[Precio x Galón ($/gal)]]*Rutas[[#This Row],[Volumen de Combustible (gal)]]</f>
        <v>108.30600000000001</v>
      </c>
      <c r="V597" s="36"/>
      <c r="W597" s="36"/>
      <c r="X597" s="36"/>
      <c r="Y597" s="145">
        <f t="shared" si="196"/>
        <v>108.30600000000001</v>
      </c>
      <c r="Z597" s="567"/>
      <c r="AA597" s="12">
        <v>60.17</v>
      </c>
      <c r="AB597" s="12">
        <f t="shared" si="197"/>
        <v>7.9773973741066975</v>
      </c>
      <c r="AC597" s="12">
        <f t="shared" si="198"/>
        <v>0</v>
      </c>
      <c r="AD597" s="34"/>
    </row>
    <row r="598" spans="1:30" ht="16" x14ac:dyDescent="0.2">
      <c r="A598" s="47"/>
      <c r="B598" s="422"/>
      <c r="C598" s="176">
        <f t="shared" si="192"/>
        <v>595</v>
      </c>
      <c r="D598" s="146">
        <v>45806</v>
      </c>
      <c r="E598" s="37">
        <v>45807</v>
      </c>
      <c r="F598" s="65" t="s">
        <v>212</v>
      </c>
      <c r="G598" s="11" t="str">
        <f ca="1">IF(AND(E598&lt;&gt;"",E598&lt;TODAY()),"Disponible",IFERROR(INDEX(Vehiculos[Estado Vehiculo],MATCH(F598,Vehiculos[Placa Vehiculo],0)),""))</f>
        <v>Disponible</v>
      </c>
      <c r="H598" s="34" t="s">
        <v>248</v>
      </c>
      <c r="I598" s="34" t="s">
        <v>273</v>
      </c>
      <c r="J598" s="34" t="s">
        <v>282</v>
      </c>
      <c r="K598" s="39">
        <v>265450</v>
      </c>
      <c r="L598" s="39">
        <v>265582</v>
      </c>
      <c r="M598" s="15">
        <f t="shared" si="194"/>
        <v>132</v>
      </c>
      <c r="N598" s="15"/>
      <c r="O598" s="39"/>
      <c r="P598" s="36"/>
      <c r="Q598" s="16">
        <f t="shared" si="195"/>
        <v>0</v>
      </c>
      <c r="R598" s="34" t="s">
        <v>273</v>
      </c>
      <c r="S598" s="34" t="s">
        <v>102</v>
      </c>
      <c r="T598" s="36">
        <v>1.8</v>
      </c>
      <c r="U598" s="293">
        <f>Rutas[[#This Row],[Precio x Galón ($/gal)]]*Rutas[[#This Row],[Volumen de Combustible (gal)]]</f>
        <v>143.80199999999999</v>
      </c>
      <c r="V598" s="36"/>
      <c r="W598" s="36"/>
      <c r="X598" s="36"/>
      <c r="Y598" s="145">
        <f t="shared" si="196"/>
        <v>143.80199999999999</v>
      </c>
      <c r="Z598" s="567"/>
      <c r="AA598" s="12">
        <v>79.89</v>
      </c>
      <c r="AB598" s="12">
        <f t="shared" si="197"/>
        <v>1.6522718738265114</v>
      </c>
      <c r="AC598" s="12">
        <f t="shared" si="198"/>
        <v>0</v>
      </c>
      <c r="AD598" s="34"/>
    </row>
    <row r="599" spans="1:30" ht="16" x14ac:dyDescent="0.2">
      <c r="A599" s="47"/>
      <c r="B599" s="422"/>
      <c r="C599" s="176">
        <f t="shared" si="192"/>
        <v>596</v>
      </c>
      <c r="D599" s="146">
        <v>45807</v>
      </c>
      <c r="E599" s="37">
        <v>45808</v>
      </c>
      <c r="F599" s="65" t="s">
        <v>212</v>
      </c>
      <c r="G599" s="11" t="str">
        <f ca="1">IF(AND(E599&lt;&gt;"",E599&lt;TODAY()),"Disponible",IFERROR(INDEX(Vehiculos[Estado Vehiculo],MATCH(F599,Vehiculos[Placa Vehiculo],0)),""))</f>
        <v>Disponible</v>
      </c>
      <c r="H599" s="34" t="s">
        <v>248</v>
      </c>
      <c r="I599" s="34" t="s">
        <v>273</v>
      </c>
      <c r="J599" s="34" t="s">
        <v>282</v>
      </c>
      <c r="K599" s="39">
        <v>265582</v>
      </c>
      <c r="L599" s="39">
        <v>265583</v>
      </c>
      <c r="M599" s="15">
        <f t="shared" si="194"/>
        <v>1</v>
      </c>
      <c r="N599" s="452">
        <v>329</v>
      </c>
      <c r="O599" s="39"/>
      <c r="P599" s="36"/>
      <c r="Q599" s="16">
        <f t="shared" si="195"/>
        <v>0</v>
      </c>
      <c r="R599" s="34" t="s">
        <v>273</v>
      </c>
      <c r="S599" s="34" t="s">
        <v>102</v>
      </c>
      <c r="T599" s="36"/>
      <c r="U599" s="293"/>
      <c r="V599" s="36"/>
      <c r="W599" s="36"/>
      <c r="X599" s="36"/>
      <c r="Y599" s="145">
        <f t="shared" si="196"/>
        <v>0</v>
      </c>
      <c r="Z599" s="567"/>
      <c r="AA599" s="12"/>
      <c r="AB599" s="12">
        <f t="shared" si="197"/>
        <v>0</v>
      </c>
      <c r="AC599" s="12">
        <f t="shared" si="198"/>
        <v>0</v>
      </c>
      <c r="AD599" s="34"/>
    </row>
    <row r="600" spans="1:30" ht="16" x14ac:dyDescent="0.2">
      <c r="A600" s="47"/>
      <c r="B600" s="422"/>
      <c r="C600" s="176">
        <f t="shared" si="192"/>
        <v>597</v>
      </c>
      <c r="D600" s="437"/>
      <c r="E600" s="438"/>
      <c r="F600" s="439"/>
      <c r="G600" s="440" t="str">
        <f ca="1">IF(AND(E600&lt;&gt;"",E600&lt;TODAY()),"Disponible",IFERROR(INDEX(Vehiculos[Estado Vehiculo],MATCH(F600,Vehiculos[Placa Vehiculo],0)),""))</f>
        <v/>
      </c>
      <c r="H600" s="441"/>
      <c r="I600" s="441"/>
      <c r="J600" s="441"/>
      <c r="K600" s="442"/>
      <c r="L600" s="442"/>
      <c r="M600" s="443"/>
      <c r="N600" s="443"/>
      <c r="O600" s="442"/>
      <c r="P600" s="444"/>
      <c r="Q600" s="445">
        <f t="shared" ref="Q600:Q612" si="199">M600*P600</f>
        <v>0</v>
      </c>
      <c r="R600" s="441"/>
      <c r="S600" s="441"/>
      <c r="T600" s="444">
        <v>1.8</v>
      </c>
      <c r="U600" s="446">
        <f>Rutas[[#This Row],[Precio x Galón ($/gal)]]*Rutas[[#This Row],[Volumen de Combustible (gal)]]</f>
        <v>0</v>
      </c>
      <c r="V600" s="444"/>
      <c r="W600" s="444"/>
      <c r="X600" s="444"/>
      <c r="Y600" s="447">
        <f t="shared" ref="Y600:Y612" si="200">U600+SUM(V600:X600)</f>
        <v>0</v>
      </c>
      <c r="Z600" s="570"/>
      <c r="AA600" s="448"/>
      <c r="AB600" s="448">
        <f t="shared" ref="AB600:AB612" si="201">IFERROR(M600/AA600,0)</f>
        <v>0</v>
      </c>
      <c r="AC600" s="448">
        <f t="shared" ref="AC600:AC612" si="202">IFERROR(Q600/M600,0)</f>
        <v>0</v>
      </c>
      <c r="AD600" s="441"/>
    </row>
    <row r="601" spans="1:30" ht="16" x14ac:dyDescent="0.2">
      <c r="A601" s="47"/>
      <c r="B601" s="422"/>
      <c r="C601" s="176">
        <f t="shared" si="192"/>
        <v>598</v>
      </c>
      <c r="D601" s="90">
        <v>45778</v>
      </c>
      <c r="E601" s="90">
        <v>45787</v>
      </c>
      <c r="F601" s="68" t="s">
        <v>365</v>
      </c>
      <c r="G601" s="379" t="str">
        <f ca="1">IF(AND(E601&lt;&gt;"",E601&lt;TODAY()),"Disponible",IFERROR(INDEX(Vehiculos[Estado Vehiculo],MATCH(F601,Vehiculos[Placa Vehiculo],0)),""))</f>
        <v>Disponible</v>
      </c>
      <c r="H601" s="89" t="s">
        <v>234</v>
      </c>
      <c r="I601" s="89" t="s">
        <v>273</v>
      </c>
      <c r="J601" s="89" t="s">
        <v>274</v>
      </c>
      <c r="K601" s="380">
        <v>354437</v>
      </c>
      <c r="L601" s="380">
        <v>355162</v>
      </c>
      <c r="M601" s="381">
        <f>L601-K601</f>
        <v>725</v>
      </c>
      <c r="N601" s="381"/>
      <c r="O601" s="380"/>
      <c r="P601" s="92"/>
      <c r="Q601" s="382">
        <f t="shared" si="199"/>
        <v>0</v>
      </c>
      <c r="R601" s="89" t="s">
        <v>339</v>
      </c>
      <c r="S601" s="89" t="s">
        <v>102</v>
      </c>
      <c r="T601" s="92">
        <v>1.8</v>
      </c>
      <c r="U601" s="266">
        <f>Rutas[[#This Row],[Precio x Galón ($/gal)]]*Rutas[[#This Row],[Volumen de Combustible (gal)]]</f>
        <v>216</v>
      </c>
      <c r="V601" s="92"/>
      <c r="W601" s="92"/>
      <c r="X601" s="92"/>
      <c r="Y601" s="382">
        <f t="shared" si="200"/>
        <v>216</v>
      </c>
      <c r="Z601" s="567"/>
      <c r="AA601" s="382">
        <v>120</v>
      </c>
      <c r="AB601" s="382">
        <f t="shared" si="201"/>
        <v>6.041666666666667</v>
      </c>
      <c r="AC601" s="382">
        <f t="shared" si="202"/>
        <v>0</v>
      </c>
      <c r="AD601" s="89"/>
    </row>
    <row r="602" spans="1:30" ht="16" x14ac:dyDescent="0.2">
      <c r="A602" s="47"/>
      <c r="B602" s="422"/>
      <c r="C602" s="176">
        <f t="shared" si="192"/>
        <v>599</v>
      </c>
      <c r="D602" s="146">
        <v>45787</v>
      </c>
      <c r="E602" s="37">
        <v>45797</v>
      </c>
      <c r="F602" s="65" t="s">
        <v>365</v>
      </c>
      <c r="G602" s="11" t="str">
        <f ca="1">IF(AND(E602&lt;&gt;"",E602&lt;TODAY()),"Disponible",IFERROR(INDEX(Vehiculos[Estado Vehiculo],MATCH(F602,Vehiculos[Placa Vehiculo],0)),""))</f>
        <v>Disponible</v>
      </c>
      <c r="H602" s="34" t="s">
        <v>234</v>
      </c>
      <c r="I602" s="34" t="s">
        <v>273</v>
      </c>
      <c r="J602" s="34" t="s">
        <v>274</v>
      </c>
      <c r="K602" s="39">
        <v>355162</v>
      </c>
      <c r="L602" s="39">
        <v>355976</v>
      </c>
      <c r="M602" s="15">
        <f>L602-K602</f>
        <v>814</v>
      </c>
      <c r="N602" s="15"/>
      <c r="O602" s="39"/>
      <c r="P602" s="36"/>
      <c r="Q602" s="16">
        <f t="shared" si="199"/>
        <v>0</v>
      </c>
      <c r="R602" s="34" t="s">
        <v>339</v>
      </c>
      <c r="S602" s="34" t="s">
        <v>102</v>
      </c>
      <c r="T602" s="36">
        <v>1.8</v>
      </c>
      <c r="U602" s="293">
        <f>Rutas[[#This Row],[Precio x Galón ($/gal)]]*Rutas[[#This Row],[Volumen de Combustible (gal)]]</f>
        <v>108</v>
      </c>
      <c r="V602" s="36"/>
      <c r="W602" s="36"/>
      <c r="X602" s="36"/>
      <c r="Y602" s="145">
        <f t="shared" si="200"/>
        <v>108</v>
      </c>
      <c r="Z602" s="567"/>
      <c r="AA602" s="12">
        <v>60</v>
      </c>
      <c r="AB602" s="12">
        <f t="shared" si="201"/>
        <v>13.566666666666666</v>
      </c>
      <c r="AC602" s="12">
        <f t="shared" si="202"/>
        <v>0</v>
      </c>
      <c r="AD602" s="34"/>
    </row>
    <row r="603" spans="1:30" ht="16" x14ac:dyDescent="0.2">
      <c r="A603" s="47"/>
      <c r="B603" s="422"/>
      <c r="C603" s="176">
        <f t="shared" si="192"/>
        <v>600</v>
      </c>
      <c r="D603" s="146">
        <v>45797</v>
      </c>
      <c r="E603" s="37">
        <v>45807</v>
      </c>
      <c r="F603" s="65" t="s">
        <v>365</v>
      </c>
      <c r="G603" s="11" t="str">
        <f ca="1">IF(AND(E603&lt;&gt;"",E603&lt;TODAY()),"Disponible",IFERROR(INDEX(Vehiculos[Estado Vehiculo],MATCH(F603,Vehiculos[Placa Vehiculo],0)),""))</f>
        <v>Disponible</v>
      </c>
      <c r="H603" s="34" t="s">
        <v>234</v>
      </c>
      <c r="I603" s="34" t="s">
        <v>273</v>
      </c>
      <c r="J603" s="34" t="s">
        <v>274</v>
      </c>
      <c r="K603" s="39">
        <v>355976</v>
      </c>
      <c r="L603" s="39">
        <v>356971</v>
      </c>
      <c r="M603" s="15">
        <f>L603-K603</f>
        <v>995</v>
      </c>
      <c r="N603" s="452">
        <v>319</v>
      </c>
      <c r="O603" s="39"/>
      <c r="P603" s="36"/>
      <c r="Q603" s="16">
        <f t="shared" si="199"/>
        <v>0</v>
      </c>
      <c r="R603" s="34" t="s">
        <v>339</v>
      </c>
      <c r="S603" s="34" t="s">
        <v>102</v>
      </c>
      <c r="T603" s="36">
        <v>1.8</v>
      </c>
      <c r="U603" s="293">
        <f>Rutas[[#This Row],[Precio x Galón ($/gal)]]*Rutas[[#This Row],[Volumen de Combustible (gal)]]</f>
        <v>225</v>
      </c>
      <c r="V603" s="36"/>
      <c r="W603" s="36"/>
      <c r="X603" s="36"/>
      <c r="Y603" s="145">
        <f t="shared" si="200"/>
        <v>225</v>
      </c>
      <c r="Z603" s="567"/>
      <c r="AA603" s="12">
        <v>125</v>
      </c>
      <c r="AB603" s="12">
        <f t="shared" si="201"/>
        <v>7.96</v>
      </c>
      <c r="AC603" s="12">
        <f t="shared" si="202"/>
        <v>0</v>
      </c>
      <c r="AD603" s="34"/>
    </row>
    <row r="604" spans="1:30" ht="16" x14ac:dyDescent="0.2">
      <c r="A604" s="47"/>
      <c r="B604" s="422"/>
      <c r="C604" s="176">
        <f t="shared" si="192"/>
        <v>601</v>
      </c>
      <c r="D604" s="146"/>
      <c r="E604" s="37"/>
      <c r="F604" s="66"/>
      <c r="G604" s="11" t="str">
        <f ca="1">IF(AND(E604&lt;&gt;"",E604&lt;TODAY()),"Disponible",IFERROR(INDEX(Vehiculos[Estado Vehiculo],MATCH(F604,Vehiculos[Placa Vehiculo],0)),""))</f>
        <v/>
      </c>
      <c r="H604" s="34"/>
      <c r="I604" s="34"/>
      <c r="J604" s="34"/>
      <c r="K604" s="39"/>
      <c r="L604" s="39"/>
      <c r="M604" s="15"/>
      <c r="N604" s="15"/>
      <c r="O604" s="39"/>
      <c r="P604" s="36"/>
      <c r="Q604" s="16">
        <f t="shared" si="199"/>
        <v>0</v>
      </c>
      <c r="R604" s="34"/>
      <c r="S604" s="34" t="s">
        <v>102</v>
      </c>
      <c r="T604" s="36">
        <v>1.8</v>
      </c>
      <c r="U604" s="293">
        <f>Rutas[[#This Row],[Precio x Galón ($/gal)]]*Rutas[[#This Row],[Volumen de Combustible (gal)]]</f>
        <v>0</v>
      </c>
      <c r="V604" s="36"/>
      <c r="W604" s="36"/>
      <c r="X604" s="36"/>
      <c r="Y604" s="145">
        <f t="shared" si="200"/>
        <v>0</v>
      </c>
      <c r="Z604" s="567"/>
      <c r="AA604" s="12"/>
      <c r="AB604" s="12">
        <f t="shared" si="201"/>
        <v>0</v>
      </c>
      <c r="AC604" s="12">
        <f t="shared" si="202"/>
        <v>0</v>
      </c>
      <c r="AD604" s="34"/>
    </row>
    <row r="605" spans="1:30" ht="16" x14ac:dyDescent="0.2">
      <c r="A605" s="47"/>
      <c r="B605" s="422"/>
      <c r="C605" s="176">
        <f t="shared" si="192"/>
        <v>602</v>
      </c>
      <c r="D605" s="437"/>
      <c r="E605" s="438"/>
      <c r="F605" s="439"/>
      <c r="G605" s="440" t="str">
        <f ca="1">IF(AND(E605&lt;&gt;"",E605&lt;TODAY()),"Disponible",IFERROR(INDEX(Vehiculos[Estado Vehiculo],MATCH(F605,Vehiculos[Placa Vehiculo],0)),""))</f>
        <v/>
      </c>
      <c r="H605" s="441"/>
      <c r="I605" s="441"/>
      <c r="J605" s="441"/>
      <c r="K605" s="442"/>
      <c r="L605" s="442"/>
      <c r="M605" s="443"/>
      <c r="N605" s="443"/>
      <c r="O605" s="442"/>
      <c r="P605" s="444"/>
      <c r="Q605" s="445">
        <f t="shared" si="199"/>
        <v>0</v>
      </c>
      <c r="R605" s="441"/>
      <c r="S605" s="441" t="s">
        <v>102</v>
      </c>
      <c r="T605" s="444"/>
      <c r="U605" s="446">
        <f>Rutas[[#This Row],[Precio x Galón ($/gal)]]*Rutas[[#This Row],[Volumen de Combustible (gal)]]</f>
        <v>0</v>
      </c>
      <c r="V605" s="444"/>
      <c r="W605" s="444"/>
      <c r="X605" s="444"/>
      <c r="Y605" s="447">
        <f t="shared" si="200"/>
        <v>0</v>
      </c>
      <c r="Z605" s="570"/>
      <c r="AA605" s="448"/>
      <c r="AB605" s="448">
        <f t="shared" si="201"/>
        <v>0</v>
      </c>
      <c r="AC605" s="448">
        <f t="shared" si="202"/>
        <v>0</v>
      </c>
      <c r="AD605" s="441"/>
    </row>
    <row r="606" spans="1:30" ht="16" x14ac:dyDescent="0.2">
      <c r="A606" s="47"/>
      <c r="B606" s="422"/>
      <c r="C606" s="176">
        <f t="shared" si="192"/>
        <v>603</v>
      </c>
      <c r="D606" s="90">
        <v>45778</v>
      </c>
      <c r="E606" s="90">
        <v>45788</v>
      </c>
      <c r="F606" s="68" t="s">
        <v>213</v>
      </c>
      <c r="G606" s="379" t="str">
        <f ca="1">IF(AND(E606&lt;&gt;"",E606&lt;TODAY()),"Disponible",IFERROR(INDEX(Vehiculos[Estado Vehiculo],MATCH(F606,Vehiculos[Placa Vehiculo],0)),""))</f>
        <v>Disponible</v>
      </c>
      <c r="H606" s="89" t="s">
        <v>232</v>
      </c>
      <c r="I606" s="89" t="s">
        <v>273</v>
      </c>
      <c r="J606" s="89" t="s">
        <v>317</v>
      </c>
      <c r="K606" s="380">
        <v>403665</v>
      </c>
      <c r="L606" s="380">
        <v>405307</v>
      </c>
      <c r="M606" s="381">
        <f t="shared" ref="M606:M612" si="203">L606-K606</f>
        <v>1642</v>
      </c>
      <c r="N606" s="381"/>
      <c r="O606" s="380"/>
      <c r="P606" s="92"/>
      <c r="Q606" s="382">
        <f t="shared" si="199"/>
        <v>0</v>
      </c>
      <c r="R606" s="89" t="s">
        <v>339</v>
      </c>
      <c r="S606" s="89" t="s">
        <v>102</v>
      </c>
      <c r="T606" s="92">
        <v>1.8</v>
      </c>
      <c r="U606" s="266">
        <f>Rutas[[#This Row],[Precio x Galón ($/gal)]]*Rutas[[#This Row],[Volumen de Combustible (gal)]]</f>
        <v>216</v>
      </c>
      <c r="V606" s="92"/>
      <c r="W606" s="92"/>
      <c r="X606" s="92"/>
      <c r="Y606" s="382">
        <f t="shared" si="200"/>
        <v>216</v>
      </c>
      <c r="Z606" s="567"/>
      <c r="AA606" s="382">
        <v>120</v>
      </c>
      <c r="AB606" s="382">
        <f t="shared" si="201"/>
        <v>13.683333333333334</v>
      </c>
      <c r="AC606" s="382">
        <f t="shared" si="202"/>
        <v>0</v>
      </c>
      <c r="AD606" s="89"/>
    </row>
    <row r="607" spans="1:30" ht="16" x14ac:dyDescent="0.2">
      <c r="A607" s="47"/>
      <c r="B607" s="422"/>
      <c r="C607" s="176">
        <f t="shared" si="192"/>
        <v>604</v>
      </c>
      <c r="D607" s="146">
        <v>45788</v>
      </c>
      <c r="E607" s="37">
        <v>45796</v>
      </c>
      <c r="F607" s="65" t="s">
        <v>213</v>
      </c>
      <c r="G607" s="11" t="str">
        <f ca="1">IF(AND(E607&lt;&gt;"",E607&lt;TODAY()),"Disponible",IFERROR(INDEX(Vehiculos[Estado Vehiculo],MATCH(F607,Vehiculos[Placa Vehiculo],0)),""))</f>
        <v>Disponible</v>
      </c>
      <c r="H607" s="34" t="s">
        <v>232</v>
      </c>
      <c r="I607" s="34" t="s">
        <v>273</v>
      </c>
      <c r="J607" s="34" t="s">
        <v>317</v>
      </c>
      <c r="K607" s="39">
        <v>405307</v>
      </c>
      <c r="L607" s="39">
        <v>406015</v>
      </c>
      <c r="M607" s="15">
        <f t="shared" si="203"/>
        <v>708</v>
      </c>
      <c r="N607" s="15"/>
      <c r="O607" s="39"/>
      <c r="P607" s="36"/>
      <c r="Q607" s="16">
        <f t="shared" si="199"/>
        <v>0</v>
      </c>
      <c r="R607" s="34" t="s">
        <v>339</v>
      </c>
      <c r="S607" s="34" t="s">
        <v>102</v>
      </c>
      <c r="T607" s="36">
        <v>1.8</v>
      </c>
      <c r="U607" s="293">
        <f>Rutas[[#This Row],[Precio x Galón ($/gal)]]*Rutas[[#This Row],[Volumen de Combustible (gal)]]</f>
        <v>108</v>
      </c>
      <c r="V607" s="36"/>
      <c r="W607" s="36"/>
      <c r="X607" s="36"/>
      <c r="Y607" s="145">
        <f t="shared" si="200"/>
        <v>108</v>
      </c>
      <c r="Z607" s="567"/>
      <c r="AA607" s="12">
        <v>60</v>
      </c>
      <c r="AB607" s="12">
        <f t="shared" si="201"/>
        <v>11.8</v>
      </c>
      <c r="AC607" s="12">
        <f t="shared" si="202"/>
        <v>0</v>
      </c>
      <c r="AD607" s="34"/>
    </row>
    <row r="608" spans="1:30" ht="16" x14ac:dyDescent="0.2">
      <c r="A608" s="47"/>
      <c r="B608" s="422"/>
      <c r="C608" s="176">
        <f t="shared" si="192"/>
        <v>605</v>
      </c>
      <c r="D608" s="146">
        <v>45796</v>
      </c>
      <c r="E608" s="37">
        <v>45808</v>
      </c>
      <c r="F608" s="65" t="s">
        <v>213</v>
      </c>
      <c r="G608" s="11" t="str">
        <f ca="1">IF(AND(E608&lt;&gt;"",E608&lt;TODAY()),"Disponible",IFERROR(INDEX(Vehiculos[Estado Vehiculo],MATCH(F608,Vehiculos[Placa Vehiculo],0)),""))</f>
        <v>Disponible</v>
      </c>
      <c r="H608" s="34" t="s">
        <v>232</v>
      </c>
      <c r="I608" s="34" t="s">
        <v>273</v>
      </c>
      <c r="J608" s="34" t="s">
        <v>317</v>
      </c>
      <c r="K608" s="39">
        <v>406015</v>
      </c>
      <c r="L608" s="39">
        <v>407096</v>
      </c>
      <c r="M608" s="15">
        <f t="shared" si="203"/>
        <v>1081</v>
      </c>
      <c r="N608" s="514">
        <v>319</v>
      </c>
      <c r="O608" s="39"/>
      <c r="P608" s="36"/>
      <c r="Q608" s="16">
        <f t="shared" si="199"/>
        <v>0</v>
      </c>
      <c r="R608" s="34" t="s">
        <v>339</v>
      </c>
      <c r="S608" s="34" t="s">
        <v>102</v>
      </c>
      <c r="T608" s="36">
        <v>1.8</v>
      </c>
      <c r="U608" s="293">
        <f>Rutas[[#This Row],[Precio x Galón ($/gal)]]*Rutas[[#This Row],[Volumen de Combustible (gal)]]</f>
        <v>225</v>
      </c>
      <c r="V608" s="36"/>
      <c r="W608" s="36"/>
      <c r="X608" s="36"/>
      <c r="Y608" s="145">
        <f t="shared" si="200"/>
        <v>225</v>
      </c>
      <c r="Z608" s="567"/>
      <c r="AA608" s="12">
        <v>125</v>
      </c>
      <c r="AB608" s="12">
        <f t="shared" si="201"/>
        <v>8.6479999999999997</v>
      </c>
      <c r="AC608" s="12">
        <f t="shared" si="202"/>
        <v>0</v>
      </c>
      <c r="AD608" s="34"/>
    </row>
    <row r="609" spans="1:30" ht="16" x14ac:dyDescent="0.2">
      <c r="A609" s="47"/>
      <c r="B609" s="422"/>
      <c r="C609" s="176">
        <f t="shared" si="192"/>
        <v>606</v>
      </c>
      <c r="D609" s="437"/>
      <c r="E609" s="438"/>
      <c r="F609" s="439"/>
      <c r="G609" s="440" t="str">
        <f ca="1">IF(AND(E609&lt;&gt;"",E609&lt;TODAY()),"Disponible",IFERROR(INDEX(Vehiculos[Estado Vehiculo],MATCH(F609,Vehiculos[Placa Vehiculo],0)),""))</f>
        <v/>
      </c>
      <c r="H609" s="441"/>
      <c r="I609" s="441"/>
      <c r="J609" s="441"/>
      <c r="K609" s="442"/>
      <c r="L609" s="442"/>
      <c r="M609" s="443">
        <f t="shared" si="203"/>
        <v>0</v>
      </c>
      <c r="N609" s="443"/>
      <c r="O609" s="442"/>
      <c r="P609" s="444"/>
      <c r="Q609" s="445">
        <f t="shared" si="199"/>
        <v>0</v>
      </c>
      <c r="R609" s="441"/>
      <c r="S609" s="441"/>
      <c r="T609" s="444"/>
      <c r="U609" s="446">
        <f>Rutas[[#This Row],[Precio x Galón ($/gal)]]*Rutas[[#This Row],[Volumen de Combustible (gal)]]</f>
        <v>0</v>
      </c>
      <c r="V609" s="444"/>
      <c r="W609" s="444"/>
      <c r="X609" s="444"/>
      <c r="Y609" s="447">
        <f t="shared" si="200"/>
        <v>0</v>
      </c>
      <c r="Z609" s="570"/>
      <c r="AA609" s="448"/>
      <c r="AB609" s="448">
        <f t="shared" si="201"/>
        <v>0</v>
      </c>
      <c r="AC609" s="448">
        <f t="shared" si="202"/>
        <v>0</v>
      </c>
      <c r="AD609" s="441"/>
    </row>
    <row r="610" spans="1:30" ht="16" x14ac:dyDescent="0.2">
      <c r="A610" s="47"/>
      <c r="B610" s="422"/>
      <c r="C610" s="176">
        <f t="shared" si="192"/>
        <v>607</v>
      </c>
      <c r="D610" s="90">
        <v>45778</v>
      </c>
      <c r="E610" s="90">
        <v>45779</v>
      </c>
      <c r="F610" s="68" t="s">
        <v>286</v>
      </c>
      <c r="G610" s="379" t="str">
        <f ca="1">IF(AND(E610&lt;&gt;"",E610&lt;TODAY()),"Disponible",IFERROR(INDEX(Vehiculos[Estado Vehiculo],MATCH(F610,Vehiculos[Placa Vehiculo],0)),""))</f>
        <v>Disponible</v>
      </c>
      <c r="H610" s="89" t="s">
        <v>288</v>
      </c>
      <c r="I610" s="89" t="s">
        <v>273</v>
      </c>
      <c r="J610" s="89" t="s">
        <v>379</v>
      </c>
      <c r="K610" s="380">
        <v>87194</v>
      </c>
      <c r="L610" s="380">
        <v>87353</v>
      </c>
      <c r="M610" s="381">
        <f t="shared" si="203"/>
        <v>159</v>
      </c>
      <c r="N610" s="381"/>
      <c r="O610" s="380"/>
      <c r="P610" s="92"/>
      <c r="Q610" s="382">
        <f t="shared" si="199"/>
        <v>0</v>
      </c>
      <c r="R610" s="89" t="s">
        <v>273</v>
      </c>
      <c r="S610" s="89" t="s">
        <v>102</v>
      </c>
      <c r="T610" s="92">
        <v>1.8</v>
      </c>
      <c r="U610" s="266">
        <f>Rutas[[#This Row],[Precio x Galón ($/gal)]]*Rutas[[#This Row],[Volumen de Combustible (gal)]]</f>
        <v>29.411999999999999</v>
      </c>
      <c r="V610" s="92"/>
      <c r="W610" s="92"/>
      <c r="X610" s="92"/>
      <c r="Y610" s="382">
        <f t="shared" si="200"/>
        <v>29.411999999999999</v>
      </c>
      <c r="Z610" s="567"/>
      <c r="AA610" s="382">
        <v>16.34</v>
      </c>
      <c r="AB610" s="382">
        <f t="shared" si="201"/>
        <v>9.7307221542227662</v>
      </c>
      <c r="AC610" s="382">
        <f t="shared" si="202"/>
        <v>0</v>
      </c>
      <c r="AD610" s="89"/>
    </row>
    <row r="611" spans="1:30" ht="16" x14ac:dyDescent="0.2">
      <c r="A611" s="47"/>
      <c r="B611" s="422"/>
      <c r="C611" s="176">
        <f t="shared" si="192"/>
        <v>608</v>
      </c>
      <c r="D611" s="146">
        <v>45779</v>
      </c>
      <c r="E611" s="37">
        <v>45782</v>
      </c>
      <c r="F611" s="65" t="s">
        <v>286</v>
      </c>
      <c r="G611" s="11" t="str">
        <f ca="1">IF(AND(E611&lt;&gt;"",E611&lt;TODAY()),"Disponible",IFERROR(INDEX(Vehiculos[Estado Vehiculo],MATCH(F611,Vehiculos[Placa Vehiculo],0)),""))</f>
        <v>Disponible</v>
      </c>
      <c r="H611" s="34" t="s">
        <v>288</v>
      </c>
      <c r="I611" s="34" t="s">
        <v>273</v>
      </c>
      <c r="J611" s="34" t="s">
        <v>379</v>
      </c>
      <c r="K611" s="39">
        <v>87353</v>
      </c>
      <c r="L611" s="39">
        <v>87830</v>
      </c>
      <c r="M611" s="15">
        <f t="shared" si="203"/>
        <v>477</v>
      </c>
      <c r="N611" s="15"/>
      <c r="O611" s="39"/>
      <c r="P611" s="36"/>
      <c r="Q611" s="16">
        <f t="shared" si="199"/>
        <v>0</v>
      </c>
      <c r="R611" s="34" t="s">
        <v>273</v>
      </c>
      <c r="S611" s="34" t="s">
        <v>102</v>
      </c>
      <c r="T611" s="36">
        <v>1.8</v>
      </c>
      <c r="U611" s="293">
        <f>Rutas[[#This Row],[Precio x Galón ($/gal)]]*Rutas[[#This Row],[Volumen de Combustible (gal)]]</f>
        <v>23.400000000000002</v>
      </c>
      <c r="V611" s="36"/>
      <c r="W611" s="36"/>
      <c r="X611" s="36"/>
      <c r="Y611" s="145">
        <f t="shared" si="200"/>
        <v>23.400000000000002</v>
      </c>
      <c r="Z611" s="567"/>
      <c r="AA611" s="12">
        <v>13</v>
      </c>
      <c r="AB611" s="12">
        <f t="shared" si="201"/>
        <v>36.692307692307693</v>
      </c>
      <c r="AC611" s="12">
        <f t="shared" si="202"/>
        <v>0</v>
      </c>
      <c r="AD611" s="34"/>
    </row>
    <row r="612" spans="1:30" ht="16" x14ac:dyDescent="0.2">
      <c r="A612" s="47"/>
      <c r="B612" s="422"/>
      <c r="C612" s="176">
        <f t="shared" si="192"/>
        <v>609</v>
      </c>
      <c r="D612" s="146">
        <v>45782</v>
      </c>
      <c r="E612" s="37">
        <v>45787</v>
      </c>
      <c r="F612" s="65" t="s">
        <v>286</v>
      </c>
      <c r="G612" s="11" t="str">
        <f ca="1">IF(AND(E612&lt;&gt;"",E612&lt;TODAY()),"Disponible",IFERROR(INDEX(Vehiculos[Estado Vehiculo],MATCH(F612,Vehiculos[Placa Vehiculo],0)),""))</f>
        <v>Disponible</v>
      </c>
      <c r="H612" s="34" t="s">
        <v>288</v>
      </c>
      <c r="I612" s="34" t="s">
        <v>273</v>
      </c>
      <c r="J612" s="34" t="s">
        <v>379</v>
      </c>
      <c r="K612" s="39">
        <v>87830</v>
      </c>
      <c r="L612" s="39">
        <v>88331</v>
      </c>
      <c r="M612" s="15">
        <f t="shared" si="203"/>
        <v>501</v>
      </c>
      <c r="N612" s="15"/>
      <c r="O612" s="39"/>
      <c r="P612" s="36"/>
      <c r="Q612" s="16">
        <f t="shared" si="199"/>
        <v>0</v>
      </c>
      <c r="R612" s="34" t="s">
        <v>273</v>
      </c>
      <c r="S612" s="34" t="s">
        <v>102</v>
      </c>
      <c r="T612" s="36">
        <v>1.8</v>
      </c>
      <c r="U612" s="293">
        <f>Rutas[[#This Row],[Precio x Galón ($/gal)]]*Rutas[[#This Row],[Volumen de Combustible (gal)]]</f>
        <v>24.731999999999999</v>
      </c>
      <c r="V612" s="36"/>
      <c r="W612" s="36"/>
      <c r="X612" s="36"/>
      <c r="Y612" s="145">
        <f t="shared" si="200"/>
        <v>24.731999999999999</v>
      </c>
      <c r="Z612" s="567"/>
      <c r="AA612" s="12">
        <v>13.74</v>
      </c>
      <c r="AB612" s="12">
        <f t="shared" si="201"/>
        <v>36.462882096069869</v>
      </c>
      <c r="AC612" s="12">
        <f t="shared" si="202"/>
        <v>0</v>
      </c>
      <c r="AD612" s="34"/>
    </row>
    <row r="613" spans="1:30" ht="16" x14ac:dyDescent="0.2">
      <c r="A613" s="47"/>
      <c r="B613" s="422"/>
      <c r="C613" s="176">
        <f t="shared" si="192"/>
        <v>610</v>
      </c>
      <c r="D613" s="146">
        <v>45787</v>
      </c>
      <c r="E613" s="37">
        <v>45793</v>
      </c>
      <c r="F613" s="65" t="s">
        <v>286</v>
      </c>
      <c r="G613" s="11" t="str">
        <f ca="1">IF(AND(E613&lt;&gt;"",E613&lt;TODAY()),"Disponible",IFERROR(INDEX(Vehiculos[Estado Vehiculo],MATCH(F613,Vehiculos[Placa Vehiculo],0)),""))</f>
        <v>Disponible</v>
      </c>
      <c r="H613" s="34" t="s">
        <v>288</v>
      </c>
      <c r="I613" s="34" t="s">
        <v>273</v>
      </c>
      <c r="J613" s="34" t="s">
        <v>379</v>
      </c>
      <c r="K613" s="39">
        <v>88331</v>
      </c>
      <c r="L613" s="39">
        <v>88815</v>
      </c>
      <c r="M613" s="15">
        <f t="shared" ref="M613:M620" si="204">L613-K613</f>
        <v>484</v>
      </c>
      <c r="N613" s="15"/>
      <c r="O613" s="39"/>
      <c r="P613" s="36"/>
      <c r="Q613" s="16">
        <f t="shared" ref="Q613:Q620" si="205">M613*P613</f>
        <v>0</v>
      </c>
      <c r="R613" s="34" t="s">
        <v>273</v>
      </c>
      <c r="S613" s="34" t="s">
        <v>102</v>
      </c>
      <c r="T613" s="36">
        <v>1.8</v>
      </c>
      <c r="U613" s="293">
        <f>Rutas[[#This Row],[Precio x Galón ($/gal)]]*Rutas[[#This Row],[Volumen de Combustible (gal)]]</f>
        <v>24.282</v>
      </c>
      <c r="V613" s="36"/>
      <c r="W613" s="36"/>
      <c r="X613" s="36"/>
      <c r="Y613" s="145">
        <f t="shared" ref="Y613:Y620" si="206">U613+SUM(V613:X613)</f>
        <v>24.282</v>
      </c>
      <c r="Z613" s="567"/>
      <c r="AA613" s="12">
        <v>13.49</v>
      </c>
      <c r="AB613" s="12">
        <f t="shared" ref="AB613:AB620" si="207">IFERROR(M613/AA613,0)</f>
        <v>35.878428465530021</v>
      </c>
      <c r="AC613" s="12">
        <f t="shared" ref="AC613:AC620" si="208">IFERROR(Q613/M613,0)</f>
        <v>0</v>
      </c>
      <c r="AD613" s="34"/>
    </row>
    <row r="614" spans="1:30" ht="16" x14ac:dyDescent="0.2">
      <c r="A614" s="47"/>
      <c r="B614" s="422"/>
      <c r="C614" s="176">
        <f t="shared" si="192"/>
        <v>611</v>
      </c>
      <c r="D614" s="146">
        <v>45793</v>
      </c>
      <c r="E614" s="37">
        <v>45795</v>
      </c>
      <c r="F614" s="65" t="s">
        <v>286</v>
      </c>
      <c r="G614" s="11" t="str">
        <f ca="1">IF(AND(E614&lt;&gt;"",E614&lt;TODAY()),"Disponible",IFERROR(INDEX(Vehiculos[Estado Vehiculo],MATCH(F614,Vehiculos[Placa Vehiculo],0)),""))</f>
        <v>Disponible</v>
      </c>
      <c r="H614" s="34" t="s">
        <v>288</v>
      </c>
      <c r="I614" s="34" t="s">
        <v>273</v>
      </c>
      <c r="J614" s="34" t="s">
        <v>379</v>
      </c>
      <c r="K614" s="39">
        <v>88815</v>
      </c>
      <c r="L614" s="39">
        <v>89354</v>
      </c>
      <c r="M614" s="15">
        <f t="shared" si="204"/>
        <v>539</v>
      </c>
      <c r="N614" s="15"/>
      <c r="O614" s="39"/>
      <c r="P614" s="36"/>
      <c r="Q614" s="16">
        <f t="shared" si="205"/>
        <v>0</v>
      </c>
      <c r="R614" s="34" t="s">
        <v>273</v>
      </c>
      <c r="S614" s="34" t="s">
        <v>102</v>
      </c>
      <c r="T614" s="36">
        <v>1.8</v>
      </c>
      <c r="U614" s="293">
        <f>Rutas[[#This Row],[Precio x Galón ($/gal)]]*Rutas[[#This Row],[Volumen de Combustible (gal)]]</f>
        <v>25.290000000000003</v>
      </c>
      <c r="V614" s="36"/>
      <c r="W614" s="36"/>
      <c r="X614" s="36"/>
      <c r="Y614" s="145">
        <f t="shared" si="206"/>
        <v>25.290000000000003</v>
      </c>
      <c r="Z614" s="567"/>
      <c r="AA614" s="12">
        <v>14.05</v>
      </c>
      <c r="AB614" s="12">
        <f t="shared" si="207"/>
        <v>38.362989323843415</v>
      </c>
      <c r="AC614" s="12">
        <f t="shared" si="208"/>
        <v>0</v>
      </c>
      <c r="AD614" s="34"/>
    </row>
    <row r="615" spans="1:30" ht="16" x14ac:dyDescent="0.2">
      <c r="A615" s="47"/>
      <c r="B615" s="422"/>
      <c r="C615" s="176">
        <f t="shared" si="192"/>
        <v>612</v>
      </c>
      <c r="D615" s="146">
        <v>45795</v>
      </c>
      <c r="E615" s="37" t="s">
        <v>380</v>
      </c>
      <c r="F615" s="65" t="s">
        <v>286</v>
      </c>
      <c r="G615" s="11" t="str">
        <f ca="1">IF(AND(E615&lt;&gt;"",E615&lt;TODAY()),"Disponible",IFERROR(INDEX(Vehiculos[Estado Vehiculo],MATCH(F615,Vehiculos[Placa Vehiculo],0)),""))</f>
        <v>Disponible</v>
      </c>
      <c r="H615" s="34" t="s">
        <v>289</v>
      </c>
      <c r="I615" s="34" t="s">
        <v>273</v>
      </c>
      <c r="J615" s="34" t="s">
        <v>379</v>
      </c>
      <c r="K615" s="39">
        <v>89354</v>
      </c>
      <c r="L615" s="39">
        <v>90056</v>
      </c>
      <c r="M615" s="15">
        <f t="shared" si="204"/>
        <v>702</v>
      </c>
      <c r="N615" s="15"/>
      <c r="O615" s="39"/>
      <c r="P615" s="36"/>
      <c r="Q615" s="16">
        <f t="shared" si="205"/>
        <v>0</v>
      </c>
      <c r="R615" s="34" t="s">
        <v>273</v>
      </c>
      <c r="S615" s="34" t="s">
        <v>102</v>
      </c>
      <c r="T615" s="36">
        <v>1.8</v>
      </c>
      <c r="U615" s="293">
        <f>Rutas[[#This Row],[Precio x Galón ($/gal)]]*Rutas[[#This Row],[Volumen de Combustible (gal)]]</f>
        <v>34.200000000000003</v>
      </c>
      <c r="V615" s="36"/>
      <c r="W615" s="36"/>
      <c r="X615" s="36"/>
      <c r="Y615" s="145">
        <f t="shared" si="206"/>
        <v>34.200000000000003</v>
      </c>
      <c r="Z615" s="567"/>
      <c r="AA615" s="12">
        <v>19</v>
      </c>
      <c r="AB615" s="12">
        <f t="shared" si="207"/>
        <v>36.94736842105263</v>
      </c>
      <c r="AC615" s="12">
        <f t="shared" si="208"/>
        <v>0</v>
      </c>
      <c r="AD615" s="34"/>
    </row>
    <row r="616" spans="1:30" ht="16" x14ac:dyDescent="0.2">
      <c r="A616" s="47"/>
      <c r="B616" s="422"/>
      <c r="C616" s="176">
        <f t="shared" si="192"/>
        <v>613</v>
      </c>
      <c r="D616" s="146">
        <v>45801</v>
      </c>
      <c r="E616" s="37">
        <v>45808</v>
      </c>
      <c r="F616" s="65" t="s">
        <v>286</v>
      </c>
      <c r="G616" s="11" t="str">
        <f ca="1">IF(AND(E616&lt;&gt;"",E616&lt;TODAY()),"Disponible",IFERROR(INDEX(Vehiculos[Estado Vehiculo],MATCH(F616,Vehiculos[Placa Vehiculo],0)),""))</f>
        <v>Disponible</v>
      </c>
      <c r="H616" s="34" t="s">
        <v>289</v>
      </c>
      <c r="I616" s="34" t="s">
        <v>273</v>
      </c>
      <c r="J616" s="34" t="s">
        <v>379</v>
      </c>
      <c r="K616" s="39">
        <v>90056</v>
      </c>
      <c r="L616" s="39">
        <v>90522</v>
      </c>
      <c r="M616" s="15">
        <f t="shared" si="204"/>
        <v>466</v>
      </c>
      <c r="N616" s="15"/>
      <c r="O616" s="39"/>
      <c r="P616" s="36"/>
      <c r="Q616" s="16">
        <f t="shared" si="205"/>
        <v>0</v>
      </c>
      <c r="R616" s="34" t="s">
        <v>273</v>
      </c>
      <c r="S616" s="34" t="s">
        <v>102</v>
      </c>
      <c r="T616" s="36"/>
      <c r="U616" s="293"/>
      <c r="V616" s="36"/>
      <c r="W616" s="36"/>
      <c r="X616" s="36"/>
      <c r="Y616" s="145">
        <f t="shared" si="206"/>
        <v>0</v>
      </c>
      <c r="Z616" s="567"/>
      <c r="AA616" s="12"/>
      <c r="AB616" s="12">
        <f t="shared" si="207"/>
        <v>0</v>
      </c>
      <c r="AC616" s="12">
        <f t="shared" si="208"/>
        <v>0</v>
      </c>
      <c r="AD616" s="34"/>
    </row>
    <row r="617" spans="1:30" ht="16" x14ac:dyDescent="0.2">
      <c r="A617" s="47"/>
      <c r="B617" s="422"/>
      <c r="C617" s="176">
        <f t="shared" si="192"/>
        <v>614</v>
      </c>
      <c r="D617" s="146"/>
      <c r="E617" s="37"/>
      <c r="F617" s="66"/>
      <c r="G617" s="11" t="str">
        <f ca="1">IF(AND(E617&lt;&gt;"",E617&lt;TODAY()),"Disponible",IFERROR(INDEX(Vehiculos[Estado Vehiculo],MATCH(F617,Vehiculos[Placa Vehiculo],0)),""))</f>
        <v/>
      </c>
      <c r="H617" s="34"/>
      <c r="I617" s="34"/>
      <c r="J617" s="34"/>
      <c r="K617" s="39"/>
      <c r="L617" s="39"/>
      <c r="M617" s="15">
        <f>L617-K617</f>
        <v>0</v>
      </c>
      <c r="N617" s="15"/>
      <c r="O617" s="39"/>
      <c r="P617" s="36"/>
      <c r="Q617" s="16">
        <f>M617*P617</f>
        <v>0</v>
      </c>
      <c r="R617" s="34"/>
      <c r="S617" s="34"/>
      <c r="T617" s="36"/>
      <c r="U617" s="293"/>
      <c r="V617" s="36"/>
      <c r="W617" s="36"/>
      <c r="X617" s="36"/>
      <c r="Y617" s="145">
        <f>U617+SUM(V617:X617)</f>
        <v>0</v>
      </c>
      <c r="Z617" s="567"/>
      <c r="AA617" s="12"/>
      <c r="AB617" s="12">
        <f>IFERROR(M617/AA617,0)</f>
        <v>0</v>
      </c>
      <c r="AC617" s="12">
        <f>IFERROR(Q617/M617,0)</f>
        <v>0</v>
      </c>
      <c r="AD617" s="34"/>
    </row>
    <row r="618" spans="1:30" ht="16" x14ac:dyDescent="0.2">
      <c r="A618" s="47"/>
      <c r="B618" s="422"/>
      <c r="C618" s="176">
        <f t="shared" si="192"/>
        <v>615</v>
      </c>
      <c r="D618" s="437"/>
      <c r="E618" s="438"/>
      <c r="F618" s="439"/>
      <c r="G618" s="440" t="str">
        <f ca="1">IF(AND(E618&lt;&gt;"",E618&lt;TODAY()),"Disponible",IFERROR(INDEX(Vehiculos[Estado Vehiculo],MATCH(F618,Vehiculos[Placa Vehiculo],0)),""))</f>
        <v/>
      </c>
      <c r="H618" s="441"/>
      <c r="I618" s="441"/>
      <c r="J618" s="441"/>
      <c r="K618" s="442"/>
      <c r="L618" s="442"/>
      <c r="M618" s="443">
        <f t="shared" si="204"/>
        <v>0</v>
      </c>
      <c r="N618" s="443"/>
      <c r="O618" s="442"/>
      <c r="P618" s="444"/>
      <c r="Q618" s="445">
        <f t="shared" si="205"/>
        <v>0</v>
      </c>
      <c r="R618" s="441"/>
      <c r="S618" s="441"/>
      <c r="T618" s="444"/>
      <c r="U618" s="446">
        <f>Rutas[[#This Row],[Precio x Galón ($/gal)]]*Rutas[[#This Row],[Volumen de Combustible (gal)]]</f>
        <v>0</v>
      </c>
      <c r="V618" s="444"/>
      <c r="W618" s="444"/>
      <c r="X618" s="444"/>
      <c r="Y618" s="447">
        <f t="shared" si="206"/>
        <v>0</v>
      </c>
      <c r="Z618" s="570"/>
      <c r="AA618" s="448"/>
      <c r="AB618" s="448">
        <f t="shared" si="207"/>
        <v>0</v>
      </c>
      <c r="AC618" s="448">
        <f t="shared" si="208"/>
        <v>0</v>
      </c>
      <c r="AD618" s="441"/>
    </row>
    <row r="619" spans="1:30" ht="16" x14ac:dyDescent="0.2">
      <c r="A619" s="47"/>
      <c r="B619" s="422"/>
      <c r="C619" s="176">
        <f t="shared" si="192"/>
        <v>616</v>
      </c>
      <c r="D619" s="90">
        <v>45778</v>
      </c>
      <c r="E619" s="90">
        <v>45780</v>
      </c>
      <c r="F619" s="68" t="s">
        <v>350</v>
      </c>
      <c r="G619" s="379" t="str">
        <f ca="1">IF(AND(E619&lt;&gt;"",E619&lt;TODAY()),"Disponible",IFERROR(INDEX(Vehiculos[Estado Vehiculo],MATCH(F619,Vehiculos[Placa Vehiculo],0)),""))</f>
        <v>Disponible</v>
      </c>
      <c r="H619" s="89" t="s">
        <v>236</v>
      </c>
      <c r="I619" s="89" t="s">
        <v>273</v>
      </c>
      <c r="J619" s="89" t="s">
        <v>379</v>
      </c>
      <c r="K619" s="380">
        <v>5661</v>
      </c>
      <c r="L619" s="380">
        <v>5999</v>
      </c>
      <c r="M619" s="381">
        <f t="shared" si="204"/>
        <v>338</v>
      </c>
      <c r="N619" s="381"/>
      <c r="O619" s="380"/>
      <c r="P619" s="92"/>
      <c r="Q619" s="382">
        <f t="shared" si="205"/>
        <v>0</v>
      </c>
      <c r="R619" s="89" t="s">
        <v>273</v>
      </c>
      <c r="S619" s="89" t="s">
        <v>102</v>
      </c>
      <c r="T619" s="92">
        <v>1.8</v>
      </c>
      <c r="U619" s="266">
        <f>Rutas[[#This Row],[Precio x Galón ($/gal)]]*Rutas[[#This Row],[Volumen de Combustible (gal)]]</f>
        <v>154.71</v>
      </c>
      <c r="V619" s="92"/>
      <c r="W619" s="92"/>
      <c r="X619" s="92"/>
      <c r="Y619" s="382">
        <f t="shared" si="206"/>
        <v>154.71</v>
      </c>
      <c r="Z619" s="567"/>
      <c r="AA619" s="382">
        <v>85.95</v>
      </c>
      <c r="AB619" s="382">
        <f t="shared" si="207"/>
        <v>3.9325189063408956</v>
      </c>
      <c r="AC619" s="382">
        <f t="shared" si="208"/>
        <v>0</v>
      </c>
      <c r="AD619" s="89"/>
    </row>
    <row r="620" spans="1:30" ht="16" x14ac:dyDescent="0.2">
      <c r="A620" s="47"/>
      <c r="B620" s="422"/>
      <c r="C620" s="176">
        <f t="shared" si="192"/>
        <v>617</v>
      </c>
      <c r="D620" s="146">
        <v>45780</v>
      </c>
      <c r="E620" s="37">
        <v>45782</v>
      </c>
      <c r="F620" s="65" t="s">
        <v>350</v>
      </c>
      <c r="G620" s="11" t="str">
        <f ca="1">IF(AND(E620&lt;&gt;"",E620&lt;TODAY()),"Disponible",IFERROR(INDEX(Vehiculos[Estado Vehiculo],MATCH(F620,Vehiculos[Placa Vehiculo],0)),""))</f>
        <v>Disponible</v>
      </c>
      <c r="H620" s="34" t="s">
        <v>236</v>
      </c>
      <c r="I620" s="34" t="s">
        <v>273</v>
      </c>
      <c r="J620" s="34" t="s">
        <v>379</v>
      </c>
      <c r="K620" s="39">
        <v>5999</v>
      </c>
      <c r="L620" s="39">
        <v>6512</v>
      </c>
      <c r="M620" s="15">
        <f t="shared" si="204"/>
        <v>513</v>
      </c>
      <c r="N620" s="15"/>
      <c r="O620" s="39"/>
      <c r="P620" s="36"/>
      <c r="Q620" s="16">
        <f t="shared" si="205"/>
        <v>0</v>
      </c>
      <c r="R620" s="34" t="s">
        <v>273</v>
      </c>
      <c r="S620" s="34" t="s">
        <v>102</v>
      </c>
      <c r="T620" s="36">
        <v>1.8</v>
      </c>
      <c r="U620" s="293">
        <f>Rutas[[#This Row],[Precio x Galón ($/gal)]]*Rutas[[#This Row],[Volumen de Combustible (gal)]]</f>
        <v>169.614</v>
      </c>
      <c r="V620" s="36"/>
      <c r="W620" s="36"/>
      <c r="X620" s="36"/>
      <c r="Y620" s="145">
        <f t="shared" si="206"/>
        <v>169.614</v>
      </c>
      <c r="Z620" s="567"/>
      <c r="AA620" s="12">
        <v>94.23</v>
      </c>
      <c r="AB620" s="12">
        <f t="shared" si="207"/>
        <v>5.4441260744985671</v>
      </c>
      <c r="AC620" s="12">
        <f t="shared" si="208"/>
        <v>0</v>
      </c>
      <c r="AD620" s="34"/>
    </row>
    <row r="621" spans="1:30" ht="16" x14ac:dyDescent="0.2">
      <c r="A621" s="47"/>
      <c r="B621" s="422"/>
      <c r="C621" s="176">
        <f t="shared" si="192"/>
        <v>618</v>
      </c>
      <c r="D621" s="146">
        <v>45782</v>
      </c>
      <c r="E621" s="37">
        <v>45796</v>
      </c>
      <c r="F621" s="65" t="s">
        <v>350</v>
      </c>
      <c r="G621" s="11" t="str">
        <f ca="1">IF(AND(E621&lt;&gt;"",E621&lt;TODAY()),"Disponible",IFERROR(INDEX(Vehiculos[Estado Vehiculo],MATCH(F621,Vehiculos[Placa Vehiculo],0)),""))</f>
        <v>Disponible</v>
      </c>
      <c r="H621" s="34"/>
      <c r="I621" s="34" t="s">
        <v>273</v>
      </c>
      <c r="J621" s="34" t="s">
        <v>379</v>
      </c>
      <c r="K621" s="39">
        <v>6512</v>
      </c>
      <c r="L621" s="39">
        <v>11320</v>
      </c>
      <c r="M621" s="15">
        <f>L621-K621</f>
        <v>4808</v>
      </c>
      <c r="N621" s="15"/>
      <c r="O621" s="39"/>
      <c r="P621" s="36"/>
      <c r="Q621" s="16">
        <f>M621*P621</f>
        <v>0</v>
      </c>
      <c r="R621" s="34" t="s">
        <v>273</v>
      </c>
      <c r="S621" s="34" t="s">
        <v>102</v>
      </c>
      <c r="T621" s="36">
        <v>1.8</v>
      </c>
      <c r="U621" s="293">
        <f>Rutas[[#This Row],[Precio x Galón ($/gal)]]*Rutas[[#This Row],[Volumen de Combustible (gal)]]</f>
        <v>201.6</v>
      </c>
      <c r="V621" s="36"/>
      <c r="W621" s="36"/>
      <c r="X621" s="36"/>
      <c r="Y621" s="145">
        <f>U621+SUM(V621:X621)</f>
        <v>201.6</v>
      </c>
      <c r="Z621" s="567"/>
      <c r="AA621" s="12">
        <v>112</v>
      </c>
      <c r="AB621" s="12">
        <f>IFERROR(M621/AA621,0)</f>
        <v>42.928571428571431</v>
      </c>
      <c r="AC621" s="12">
        <f>IFERROR(Q621/M621,0)</f>
        <v>0</v>
      </c>
      <c r="AD621" s="34"/>
    </row>
    <row r="622" spans="1:30" ht="16" x14ac:dyDescent="0.2">
      <c r="A622" s="47"/>
      <c r="B622" s="422"/>
      <c r="C622" s="176">
        <f t="shared" si="192"/>
        <v>619</v>
      </c>
      <c r="D622" s="146">
        <v>45796</v>
      </c>
      <c r="E622" s="37">
        <v>45807</v>
      </c>
      <c r="F622" s="65" t="s">
        <v>350</v>
      </c>
      <c r="G622" s="11" t="str">
        <f ca="1">IF(AND(E622&lt;&gt;"",E622&lt;TODAY()),"Disponible",IFERROR(INDEX(Vehiculos[Estado Vehiculo],MATCH(F622,Vehiculos[Placa Vehiculo],0)),""))</f>
        <v>Disponible</v>
      </c>
      <c r="H622" s="34"/>
      <c r="I622" s="34" t="s">
        <v>273</v>
      </c>
      <c r="J622" s="34" t="s">
        <v>379</v>
      </c>
      <c r="K622" s="39">
        <v>11320</v>
      </c>
      <c r="L622" s="39">
        <v>15384</v>
      </c>
      <c r="M622" s="15">
        <f>L622-K622</f>
        <v>4064</v>
      </c>
      <c r="N622" s="452"/>
      <c r="O622" s="39"/>
      <c r="P622" s="36"/>
      <c r="Q622" s="16">
        <f>M622*P622</f>
        <v>0</v>
      </c>
      <c r="R622" s="34" t="s">
        <v>273</v>
      </c>
      <c r="S622" s="34" t="s">
        <v>102</v>
      </c>
      <c r="T622" s="36">
        <v>1.8</v>
      </c>
      <c r="U622" s="293">
        <f>Rutas[[#This Row],[Precio x Galón ($/gal)]]*Rutas[[#This Row],[Volumen de Combustible (gal)]]</f>
        <v>180</v>
      </c>
      <c r="V622" s="36"/>
      <c r="W622" s="36"/>
      <c r="X622" s="36"/>
      <c r="Y622" s="145">
        <f>U622+SUM(V622:X622)</f>
        <v>180</v>
      </c>
      <c r="Z622" s="567"/>
      <c r="AA622" s="12">
        <v>100</v>
      </c>
      <c r="AB622" s="12">
        <f>IFERROR(M622/AA622,0)</f>
        <v>40.64</v>
      </c>
      <c r="AC622" s="12">
        <f>IFERROR(Q622/M622,0)</f>
        <v>0</v>
      </c>
      <c r="AD622" s="34"/>
    </row>
    <row r="623" spans="1:30" ht="16" x14ac:dyDescent="0.2">
      <c r="A623" s="47"/>
      <c r="B623" s="422"/>
      <c r="C623" s="176">
        <f t="shared" si="192"/>
        <v>620</v>
      </c>
      <c r="D623" s="437"/>
      <c r="E623" s="438"/>
      <c r="F623" s="439"/>
      <c r="G623" s="440" t="str">
        <f ca="1">IF(AND(E623&lt;&gt;"",E623&lt;TODAY()),"Disponible",IFERROR(INDEX(Vehiculos[Estado Vehiculo],MATCH(F623,Vehiculos[Placa Vehiculo],0)),""))</f>
        <v/>
      </c>
      <c r="H623" s="441"/>
      <c r="I623" s="441"/>
      <c r="J623" s="441"/>
      <c r="K623" s="442"/>
      <c r="L623" s="442"/>
      <c r="M623" s="443"/>
      <c r="N623" s="443"/>
      <c r="O623" s="442"/>
      <c r="P623" s="444"/>
      <c r="Q623" s="445">
        <f>M623*P623</f>
        <v>0</v>
      </c>
      <c r="R623" s="441"/>
      <c r="S623" s="441"/>
      <c r="T623" s="444"/>
      <c r="U623" s="446">
        <f>Rutas[[#This Row],[Precio x Galón ($/gal)]]*Rutas[[#This Row],[Volumen de Combustible (gal)]]</f>
        <v>0</v>
      </c>
      <c r="V623" s="444"/>
      <c r="W623" s="444"/>
      <c r="X623" s="444"/>
      <c r="Y623" s="447">
        <f>U623+SUM(V623:X623)</f>
        <v>0</v>
      </c>
      <c r="Z623" s="570"/>
      <c r="AA623" s="448"/>
      <c r="AB623" s="448">
        <f>IFERROR(M623/AA623,0)</f>
        <v>0</v>
      </c>
      <c r="AC623" s="448">
        <f>IFERROR(Q623/M623,0)</f>
        <v>0</v>
      </c>
      <c r="AD623" s="441"/>
    </row>
    <row r="624" spans="1:30" ht="16" x14ac:dyDescent="0.2">
      <c r="A624" s="47"/>
      <c r="B624" s="422"/>
      <c r="C624" s="176">
        <f t="shared" si="192"/>
        <v>621</v>
      </c>
      <c r="D624" s="82">
        <v>45787</v>
      </c>
      <c r="E624" s="90">
        <v>45788</v>
      </c>
      <c r="F624" s="68" t="s">
        <v>376</v>
      </c>
      <c r="G624" s="379" t="str">
        <f ca="1">IF(AND(E624&lt;&gt;"",E624&lt;TODAY()),"Disponible",IFERROR(INDEX(Vehiculos[Estado Vehiculo],MATCH(F624,Vehiculos[Placa Vehiculo],0)),""))</f>
        <v>Disponible</v>
      </c>
      <c r="H624" s="89" t="s">
        <v>269</v>
      </c>
      <c r="I624" s="89" t="s">
        <v>273</v>
      </c>
      <c r="J624" s="89" t="s">
        <v>274</v>
      </c>
      <c r="K624" s="380">
        <v>229356</v>
      </c>
      <c r="L624" s="380">
        <v>229762</v>
      </c>
      <c r="M624" s="381">
        <f t="shared" ref="M624:M634" si="209">L624-K624</f>
        <v>406</v>
      </c>
      <c r="N624" s="381"/>
      <c r="O624" s="380"/>
      <c r="P624" s="92"/>
      <c r="Q624" s="382">
        <f t="shared" ref="Q624:Q629" si="210">M624*P624</f>
        <v>0</v>
      </c>
      <c r="R624" s="89" t="s">
        <v>273</v>
      </c>
      <c r="S624" s="89" t="s">
        <v>102</v>
      </c>
      <c r="T624" s="92">
        <v>1.8</v>
      </c>
      <c r="U624" s="266">
        <f>Rutas[[#This Row],[Precio x Galón ($/gal)]]*Rutas[[#This Row],[Volumen de Combustible (gal)]]</f>
        <v>220.93199999999999</v>
      </c>
      <c r="V624" s="92"/>
      <c r="W624" s="92"/>
      <c r="X624" s="92"/>
      <c r="Y624" s="382">
        <f t="shared" ref="Y624:Y629" si="211">U624+SUM(V624:X624)</f>
        <v>220.93199999999999</v>
      </c>
      <c r="Z624" s="567"/>
      <c r="AA624" s="382">
        <v>122.74</v>
      </c>
      <c r="AB624" s="382">
        <f t="shared" ref="AB624:AB629" si="212">IFERROR(M624/AA624,0)</f>
        <v>3.3078051165064366</v>
      </c>
      <c r="AC624" s="382">
        <f t="shared" ref="AC624:AC629" si="213">IFERROR(Q624/M624,0)</f>
        <v>0</v>
      </c>
      <c r="AD624" s="89"/>
    </row>
    <row r="625" spans="1:30" ht="16" x14ac:dyDescent="0.2">
      <c r="A625" s="47"/>
      <c r="B625" s="422"/>
      <c r="C625" s="176">
        <f t="shared" si="192"/>
        <v>622</v>
      </c>
      <c r="D625" s="146">
        <v>45788</v>
      </c>
      <c r="E625" s="37">
        <v>45789</v>
      </c>
      <c r="F625" s="65" t="s">
        <v>376</v>
      </c>
      <c r="G625" s="11" t="str">
        <f ca="1">IF(AND(E625&lt;&gt;"",E625&lt;TODAY()),"Disponible",IFERROR(INDEX(Vehiculos[Estado Vehiculo],MATCH(F625,Vehiculos[Placa Vehiculo],0)),""))</f>
        <v>Disponible</v>
      </c>
      <c r="H625" s="34" t="s">
        <v>269</v>
      </c>
      <c r="I625" s="34" t="s">
        <v>273</v>
      </c>
      <c r="J625" s="34" t="s">
        <v>274</v>
      </c>
      <c r="K625" s="39">
        <v>229762</v>
      </c>
      <c r="L625" s="39">
        <v>230027</v>
      </c>
      <c r="M625" s="15">
        <f t="shared" si="209"/>
        <v>265</v>
      </c>
      <c r="N625" s="15"/>
      <c r="O625" s="39"/>
      <c r="P625" s="36"/>
      <c r="Q625" s="16">
        <f t="shared" si="210"/>
        <v>0</v>
      </c>
      <c r="R625" s="34" t="s">
        <v>273</v>
      </c>
      <c r="S625" s="34" t="s">
        <v>102</v>
      </c>
      <c r="T625" s="36">
        <v>1.8</v>
      </c>
      <c r="U625" s="293">
        <f>Rutas[[#This Row],[Precio x Galón ($/gal)]]*Rutas[[#This Row],[Volumen de Combustible (gal)]]</f>
        <v>132.33599999999998</v>
      </c>
      <c r="V625" s="36"/>
      <c r="W625" s="36"/>
      <c r="X625" s="36"/>
      <c r="Y625" s="145">
        <f t="shared" si="211"/>
        <v>132.33599999999998</v>
      </c>
      <c r="Z625" s="567"/>
      <c r="AA625" s="12">
        <v>73.52</v>
      </c>
      <c r="AB625" s="12">
        <f t="shared" si="212"/>
        <v>3.6044613710554954</v>
      </c>
      <c r="AC625" s="12">
        <f t="shared" si="213"/>
        <v>0</v>
      </c>
      <c r="AD625" s="34"/>
    </row>
    <row r="626" spans="1:30" ht="16" x14ac:dyDescent="0.2">
      <c r="A626" s="47"/>
      <c r="B626" s="422"/>
      <c r="C626" s="176">
        <f t="shared" si="192"/>
        <v>623</v>
      </c>
      <c r="D626" s="146">
        <v>45789</v>
      </c>
      <c r="E626" s="37">
        <v>45790</v>
      </c>
      <c r="F626" s="65" t="s">
        <v>376</v>
      </c>
      <c r="G626" s="11" t="str">
        <f ca="1">IF(AND(E626&lt;&gt;"",E626&lt;TODAY()),"Disponible",IFERROR(INDEX(Vehiculos[Estado Vehiculo],MATCH(F626,Vehiculos[Placa Vehiculo],0)),""))</f>
        <v>Disponible</v>
      </c>
      <c r="H626" s="34" t="s">
        <v>269</v>
      </c>
      <c r="I626" s="34" t="s">
        <v>273</v>
      </c>
      <c r="J626" s="34" t="s">
        <v>274</v>
      </c>
      <c r="K626" s="39">
        <v>230027</v>
      </c>
      <c r="L626" s="39">
        <v>230028</v>
      </c>
      <c r="M626" s="15">
        <f t="shared" si="209"/>
        <v>1</v>
      </c>
      <c r="N626" s="15"/>
      <c r="O626" s="39"/>
      <c r="P626" s="36"/>
      <c r="Q626" s="16">
        <f t="shared" si="210"/>
        <v>0</v>
      </c>
      <c r="R626" s="34" t="s">
        <v>273</v>
      </c>
      <c r="S626" s="34" t="s">
        <v>102</v>
      </c>
      <c r="T626" s="36">
        <v>1.8</v>
      </c>
      <c r="U626" s="293">
        <f>Rutas[[#This Row],[Precio x Galón ($/gal)]]*Rutas[[#This Row],[Volumen de Combustible (gal)]]</f>
        <v>178.70400000000001</v>
      </c>
      <c r="V626" s="36"/>
      <c r="W626" s="36"/>
      <c r="X626" s="36"/>
      <c r="Y626" s="145">
        <f t="shared" si="211"/>
        <v>178.70400000000001</v>
      </c>
      <c r="Z626" s="567"/>
      <c r="AA626" s="12">
        <v>99.28</v>
      </c>
      <c r="AB626" s="12">
        <f t="shared" si="212"/>
        <v>1.0072522159548751E-2</v>
      </c>
      <c r="AC626" s="12">
        <f t="shared" si="213"/>
        <v>0</v>
      </c>
      <c r="AD626" s="34"/>
    </row>
    <row r="627" spans="1:30" ht="16" x14ac:dyDescent="0.2">
      <c r="A627" s="47"/>
      <c r="B627" s="422"/>
      <c r="C627" s="176">
        <f t="shared" si="192"/>
        <v>624</v>
      </c>
      <c r="D627" s="146">
        <v>45790</v>
      </c>
      <c r="E627" s="37">
        <v>45792</v>
      </c>
      <c r="F627" s="65" t="s">
        <v>376</v>
      </c>
      <c r="G627" s="11" t="str">
        <f ca="1">IF(AND(E627&lt;&gt;"",E627&lt;TODAY()),"Disponible",IFERROR(INDEX(Vehiculos[Estado Vehiculo],MATCH(F627,Vehiculos[Placa Vehiculo],0)),""))</f>
        <v>Disponible</v>
      </c>
      <c r="H627" s="34" t="s">
        <v>269</v>
      </c>
      <c r="I627" s="34" t="s">
        <v>273</v>
      </c>
      <c r="J627" s="34" t="s">
        <v>274</v>
      </c>
      <c r="K627" s="39">
        <v>230028</v>
      </c>
      <c r="L627" s="39">
        <v>230029</v>
      </c>
      <c r="M627" s="15">
        <f t="shared" si="209"/>
        <v>1</v>
      </c>
      <c r="N627" s="15"/>
      <c r="O627" s="39"/>
      <c r="P627" s="36"/>
      <c r="Q627" s="16">
        <f t="shared" si="210"/>
        <v>0</v>
      </c>
      <c r="R627" s="34" t="s">
        <v>273</v>
      </c>
      <c r="S627" s="34" t="s">
        <v>102</v>
      </c>
      <c r="T627" s="36">
        <v>1.8</v>
      </c>
      <c r="U627" s="293">
        <f>Rutas[[#This Row],[Precio x Galón ($/gal)]]*Rutas[[#This Row],[Volumen de Combustible (gal)]]</f>
        <v>117.396</v>
      </c>
      <c r="V627" s="36"/>
      <c r="W627" s="36"/>
      <c r="X627" s="36"/>
      <c r="Y627" s="145">
        <f t="shared" si="211"/>
        <v>117.396</v>
      </c>
      <c r="Z627" s="567"/>
      <c r="AA627" s="12">
        <v>65.22</v>
      </c>
      <c r="AB627" s="12">
        <f t="shared" si="212"/>
        <v>1.5332720024532353E-2</v>
      </c>
      <c r="AC627" s="12">
        <f t="shared" si="213"/>
        <v>0</v>
      </c>
      <c r="AD627" s="34"/>
    </row>
    <row r="628" spans="1:30" ht="16" x14ac:dyDescent="0.2">
      <c r="A628" s="47"/>
      <c r="B628" s="422"/>
      <c r="C628" s="176">
        <f t="shared" si="192"/>
        <v>625</v>
      </c>
      <c r="D628" s="146">
        <v>45792</v>
      </c>
      <c r="E628" s="37">
        <v>45793</v>
      </c>
      <c r="F628" s="65" t="s">
        <v>376</v>
      </c>
      <c r="G628" s="11" t="str">
        <f ca="1">IF(AND(E628&lt;&gt;"",E628&lt;TODAY()),"Disponible",IFERROR(INDEX(Vehiculos[Estado Vehiculo],MATCH(F628,Vehiculos[Placa Vehiculo],0)),""))</f>
        <v>Disponible</v>
      </c>
      <c r="H628" s="34" t="s">
        <v>269</v>
      </c>
      <c r="I628" s="34" t="s">
        <v>273</v>
      </c>
      <c r="J628" s="34" t="s">
        <v>274</v>
      </c>
      <c r="K628" s="39">
        <v>230029</v>
      </c>
      <c r="L628" s="39">
        <v>230030</v>
      </c>
      <c r="M628" s="15">
        <f t="shared" si="209"/>
        <v>1</v>
      </c>
      <c r="N628" s="15"/>
      <c r="O628" s="39"/>
      <c r="P628" s="36"/>
      <c r="Q628" s="16">
        <f t="shared" si="210"/>
        <v>0</v>
      </c>
      <c r="R628" s="34" t="s">
        <v>273</v>
      </c>
      <c r="S628" s="34" t="s">
        <v>102</v>
      </c>
      <c r="T628" s="36">
        <v>1.8</v>
      </c>
      <c r="U628" s="293">
        <f>Rutas[[#This Row],[Precio x Galón ($/gal)]]*Rutas[[#This Row],[Volumen de Combustible (gal)]]</f>
        <v>133.84800000000001</v>
      </c>
      <c r="V628" s="36"/>
      <c r="W628" s="36"/>
      <c r="X628" s="36"/>
      <c r="Y628" s="145">
        <f t="shared" si="211"/>
        <v>133.84800000000001</v>
      </c>
      <c r="Z628" s="567"/>
      <c r="AA628" s="12">
        <v>74.36</v>
      </c>
      <c r="AB628" s="12">
        <f t="shared" si="212"/>
        <v>1.3448090371167294E-2</v>
      </c>
      <c r="AC628" s="12">
        <f t="shared" si="213"/>
        <v>0</v>
      </c>
      <c r="AD628" s="34"/>
    </row>
    <row r="629" spans="1:30" ht="16" x14ac:dyDescent="0.2">
      <c r="A629" s="47"/>
      <c r="B629" s="422"/>
      <c r="C629" s="176">
        <f t="shared" si="192"/>
        <v>626</v>
      </c>
      <c r="D629" s="146">
        <v>45793</v>
      </c>
      <c r="E629" s="37">
        <v>45797</v>
      </c>
      <c r="F629" s="65" t="s">
        <v>376</v>
      </c>
      <c r="G629" s="11" t="str">
        <f ca="1">IF(AND(E629&lt;&gt;"",E629&lt;TODAY()),"Disponible",IFERROR(INDEX(Vehiculos[Estado Vehiculo],MATCH(F629,Vehiculos[Placa Vehiculo],0)),""))</f>
        <v>Disponible</v>
      </c>
      <c r="H629" s="34" t="s">
        <v>269</v>
      </c>
      <c r="I629" s="34" t="s">
        <v>273</v>
      </c>
      <c r="J629" s="34" t="s">
        <v>274</v>
      </c>
      <c r="K629" s="39">
        <v>230030</v>
      </c>
      <c r="L629" s="39">
        <v>230031</v>
      </c>
      <c r="M629" s="15">
        <f t="shared" si="209"/>
        <v>1</v>
      </c>
      <c r="N629" s="15"/>
      <c r="O629" s="39"/>
      <c r="P629" s="36"/>
      <c r="Q629" s="16">
        <f t="shared" si="210"/>
        <v>0</v>
      </c>
      <c r="R629" s="34" t="s">
        <v>273</v>
      </c>
      <c r="S629" s="34" t="s">
        <v>102</v>
      </c>
      <c r="T629" s="36">
        <v>1.8</v>
      </c>
      <c r="U629" s="293">
        <f>Rutas[[#This Row],[Precio x Galón ($/gal)]]*Rutas[[#This Row],[Volumen de Combustible (gal)]]</f>
        <v>106.81200000000001</v>
      </c>
      <c r="V629" s="36"/>
      <c r="W629" s="36"/>
      <c r="X629" s="36"/>
      <c r="Y629" s="145">
        <f t="shared" si="211"/>
        <v>106.81200000000001</v>
      </c>
      <c r="Z629" s="567"/>
      <c r="AA629" s="12">
        <v>59.34</v>
      </c>
      <c r="AB629" s="12">
        <f t="shared" si="212"/>
        <v>1.6852039096730703E-2</v>
      </c>
      <c r="AC629" s="12">
        <f t="shared" si="213"/>
        <v>0</v>
      </c>
      <c r="AD629" s="34"/>
    </row>
    <row r="630" spans="1:30" ht="16" x14ac:dyDescent="0.2">
      <c r="A630" s="47"/>
      <c r="B630" s="422"/>
      <c r="C630" s="176">
        <f t="shared" si="192"/>
        <v>627</v>
      </c>
      <c r="D630" s="146">
        <v>45797</v>
      </c>
      <c r="E630" s="37">
        <v>45798</v>
      </c>
      <c r="F630" s="65" t="s">
        <v>376</v>
      </c>
      <c r="G630" s="11" t="str">
        <f ca="1">IF(AND(E630&lt;&gt;"",E630&lt;TODAY()),"Disponible",IFERROR(INDEX(Vehiculos[Estado Vehiculo],MATCH(F630,Vehiculos[Placa Vehiculo],0)),""))</f>
        <v>Disponible</v>
      </c>
      <c r="H630" s="34" t="s">
        <v>305</v>
      </c>
      <c r="I630" s="34" t="s">
        <v>273</v>
      </c>
      <c r="J630" s="34" t="s">
        <v>274</v>
      </c>
      <c r="K630" s="39">
        <v>230031</v>
      </c>
      <c r="L630" s="39">
        <v>230032</v>
      </c>
      <c r="M630" s="15">
        <f t="shared" si="209"/>
        <v>1</v>
      </c>
      <c r="N630" s="15"/>
      <c r="O630" s="39"/>
      <c r="P630" s="36"/>
      <c r="Q630" s="16">
        <f t="shared" ref="Q630:Q637" si="214">M630*P630</f>
        <v>0</v>
      </c>
      <c r="R630" s="34" t="s">
        <v>273</v>
      </c>
      <c r="S630" s="34" t="s">
        <v>102</v>
      </c>
      <c r="T630" s="36">
        <v>1.8</v>
      </c>
      <c r="U630" s="293">
        <f>Rutas[[#This Row],[Precio x Galón ($/gal)]]*Rutas[[#This Row],[Volumen de Combustible (gal)]]</f>
        <v>143.334</v>
      </c>
      <c r="V630" s="36"/>
      <c r="W630" s="36"/>
      <c r="X630" s="36"/>
      <c r="Y630" s="145">
        <f t="shared" ref="Y630:Y637" si="215">U630+SUM(V630:X630)</f>
        <v>143.334</v>
      </c>
      <c r="Z630" s="567"/>
      <c r="AA630" s="12">
        <v>79.63</v>
      </c>
      <c r="AB630" s="12">
        <f t="shared" ref="AB630:AB637" si="216">IFERROR(M630/AA630,0)</f>
        <v>1.255808112520407E-2</v>
      </c>
      <c r="AC630" s="12">
        <f t="shared" ref="AC630:AC637" si="217">IFERROR(Q630/M630,0)</f>
        <v>0</v>
      </c>
      <c r="AD630" s="34"/>
    </row>
    <row r="631" spans="1:30" ht="16" x14ac:dyDescent="0.2">
      <c r="A631" s="47"/>
      <c r="B631" s="422"/>
      <c r="C631" s="176">
        <f t="shared" si="192"/>
        <v>628</v>
      </c>
      <c r="D631" s="146">
        <v>45798</v>
      </c>
      <c r="E631" s="37">
        <v>45800</v>
      </c>
      <c r="F631" s="65" t="s">
        <v>376</v>
      </c>
      <c r="G631" s="11" t="str">
        <f ca="1">IF(AND(E631&lt;&gt;"",E631&lt;TODAY()),"Disponible",IFERROR(INDEX(Vehiculos[Estado Vehiculo],MATCH(F631,Vehiculos[Placa Vehiculo],0)),""))</f>
        <v>Disponible</v>
      </c>
      <c r="H631" s="34" t="s">
        <v>236</v>
      </c>
      <c r="I631" s="34" t="s">
        <v>273</v>
      </c>
      <c r="J631" s="34" t="s">
        <v>274</v>
      </c>
      <c r="K631" s="39">
        <v>230032</v>
      </c>
      <c r="L631" s="39">
        <v>230033</v>
      </c>
      <c r="M631" s="15">
        <f t="shared" si="209"/>
        <v>1</v>
      </c>
      <c r="N631" s="15"/>
      <c r="O631" s="39"/>
      <c r="P631" s="36"/>
      <c r="Q631" s="16">
        <f t="shared" si="214"/>
        <v>0</v>
      </c>
      <c r="R631" s="34" t="s">
        <v>273</v>
      </c>
      <c r="S631" s="34" t="s">
        <v>102</v>
      </c>
      <c r="T631" s="36">
        <v>1.8</v>
      </c>
      <c r="U631" s="293">
        <f>Rutas[[#This Row],[Precio x Galón ($/gal)]]*Rutas[[#This Row],[Volumen de Combustible (gal)]]</f>
        <v>142.03800000000001</v>
      </c>
      <c r="V631" s="36"/>
      <c r="W631" s="36"/>
      <c r="X631" s="36"/>
      <c r="Y631" s="145">
        <f t="shared" si="215"/>
        <v>142.03800000000001</v>
      </c>
      <c r="Z631" s="567"/>
      <c r="AA631" s="12">
        <v>78.91</v>
      </c>
      <c r="AB631" s="12">
        <f t="shared" si="216"/>
        <v>1.2672665061462427E-2</v>
      </c>
      <c r="AC631" s="12">
        <f t="shared" si="217"/>
        <v>0</v>
      </c>
      <c r="AD631" s="34"/>
    </row>
    <row r="632" spans="1:30" ht="16" x14ac:dyDescent="0.2">
      <c r="A632" s="47"/>
      <c r="B632" s="422"/>
      <c r="C632" s="176">
        <f t="shared" si="192"/>
        <v>629</v>
      </c>
      <c r="D632" s="146">
        <v>45800</v>
      </c>
      <c r="E632" s="37">
        <v>45802</v>
      </c>
      <c r="F632" s="65" t="s">
        <v>376</v>
      </c>
      <c r="G632" s="11" t="str">
        <f ca="1">IF(AND(E632&lt;&gt;"",E632&lt;TODAY()),"Disponible",IFERROR(INDEX(Vehiculos[Estado Vehiculo],MATCH(F632,Vehiculos[Placa Vehiculo],0)),""))</f>
        <v>Disponible</v>
      </c>
      <c r="H632" s="34" t="s">
        <v>269</v>
      </c>
      <c r="I632" s="34" t="s">
        <v>273</v>
      </c>
      <c r="J632" s="34" t="s">
        <v>274</v>
      </c>
      <c r="K632" s="39">
        <v>230033</v>
      </c>
      <c r="L632" s="39">
        <v>230034</v>
      </c>
      <c r="M632" s="15">
        <f t="shared" si="209"/>
        <v>1</v>
      </c>
      <c r="N632" s="15"/>
      <c r="O632" s="39"/>
      <c r="P632" s="36"/>
      <c r="Q632" s="16">
        <f t="shared" si="214"/>
        <v>0</v>
      </c>
      <c r="R632" s="34" t="s">
        <v>273</v>
      </c>
      <c r="S632" s="34" t="s">
        <v>102</v>
      </c>
      <c r="T632" s="36">
        <v>1.8</v>
      </c>
      <c r="U632" s="293">
        <f>Rutas[[#This Row],[Precio x Galón ($/gal)]]*Rutas[[#This Row],[Volumen de Combustible (gal)]]</f>
        <v>245.17800000000003</v>
      </c>
      <c r="V632" s="36"/>
      <c r="W632" s="36"/>
      <c r="X632" s="36"/>
      <c r="Y632" s="145">
        <f t="shared" si="215"/>
        <v>245.17800000000003</v>
      </c>
      <c r="Z632" s="567"/>
      <c r="AA632" s="12">
        <v>136.21</v>
      </c>
      <c r="AB632" s="12">
        <f t="shared" si="216"/>
        <v>7.3416048748256362E-3</v>
      </c>
      <c r="AC632" s="12">
        <f t="shared" si="217"/>
        <v>0</v>
      </c>
      <c r="AD632" s="34"/>
    </row>
    <row r="633" spans="1:30" ht="16" x14ac:dyDescent="0.2">
      <c r="A633" s="47"/>
      <c r="B633" s="422"/>
      <c r="C633" s="176">
        <f t="shared" si="192"/>
        <v>630</v>
      </c>
      <c r="D633" s="146">
        <v>45802</v>
      </c>
      <c r="E633" s="37">
        <v>45804</v>
      </c>
      <c r="F633" s="65" t="s">
        <v>376</v>
      </c>
      <c r="G633" s="11" t="str">
        <f ca="1">IF(AND(E633&lt;&gt;"",E633&lt;TODAY()),"Disponible",IFERROR(INDEX(Vehiculos[Estado Vehiculo],MATCH(F633,Vehiculos[Placa Vehiculo],0)),""))</f>
        <v>Disponible</v>
      </c>
      <c r="H633" s="34" t="s">
        <v>236</v>
      </c>
      <c r="I633" s="34" t="s">
        <v>273</v>
      </c>
      <c r="J633" s="34" t="s">
        <v>274</v>
      </c>
      <c r="K633" s="39">
        <v>230034</v>
      </c>
      <c r="L633" s="39">
        <v>230035</v>
      </c>
      <c r="M633" s="15">
        <f t="shared" si="209"/>
        <v>1</v>
      </c>
      <c r="N633" s="15"/>
      <c r="O633" s="39"/>
      <c r="P633" s="36"/>
      <c r="Q633" s="16">
        <f t="shared" si="214"/>
        <v>0</v>
      </c>
      <c r="R633" s="34" t="s">
        <v>273</v>
      </c>
      <c r="S633" s="34" t="s">
        <v>102</v>
      </c>
      <c r="T633" s="36">
        <v>1.8</v>
      </c>
      <c r="U633" s="293">
        <f>Rutas[[#This Row],[Precio x Galón ($/gal)]]*Rutas[[#This Row],[Volumen de Combustible (gal)]]</f>
        <v>96.462000000000003</v>
      </c>
      <c r="V633" s="36"/>
      <c r="W633" s="36"/>
      <c r="X633" s="36"/>
      <c r="Y633" s="145">
        <f t="shared" si="215"/>
        <v>96.462000000000003</v>
      </c>
      <c r="Z633" s="567"/>
      <c r="AA633" s="12">
        <v>53.59</v>
      </c>
      <c r="AB633" s="12">
        <f t="shared" si="216"/>
        <v>1.8660197798096658E-2</v>
      </c>
      <c r="AC633" s="12">
        <f t="shared" si="217"/>
        <v>0</v>
      </c>
      <c r="AD633" s="34"/>
    </row>
    <row r="634" spans="1:30" ht="16" x14ac:dyDescent="0.2">
      <c r="A634" s="47"/>
      <c r="B634" s="422"/>
      <c r="C634" s="176">
        <f t="shared" si="192"/>
        <v>631</v>
      </c>
      <c r="D634" s="146">
        <v>45804</v>
      </c>
      <c r="E634" s="37">
        <v>45805</v>
      </c>
      <c r="F634" s="65" t="s">
        <v>376</v>
      </c>
      <c r="G634" s="11" t="str">
        <f ca="1">IF(AND(E634&lt;&gt;"",E634&lt;TODAY()),"Disponible",IFERROR(INDEX(Vehiculos[Estado Vehiculo],MATCH(F634,Vehiculos[Placa Vehiculo],0)),""))</f>
        <v>Disponible</v>
      </c>
      <c r="H634" s="34" t="s">
        <v>229</v>
      </c>
      <c r="I634" s="34" t="s">
        <v>273</v>
      </c>
      <c r="J634" s="34" t="s">
        <v>274</v>
      </c>
      <c r="K634" s="39">
        <v>230035</v>
      </c>
      <c r="L634" s="39">
        <v>230036</v>
      </c>
      <c r="M634" s="15">
        <f t="shared" si="209"/>
        <v>1</v>
      </c>
      <c r="N634" s="15"/>
      <c r="O634" s="39"/>
      <c r="P634" s="36"/>
      <c r="Q634" s="16">
        <f t="shared" si="214"/>
        <v>0</v>
      </c>
      <c r="R634" s="34" t="s">
        <v>273</v>
      </c>
      <c r="S634" s="34" t="s">
        <v>102</v>
      </c>
      <c r="T634" s="36">
        <v>1.8</v>
      </c>
      <c r="U634" s="293">
        <f>Rutas[[#This Row],[Precio x Galón ($/gal)]]*Rutas[[#This Row],[Volumen de Combustible (gal)]]</f>
        <v>99.306000000000012</v>
      </c>
      <c r="V634" s="36"/>
      <c r="W634" s="36"/>
      <c r="X634" s="36"/>
      <c r="Y634" s="145">
        <f t="shared" si="215"/>
        <v>99.306000000000012</v>
      </c>
      <c r="Z634" s="567"/>
      <c r="AA634" s="12">
        <v>55.17</v>
      </c>
      <c r="AB634" s="12">
        <f t="shared" si="216"/>
        <v>1.8125793003443899E-2</v>
      </c>
      <c r="AC634" s="12">
        <f t="shared" si="217"/>
        <v>0</v>
      </c>
      <c r="AD634" s="34"/>
    </row>
    <row r="635" spans="1:30" ht="16" x14ac:dyDescent="0.2">
      <c r="A635" s="47"/>
      <c r="B635" s="422"/>
      <c r="C635" s="176">
        <f t="shared" si="192"/>
        <v>632</v>
      </c>
      <c r="D635" s="146">
        <v>45805</v>
      </c>
      <c r="E635" s="37">
        <v>45806</v>
      </c>
      <c r="F635" s="65" t="s">
        <v>376</v>
      </c>
      <c r="G635" s="11" t="str">
        <f ca="1">IF(AND(E635&lt;&gt;"",E635&lt;TODAY()),"Disponible",IFERROR(INDEX(Vehiculos[Estado Vehiculo],MATCH(F635,Vehiculos[Placa Vehiculo],0)),""))</f>
        <v>Disponible</v>
      </c>
      <c r="H635" s="34" t="s">
        <v>417</v>
      </c>
      <c r="I635" s="34" t="s">
        <v>273</v>
      </c>
      <c r="J635" s="34" t="s">
        <v>274</v>
      </c>
      <c r="K635" s="39">
        <v>230036</v>
      </c>
      <c r="L635" s="39">
        <v>230037</v>
      </c>
      <c r="M635" s="15">
        <f>L635-K635</f>
        <v>1</v>
      </c>
      <c r="N635" s="15"/>
      <c r="O635" s="39"/>
      <c r="P635" s="36"/>
      <c r="Q635" s="16">
        <f t="shared" si="214"/>
        <v>0</v>
      </c>
      <c r="R635" s="34" t="s">
        <v>273</v>
      </c>
      <c r="S635" s="34" t="s">
        <v>102</v>
      </c>
      <c r="T635" s="36">
        <v>1.8</v>
      </c>
      <c r="U635" s="293">
        <f>Rutas[[#This Row],[Precio x Galón ($/gal)]]*Rutas[[#This Row],[Volumen de Combustible (gal)]]</f>
        <v>162.864</v>
      </c>
      <c r="V635" s="36"/>
      <c r="W635" s="36"/>
      <c r="X635" s="36"/>
      <c r="Y635" s="145">
        <f t="shared" si="215"/>
        <v>162.864</v>
      </c>
      <c r="Z635" s="567"/>
      <c r="AA635" s="12">
        <v>90.48</v>
      </c>
      <c r="AB635" s="12">
        <f t="shared" si="216"/>
        <v>1.1052166224580016E-2</v>
      </c>
      <c r="AC635" s="12">
        <f t="shared" si="217"/>
        <v>0</v>
      </c>
      <c r="AD635" s="34"/>
    </row>
    <row r="636" spans="1:30" ht="16" x14ac:dyDescent="0.2">
      <c r="A636" s="47"/>
      <c r="B636" s="422"/>
      <c r="C636" s="176">
        <f t="shared" si="192"/>
        <v>633</v>
      </c>
      <c r="D636" s="146">
        <v>45806</v>
      </c>
      <c r="E636" s="37">
        <v>45807</v>
      </c>
      <c r="F636" s="65" t="s">
        <v>376</v>
      </c>
      <c r="G636" s="11" t="str">
        <f ca="1">IF(AND(E636&lt;&gt;"",E636&lt;TODAY()),"Disponible",IFERROR(INDEX(Vehiculos[Estado Vehiculo],MATCH(F636,Vehiculos[Placa Vehiculo],0)),""))</f>
        <v>Disponible</v>
      </c>
      <c r="H636" s="34" t="s">
        <v>417</v>
      </c>
      <c r="I636" s="34" t="s">
        <v>273</v>
      </c>
      <c r="J636" s="34" t="s">
        <v>274</v>
      </c>
      <c r="K636" s="39">
        <v>230037</v>
      </c>
      <c r="L636" s="39">
        <v>230038</v>
      </c>
      <c r="M636" s="15">
        <f>L636-K636</f>
        <v>1</v>
      </c>
      <c r="N636" s="15"/>
      <c r="O636" s="39"/>
      <c r="P636" s="36"/>
      <c r="Q636" s="16">
        <f t="shared" si="214"/>
        <v>0</v>
      </c>
      <c r="R636" s="34" t="s">
        <v>273</v>
      </c>
      <c r="S636" s="34" t="s">
        <v>102</v>
      </c>
      <c r="T636" s="36">
        <v>1.8</v>
      </c>
      <c r="U636" s="293">
        <f>Rutas[[#This Row],[Precio x Galón ($/gal)]]*Rutas[[#This Row],[Volumen de Combustible (gal)]]</f>
        <v>108.23400000000001</v>
      </c>
      <c r="V636" s="36"/>
      <c r="W636" s="36"/>
      <c r="X636" s="36"/>
      <c r="Y636" s="145">
        <f t="shared" si="215"/>
        <v>108.23400000000001</v>
      </c>
      <c r="Z636" s="567"/>
      <c r="AA636" s="12">
        <v>60.13</v>
      </c>
      <c r="AB636" s="12">
        <f t="shared" si="216"/>
        <v>1.6630633627141192E-2</v>
      </c>
      <c r="AC636" s="12">
        <f t="shared" si="217"/>
        <v>0</v>
      </c>
      <c r="AD636" s="34"/>
    </row>
    <row r="637" spans="1:30" ht="16" x14ac:dyDescent="0.2">
      <c r="A637" s="47"/>
      <c r="B637" s="422"/>
      <c r="C637" s="176">
        <f t="shared" si="192"/>
        <v>634</v>
      </c>
      <c r="D637" s="146">
        <v>45807</v>
      </c>
      <c r="E637" s="37">
        <v>45808</v>
      </c>
      <c r="F637" s="65" t="s">
        <v>376</v>
      </c>
      <c r="G637" s="11" t="str">
        <f ca="1">IF(AND(E637&lt;&gt;"",E637&lt;TODAY()),"Disponible",IFERROR(INDEX(Vehiculos[Estado Vehiculo],MATCH(F637,Vehiculos[Placa Vehiculo],0)),""))</f>
        <v>Disponible</v>
      </c>
      <c r="H637" s="34" t="s">
        <v>417</v>
      </c>
      <c r="I637" s="34" t="s">
        <v>273</v>
      </c>
      <c r="J637" s="34" t="s">
        <v>274</v>
      </c>
      <c r="K637" s="39">
        <v>230038</v>
      </c>
      <c r="L637" s="39">
        <v>230039</v>
      </c>
      <c r="M637" s="15">
        <f>L637-K637</f>
        <v>1</v>
      </c>
      <c r="N637" s="452">
        <v>415</v>
      </c>
      <c r="O637" s="39"/>
      <c r="P637" s="36"/>
      <c r="Q637" s="16">
        <f t="shared" si="214"/>
        <v>0</v>
      </c>
      <c r="R637" s="34" t="s">
        <v>273</v>
      </c>
      <c r="S637" s="34" t="s">
        <v>102</v>
      </c>
      <c r="T637" s="36">
        <v>1.8</v>
      </c>
      <c r="U637" s="293">
        <f>Rutas[[#This Row],[Precio x Galón ($/gal)]]*Rutas[[#This Row],[Volumen de Combustible (gal)]]</f>
        <v>110.55600000000001</v>
      </c>
      <c r="V637" s="36"/>
      <c r="W637" s="36"/>
      <c r="X637" s="36"/>
      <c r="Y637" s="145">
        <f t="shared" si="215"/>
        <v>110.55600000000001</v>
      </c>
      <c r="Z637" s="567"/>
      <c r="AA637" s="12">
        <v>61.42</v>
      </c>
      <c r="AB637" s="12">
        <f t="shared" si="216"/>
        <v>1.6281341582546401E-2</v>
      </c>
      <c r="AC637" s="12">
        <f t="shared" si="217"/>
        <v>0</v>
      </c>
      <c r="AD637" s="34"/>
    </row>
    <row r="638" spans="1:30" ht="16" x14ac:dyDescent="0.2">
      <c r="A638" s="47"/>
      <c r="B638" s="422"/>
      <c r="C638" s="176">
        <f t="shared" si="192"/>
        <v>635</v>
      </c>
      <c r="D638" s="437"/>
      <c r="E638" s="438"/>
      <c r="F638" s="439"/>
      <c r="G638" s="440" t="str">
        <f ca="1">IF(AND(E638&lt;&gt;"",E638&lt;TODAY()),"Disponible",IFERROR(INDEX(Vehiculos[Estado Vehiculo],MATCH(F638,Vehiculos[Placa Vehiculo],0)),""))</f>
        <v/>
      </c>
      <c r="H638" s="441"/>
      <c r="I638" s="441"/>
      <c r="J638" s="441"/>
      <c r="K638" s="442"/>
      <c r="L638" s="442"/>
      <c r="M638" s="443"/>
      <c r="N638" s="443"/>
      <c r="O638" s="442"/>
      <c r="P638" s="444"/>
      <c r="Q638" s="445">
        <f>M638*P638</f>
        <v>0</v>
      </c>
      <c r="R638" s="441"/>
      <c r="S638" s="441" t="s">
        <v>102</v>
      </c>
      <c r="T638" s="444"/>
      <c r="U638" s="446">
        <f>Rutas[[#This Row],[Precio x Galón ($/gal)]]*Rutas[[#This Row],[Volumen de Combustible (gal)]]</f>
        <v>0</v>
      </c>
      <c r="V638" s="444"/>
      <c r="W638" s="444"/>
      <c r="X638" s="444"/>
      <c r="Y638" s="447">
        <f>U638+SUM(V638:X638)</f>
        <v>0</v>
      </c>
      <c r="Z638" s="570"/>
      <c r="AA638" s="448"/>
      <c r="AB638" s="448">
        <f>IFERROR(M638/AA638,0)</f>
        <v>0</v>
      </c>
      <c r="AC638" s="448">
        <f>IFERROR(Q638/M638,0)</f>
        <v>0</v>
      </c>
      <c r="AD638" s="441"/>
    </row>
    <row r="639" spans="1:30" ht="16" x14ac:dyDescent="0.2">
      <c r="A639" s="47"/>
      <c r="B639" s="422"/>
      <c r="C639" s="176">
        <f t="shared" si="192"/>
        <v>636</v>
      </c>
      <c r="D639" s="90">
        <v>45778</v>
      </c>
      <c r="E639" s="90">
        <v>45780</v>
      </c>
      <c r="F639" s="68" t="s">
        <v>306</v>
      </c>
      <c r="G639" s="379" t="str">
        <f ca="1">IF(AND(E639&lt;&gt;"",E639&lt;TODAY()),"Disponible",IFERROR(INDEX(Vehiculos[Estado Vehiculo],MATCH(F639,Vehiculos[Placa Vehiculo],0)),""))</f>
        <v>Disponible</v>
      </c>
      <c r="H639" s="89"/>
      <c r="I639" s="89" t="s">
        <v>273</v>
      </c>
      <c r="J639" s="89"/>
      <c r="K639" s="380">
        <v>1732</v>
      </c>
      <c r="L639" s="380">
        <v>1738</v>
      </c>
      <c r="M639" s="381">
        <f>L639-K639</f>
        <v>6</v>
      </c>
      <c r="N639" s="381">
        <f>Rutas[[#This Row],[Kms Recorridos]]</f>
        <v>6</v>
      </c>
      <c r="O639" s="380"/>
      <c r="P639" s="92"/>
      <c r="Q639" s="382">
        <f>M639*P639</f>
        <v>0</v>
      </c>
      <c r="R639" s="89" t="s">
        <v>273</v>
      </c>
      <c r="S639" s="89" t="s">
        <v>102</v>
      </c>
      <c r="T639" s="92">
        <v>1.8</v>
      </c>
      <c r="U639" s="266">
        <f>Rutas[[#This Row],[Precio x Galón ($/gal)]]*Rutas[[#This Row],[Volumen de Combustible (gal)]]</f>
        <v>26.712</v>
      </c>
      <c r="V639" s="92"/>
      <c r="W639" s="92"/>
      <c r="X639" s="92"/>
      <c r="Y639" s="382">
        <f>U639+SUM(V639:X639)</f>
        <v>26.712</v>
      </c>
      <c r="Z639" s="567"/>
      <c r="AA639" s="382">
        <v>14.84</v>
      </c>
      <c r="AB639" s="382">
        <f>IFERROR(M639/AA639,0)</f>
        <v>0.40431266846361186</v>
      </c>
      <c r="AC639" s="382">
        <f>IFERROR(Q639/M639,0)</f>
        <v>0</v>
      </c>
      <c r="AD639" s="89"/>
    </row>
    <row r="640" spans="1:30" ht="16" x14ac:dyDescent="0.2">
      <c r="A640" s="47"/>
      <c r="B640" s="422"/>
      <c r="C640" s="176">
        <f t="shared" si="192"/>
        <v>637</v>
      </c>
      <c r="D640" s="146">
        <v>45780</v>
      </c>
      <c r="E640" s="37">
        <v>45782</v>
      </c>
      <c r="F640" s="65" t="s">
        <v>306</v>
      </c>
      <c r="G640" s="11" t="str">
        <f ca="1">IF(AND(E640&lt;&gt;"",E640&lt;TODAY()),"Disponible",IFERROR(INDEX(Vehiculos[Estado Vehiculo],MATCH(F640,Vehiculos[Placa Vehiculo],0)),""))</f>
        <v>Disponible</v>
      </c>
      <c r="H640" s="34"/>
      <c r="I640" s="34" t="s">
        <v>273</v>
      </c>
      <c r="J640" s="34"/>
      <c r="K640" s="39">
        <v>1738</v>
      </c>
      <c r="L640" s="39">
        <v>1755</v>
      </c>
      <c r="M640" s="15">
        <f>L640-K640</f>
        <v>17</v>
      </c>
      <c r="N640" s="15">
        <f>Rutas[[#This Row],[Kms Recorridos]]</f>
        <v>17</v>
      </c>
      <c r="O640" s="39"/>
      <c r="P640" s="36"/>
      <c r="Q640" s="16">
        <f>M640*P640</f>
        <v>0</v>
      </c>
      <c r="R640" s="34" t="s">
        <v>273</v>
      </c>
      <c r="S640" s="34" t="s">
        <v>102</v>
      </c>
      <c r="T640" s="36">
        <v>1.8</v>
      </c>
      <c r="U640" s="293">
        <f>Rutas[[#This Row],[Precio x Galón ($/gal)]]*Rutas[[#This Row],[Volumen de Combustible (gal)]]</f>
        <v>22.5</v>
      </c>
      <c r="V640" s="36"/>
      <c r="W640" s="36"/>
      <c r="X640" s="36"/>
      <c r="Y640" s="145">
        <f>U640+SUM(V640:X640)</f>
        <v>22.5</v>
      </c>
      <c r="Z640" s="567"/>
      <c r="AA640" s="12">
        <v>12.5</v>
      </c>
      <c r="AB640" s="12">
        <f>IFERROR(M640/AA640,0)</f>
        <v>1.36</v>
      </c>
      <c r="AC640" s="12">
        <f>IFERROR(Q640/M640,0)</f>
        <v>0</v>
      </c>
      <c r="AD640" s="34"/>
    </row>
    <row r="641" spans="1:30" ht="16" x14ac:dyDescent="0.2">
      <c r="A641" s="47"/>
      <c r="B641" s="422"/>
      <c r="C641" s="176">
        <f t="shared" si="192"/>
        <v>638</v>
      </c>
      <c r="D641" s="146">
        <v>45782</v>
      </c>
      <c r="E641" s="37">
        <v>45785</v>
      </c>
      <c r="F641" s="65" t="s">
        <v>306</v>
      </c>
      <c r="G641" s="11" t="str">
        <f ca="1">IF(AND(E641&lt;&gt;"",E641&lt;TODAY()),"Disponible",IFERROR(INDEX(Vehiculos[Estado Vehiculo],MATCH(F641,Vehiculos[Placa Vehiculo],0)),""))</f>
        <v>Disponible</v>
      </c>
      <c r="H641" s="34"/>
      <c r="I641" s="34" t="s">
        <v>273</v>
      </c>
      <c r="J641" s="34"/>
      <c r="K641" s="39">
        <v>1755</v>
      </c>
      <c r="L641" s="39">
        <v>1777</v>
      </c>
      <c r="M641" s="15">
        <f t="shared" ref="M641:M667" si="218">L641-K641</f>
        <v>22</v>
      </c>
      <c r="N641" s="15">
        <f>Rutas[[#This Row],[Kms Recorridos]]</f>
        <v>22</v>
      </c>
      <c r="O641" s="39"/>
      <c r="P641" s="36"/>
      <c r="Q641" s="16">
        <f t="shared" ref="Q641:Q667" si="219">M641*P641</f>
        <v>0</v>
      </c>
      <c r="R641" s="34" t="s">
        <v>273</v>
      </c>
      <c r="S641" s="34" t="s">
        <v>102</v>
      </c>
      <c r="T641" s="36">
        <v>1.8</v>
      </c>
      <c r="U641" s="293">
        <f>Rutas[[#This Row],[Precio x Galón ($/gal)]]*Rutas[[#This Row],[Volumen de Combustible (gal)]]</f>
        <v>23.076000000000001</v>
      </c>
      <c r="V641" s="36"/>
      <c r="W641" s="36"/>
      <c r="X641" s="36"/>
      <c r="Y641" s="145">
        <f t="shared" ref="Y641:Y667" si="220">U641+SUM(V641:X641)</f>
        <v>23.076000000000001</v>
      </c>
      <c r="Z641" s="567"/>
      <c r="AA641" s="12">
        <v>12.82</v>
      </c>
      <c r="AB641" s="12">
        <f t="shared" ref="AB641:AB667" si="221">IFERROR(M641/AA641,0)</f>
        <v>1.7160686427457097</v>
      </c>
      <c r="AC641" s="12">
        <f t="shared" ref="AC641:AC667" si="222">IFERROR(Q641/M641,0)</f>
        <v>0</v>
      </c>
      <c r="AD641" s="34"/>
    </row>
    <row r="642" spans="1:30" ht="16" x14ac:dyDescent="0.2">
      <c r="A642" s="47"/>
      <c r="B642" s="422"/>
      <c r="C642" s="176">
        <f t="shared" si="192"/>
        <v>639</v>
      </c>
      <c r="D642" s="146">
        <v>45785</v>
      </c>
      <c r="E642" s="37">
        <v>45787</v>
      </c>
      <c r="F642" s="65" t="s">
        <v>306</v>
      </c>
      <c r="G642" s="11" t="str">
        <f ca="1">IF(AND(E642&lt;&gt;"",E642&lt;TODAY()),"Disponible",IFERROR(INDEX(Vehiculos[Estado Vehiculo],MATCH(F642,Vehiculos[Placa Vehiculo],0)),""))</f>
        <v>Disponible</v>
      </c>
      <c r="H642" s="34"/>
      <c r="I642" s="34" t="s">
        <v>273</v>
      </c>
      <c r="J642" s="34"/>
      <c r="K642" s="39">
        <v>1777</v>
      </c>
      <c r="L642" s="39">
        <v>1792</v>
      </c>
      <c r="M642" s="15">
        <f t="shared" si="218"/>
        <v>15</v>
      </c>
      <c r="N642" s="15">
        <f>Rutas[[#This Row],[Kms Recorridos]]</f>
        <v>15</v>
      </c>
      <c r="O642" s="39"/>
      <c r="P642" s="36"/>
      <c r="Q642" s="16">
        <f t="shared" si="219"/>
        <v>0</v>
      </c>
      <c r="R642" s="34" t="s">
        <v>273</v>
      </c>
      <c r="S642" s="34" t="s">
        <v>102</v>
      </c>
      <c r="T642" s="36">
        <v>1.8</v>
      </c>
      <c r="U642" s="293">
        <f>Rutas[[#This Row],[Precio x Galón ($/gal)]]*Rutas[[#This Row],[Volumen de Combustible (gal)]]</f>
        <v>17.046000000000003</v>
      </c>
      <c r="V642" s="36"/>
      <c r="W642" s="36"/>
      <c r="X642" s="36"/>
      <c r="Y642" s="145">
        <f t="shared" si="220"/>
        <v>17.046000000000003</v>
      </c>
      <c r="Z642" s="567"/>
      <c r="AA642" s="12">
        <v>9.4700000000000006</v>
      </c>
      <c r="AB642" s="12">
        <f t="shared" si="221"/>
        <v>1.583949313621964</v>
      </c>
      <c r="AC642" s="12">
        <f t="shared" si="222"/>
        <v>0</v>
      </c>
      <c r="AD642" s="34"/>
    </row>
    <row r="643" spans="1:30" ht="16" x14ac:dyDescent="0.2">
      <c r="A643" s="47"/>
      <c r="B643" s="422"/>
      <c r="C643" s="176">
        <f t="shared" si="192"/>
        <v>640</v>
      </c>
      <c r="D643" s="146">
        <v>45787</v>
      </c>
      <c r="E643" s="37">
        <v>45789</v>
      </c>
      <c r="F643" s="65" t="s">
        <v>306</v>
      </c>
      <c r="G643" s="11" t="str">
        <f ca="1">IF(AND(E643&lt;&gt;"",E643&lt;TODAY()),"Disponible",IFERROR(INDEX(Vehiculos[Estado Vehiculo],MATCH(F643,Vehiculos[Placa Vehiculo],0)),""))</f>
        <v>Disponible</v>
      </c>
      <c r="H643" s="34"/>
      <c r="I643" s="34" t="s">
        <v>273</v>
      </c>
      <c r="J643" s="34"/>
      <c r="K643" s="39">
        <v>1792</v>
      </c>
      <c r="L643" s="39">
        <v>1815</v>
      </c>
      <c r="M643" s="15">
        <f t="shared" ref="M643:M652" si="223">L643-K643</f>
        <v>23</v>
      </c>
      <c r="N643" s="15">
        <f>Rutas[[#This Row],[Kms Recorridos]]</f>
        <v>23</v>
      </c>
      <c r="O643" s="39"/>
      <c r="P643" s="36"/>
      <c r="Q643" s="16">
        <f t="shared" ref="Q643:Q652" si="224">M643*P643</f>
        <v>0</v>
      </c>
      <c r="R643" s="34" t="s">
        <v>273</v>
      </c>
      <c r="S643" s="34" t="s">
        <v>102</v>
      </c>
      <c r="T643" s="36">
        <v>1.8</v>
      </c>
      <c r="U643" s="293">
        <f>Rutas[[#This Row],[Precio x Galón ($/gal)]]*Rutas[[#This Row],[Volumen de Combustible (gal)]]</f>
        <v>22.103999999999999</v>
      </c>
      <c r="V643" s="36"/>
      <c r="W643" s="36"/>
      <c r="X643" s="36"/>
      <c r="Y643" s="145">
        <f t="shared" ref="Y643:Y652" si="225">U643+SUM(V643:X643)</f>
        <v>22.103999999999999</v>
      </c>
      <c r="Z643" s="567"/>
      <c r="AA643" s="12">
        <v>12.28</v>
      </c>
      <c r="AB643" s="12">
        <f t="shared" ref="AB643:AB652" si="226">IFERROR(M643/AA643,0)</f>
        <v>1.8729641693811077</v>
      </c>
      <c r="AC643" s="12">
        <f t="shared" ref="AC643:AC652" si="227">IFERROR(Q643/M643,0)</f>
        <v>0</v>
      </c>
      <c r="AD643" s="34"/>
    </row>
    <row r="644" spans="1:30" ht="16" x14ac:dyDescent="0.2">
      <c r="A644" s="47"/>
      <c r="B644" s="422"/>
      <c r="C644" s="176">
        <f t="shared" ref="C644:C707" si="228">ROW(A641)</f>
        <v>641</v>
      </c>
      <c r="D644" s="146">
        <v>45789</v>
      </c>
      <c r="E644" s="37">
        <v>45791</v>
      </c>
      <c r="F644" s="65" t="s">
        <v>306</v>
      </c>
      <c r="G644" s="11" t="str">
        <f ca="1">IF(AND(E644&lt;&gt;"",E644&lt;TODAY()),"Disponible",IFERROR(INDEX(Vehiculos[Estado Vehiculo],MATCH(F644,Vehiculos[Placa Vehiculo],0)),""))</f>
        <v>Disponible</v>
      </c>
      <c r="H644" s="34"/>
      <c r="I644" s="34" t="s">
        <v>273</v>
      </c>
      <c r="J644" s="34"/>
      <c r="K644" s="39">
        <v>1815</v>
      </c>
      <c r="L644" s="39">
        <v>1829</v>
      </c>
      <c r="M644" s="15">
        <f t="shared" si="223"/>
        <v>14</v>
      </c>
      <c r="N644" s="15">
        <f>Rutas[[#This Row],[Kms Recorridos]]</f>
        <v>14</v>
      </c>
      <c r="O644" s="39"/>
      <c r="P644" s="36"/>
      <c r="Q644" s="16">
        <f t="shared" si="224"/>
        <v>0</v>
      </c>
      <c r="R644" s="34" t="s">
        <v>273</v>
      </c>
      <c r="S644" s="34" t="s">
        <v>102</v>
      </c>
      <c r="T644" s="36">
        <v>1.8</v>
      </c>
      <c r="U644" s="293">
        <f>Rutas[[#This Row],[Precio x Galón ($/gal)]]*Rutas[[#This Row],[Volumen de Combustible (gal)]]</f>
        <v>19.764000000000003</v>
      </c>
      <c r="V644" s="36"/>
      <c r="W644" s="36"/>
      <c r="X644" s="36"/>
      <c r="Y644" s="145">
        <f t="shared" si="225"/>
        <v>19.764000000000003</v>
      </c>
      <c r="Z644" s="567"/>
      <c r="AA644" s="12">
        <v>10.98</v>
      </c>
      <c r="AB644" s="12">
        <f t="shared" si="226"/>
        <v>1.2750455373406193</v>
      </c>
      <c r="AC644" s="12">
        <f t="shared" si="227"/>
        <v>0</v>
      </c>
      <c r="AD644" s="34"/>
    </row>
    <row r="645" spans="1:30" ht="16" x14ac:dyDescent="0.2">
      <c r="A645" s="47"/>
      <c r="B645" s="422"/>
      <c r="C645" s="176">
        <f t="shared" si="228"/>
        <v>642</v>
      </c>
      <c r="D645" s="146">
        <v>45791</v>
      </c>
      <c r="E645" s="37">
        <v>45793</v>
      </c>
      <c r="F645" s="65" t="s">
        <v>306</v>
      </c>
      <c r="G645" s="11" t="str">
        <f ca="1">IF(AND(E645&lt;&gt;"",E645&lt;TODAY()),"Disponible",IFERROR(INDEX(Vehiculos[Estado Vehiculo],MATCH(F645,Vehiculos[Placa Vehiculo],0)),""))</f>
        <v>Disponible</v>
      </c>
      <c r="H645" s="34"/>
      <c r="I645" s="34" t="s">
        <v>273</v>
      </c>
      <c r="J645" s="34"/>
      <c r="K645" s="39">
        <v>1829</v>
      </c>
      <c r="L645" s="39">
        <v>1841</v>
      </c>
      <c r="M645" s="15">
        <f t="shared" si="223"/>
        <v>12</v>
      </c>
      <c r="N645" s="15">
        <v>12</v>
      </c>
      <c r="O645" s="39"/>
      <c r="P645" s="36"/>
      <c r="Q645" s="16">
        <f t="shared" si="224"/>
        <v>0</v>
      </c>
      <c r="R645" s="34" t="s">
        <v>273</v>
      </c>
      <c r="S645" s="34" t="s">
        <v>102</v>
      </c>
      <c r="T645" s="36">
        <v>1.8</v>
      </c>
      <c r="U645" s="293">
        <f>Rutas[[#This Row],[Precio x Galón ($/gal)]]*Rutas[[#This Row],[Volumen de Combustible (gal)]]</f>
        <v>17.496000000000002</v>
      </c>
      <c r="V645" s="36"/>
      <c r="W645" s="36"/>
      <c r="X645" s="36"/>
      <c r="Y645" s="145">
        <f t="shared" si="225"/>
        <v>17.496000000000002</v>
      </c>
      <c r="Z645" s="567"/>
      <c r="AA645" s="12">
        <v>9.7200000000000006</v>
      </c>
      <c r="AB645" s="12">
        <f t="shared" si="226"/>
        <v>1.2345679012345678</v>
      </c>
      <c r="AC645" s="12">
        <f t="shared" si="227"/>
        <v>0</v>
      </c>
      <c r="AD645" s="34"/>
    </row>
    <row r="646" spans="1:30" ht="16" x14ac:dyDescent="0.2">
      <c r="A646" s="47"/>
      <c r="B646" s="422"/>
      <c r="C646" s="176">
        <f t="shared" si="228"/>
        <v>643</v>
      </c>
      <c r="D646" s="146">
        <v>45793</v>
      </c>
      <c r="E646" s="37">
        <v>45794</v>
      </c>
      <c r="F646" s="65" t="s">
        <v>306</v>
      </c>
      <c r="G646" s="11" t="str">
        <f ca="1">IF(AND(E646&lt;&gt;"",E646&lt;TODAY()),"Disponible",IFERROR(INDEX(Vehiculos[Estado Vehiculo],MATCH(F646,Vehiculos[Placa Vehiculo],0)),""))</f>
        <v>Disponible</v>
      </c>
      <c r="H646" s="34"/>
      <c r="I646" s="34" t="s">
        <v>273</v>
      </c>
      <c r="J646" s="34"/>
      <c r="K646" s="39">
        <v>1841</v>
      </c>
      <c r="L646" s="39">
        <v>1847</v>
      </c>
      <c r="M646" s="15">
        <f t="shared" si="223"/>
        <v>6</v>
      </c>
      <c r="N646" s="15">
        <f>Rutas[[#This Row],[Kms Recorridos]]</f>
        <v>6</v>
      </c>
      <c r="O646" s="39"/>
      <c r="P646" s="36"/>
      <c r="Q646" s="16">
        <f t="shared" si="224"/>
        <v>0</v>
      </c>
      <c r="R646" s="34" t="s">
        <v>273</v>
      </c>
      <c r="S646" s="34" t="s">
        <v>102</v>
      </c>
      <c r="T646" s="36">
        <v>1.8</v>
      </c>
      <c r="U646" s="293">
        <f>Rutas[[#This Row],[Precio x Galón ($/gal)]]*Rutas[[#This Row],[Volumen de Combustible (gal)]]</f>
        <v>8.2260000000000009</v>
      </c>
      <c r="V646" s="36"/>
      <c r="W646" s="36"/>
      <c r="X646" s="36"/>
      <c r="Y646" s="145">
        <f t="shared" si="225"/>
        <v>8.2260000000000009</v>
      </c>
      <c r="Z646" s="567"/>
      <c r="AA646" s="12">
        <v>4.57</v>
      </c>
      <c r="AB646" s="12">
        <f t="shared" si="226"/>
        <v>1.3129102844638949</v>
      </c>
      <c r="AC646" s="12">
        <f t="shared" si="227"/>
        <v>0</v>
      </c>
      <c r="AD646" s="34"/>
    </row>
    <row r="647" spans="1:30" ht="16" x14ac:dyDescent="0.2">
      <c r="A647" s="47"/>
      <c r="B647" s="422"/>
      <c r="C647" s="176">
        <f t="shared" si="228"/>
        <v>644</v>
      </c>
      <c r="D647" s="146">
        <v>45794</v>
      </c>
      <c r="E647" s="37">
        <v>45796</v>
      </c>
      <c r="F647" s="65" t="s">
        <v>306</v>
      </c>
      <c r="G647" s="11" t="str">
        <f ca="1">IF(AND(E647&lt;&gt;"",E647&lt;TODAY()),"Disponible",IFERROR(INDEX(Vehiculos[Estado Vehiculo],MATCH(F647,Vehiculos[Placa Vehiculo],0)),""))</f>
        <v>Disponible</v>
      </c>
      <c r="H647" s="34"/>
      <c r="I647" s="34" t="s">
        <v>273</v>
      </c>
      <c r="J647" s="34"/>
      <c r="K647" s="39">
        <v>1847</v>
      </c>
      <c r="L647" s="39">
        <v>1858</v>
      </c>
      <c r="M647" s="15">
        <f t="shared" si="223"/>
        <v>11</v>
      </c>
      <c r="N647" s="15">
        <f>Rutas[[#This Row],[Kms Recorridos]]</f>
        <v>11</v>
      </c>
      <c r="O647" s="39"/>
      <c r="P647" s="36"/>
      <c r="Q647" s="16">
        <f t="shared" si="224"/>
        <v>0</v>
      </c>
      <c r="R647" s="34" t="s">
        <v>273</v>
      </c>
      <c r="S647" s="34" t="s">
        <v>102</v>
      </c>
      <c r="T647" s="36">
        <v>1.8</v>
      </c>
      <c r="U647" s="293">
        <f>Rutas[[#This Row],[Precio x Galón ($/gal)]]*Rutas[[#This Row],[Volumen de Combustible (gal)]]</f>
        <v>17.46</v>
      </c>
      <c r="V647" s="36"/>
      <c r="W647" s="36"/>
      <c r="X647" s="36"/>
      <c r="Y647" s="145">
        <f t="shared" si="225"/>
        <v>17.46</v>
      </c>
      <c r="Z647" s="567"/>
      <c r="AA647" s="12">
        <v>9.6999999999999993</v>
      </c>
      <c r="AB647" s="12">
        <f t="shared" si="226"/>
        <v>1.1340206185567012</v>
      </c>
      <c r="AC647" s="12">
        <f t="shared" si="227"/>
        <v>0</v>
      </c>
      <c r="AD647" s="34"/>
    </row>
    <row r="648" spans="1:30" ht="16" x14ac:dyDescent="0.2">
      <c r="A648" s="47"/>
      <c r="B648" s="422"/>
      <c r="C648" s="176">
        <f t="shared" si="228"/>
        <v>645</v>
      </c>
      <c r="D648" s="146">
        <v>45796</v>
      </c>
      <c r="E648" s="37">
        <v>45797</v>
      </c>
      <c r="F648" s="65" t="s">
        <v>306</v>
      </c>
      <c r="G648" s="11" t="str">
        <f ca="1">IF(AND(E648&lt;&gt;"",E648&lt;TODAY()),"Disponible",IFERROR(INDEX(Vehiculos[Estado Vehiculo],MATCH(F648,Vehiculos[Placa Vehiculo],0)),""))</f>
        <v>Disponible</v>
      </c>
      <c r="H648" s="34"/>
      <c r="I648" s="34" t="s">
        <v>273</v>
      </c>
      <c r="J648" s="34"/>
      <c r="K648" s="39">
        <v>1858</v>
      </c>
      <c r="L648" s="39">
        <v>1865</v>
      </c>
      <c r="M648" s="15">
        <f t="shared" si="223"/>
        <v>7</v>
      </c>
      <c r="N648" s="15">
        <f>Rutas[[#This Row],[Kms Recorridos]]</f>
        <v>7</v>
      </c>
      <c r="O648" s="39"/>
      <c r="P648" s="36"/>
      <c r="Q648" s="16">
        <f t="shared" si="224"/>
        <v>0</v>
      </c>
      <c r="R648" s="34" t="s">
        <v>273</v>
      </c>
      <c r="S648" s="34" t="s">
        <v>102</v>
      </c>
      <c r="T648" s="36">
        <v>1.8</v>
      </c>
      <c r="U648" s="293">
        <f>Rutas[[#This Row],[Precio x Galón ($/gal)]]*Rutas[[#This Row],[Volumen de Combustible (gal)]]</f>
        <v>11.106</v>
      </c>
      <c r="V648" s="36"/>
      <c r="W648" s="36"/>
      <c r="X648" s="36"/>
      <c r="Y648" s="145">
        <f t="shared" si="225"/>
        <v>11.106</v>
      </c>
      <c r="Z648" s="567"/>
      <c r="AA648" s="12">
        <v>6.17</v>
      </c>
      <c r="AB648" s="12">
        <f t="shared" si="226"/>
        <v>1.1345218800648298</v>
      </c>
      <c r="AC648" s="12">
        <f t="shared" si="227"/>
        <v>0</v>
      </c>
      <c r="AD648" s="34"/>
    </row>
    <row r="649" spans="1:30" ht="16" x14ac:dyDescent="0.2">
      <c r="A649" s="47"/>
      <c r="B649" s="422"/>
      <c r="C649" s="176">
        <f t="shared" si="228"/>
        <v>646</v>
      </c>
      <c r="D649" s="146">
        <v>45797</v>
      </c>
      <c r="E649" s="37">
        <v>45798</v>
      </c>
      <c r="F649" s="65" t="s">
        <v>306</v>
      </c>
      <c r="G649" s="11" t="str">
        <f ca="1">IF(AND(E649&lt;&gt;"",E649&lt;TODAY()),"Disponible",IFERROR(INDEX(Vehiculos[Estado Vehiculo],MATCH(F649,Vehiculos[Placa Vehiculo],0)),""))</f>
        <v>Disponible</v>
      </c>
      <c r="H649" s="34"/>
      <c r="I649" s="34" t="s">
        <v>273</v>
      </c>
      <c r="J649" s="34"/>
      <c r="K649" s="39">
        <v>1865</v>
      </c>
      <c r="L649" s="39">
        <v>1874</v>
      </c>
      <c r="M649" s="15">
        <f t="shared" si="223"/>
        <v>9</v>
      </c>
      <c r="N649" s="15">
        <f>Rutas[[#This Row],[Kms Recorridos]]</f>
        <v>9</v>
      </c>
      <c r="O649" s="39"/>
      <c r="P649" s="36"/>
      <c r="Q649" s="16">
        <f t="shared" si="224"/>
        <v>0</v>
      </c>
      <c r="R649" s="34" t="s">
        <v>273</v>
      </c>
      <c r="S649" s="34" t="s">
        <v>102</v>
      </c>
      <c r="T649" s="36">
        <v>1.8</v>
      </c>
      <c r="U649" s="293">
        <f>Rutas[[#This Row],[Precio x Galón ($/gal)]]*Rutas[[#This Row],[Volumen de Combustible (gal)]]</f>
        <v>12.06</v>
      </c>
      <c r="V649" s="36"/>
      <c r="W649" s="36"/>
      <c r="X649" s="36"/>
      <c r="Y649" s="145">
        <f t="shared" si="225"/>
        <v>12.06</v>
      </c>
      <c r="Z649" s="567"/>
      <c r="AA649" s="12">
        <v>6.7</v>
      </c>
      <c r="AB649" s="12">
        <f t="shared" si="226"/>
        <v>1.3432835820895521</v>
      </c>
      <c r="AC649" s="12">
        <f t="shared" si="227"/>
        <v>0</v>
      </c>
      <c r="AD649" s="34"/>
    </row>
    <row r="650" spans="1:30" ht="16" x14ac:dyDescent="0.2">
      <c r="A650" s="47"/>
      <c r="B650" s="422"/>
      <c r="C650" s="176">
        <f t="shared" si="228"/>
        <v>647</v>
      </c>
      <c r="D650" s="146">
        <v>45798</v>
      </c>
      <c r="E650" s="37">
        <v>45802</v>
      </c>
      <c r="F650" s="65" t="s">
        <v>306</v>
      </c>
      <c r="G650" s="11" t="str">
        <f ca="1">IF(AND(E650&lt;&gt;"",E650&lt;TODAY()),"Disponible",IFERROR(INDEX(Vehiculos[Estado Vehiculo],MATCH(F650,Vehiculos[Placa Vehiculo],0)),""))</f>
        <v>Disponible</v>
      </c>
      <c r="H650" s="34"/>
      <c r="I650" s="34" t="s">
        <v>273</v>
      </c>
      <c r="J650" s="34"/>
      <c r="K650" s="39">
        <v>1874</v>
      </c>
      <c r="L650" s="39">
        <v>1895</v>
      </c>
      <c r="M650" s="15">
        <f t="shared" si="223"/>
        <v>21</v>
      </c>
      <c r="N650" s="15">
        <f>Rutas[[#This Row],[Kms Recorridos]]</f>
        <v>21</v>
      </c>
      <c r="O650" s="39"/>
      <c r="P650" s="36"/>
      <c r="Q650" s="16">
        <f t="shared" si="224"/>
        <v>0</v>
      </c>
      <c r="R650" s="34" t="s">
        <v>273</v>
      </c>
      <c r="S650" s="34" t="s">
        <v>102</v>
      </c>
      <c r="T650" s="36">
        <v>1.8</v>
      </c>
      <c r="U650" s="293">
        <f>Rutas[[#This Row],[Precio x Galón ($/gal)]]*Rutas[[#This Row],[Volumen de Combustible (gal)]]</f>
        <v>32.580000000000005</v>
      </c>
      <c r="V650" s="36"/>
      <c r="W650" s="36"/>
      <c r="X650" s="36"/>
      <c r="Y650" s="145">
        <f t="shared" si="225"/>
        <v>32.580000000000005</v>
      </c>
      <c r="Z650" s="567"/>
      <c r="AA650" s="12">
        <v>18.100000000000001</v>
      </c>
      <c r="AB650" s="12">
        <f t="shared" si="226"/>
        <v>1.160220994475138</v>
      </c>
      <c r="AC650" s="12">
        <f t="shared" si="227"/>
        <v>0</v>
      </c>
      <c r="AD650" s="34"/>
    </row>
    <row r="651" spans="1:30" ht="16" x14ac:dyDescent="0.2">
      <c r="A651" s="47"/>
      <c r="B651" s="422"/>
      <c r="C651" s="176">
        <f t="shared" si="228"/>
        <v>648</v>
      </c>
      <c r="D651" s="146">
        <v>45802</v>
      </c>
      <c r="E651" s="37">
        <v>45804</v>
      </c>
      <c r="F651" s="65" t="s">
        <v>306</v>
      </c>
      <c r="G651" s="11" t="str">
        <f ca="1">IF(AND(E651&lt;&gt;"",E651&lt;TODAY()),"Disponible",IFERROR(INDEX(Vehiculos[Estado Vehiculo],MATCH(F651,Vehiculos[Placa Vehiculo],0)),""))</f>
        <v>Disponible</v>
      </c>
      <c r="H651" s="34"/>
      <c r="I651" s="34" t="s">
        <v>273</v>
      </c>
      <c r="J651" s="34"/>
      <c r="K651" s="39">
        <v>1895</v>
      </c>
      <c r="L651" s="39">
        <v>1910</v>
      </c>
      <c r="M651" s="15">
        <f t="shared" si="223"/>
        <v>15</v>
      </c>
      <c r="N651" s="15">
        <f>Rutas[[#This Row],[Kms Recorridos]]</f>
        <v>15</v>
      </c>
      <c r="O651" s="39"/>
      <c r="P651" s="36"/>
      <c r="Q651" s="16">
        <f t="shared" si="224"/>
        <v>0</v>
      </c>
      <c r="R651" s="34" t="s">
        <v>273</v>
      </c>
      <c r="S651" s="34" t="s">
        <v>102</v>
      </c>
      <c r="T651" s="36">
        <v>1.8</v>
      </c>
      <c r="U651" s="293">
        <f>Rutas[[#This Row],[Precio x Galón ($/gal)]]*Rutas[[#This Row],[Volumen de Combustible (gal)]]</f>
        <v>22.878000000000004</v>
      </c>
      <c r="V651" s="36"/>
      <c r="W651" s="36"/>
      <c r="X651" s="36"/>
      <c r="Y651" s="145">
        <f t="shared" si="225"/>
        <v>22.878000000000004</v>
      </c>
      <c r="Z651" s="567"/>
      <c r="AA651" s="12">
        <v>12.71</v>
      </c>
      <c r="AB651" s="12">
        <f t="shared" si="226"/>
        <v>1.1801730920535012</v>
      </c>
      <c r="AC651" s="12">
        <f t="shared" si="227"/>
        <v>0</v>
      </c>
      <c r="AD651" s="34"/>
    </row>
    <row r="652" spans="1:30" ht="16" x14ac:dyDescent="0.2">
      <c r="A652" s="47"/>
      <c r="B652" s="422"/>
      <c r="C652" s="176">
        <f t="shared" si="228"/>
        <v>649</v>
      </c>
      <c r="D652" s="146">
        <v>45804</v>
      </c>
      <c r="E652" s="37">
        <v>45807</v>
      </c>
      <c r="F652" s="65" t="s">
        <v>306</v>
      </c>
      <c r="G652" s="11" t="str">
        <f ca="1">IF(AND(E652&lt;&gt;"",E652&lt;TODAY()),"Disponible",IFERROR(INDEX(Vehiculos[Estado Vehiculo],MATCH(F652,Vehiculos[Placa Vehiculo],0)),""))</f>
        <v>Disponible</v>
      </c>
      <c r="H652" s="34"/>
      <c r="I652" s="34" t="s">
        <v>273</v>
      </c>
      <c r="J652" s="34"/>
      <c r="K652" s="39">
        <v>1910</v>
      </c>
      <c r="L652" s="39">
        <v>1928</v>
      </c>
      <c r="M652" s="15">
        <f t="shared" si="223"/>
        <v>18</v>
      </c>
      <c r="N652" s="15">
        <f>Rutas[[#This Row],[Kms Recorridos]]</f>
        <v>18</v>
      </c>
      <c r="O652" s="39"/>
      <c r="P652" s="36"/>
      <c r="Q652" s="16">
        <f t="shared" si="224"/>
        <v>0</v>
      </c>
      <c r="R652" s="34" t="s">
        <v>273</v>
      </c>
      <c r="S652" s="34" t="s">
        <v>102</v>
      </c>
      <c r="T652" s="36">
        <v>1.8</v>
      </c>
      <c r="U652" s="293">
        <f>Rutas[[#This Row],[Precio x Galón ($/gal)]]*Rutas[[#This Row],[Volumen de Combustible (gal)]]</f>
        <v>27.234000000000002</v>
      </c>
      <c r="V652" s="36"/>
      <c r="W652" s="36"/>
      <c r="X652" s="36"/>
      <c r="Y652" s="145">
        <f t="shared" si="225"/>
        <v>27.234000000000002</v>
      </c>
      <c r="Z652" s="567"/>
      <c r="AA652" s="12">
        <v>15.13</v>
      </c>
      <c r="AB652" s="12">
        <f t="shared" si="226"/>
        <v>1.1896893588896231</v>
      </c>
      <c r="AC652" s="12">
        <f t="shared" si="227"/>
        <v>0</v>
      </c>
      <c r="AD652" s="34"/>
    </row>
    <row r="653" spans="1:30" ht="16" x14ac:dyDescent="0.2">
      <c r="A653" s="47"/>
      <c r="B653" s="422"/>
      <c r="C653" s="176">
        <f t="shared" si="228"/>
        <v>650</v>
      </c>
      <c r="D653" s="146">
        <v>45807</v>
      </c>
      <c r="E653" s="37">
        <v>45808</v>
      </c>
      <c r="F653" s="65" t="s">
        <v>306</v>
      </c>
      <c r="G653" s="11" t="str">
        <f ca="1">IF(AND(E653&lt;&gt;"",E653&lt;TODAY()),"Disponible",IFERROR(INDEX(Vehiculos[Estado Vehiculo],MATCH(F653,Vehiculos[Placa Vehiculo],0)),""))</f>
        <v>Disponible</v>
      </c>
      <c r="H653" s="34"/>
      <c r="I653" s="34" t="s">
        <v>273</v>
      </c>
      <c r="J653" s="34"/>
      <c r="K653" s="39">
        <v>1928</v>
      </c>
      <c r="L653" s="39">
        <v>1929</v>
      </c>
      <c r="M653" s="15">
        <f>L653-K653</f>
        <v>1</v>
      </c>
      <c r="N653" s="15">
        <f>Rutas[[#This Row],[Kms Recorridos]]</f>
        <v>1</v>
      </c>
      <c r="O653" s="39"/>
      <c r="P653" s="36"/>
      <c r="Q653" s="16">
        <f>M653*P653</f>
        <v>0</v>
      </c>
      <c r="R653" s="34" t="s">
        <v>273</v>
      </c>
      <c r="S653" s="34" t="s">
        <v>102</v>
      </c>
      <c r="T653" s="36"/>
      <c r="U653" s="293"/>
      <c r="V653" s="36"/>
      <c r="W653" s="36"/>
      <c r="X653" s="36"/>
      <c r="Y653" s="145">
        <f>U653+SUM(V653:X653)</f>
        <v>0</v>
      </c>
      <c r="Z653" s="567"/>
      <c r="AA653" s="12"/>
      <c r="AB653" s="12">
        <f>IFERROR(M653/AA653,0)</f>
        <v>0</v>
      </c>
      <c r="AC653" s="12">
        <f>IFERROR(Q653/M653,0)</f>
        <v>0</v>
      </c>
      <c r="AD653" s="34"/>
    </row>
    <row r="654" spans="1:30" ht="16" x14ac:dyDescent="0.2">
      <c r="A654" s="47"/>
      <c r="B654" s="422"/>
      <c r="C654" s="176">
        <f t="shared" si="228"/>
        <v>651</v>
      </c>
      <c r="D654" s="437"/>
      <c r="E654" s="438"/>
      <c r="F654" s="439"/>
      <c r="G654" s="440" t="str">
        <f ca="1">IF(AND(E654&lt;&gt;"",E654&lt;TODAY()),"Disponible",IFERROR(INDEX(Vehiculos[Estado Vehiculo],MATCH(F654,Vehiculos[Placa Vehiculo],0)),""))</f>
        <v/>
      </c>
      <c r="H654" s="441"/>
      <c r="I654" s="441"/>
      <c r="J654" s="441"/>
      <c r="K654" s="442"/>
      <c r="L654" s="442"/>
      <c r="M654" s="443">
        <f t="shared" si="218"/>
        <v>0</v>
      </c>
      <c r="N654" s="443">
        <f>Rutas[[#This Row],[Kms Recorridos]]</f>
        <v>0</v>
      </c>
      <c r="O654" s="442"/>
      <c r="P654" s="444"/>
      <c r="Q654" s="445">
        <f t="shared" si="219"/>
        <v>0</v>
      </c>
      <c r="R654" s="441" t="s">
        <v>273</v>
      </c>
      <c r="S654" s="441" t="s">
        <v>102</v>
      </c>
      <c r="T654" s="444"/>
      <c r="U654" s="446">
        <f>Rutas[[#This Row],[Precio x Galón ($/gal)]]*Rutas[[#This Row],[Volumen de Combustible (gal)]]</f>
        <v>0</v>
      </c>
      <c r="V654" s="444"/>
      <c r="W654" s="444"/>
      <c r="X654" s="444"/>
      <c r="Y654" s="447">
        <f t="shared" si="220"/>
        <v>0</v>
      </c>
      <c r="Z654" s="570"/>
      <c r="AA654" s="448"/>
      <c r="AB654" s="448">
        <f t="shared" si="221"/>
        <v>0</v>
      </c>
      <c r="AC654" s="448">
        <f t="shared" si="222"/>
        <v>0</v>
      </c>
      <c r="AD654" s="441"/>
    </row>
    <row r="655" spans="1:30" ht="16" x14ac:dyDescent="0.2">
      <c r="A655" s="47"/>
      <c r="B655" s="422"/>
      <c r="C655" s="176">
        <f t="shared" si="228"/>
        <v>652</v>
      </c>
      <c r="D655" s="90">
        <v>45778</v>
      </c>
      <c r="E655" s="90">
        <v>45780</v>
      </c>
      <c r="F655" s="68" t="s">
        <v>307</v>
      </c>
      <c r="G655" s="379" t="str">
        <f ca="1">IF(AND(E655&lt;&gt;"",E655&lt;TODAY()),"Disponible",IFERROR(INDEX(Vehiculos[Estado Vehiculo],MATCH(F655,Vehiculos[Placa Vehiculo],0)),""))</f>
        <v>Disponible</v>
      </c>
      <c r="H655" s="89"/>
      <c r="I655" s="89" t="s">
        <v>273</v>
      </c>
      <c r="J655" s="89" t="s">
        <v>282</v>
      </c>
      <c r="K655" s="380">
        <v>4357</v>
      </c>
      <c r="L655" s="380">
        <v>4369</v>
      </c>
      <c r="M655" s="381">
        <f t="shared" si="218"/>
        <v>12</v>
      </c>
      <c r="N655" s="381">
        <f>Rutas[[#This Row],[Kms Recorridos]]</f>
        <v>12</v>
      </c>
      <c r="O655" s="380"/>
      <c r="P655" s="92"/>
      <c r="Q655" s="382">
        <f t="shared" si="219"/>
        <v>0</v>
      </c>
      <c r="R655" s="89" t="s">
        <v>273</v>
      </c>
      <c r="S655" s="89" t="s">
        <v>102</v>
      </c>
      <c r="T655" s="92">
        <v>1.8</v>
      </c>
      <c r="U655" s="266">
        <f>Rutas[[#This Row],[Precio x Galón ($/gal)]]*Rutas[[#This Row],[Volumen de Combustible (gal)]]</f>
        <v>14.004000000000001</v>
      </c>
      <c r="V655" s="92"/>
      <c r="W655" s="92"/>
      <c r="X655" s="92"/>
      <c r="Y655" s="382">
        <f t="shared" si="220"/>
        <v>14.004000000000001</v>
      </c>
      <c r="Z655" s="567"/>
      <c r="AA655" s="382">
        <v>7.78</v>
      </c>
      <c r="AB655" s="382">
        <f t="shared" si="221"/>
        <v>1.5424164524421593</v>
      </c>
      <c r="AC655" s="382">
        <f t="shared" si="222"/>
        <v>0</v>
      </c>
      <c r="AD655" s="89"/>
    </row>
    <row r="656" spans="1:30" ht="16" x14ac:dyDescent="0.2">
      <c r="A656" s="47"/>
      <c r="B656" s="422"/>
      <c r="C656" s="176">
        <f t="shared" si="228"/>
        <v>653</v>
      </c>
      <c r="D656" s="146">
        <v>45780</v>
      </c>
      <c r="E656" s="37">
        <v>45786</v>
      </c>
      <c r="F656" s="65" t="s">
        <v>307</v>
      </c>
      <c r="G656" s="11" t="str">
        <f ca="1">IF(AND(E656&lt;&gt;"",E656&lt;TODAY()),"Disponible",IFERROR(INDEX(Vehiculos[Estado Vehiculo],MATCH(F656,Vehiculos[Placa Vehiculo],0)),""))</f>
        <v>Disponible</v>
      </c>
      <c r="H656" s="34"/>
      <c r="I656" s="34" t="s">
        <v>273</v>
      </c>
      <c r="J656" s="34" t="s">
        <v>282</v>
      </c>
      <c r="K656" s="39">
        <v>4369</v>
      </c>
      <c r="L656" s="39">
        <v>4393</v>
      </c>
      <c r="M656" s="15">
        <f t="shared" si="218"/>
        <v>24</v>
      </c>
      <c r="N656" s="15">
        <f>Rutas[[#This Row],[Kms Recorridos]]</f>
        <v>24</v>
      </c>
      <c r="O656" s="39"/>
      <c r="P656" s="36"/>
      <c r="Q656" s="16">
        <f t="shared" si="219"/>
        <v>0</v>
      </c>
      <c r="R656" s="34" t="s">
        <v>273</v>
      </c>
      <c r="S656" s="34" t="s">
        <v>102</v>
      </c>
      <c r="T656" s="36">
        <v>1.8</v>
      </c>
      <c r="U656" s="293">
        <f>Rutas[[#This Row],[Precio x Galón ($/gal)]]*Rutas[[#This Row],[Volumen de Combustible (gal)]]</f>
        <v>15.534000000000002</v>
      </c>
      <c r="V656" s="36"/>
      <c r="W656" s="36"/>
      <c r="X656" s="36"/>
      <c r="Y656" s="145">
        <f t="shared" si="220"/>
        <v>15.534000000000002</v>
      </c>
      <c r="Z656" s="567"/>
      <c r="AA656" s="12">
        <v>8.6300000000000008</v>
      </c>
      <c r="AB656" s="12">
        <f t="shared" si="221"/>
        <v>2.7809965237543453</v>
      </c>
      <c r="AC656" s="12">
        <f t="shared" si="222"/>
        <v>0</v>
      </c>
      <c r="AD656" s="34"/>
    </row>
    <row r="657" spans="1:30" ht="16" x14ac:dyDescent="0.2">
      <c r="A657" s="47"/>
      <c r="B657" s="422"/>
      <c r="C657" s="176">
        <f t="shared" si="228"/>
        <v>654</v>
      </c>
      <c r="D657" s="146">
        <v>45786</v>
      </c>
      <c r="E657" s="37">
        <v>45794</v>
      </c>
      <c r="F657" s="65" t="s">
        <v>307</v>
      </c>
      <c r="G657" s="11" t="str">
        <f ca="1">IF(AND(E657&lt;&gt;"",E657&lt;TODAY()),"Disponible",IFERROR(INDEX(Vehiculos[Estado Vehiculo],MATCH(F657,Vehiculos[Placa Vehiculo],0)),""))</f>
        <v>Disponible</v>
      </c>
      <c r="H657" s="34"/>
      <c r="I657" s="34" t="s">
        <v>273</v>
      </c>
      <c r="J657" s="34" t="s">
        <v>282</v>
      </c>
      <c r="K657" s="39">
        <v>4393</v>
      </c>
      <c r="L657" s="39">
        <v>4404</v>
      </c>
      <c r="M657" s="15">
        <f t="shared" si="218"/>
        <v>11</v>
      </c>
      <c r="N657" s="15">
        <f>Rutas[[#This Row],[Kms Recorridos]]</f>
        <v>11</v>
      </c>
      <c r="O657" s="39"/>
      <c r="P657" s="36"/>
      <c r="Q657" s="16">
        <f t="shared" si="219"/>
        <v>0</v>
      </c>
      <c r="R657" s="34" t="s">
        <v>273</v>
      </c>
      <c r="S657" s="34" t="s">
        <v>102</v>
      </c>
      <c r="T657" s="36">
        <v>1.8</v>
      </c>
      <c r="U657" s="293">
        <f>Rutas[[#This Row],[Precio x Galón ($/gal)]]*Rutas[[#This Row],[Volumen de Combustible (gal)]]</f>
        <v>21.546000000000003</v>
      </c>
      <c r="V657" s="36"/>
      <c r="W657" s="36"/>
      <c r="X657" s="36"/>
      <c r="Y657" s="145">
        <f t="shared" si="220"/>
        <v>21.546000000000003</v>
      </c>
      <c r="Z657" s="567"/>
      <c r="AA657" s="12">
        <v>11.97</v>
      </c>
      <c r="AB657" s="12">
        <f t="shared" si="221"/>
        <v>0.91896407685881365</v>
      </c>
      <c r="AC657" s="12">
        <f t="shared" si="222"/>
        <v>0</v>
      </c>
      <c r="AD657" s="34"/>
    </row>
    <row r="658" spans="1:30" ht="16" x14ac:dyDescent="0.2">
      <c r="A658" s="47"/>
      <c r="B658" s="422"/>
      <c r="C658" s="176">
        <f t="shared" si="228"/>
        <v>655</v>
      </c>
      <c r="D658" s="146">
        <v>45794</v>
      </c>
      <c r="E658" s="37">
        <v>45797</v>
      </c>
      <c r="F658" s="65" t="s">
        <v>307</v>
      </c>
      <c r="G658" s="11" t="str">
        <f ca="1">IF(AND(E658&lt;&gt;"",E658&lt;TODAY()),"Disponible",IFERROR(INDEX(Vehiculos[Estado Vehiculo],MATCH(F658,Vehiculos[Placa Vehiculo],0)),""))</f>
        <v>Disponible</v>
      </c>
      <c r="H658" s="34"/>
      <c r="I658" s="34" t="s">
        <v>273</v>
      </c>
      <c r="J658" s="34" t="s">
        <v>282</v>
      </c>
      <c r="K658" s="39">
        <v>4404</v>
      </c>
      <c r="L658" s="39">
        <v>4417</v>
      </c>
      <c r="M658" s="15">
        <f t="shared" si="218"/>
        <v>13</v>
      </c>
      <c r="N658" s="15">
        <f>Rutas[[#This Row],[Kms Recorridos]]</f>
        <v>13</v>
      </c>
      <c r="O658" s="39"/>
      <c r="P658" s="36"/>
      <c r="Q658" s="16">
        <f t="shared" si="219"/>
        <v>0</v>
      </c>
      <c r="R658" s="34" t="s">
        <v>273</v>
      </c>
      <c r="S658" s="34" t="s">
        <v>102</v>
      </c>
      <c r="T658" s="36">
        <v>1.8</v>
      </c>
      <c r="U658" s="293">
        <f>Rutas[[#This Row],[Precio x Galón ($/gal)]]*Rutas[[#This Row],[Volumen de Combustible (gal)]]</f>
        <v>10.98</v>
      </c>
      <c r="V658" s="36"/>
      <c r="W658" s="36"/>
      <c r="X658" s="36"/>
      <c r="Y658" s="145">
        <f t="shared" si="220"/>
        <v>10.98</v>
      </c>
      <c r="Z658" s="567"/>
      <c r="AA658" s="12">
        <v>6.1</v>
      </c>
      <c r="AB658" s="12">
        <f t="shared" si="221"/>
        <v>2.1311475409836067</v>
      </c>
      <c r="AC658" s="12">
        <f t="shared" si="222"/>
        <v>0</v>
      </c>
      <c r="AD658" s="34"/>
    </row>
    <row r="659" spans="1:30" ht="16" x14ac:dyDescent="0.2">
      <c r="A659" s="47"/>
      <c r="B659" s="422"/>
      <c r="C659" s="176">
        <f t="shared" si="228"/>
        <v>656</v>
      </c>
      <c r="D659" s="146">
        <v>45797</v>
      </c>
      <c r="E659" s="37">
        <v>45806</v>
      </c>
      <c r="F659" s="65" t="s">
        <v>307</v>
      </c>
      <c r="G659" s="11" t="str">
        <f ca="1">IF(AND(E659&lt;&gt;"",E659&lt;TODAY()),"Disponible",IFERROR(INDEX(Vehiculos[Estado Vehiculo],MATCH(F659,Vehiculos[Placa Vehiculo],0)),""))</f>
        <v>Disponible</v>
      </c>
      <c r="H659" s="34"/>
      <c r="I659" s="34" t="s">
        <v>273</v>
      </c>
      <c r="J659" s="34" t="s">
        <v>282</v>
      </c>
      <c r="K659" s="39">
        <v>4417</v>
      </c>
      <c r="L659" s="39">
        <v>4448</v>
      </c>
      <c r="M659" s="15">
        <f t="shared" si="218"/>
        <v>31</v>
      </c>
      <c r="N659" s="15">
        <f>Rutas[[#This Row],[Kms Recorridos]]</f>
        <v>31</v>
      </c>
      <c r="O659" s="39"/>
      <c r="P659" s="36"/>
      <c r="Q659" s="16">
        <f t="shared" si="219"/>
        <v>0</v>
      </c>
      <c r="R659" s="34" t="s">
        <v>273</v>
      </c>
      <c r="S659" s="34" t="s">
        <v>102</v>
      </c>
      <c r="T659" s="36">
        <v>1.8</v>
      </c>
      <c r="U659" s="293">
        <f>Rutas[[#This Row],[Precio x Galón ($/gal)]]*Rutas[[#This Row],[Volumen de Combustible (gal)]]</f>
        <v>18.503999999999998</v>
      </c>
      <c r="V659" s="36"/>
      <c r="W659" s="36"/>
      <c r="X659" s="36"/>
      <c r="Y659" s="145">
        <f t="shared" si="220"/>
        <v>18.503999999999998</v>
      </c>
      <c r="Z659" s="567"/>
      <c r="AA659" s="12">
        <v>10.28</v>
      </c>
      <c r="AB659" s="12">
        <f t="shared" si="221"/>
        <v>3.0155642023346307</v>
      </c>
      <c r="AC659" s="12">
        <f t="shared" si="222"/>
        <v>0</v>
      </c>
      <c r="AD659" s="34"/>
    </row>
    <row r="660" spans="1:30" ht="16" x14ac:dyDescent="0.2">
      <c r="A660" s="47"/>
      <c r="B660" s="422"/>
      <c r="C660" s="176">
        <f t="shared" si="228"/>
        <v>657</v>
      </c>
      <c r="D660" s="146">
        <v>45806</v>
      </c>
      <c r="E660" s="37">
        <v>45808</v>
      </c>
      <c r="F660" s="65" t="s">
        <v>307</v>
      </c>
      <c r="G660" s="11" t="str">
        <f ca="1">IF(AND(E660&lt;&gt;"",E660&lt;TODAY()),"Disponible",IFERROR(INDEX(Vehiculos[Estado Vehiculo],MATCH(F660,Vehiculos[Placa Vehiculo],0)),""))</f>
        <v>Disponible</v>
      </c>
      <c r="H660" s="34"/>
      <c r="I660" s="34" t="s">
        <v>273</v>
      </c>
      <c r="J660" s="34" t="s">
        <v>282</v>
      </c>
      <c r="K660" s="39">
        <v>4448</v>
      </c>
      <c r="L660" s="39">
        <v>4449</v>
      </c>
      <c r="M660" s="15">
        <f>L660-K660</f>
        <v>1</v>
      </c>
      <c r="N660" s="15">
        <f>Rutas[[#This Row],[Kms Recorridos]]</f>
        <v>1</v>
      </c>
      <c r="O660" s="39"/>
      <c r="P660" s="36"/>
      <c r="Q660" s="16">
        <f>M660*P660</f>
        <v>0</v>
      </c>
      <c r="R660" s="34" t="s">
        <v>273</v>
      </c>
      <c r="S660" s="34" t="s">
        <v>102</v>
      </c>
      <c r="T660" s="36"/>
      <c r="U660" s="293"/>
      <c r="V660" s="36"/>
      <c r="W660" s="36"/>
      <c r="X660" s="36"/>
      <c r="Y660" s="145">
        <f>U660+SUM(V660:X660)</f>
        <v>0</v>
      </c>
      <c r="Z660" s="567"/>
      <c r="AA660" s="12"/>
      <c r="AB660" s="12">
        <f>IFERROR(M660/AA660,0)</f>
        <v>0</v>
      </c>
      <c r="AC660" s="12">
        <f>IFERROR(Q660/M660,0)</f>
        <v>0</v>
      </c>
      <c r="AD660" s="34"/>
    </row>
    <row r="661" spans="1:30" ht="16" x14ac:dyDescent="0.2">
      <c r="A661" s="47"/>
      <c r="B661" s="422"/>
      <c r="C661" s="176">
        <f t="shared" si="228"/>
        <v>658</v>
      </c>
      <c r="D661" s="146"/>
      <c r="E661" s="37"/>
      <c r="F661" s="66"/>
      <c r="G661" s="11" t="str">
        <f ca="1">IF(AND(E661&lt;&gt;"",E661&lt;TODAY()),"Disponible",IFERROR(INDEX(Vehiculos[Estado Vehiculo],MATCH(F661,Vehiculos[Placa Vehiculo],0)),""))</f>
        <v/>
      </c>
      <c r="H661" s="34"/>
      <c r="I661" s="34"/>
      <c r="J661" s="34"/>
      <c r="K661" s="39"/>
      <c r="L661" s="39"/>
      <c r="M661" s="15">
        <f>L661-K661</f>
        <v>0</v>
      </c>
      <c r="N661" s="15"/>
      <c r="O661" s="39"/>
      <c r="P661" s="36"/>
      <c r="Q661" s="16">
        <f>M661*P661</f>
        <v>0</v>
      </c>
      <c r="R661" s="34"/>
      <c r="S661" s="34"/>
      <c r="T661" s="36"/>
      <c r="U661" s="293"/>
      <c r="V661" s="36"/>
      <c r="W661" s="36"/>
      <c r="X661" s="36"/>
      <c r="Y661" s="145">
        <f>U661+SUM(V661:X661)</f>
        <v>0</v>
      </c>
      <c r="Z661" s="567"/>
      <c r="AA661" s="12"/>
      <c r="AB661" s="12">
        <f>IFERROR(M661/AA661,0)</f>
        <v>0</v>
      </c>
      <c r="AC661" s="12">
        <f>IFERROR(Q661/M661,0)</f>
        <v>0</v>
      </c>
      <c r="AD661" s="34"/>
    </row>
    <row r="662" spans="1:30" ht="16" x14ac:dyDescent="0.2">
      <c r="A662" s="47"/>
      <c r="B662" s="422"/>
      <c r="C662" s="176">
        <f t="shared" si="228"/>
        <v>659</v>
      </c>
      <c r="D662" s="437"/>
      <c r="E662" s="438"/>
      <c r="F662" s="439"/>
      <c r="G662" s="440" t="str">
        <f ca="1">IF(AND(E662&lt;&gt;"",E662&lt;TODAY()),"Disponible",IFERROR(INDEX(Vehiculos[Estado Vehiculo],MATCH(F662,Vehiculos[Placa Vehiculo],0)),""))</f>
        <v/>
      </c>
      <c r="H662" s="441"/>
      <c r="I662" s="441"/>
      <c r="J662" s="441"/>
      <c r="K662" s="442"/>
      <c r="L662" s="442"/>
      <c r="M662" s="443">
        <f t="shared" si="218"/>
        <v>0</v>
      </c>
      <c r="N662" s="443">
        <f>Rutas[[#This Row],[Kms Recorridos]]</f>
        <v>0</v>
      </c>
      <c r="O662" s="442"/>
      <c r="P662" s="444"/>
      <c r="Q662" s="445">
        <f t="shared" si="219"/>
        <v>0</v>
      </c>
      <c r="R662" s="441" t="s">
        <v>273</v>
      </c>
      <c r="S662" s="441" t="s">
        <v>102</v>
      </c>
      <c r="T662" s="444"/>
      <c r="U662" s="446">
        <f>Rutas[[#This Row],[Precio x Galón ($/gal)]]*Rutas[[#This Row],[Volumen de Combustible (gal)]]</f>
        <v>0</v>
      </c>
      <c r="V662" s="444"/>
      <c r="W662" s="444"/>
      <c r="X662" s="444"/>
      <c r="Y662" s="447">
        <f t="shared" si="220"/>
        <v>0</v>
      </c>
      <c r="Z662" s="570"/>
      <c r="AA662" s="448"/>
      <c r="AB662" s="448">
        <f t="shared" si="221"/>
        <v>0</v>
      </c>
      <c r="AC662" s="448">
        <f t="shared" si="222"/>
        <v>0</v>
      </c>
      <c r="AD662" s="441"/>
    </row>
    <row r="663" spans="1:30" ht="16" x14ac:dyDescent="0.2">
      <c r="A663" s="47"/>
      <c r="B663" s="422"/>
      <c r="C663" s="176">
        <f t="shared" si="228"/>
        <v>660</v>
      </c>
      <c r="D663" s="90">
        <v>45778</v>
      </c>
      <c r="E663" s="90">
        <v>45780</v>
      </c>
      <c r="F663" s="68" t="s">
        <v>308</v>
      </c>
      <c r="G663" s="379" t="str">
        <f ca="1">IF(AND(E663&lt;&gt;"",E663&lt;TODAY()),"Disponible",IFERROR(INDEX(Vehiculos[Estado Vehiculo],MATCH(F663,Vehiculos[Placa Vehiculo],0)),""))</f>
        <v>Disponible</v>
      </c>
      <c r="H663" s="89"/>
      <c r="I663" s="89" t="s">
        <v>273</v>
      </c>
      <c r="J663" s="89" t="s">
        <v>282</v>
      </c>
      <c r="K663" s="380">
        <v>458</v>
      </c>
      <c r="L663" s="380">
        <v>472</v>
      </c>
      <c r="M663" s="381">
        <f t="shared" si="218"/>
        <v>14</v>
      </c>
      <c r="N663" s="381">
        <f>Rutas[[#This Row],[Kms Recorridos]]</f>
        <v>14</v>
      </c>
      <c r="O663" s="380"/>
      <c r="P663" s="92"/>
      <c r="Q663" s="382">
        <f t="shared" si="219"/>
        <v>0</v>
      </c>
      <c r="R663" s="89" t="s">
        <v>273</v>
      </c>
      <c r="S663" s="89" t="s">
        <v>102</v>
      </c>
      <c r="T663" s="92">
        <v>1.8</v>
      </c>
      <c r="U663" s="266">
        <f>Rutas[[#This Row],[Precio x Galón ($/gal)]]*Rutas[[#This Row],[Volumen de Combustible (gal)]]</f>
        <v>16.704000000000001</v>
      </c>
      <c r="V663" s="92"/>
      <c r="W663" s="92"/>
      <c r="X663" s="92"/>
      <c r="Y663" s="382">
        <f t="shared" si="220"/>
        <v>16.704000000000001</v>
      </c>
      <c r="Z663" s="567"/>
      <c r="AA663" s="382">
        <v>9.2799999999999994</v>
      </c>
      <c r="AB663" s="382">
        <f t="shared" si="221"/>
        <v>1.5086206896551726</v>
      </c>
      <c r="AC663" s="382">
        <f t="shared" si="222"/>
        <v>0</v>
      </c>
      <c r="AD663" s="89"/>
    </row>
    <row r="664" spans="1:30" ht="16" x14ac:dyDescent="0.2">
      <c r="A664" s="47"/>
      <c r="B664" s="422"/>
      <c r="C664" s="176">
        <f t="shared" si="228"/>
        <v>661</v>
      </c>
      <c r="D664" s="146">
        <v>45780</v>
      </c>
      <c r="E664" s="37">
        <v>45789</v>
      </c>
      <c r="F664" s="65" t="s">
        <v>308</v>
      </c>
      <c r="G664" s="11" t="str">
        <f ca="1">IF(AND(E664&lt;&gt;"",E664&lt;TODAY()),"Disponible",IFERROR(INDEX(Vehiculos[Estado Vehiculo],MATCH(F664,Vehiculos[Placa Vehiculo],0)),""))</f>
        <v>Disponible</v>
      </c>
      <c r="H664" s="34"/>
      <c r="I664" s="34" t="s">
        <v>273</v>
      </c>
      <c r="J664" s="34" t="s">
        <v>282</v>
      </c>
      <c r="K664" s="39">
        <v>472</v>
      </c>
      <c r="L664" s="39">
        <v>486</v>
      </c>
      <c r="M664" s="15">
        <f t="shared" si="218"/>
        <v>14</v>
      </c>
      <c r="N664" s="15">
        <f>Rutas[[#This Row],[Kms Recorridos]]</f>
        <v>14</v>
      </c>
      <c r="O664" s="39"/>
      <c r="P664" s="36"/>
      <c r="Q664" s="16">
        <f t="shared" si="219"/>
        <v>0</v>
      </c>
      <c r="R664" s="34" t="s">
        <v>273</v>
      </c>
      <c r="S664" s="34" t="s">
        <v>102</v>
      </c>
      <c r="T664" s="36">
        <v>1.8</v>
      </c>
      <c r="U664" s="293">
        <f>Rutas[[#This Row],[Precio x Galón ($/gal)]]*Rutas[[#This Row],[Volumen de Combustible (gal)]]</f>
        <v>15.228000000000002</v>
      </c>
      <c r="V664" s="36"/>
      <c r="W664" s="36"/>
      <c r="X664" s="36"/>
      <c r="Y664" s="145">
        <f t="shared" si="220"/>
        <v>15.228000000000002</v>
      </c>
      <c r="Z664" s="567"/>
      <c r="AA664" s="12">
        <v>8.4600000000000009</v>
      </c>
      <c r="AB664" s="12">
        <f t="shared" si="221"/>
        <v>1.6548463356973993</v>
      </c>
      <c r="AC664" s="12">
        <f t="shared" si="222"/>
        <v>0</v>
      </c>
      <c r="AD664" s="34"/>
    </row>
    <row r="665" spans="1:30" ht="16" x14ac:dyDescent="0.2">
      <c r="A665" s="47"/>
      <c r="B665" s="422"/>
      <c r="C665" s="176">
        <f t="shared" si="228"/>
        <v>662</v>
      </c>
      <c r="D665" s="146">
        <v>45789</v>
      </c>
      <c r="E665" s="37">
        <v>45793</v>
      </c>
      <c r="F665" s="65" t="s">
        <v>308</v>
      </c>
      <c r="G665" s="11" t="str">
        <f ca="1">IF(AND(E665&lt;&gt;"",E665&lt;TODAY()),"Disponible",IFERROR(INDEX(Vehiculos[Estado Vehiculo],MATCH(F665,Vehiculos[Placa Vehiculo],0)),""))</f>
        <v>Disponible</v>
      </c>
      <c r="H665" s="34"/>
      <c r="I665" s="34" t="s">
        <v>273</v>
      </c>
      <c r="J665" s="34" t="s">
        <v>282</v>
      </c>
      <c r="K665" s="39">
        <v>486</v>
      </c>
      <c r="L665" s="39">
        <v>495</v>
      </c>
      <c r="M665" s="15">
        <f t="shared" si="218"/>
        <v>9</v>
      </c>
      <c r="N665" s="15">
        <f>Rutas[[#This Row],[Kms Recorridos]]</f>
        <v>9</v>
      </c>
      <c r="O665" s="39"/>
      <c r="P665" s="36"/>
      <c r="Q665" s="16">
        <f t="shared" si="219"/>
        <v>0</v>
      </c>
      <c r="R665" s="34" t="s">
        <v>273</v>
      </c>
      <c r="S665" s="34" t="s">
        <v>102</v>
      </c>
      <c r="T665" s="36">
        <v>1.8</v>
      </c>
      <c r="U665" s="293">
        <f>Rutas[[#This Row],[Precio x Galón ($/gal)]]*Rutas[[#This Row],[Volumen de Combustible (gal)]]</f>
        <v>7.4160000000000004</v>
      </c>
      <c r="V665" s="36"/>
      <c r="W665" s="36"/>
      <c r="X665" s="36"/>
      <c r="Y665" s="145">
        <f t="shared" si="220"/>
        <v>7.4160000000000004</v>
      </c>
      <c r="Z665" s="567"/>
      <c r="AA665" s="12">
        <v>4.12</v>
      </c>
      <c r="AB665" s="12">
        <f t="shared" si="221"/>
        <v>2.1844660194174756</v>
      </c>
      <c r="AC665" s="12">
        <f t="shared" si="222"/>
        <v>0</v>
      </c>
      <c r="AD665" s="34"/>
    </row>
    <row r="666" spans="1:30" ht="16" x14ac:dyDescent="0.2">
      <c r="A666" s="47"/>
      <c r="B666" s="422"/>
      <c r="C666" s="176">
        <f t="shared" si="228"/>
        <v>663</v>
      </c>
      <c r="D666" s="146">
        <v>45793</v>
      </c>
      <c r="E666" s="37">
        <v>45796</v>
      </c>
      <c r="F666" s="65" t="s">
        <v>308</v>
      </c>
      <c r="G666" s="11" t="str">
        <f ca="1">IF(AND(E666&lt;&gt;"",E666&lt;TODAY()),"Disponible",IFERROR(INDEX(Vehiculos[Estado Vehiculo],MATCH(F666,Vehiculos[Placa Vehiculo],0)),""))</f>
        <v>Disponible</v>
      </c>
      <c r="H666" s="34"/>
      <c r="I666" s="34" t="s">
        <v>273</v>
      </c>
      <c r="J666" s="34" t="s">
        <v>282</v>
      </c>
      <c r="K666" s="39">
        <v>495</v>
      </c>
      <c r="L666" s="39">
        <v>520</v>
      </c>
      <c r="M666" s="15">
        <f t="shared" si="218"/>
        <v>25</v>
      </c>
      <c r="N666" s="15">
        <f>Rutas[[#This Row],[Kms Recorridos]]</f>
        <v>25</v>
      </c>
      <c r="O666" s="39"/>
      <c r="P666" s="36"/>
      <c r="Q666" s="16">
        <f t="shared" si="219"/>
        <v>0</v>
      </c>
      <c r="R666" s="34" t="s">
        <v>273</v>
      </c>
      <c r="S666" s="34" t="s">
        <v>102</v>
      </c>
      <c r="T666" s="36">
        <v>1.8</v>
      </c>
      <c r="U666" s="293">
        <f>Rutas[[#This Row],[Precio x Galón ($/gal)]]*Rutas[[#This Row],[Volumen de Combustible (gal)]]</f>
        <v>22.481999999999999</v>
      </c>
      <c r="V666" s="36"/>
      <c r="W666" s="36"/>
      <c r="X666" s="36"/>
      <c r="Y666" s="145">
        <f t="shared" si="220"/>
        <v>22.481999999999999</v>
      </c>
      <c r="Z666" s="567"/>
      <c r="AA666" s="12">
        <v>12.49</v>
      </c>
      <c r="AB666" s="12">
        <f t="shared" si="221"/>
        <v>2.0016012810248198</v>
      </c>
      <c r="AC666" s="12">
        <f t="shared" si="222"/>
        <v>0</v>
      </c>
      <c r="AD666" s="34"/>
    </row>
    <row r="667" spans="1:30" ht="16" x14ac:dyDescent="0.2">
      <c r="A667" s="47"/>
      <c r="B667" s="422"/>
      <c r="C667" s="176">
        <f t="shared" si="228"/>
        <v>664</v>
      </c>
      <c r="D667" s="146">
        <v>45796</v>
      </c>
      <c r="E667" s="37">
        <v>45799</v>
      </c>
      <c r="F667" s="65" t="s">
        <v>308</v>
      </c>
      <c r="G667" s="11" t="str">
        <f ca="1">IF(AND(E667&lt;&gt;"",E667&lt;TODAY()),"Disponible",IFERROR(INDEX(Vehiculos[Estado Vehiculo],MATCH(F667,Vehiculos[Placa Vehiculo],0)),""))</f>
        <v>Disponible</v>
      </c>
      <c r="H667" s="34"/>
      <c r="I667" s="34" t="s">
        <v>273</v>
      </c>
      <c r="J667" s="34" t="s">
        <v>282</v>
      </c>
      <c r="K667" s="39">
        <v>520</v>
      </c>
      <c r="L667" s="39">
        <v>543</v>
      </c>
      <c r="M667" s="15">
        <f t="shared" si="218"/>
        <v>23</v>
      </c>
      <c r="N667" s="15">
        <f>Rutas[[#This Row],[Kms Recorridos]]</f>
        <v>23</v>
      </c>
      <c r="O667" s="39"/>
      <c r="P667" s="36"/>
      <c r="Q667" s="16">
        <f t="shared" si="219"/>
        <v>0</v>
      </c>
      <c r="R667" s="34" t="s">
        <v>273</v>
      </c>
      <c r="S667" s="34" t="s">
        <v>102</v>
      </c>
      <c r="T667" s="36">
        <v>1.8</v>
      </c>
      <c r="U667" s="293">
        <f>Rutas[[#This Row],[Precio x Galón ($/gal)]]*Rutas[[#This Row],[Volumen de Combustible (gal)]]</f>
        <v>10.854000000000001</v>
      </c>
      <c r="V667" s="36"/>
      <c r="W667" s="36"/>
      <c r="X667" s="36"/>
      <c r="Y667" s="145">
        <f t="shared" si="220"/>
        <v>10.854000000000001</v>
      </c>
      <c r="Z667" s="567"/>
      <c r="AA667" s="12">
        <v>6.03</v>
      </c>
      <c r="AB667" s="12">
        <f t="shared" si="221"/>
        <v>3.8142620232172471</v>
      </c>
      <c r="AC667" s="12">
        <f t="shared" si="222"/>
        <v>0</v>
      </c>
      <c r="AD667" s="34"/>
    </row>
    <row r="668" spans="1:30" ht="16" x14ac:dyDescent="0.2">
      <c r="A668" s="47"/>
      <c r="B668" s="422"/>
      <c r="C668" s="176">
        <f t="shared" si="228"/>
        <v>665</v>
      </c>
      <c r="D668" s="146">
        <v>45799</v>
      </c>
      <c r="E668" s="37">
        <v>45804</v>
      </c>
      <c r="F668" s="65" t="s">
        <v>308</v>
      </c>
      <c r="G668" s="11" t="str">
        <f ca="1">IF(AND(E668&lt;&gt;"",E668&lt;TODAY()),"Disponible",IFERROR(INDEX(Vehiculos[Estado Vehiculo],MATCH(F668,Vehiculos[Placa Vehiculo],0)),""))</f>
        <v>Disponible</v>
      </c>
      <c r="H668" s="34"/>
      <c r="I668" s="34" t="s">
        <v>273</v>
      </c>
      <c r="J668" s="34" t="s">
        <v>282</v>
      </c>
      <c r="K668" s="39">
        <v>543</v>
      </c>
      <c r="L668" s="39">
        <v>560</v>
      </c>
      <c r="M668" s="15">
        <f t="shared" ref="M668:M681" si="229">L668-K668</f>
        <v>17</v>
      </c>
      <c r="N668" s="15">
        <f>Rutas[[#This Row],[Kms Recorridos]]</f>
        <v>17</v>
      </c>
      <c r="O668" s="39"/>
      <c r="P668" s="36"/>
      <c r="Q668" s="16">
        <f t="shared" ref="Q668:Q681" si="230">M668*P668</f>
        <v>0</v>
      </c>
      <c r="R668" s="34" t="s">
        <v>273</v>
      </c>
      <c r="S668" s="34" t="s">
        <v>102</v>
      </c>
      <c r="T668" s="36">
        <v>1.8</v>
      </c>
      <c r="U668" s="293">
        <f>Rutas[[#This Row],[Precio x Galón ($/gal)]]*Rutas[[#This Row],[Volumen de Combustible (gal)]]</f>
        <v>16.488</v>
      </c>
      <c r="V668" s="36"/>
      <c r="W668" s="36"/>
      <c r="X668" s="36"/>
      <c r="Y668" s="145">
        <f t="shared" ref="Y668:Y681" si="231">U668+SUM(V668:X668)</f>
        <v>16.488</v>
      </c>
      <c r="Z668" s="567"/>
      <c r="AA668" s="12">
        <v>9.16</v>
      </c>
      <c r="AB668" s="12">
        <f t="shared" ref="AB668:AB681" si="232">IFERROR(M668/AA668,0)</f>
        <v>1.8558951965065502</v>
      </c>
      <c r="AC668" s="12">
        <f t="shared" ref="AC668:AC681" si="233">IFERROR(Q668/M668,0)</f>
        <v>0</v>
      </c>
      <c r="AD668" s="34"/>
    </row>
    <row r="669" spans="1:30" ht="16" x14ac:dyDescent="0.2">
      <c r="A669" s="47"/>
      <c r="B669" s="422"/>
      <c r="C669" s="176">
        <f t="shared" si="228"/>
        <v>666</v>
      </c>
      <c r="D669" s="146">
        <v>45804</v>
      </c>
      <c r="E669" s="37">
        <v>45805</v>
      </c>
      <c r="F669" s="65" t="s">
        <v>308</v>
      </c>
      <c r="G669" s="11" t="str">
        <f ca="1">IF(AND(E669&lt;&gt;"",E669&lt;TODAY()),"Disponible",IFERROR(INDEX(Vehiculos[Estado Vehiculo],MATCH(F669,Vehiculos[Placa Vehiculo],0)),""))</f>
        <v>Disponible</v>
      </c>
      <c r="H669" s="34"/>
      <c r="I669" s="34" t="s">
        <v>273</v>
      </c>
      <c r="J669" s="34" t="s">
        <v>282</v>
      </c>
      <c r="K669" s="39">
        <v>560</v>
      </c>
      <c r="L669" s="39">
        <v>571</v>
      </c>
      <c r="M669" s="15">
        <f t="shared" si="229"/>
        <v>11</v>
      </c>
      <c r="N669" s="15">
        <f>Rutas[[#This Row],[Kms Recorridos]]</f>
        <v>11</v>
      </c>
      <c r="O669" s="39"/>
      <c r="P669" s="36"/>
      <c r="Q669" s="16">
        <f t="shared" si="230"/>
        <v>0</v>
      </c>
      <c r="R669" s="34" t="s">
        <v>273</v>
      </c>
      <c r="S669" s="34" t="s">
        <v>102</v>
      </c>
      <c r="T669" s="36">
        <v>1.8</v>
      </c>
      <c r="U669" s="293">
        <f>Rutas[[#This Row],[Precio x Galón ($/gal)]]*Rutas[[#This Row],[Volumen de Combustible (gal)]]</f>
        <v>7.0380000000000003</v>
      </c>
      <c r="V669" s="36"/>
      <c r="W669" s="36"/>
      <c r="X669" s="36"/>
      <c r="Y669" s="145">
        <f t="shared" si="231"/>
        <v>7.0380000000000003</v>
      </c>
      <c r="Z669" s="567"/>
      <c r="AA669" s="12">
        <v>3.91</v>
      </c>
      <c r="AB669" s="12">
        <f t="shared" si="232"/>
        <v>2.8132992327365729</v>
      </c>
      <c r="AC669" s="12">
        <f t="shared" si="233"/>
        <v>0</v>
      </c>
      <c r="AD669" s="34"/>
    </row>
    <row r="670" spans="1:30" ht="16" x14ac:dyDescent="0.2">
      <c r="A670" s="47"/>
      <c r="B670" s="422"/>
      <c r="C670" s="176">
        <f t="shared" si="228"/>
        <v>667</v>
      </c>
      <c r="D670" s="146">
        <v>45805</v>
      </c>
      <c r="E670" s="37">
        <v>45808</v>
      </c>
      <c r="F670" s="65" t="s">
        <v>308</v>
      </c>
      <c r="G670" s="11" t="str">
        <f ca="1">IF(AND(E670&lt;&gt;"",E670&lt;TODAY()),"Disponible",IFERROR(INDEX(Vehiculos[Estado Vehiculo],MATCH(F670,Vehiculos[Placa Vehiculo],0)),""))</f>
        <v>Disponible</v>
      </c>
      <c r="H670" s="34"/>
      <c r="I670" s="34" t="s">
        <v>273</v>
      </c>
      <c r="J670" s="34" t="s">
        <v>282</v>
      </c>
      <c r="K670" s="39">
        <v>571</v>
      </c>
      <c r="L670" s="39">
        <v>582</v>
      </c>
      <c r="M670" s="15">
        <f t="shared" si="229"/>
        <v>11</v>
      </c>
      <c r="N670" s="15">
        <f>Rutas[[#This Row],[Kms Recorridos]]</f>
        <v>11</v>
      </c>
      <c r="O670" s="39"/>
      <c r="P670" s="36"/>
      <c r="Q670" s="16">
        <f t="shared" si="230"/>
        <v>0</v>
      </c>
      <c r="R670" s="34" t="s">
        <v>273</v>
      </c>
      <c r="S670" s="34" t="s">
        <v>102</v>
      </c>
      <c r="T670" s="36"/>
      <c r="U670" s="293"/>
      <c r="V670" s="36"/>
      <c r="W670" s="36"/>
      <c r="X670" s="36"/>
      <c r="Y670" s="145">
        <f t="shared" si="231"/>
        <v>0</v>
      </c>
      <c r="Z670" s="567"/>
      <c r="AA670" s="12"/>
      <c r="AB670" s="12">
        <f t="shared" si="232"/>
        <v>0</v>
      </c>
      <c r="AC670" s="12">
        <f t="shared" si="233"/>
        <v>0</v>
      </c>
      <c r="AD670" s="34"/>
    </row>
    <row r="671" spans="1:30" ht="16" x14ac:dyDescent="0.2">
      <c r="A671" s="47"/>
      <c r="B671" s="422"/>
      <c r="C671" s="176">
        <f t="shared" si="228"/>
        <v>668</v>
      </c>
      <c r="D671" s="437"/>
      <c r="E671" s="438"/>
      <c r="F671" s="439"/>
      <c r="G671" s="440" t="str">
        <f ca="1">IF(AND(E671&lt;&gt;"",E671&lt;TODAY()),"Disponible",IFERROR(INDEX(Vehiculos[Estado Vehiculo],MATCH(F671,Vehiculos[Placa Vehiculo],0)),""))</f>
        <v/>
      </c>
      <c r="H671" s="441"/>
      <c r="I671" s="441"/>
      <c r="J671" s="441"/>
      <c r="K671" s="442"/>
      <c r="L671" s="442"/>
      <c r="M671" s="443">
        <f t="shared" si="229"/>
        <v>0</v>
      </c>
      <c r="N671" s="443">
        <f>Rutas[[#This Row],[Kms Recorridos]]</f>
        <v>0</v>
      </c>
      <c r="O671" s="442"/>
      <c r="P671" s="444"/>
      <c r="Q671" s="445">
        <f t="shared" si="230"/>
        <v>0</v>
      </c>
      <c r="R671" s="441"/>
      <c r="S671" s="441"/>
      <c r="T671" s="444"/>
      <c r="U671" s="446"/>
      <c r="V671" s="444"/>
      <c r="W671" s="444"/>
      <c r="X671" s="444"/>
      <c r="Y671" s="447">
        <f t="shared" si="231"/>
        <v>0</v>
      </c>
      <c r="Z671" s="570"/>
      <c r="AA671" s="448"/>
      <c r="AB671" s="448">
        <f t="shared" si="232"/>
        <v>0</v>
      </c>
      <c r="AC671" s="448">
        <f t="shared" si="233"/>
        <v>0</v>
      </c>
      <c r="AD671" s="441"/>
    </row>
    <row r="672" spans="1:30" ht="16" x14ac:dyDescent="0.2">
      <c r="A672" s="47"/>
      <c r="B672" s="422"/>
      <c r="C672" s="176">
        <f t="shared" si="228"/>
        <v>669</v>
      </c>
      <c r="D672" s="90">
        <v>45778</v>
      </c>
      <c r="E672" s="90">
        <v>45789</v>
      </c>
      <c r="F672" s="68" t="s">
        <v>311</v>
      </c>
      <c r="G672" s="379" t="str">
        <f ca="1">IF(AND(E672&lt;&gt;"",E672&lt;TODAY()),"Disponible",IFERROR(INDEX(Vehiculos[Estado Vehiculo],MATCH(F672,Vehiculos[Placa Vehiculo],0)),""))</f>
        <v>Disponible</v>
      </c>
      <c r="H672" s="89"/>
      <c r="I672" s="89" t="s">
        <v>273</v>
      </c>
      <c r="J672" s="89"/>
      <c r="K672" s="380">
        <v>1641</v>
      </c>
      <c r="L672" s="380">
        <v>1681</v>
      </c>
      <c r="M672" s="381">
        <f t="shared" si="229"/>
        <v>40</v>
      </c>
      <c r="N672" s="381">
        <f>Rutas[[#This Row],[Kms Recorridos]]</f>
        <v>40</v>
      </c>
      <c r="O672" s="380"/>
      <c r="P672" s="92"/>
      <c r="Q672" s="382">
        <f t="shared" si="230"/>
        <v>0</v>
      </c>
      <c r="R672" s="89" t="s">
        <v>273</v>
      </c>
      <c r="S672" s="89" t="s">
        <v>102</v>
      </c>
      <c r="T672" s="92">
        <v>1.8</v>
      </c>
      <c r="U672" s="266">
        <f>Rutas[[#This Row],[Precio x Galón ($/gal)]]*Rutas[[#This Row],[Volumen de Combustible (gal)]]</f>
        <v>18</v>
      </c>
      <c r="V672" s="92"/>
      <c r="W672" s="92"/>
      <c r="X672" s="92"/>
      <c r="Y672" s="382">
        <f t="shared" si="231"/>
        <v>18</v>
      </c>
      <c r="Z672" s="567"/>
      <c r="AA672" s="382">
        <v>10</v>
      </c>
      <c r="AB672" s="382">
        <f t="shared" si="232"/>
        <v>4</v>
      </c>
      <c r="AC672" s="382">
        <f t="shared" si="233"/>
        <v>0</v>
      </c>
      <c r="AD672" s="89"/>
    </row>
    <row r="673" spans="1:30" ht="16" x14ac:dyDescent="0.2">
      <c r="A673" s="47"/>
      <c r="B673" s="422"/>
      <c r="C673" s="176">
        <f t="shared" si="228"/>
        <v>670</v>
      </c>
      <c r="D673" s="146"/>
      <c r="E673" s="37"/>
      <c r="F673" s="65"/>
      <c r="G673" s="11" t="str">
        <f ca="1">IF(AND(E673&lt;&gt;"",E673&lt;TODAY()),"Disponible",IFERROR(INDEX(Vehiculos[Estado Vehiculo],MATCH(F673,Vehiculos[Placa Vehiculo],0)),""))</f>
        <v/>
      </c>
      <c r="H673" s="34"/>
      <c r="I673" s="34" t="s">
        <v>273</v>
      </c>
      <c r="J673" s="34"/>
      <c r="K673" s="39"/>
      <c r="L673" s="39"/>
      <c r="M673" s="15">
        <f t="shared" si="229"/>
        <v>0</v>
      </c>
      <c r="N673" s="15">
        <f>Rutas[[#This Row],[Kms Recorridos]]</f>
        <v>0</v>
      </c>
      <c r="O673" s="39"/>
      <c r="P673" s="36"/>
      <c r="Q673" s="16">
        <f t="shared" si="230"/>
        <v>0</v>
      </c>
      <c r="R673" s="34" t="s">
        <v>273</v>
      </c>
      <c r="S673" s="34" t="s">
        <v>102</v>
      </c>
      <c r="T673" s="36">
        <v>1.8</v>
      </c>
      <c r="U673" s="293">
        <f>Rutas[[#This Row],[Precio x Galón ($/gal)]]*Rutas[[#This Row],[Volumen de Combustible (gal)]]</f>
        <v>0</v>
      </c>
      <c r="V673" s="36"/>
      <c r="W673" s="36"/>
      <c r="X673" s="36"/>
      <c r="Y673" s="145">
        <f t="shared" si="231"/>
        <v>0</v>
      </c>
      <c r="Z673" s="567"/>
      <c r="AA673" s="12"/>
      <c r="AB673" s="12">
        <f t="shared" si="232"/>
        <v>0</v>
      </c>
      <c r="AC673" s="12">
        <f t="shared" si="233"/>
        <v>0</v>
      </c>
      <c r="AD673" s="34"/>
    </row>
    <row r="674" spans="1:30" ht="16" x14ac:dyDescent="0.2">
      <c r="A674" s="47"/>
      <c r="B674" s="422"/>
      <c r="C674" s="176">
        <f t="shared" si="228"/>
        <v>671</v>
      </c>
      <c r="D674" s="146"/>
      <c r="E674" s="37"/>
      <c r="F674" s="65"/>
      <c r="G674" s="11" t="str">
        <f ca="1">IF(AND(E674&lt;&gt;"",E674&lt;TODAY()),"Disponible",IFERROR(INDEX(Vehiculos[Estado Vehiculo],MATCH(F674,Vehiculos[Placa Vehiculo],0)),""))</f>
        <v/>
      </c>
      <c r="H674" s="34"/>
      <c r="I674" s="34"/>
      <c r="J674" s="34"/>
      <c r="K674" s="39"/>
      <c r="L674" s="39"/>
      <c r="M674" s="15">
        <f t="shared" si="229"/>
        <v>0</v>
      </c>
      <c r="N674" s="15">
        <f>Rutas[[#This Row],[Kms Recorridos]]</f>
        <v>0</v>
      </c>
      <c r="O674" s="39"/>
      <c r="P674" s="36"/>
      <c r="Q674" s="16">
        <f t="shared" si="230"/>
        <v>0</v>
      </c>
      <c r="R674" s="34" t="s">
        <v>273</v>
      </c>
      <c r="S674" s="34" t="s">
        <v>102</v>
      </c>
      <c r="T674" s="36">
        <v>1.8</v>
      </c>
      <c r="U674" s="293">
        <f>Rutas[[#This Row],[Precio x Galón ($/gal)]]*Rutas[[#This Row],[Volumen de Combustible (gal)]]</f>
        <v>0</v>
      </c>
      <c r="V674" s="36"/>
      <c r="W674" s="36"/>
      <c r="X674" s="36"/>
      <c r="Y674" s="145">
        <f t="shared" si="231"/>
        <v>0</v>
      </c>
      <c r="Z674" s="567"/>
      <c r="AA674" s="12"/>
      <c r="AB674" s="12">
        <f t="shared" si="232"/>
        <v>0</v>
      </c>
      <c r="AC674" s="12">
        <f t="shared" si="233"/>
        <v>0</v>
      </c>
      <c r="AD674" s="34"/>
    </row>
    <row r="675" spans="1:30" ht="16" x14ac:dyDescent="0.2">
      <c r="A675" s="47"/>
      <c r="B675" s="422"/>
      <c r="C675" s="176">
        <f t="shared" si="228"/>
        <v>672</v>
      </c>
      <c r="D675" s="146"/>
      <c r="E675" s="37"/>
      <c r="F675" s="66"/>
      <c r="G675" s="11" t="str">
        <f ca="1">IF(AND(E675&lt;&gt;"",E675&lt;TODAY()),"Disponible",IFERROR(INDEX(Vehiculos[Estado Vehiculo],MATCH(F675,Vehiculos[Placa Vehiculo],0)),""))</f>
        <v/>
      </c>
      <c r="H675" s="34"/>
      <c r="I675" s="34"/>
      <c r="J675" s="34"/>
      <c r="K675" s="39"/>
      <c r="L675" s="39"/>
      <c r="M675" s="15">
        <f t="shared" si="229"/>
        <v>0</v>
      </c>
      <c r="N675" s="15">
        <f>Rutas[[#This Row],[Kms Recorridos]]</f>
        <v>0</v>
      </c>
      <c r="O675" s="39"/>
      <c r="P675" s="36"/>
      <c r="Q675" s="16">
        <f t="shared" si="230"/>
        <v>0</v>
      </c>
      <c r="R675" s="34" t="s">
        <v>273</v>
      </c>
      <c r="S675" s="34" t="s">
        <v>102</v>
      </c>
      <c r="T675" s="36">
        <v>1.8</v>
      </c>
      <c r="U675" s="293">
        <f>Rutas[[#This Row],[Precio x Galón ($/gal)]]*Rutas[[#This Row],[Volumen de Combustible (gal)]]</f>
        <v>0</v>
      </c>
      <c r="V675" s="36"/>
      <c r="W675" s="36"/>
      <c r="X675" s="36"/>
      <c r="Y675" s="145">
        <f t="shared" si="231"/>
        <v>0</v>
      </c>
      <c r="Z675" s="567"/>
      <c r="AA675" s="12"/>
      <c r="AB675" s="12">
        <f t="shared" si="232"/>
        <v>0</v>
      </c>
      <c r="AC675" s="12">
        <f t="shared" si="233"/>
        <v>0</v>
      </c>
      <c r="AD675" s="34"/>
    </row>
    <row r="676" spans="1:30" ht="16" x14ac:dyDescent="0.2">
      <c r="A676" s="47"/>
      <c r="B676" s="422"/>
      <c r="C676" s="176">
        <f t="shared" si="228"/>
        <v>673</v>
      </c>
      <c r="D676" s="437"/>
      <c r="E676" s="438"/>
      <c r="F676" s="439"/>
      <c r="G676" s="440" t="str">
        <f ca="1">IF(AND(E676&lt;&gt;"",E676&lt;TODAY()),"Disponible",IFERROR(INDEX(Vehiculos[Estado Vehiculo],MATCH(F676,Vehiculos[Placa Vehiculo],0)),""))</f>
        <v/>
      </c>
      <c r="H676" s="441"/>
      <c r="I676" s="441"/>
      <c r="J676" s="441"/>
      <c r="K676" s="442"/>
      <c r="L676" s="442"/>
      <c r="M676" s="443">
        <f t="shared" si="229"/>
        <v>0</v>
      </c>
      <c r="N676" s="443">
        <f>Rutas[[#This Row],[Kms Recorridos]]</f>
        <v>0</v>
      </c>
      <c r="O676" s="442"/>
      <c r="P676" s="444"/>
      <c r="Q676" s="445">
        <f t="shared" si="230"/>
        <v>0</v>
      </c>
      <c r="R676" s="441" t="s">
        <v>273</v>
      </c>
      <c r="S676" s="441" t="s">
        <v>102</v>
      </c>
      <c r="T676" s="444"/>
      <c r="U676" s="446">
        <f>Rutas[[#This Row],[Precio x Galón ($/gal)]]*Rutas[[#This Row],[Volumen de Combustible (gal)]]</f>
        <v>0</v>
      </c>
      <c r="V676" s="444"/>
      <c r="W676" s="444"/>
      <c r="X676" s="444"/>
      <c r="Y676" s="447">
        <f t="shared" si="231"/>
        <v>0</v>
      </c>
      <c r="Z676" s="570"/>
      <c r="AA676" s="448"/>
      <c r="AB676" s="448">
        <f t="shared" si="232"/>
        <v>0</v>
      </c>
      <c r="AC676" s="448">
        <f t="shared" si="233"/>
        <v>0</v>
      </c>
      <c r="AD676" s="441"/>
    </row>
    <row r="677" spans="1:30" ht="16" x14ac:dyDescent="0.2">
      <c r="A677" s="47"/>
      <c r="B677" s="422"/>
      <c r="C677" s="176">
        <f t="shared" si="228"/>
        <v>674</v>
      </c>
      <c r="D677" s="90">
        <v>45778</v>
      </c>
      <c r="E677" s="90">
        <v>45779</v>
      </c>
      <c r="F677" s="68" t="s">
        <v>312</v>
      </c>
      <c r="G677" s="379" t="str">
        <f ca="1">IF(AND(E677&lt;&gt;"",E677&lt;TODAY()),"Disponible",IFERROR(INDEX(Vehiculos[Estado Vehiculo],MATCH(F677,Vehiculos[Placa Vehiculo],0)),""))</f>
        <v>Disponible</v>
      </c>
      <c r="H677" s="89"/>
      <c r="I677" s="89" t="s">
        <v>273</v>
      </c>
      <c r="J677" s="89" t="s">
        <v>274</v>
      </c>
      <c r="K677" s="380">
        <v>3194</v>
      </c>
      <c r="L677" s="380">
        <v>3195</v>
      </c>
      <c r="M677" s="381">
        <f t="shared" si="229"/>
        <v>1</v>
      </c>
      <c r="N677" s="381">
        <f>Rutas[[#This Row],[Kms Recorridos]]</f>
        <v>1</v>
      </c>
      <c r="O677" s="380"/>
      <c r="P677" s="92"/>
      <c r="Q677" s="382">
        <f t="shared" si="230"/>
        <v>0</v>
      </c>
      <c r="R677" s="89" t="s">
        <v>273</v>
      </c>
      <c r="S677" s="89" t="s">
        <v>102</v>
      </c>
      <c r="T677" s="92">
        <v>1.8</v>
      </c>
      <c r="U677" s="266">
        <f>Rutas[[#This Row],[Precio x Galón ($/gal)]]*Rutas[[#This Row],[Volumen de Combustible (gal)]]</f>
        <v>8.82</v>
      </c>
      <c r="V677" s="92"/>
      <c r="W677" s="92"/>
      <c r="X677" s="92"/>
      <c r="Y677" s="382">
        <f t="shared" si="231"/>
        <v>8.82</v>
      </c>
      <c r="Z677" s="567"/>
      <c r="AA677" s="382">
        <v>4.9000000000000004</v>
      </c>
      <c r="AB677" s="382">
        <f t="shared" si="232"/>
        <v>0.2040816326530612</v>
      </c>
      <c r="AC677" s="382">
        <f t="shared" si="233"/>
        <v>0</v>
      </c>
      <c r="AD677" s="89"/>
    </row>
    <row r="678" spans="1:30" ht="16" x14ac:dyDescent="0.2">
      <c r="A678" s="47"/>
      <c r="B678" s="422"/>
      <c r="C678" s="176">
        <f t="shared" si="228"/>
        <v>675</v>
      </c>
      <c r="D678" s="146">
        <v>45779</v>
      </c>
      <c r="E678" s="37">
        <v>45781</v>
      </c>
      <c r="F678" s="65" t="s">
        <v>312</v>
      </c>
      <c r="G678" s="11" t="str">
        <f ca="1">IF(AND(E678&lt;&gt;"",E678&lt;TODAY()),"Disponible",IFERROR(INDEX(Vehiculos[Estado Vehiculo],MATCH(F678,Vehiculos[Placa Vehiculo],0)),""))</f>
        <v>Disponible</v>
      </c>
      <c r="H678" s="34"/>
      <c r="I678" s="34" t="s">
        <v>273</v>
      </c>
      <c r="J678" s="169" t="s">
        <v>274</v>
      </c>
      <c r="K678" s="39">
        <v>3195</v>
      </c>
      <c r="L678" s="39">
        <v>3209</v>
      </c>
      <c r="M678" s="15">
        <f t="shared" si="229"/>
        <v>14</v>
      </c>
      <c r="N678" s="15">
        <f>Rutas[[#This Row],[Kms Recorridos]]</f>
        <v>14</v>
      </c>
      <c r="O678" s="39"/>
      <c r="P678" s="36"/>
      <c r="Q678" s="16">
        <f t="shared" si="230"/>
        <v>0</v>
      </c>
      <c r="R678" s="34" t="s">
        <v>273</v>
      </c>
      <c r="S678" s="34" t="s">
        <v>102</v>
      </c>
      <c r="T678" s="36">
        <v>1.8</v>
      </c>
      <c r="U678" s="293">
        <f>Rutas[[#This Row],[Precio x Galón ($/gal)]]*Rutas[[#This Row],[Volumen de Combustible (gal)]]</f>
        <v>11.574</v>
      </c>
      <c r="V678" s="36"/>
      <c r="W678" s="36"/>
      <c r="X678" s="36"/>
      <c r="Y678" s="145">
        <f t="shared" si="231"/>
        <v>11.574</v>
      </c>
      <c r="Z678" s="567"/>
      <c r="AA678" s="12">
        <v>6.43</v>
      </c>
      <c r="AB678" s="12">
        <f t="shared" si="232"/>
        <v>2.1772939346811819</v>
      </c>
      <c r="AC678" s="12">
        <f t="shared" si="233"/>
        <v>0</v>
      </c>
      <c r="AD678" s="34"/>
    </row>
    <row r="679" spans="1:30" ht="16" x14ac:dyDescent="0.2">
      <c r="A679" s="47"/>
      <c r="B679" s="422"/>
      <c r="C679" s="176">
        <f t="shared" si="228"/>
        <v>676</v>
      </c>
      <c r="D679" s="146">
        <v>45781</v>
      </c>
      <c r="E679" s="37">
        <v>45783</v>
      </c>
      <c r="F679" s="65" t="s">
        <v>312</v>
      </c>
      <c r="G679" s="11" t="str">
        <f ca="1">IF(AND(E679&lt;&gt;"",E679&lt;TODAY()),"Disponible",IFERROR(INDEX(Vehiculos[Estado Vehiculo],MATCH(F679,Vehiculos[Placa Vehiculo],0)),""))</f>
        <v>Disponible</v>
      </c>
      <c r="H679" s="34"/>
      <c r="I679" s="34" t="s">
        <v>273</v>
      </c>
      <c r="J679" s="169" t="s">
        <v>274</v>
      </c>
      <c r="K679" s="39">
        <v>3209</v>
      </c>
      <c r="L679" s="39">
        <v>3225</v>
      </c>
      <c r="M679" s="15">
        <f t="shared" si="229"/>
        <v>16</v>
      </c>
      <c r="N679" s="15">
        <f>Rutas[[#This Row],[Kms Recorridos]]</f>
        <v>16</v>
      </c>
      <c r="O679" s="39"/>
      <c r="P679" s="36"/>
      <c r="Q679" s="16">
        <f t="shared" si="230"/>
        <v>0</v>
      </c>
      <c r="R679" s="34" t="s">
        <v>273</v>
      </c>
      <c r="S679" s="34" t="s">
        <v>102</v>
      </c>
      <c r="T679" s="36">
        <v>1.8</v>
      </c>
      <c r="U679" s="293">
        <f>Rutas[[#This Row],[Precio x Galón ($/gal)]]*Rutas[[#This Row],[Volumen de Combustible (gal)]]</f>
        <v>15.192</v>
      </c>
      <c r="V679" s="36"/>
      <c r="W679" s="36"/>
      <c r="X679" s="36"/>
      <c r="Y679" s="145">
        <f t="shared" si="231"/>
        <v>15.192</v>
      </c>
      <c r="Z679" s="567"/>
      <c r="AA679" s="12">
        <v>8.44</v>
      </c>
      <c r="AB679" s="12">
        <f t="shared" si="232"/>
        <v>1.8957345971563981</v>
      </c>
      <c r="AC679" s="12">
        <f t="shared" si="233"/>
        <v>0</v>
      </c>
      <c r="AD679" s="34"/>
    </row>
    <row r="680" spans="1:30" ht="16" x14ac:dyDescent="0.2">
      <c r="A680" s="47"/>
      <c r="B680" s="422"/>
      <c r="C680" s="176">
        <f t="shared" si="228"/>
        <v>677</v>
      </c>
      <c r="D680" s="146">
        <v>45783</v>
      </c>
      <c r="E680" s="37">
        <v>45785</v>
      </c>
      <c r="F680" s="65" t="s">
        <v>312</v>
      </c>
      <c r="G680" s="11" t="str">
        <f ca="1">IF(AND(E680&lt;&gt;"",E680&lt;TODAY()),"Disponible",IFERROR(INDEX(Vehiculos[Estado Vehiculo],MATCH(F680,Vehiculos[Placa Vehiculo],0)),""))</f>
        <v>Disponible</v>
      </c>
      <c r="H680" s="34"/>
      <c r="I680" s="34" t="s">
        <v>273</v>
      </c>
      <c r="J680" s="169" t="s">
        <v>274</v>
      </c>
      <c r="K680" s="39">
        <v>3225</v>
      </c>
      <c r="L680" s="39">
        <v>3236</v>
      </c>
      <c r="M680" s="15">
        <f t="shared" si="229"/>
        <v>11</v>
      </c>
      <c r="N680" s="15">
        <f>Rutas[[#This Row],[Kms Recorridos]]</f>
        <v>11</v>
      </c>
      <c r="O680" s="39"/>
      <c r="P680" s="36"/>
      <c r="Q680" s="16">
        <f t="shared" si="230"/>
        <v>0</v>
      </c>
      <c r="R680" s="34" t="s">
        <v>273</v>
      </c>
      <c r="S680" s="34" t="s">
        <v>102</v>
      </c>
      <c r="T680" s="36">
        <v>1.8</v>
      </c>
      <c r="U680" s="293">
        <f>Rutas[[#This Row],[Precio x Galón ($/gal)]]*Rutas[[#This Row],[Volumen de Combustible (gal)]]</f>
        <v>17.964000000000002</v>
      </c>
      <c r="V680" s="36"/>
      <c r="W680" s="36"/>
      <c r="X680" s="36"/>
      <c r="Y680" s="145">
        <f t="shared" si="231"/>
        <v>17.964000000000002</v>
      </c>
      <c r="Z680" s="567"/>
      <c r="AA680" s="12">
        <v>9.98</v>
      </c>
      <c r="AB680" s="12">
        <f t="shared" si="232"/>
        <v>1.1022044088176353</v>
      </c>
      <c r="AC680" s="12">
        <f t="shared" si="233"/>
        <v>0</v>
      </c>
      <c r="AD680" s="34"/>
    </row>
    <row r="681" spans="1:30" ht="16" x14ac:dyDescent="0.2">
      <c r="A681" s="47"/>
      <c r="B681" s="422"/>
      <c r="C681" s="176">
        <f t="shared" si="228"/>
        <v>678</v>
      </c>
      <c r="D681" s="146">
        <v>45785</v>
      </c>
      <c r="E681" s="37">
        <v>45787</v>
      </c>
      <c r="F681" s="65" t="s">
        <v>312</v>
      </c>
      <c r="G681" s="11" t="str">
        <f ca="1">IF(AND(E681&lt;&gt;"",E681&lt;TODAY()),"Disponible",IFERROR(INDEX(Vehiculos[Estado Vehiculo],MATCH(F681,Vehiculos[Placa Vehiculo],0)),""))</f>
        <v>Disponible</v>
      </c>
      <c r="H681" s="34"/>
      <c r="I681" s="34" t="s">
        <v>273</v>
      </c>
      <c r="J681" s="169" t="s">
        <v>274</v>
      </c>
      <c r="K681" s="39">
        <v>3236</v>
      </c>
      <c r="L681" s="39">
        <v>3247</v>
      </c>
      <c r="M681" s="15">
        <f t="shared" si="229"/>
        <v>11</v>
      </c>
      <c r="N681" s="15">
        <f>Rutas[[#This Row],[Kms Recorridos]]</f>
        <v>11</v>
      </c>
      <c r="O681" s="39"/>
      <c r="P681" s="36"/>
      <c r="Q681" s="16">
        <f t="shared" si="230"/>
        <v>0</v>
      </c>
      <c r="R681" s="34" t="s">
        <v>273</v>
      </c>
      <c r="S681" s="34" t="s">
        <v>102</v>
      </c>
      <c r="T681" s="36">
        <v>1.8</v>
      </c>
      <c r="U681" s="293">
        <f>Rutas[[#This Row],[Precio x Galón ($/gal)]]*Rutas[[#This Row],[Volumen de Combustible (gal)]]</f>
        <v>16.992000000000001</v>
      </c>
      <c r="V681" s="36"/>
      <c r="W681" s="36"/>
      <c r="X681" s="36"/>
      <c r="Y681" s="145">
        <f t="shared" si="231"/>
        <v>16.992000000000001</v>
      </c>
      <c r="Z681" s="567"/>
      <c r="AA681" s="12">
        <v>9.44</v>
      </c>
      <c r="AB681" s="12">
        <f t="shared" si="232"/>
        <v>1.1652542372881356</v>
      </c>
      <c r="AC681" s="12">
        <f t="shared" si="233"/>
        <v>0</v>
      </c>
      <c r="AD681" s="34"/>
    </row>
    <row r="682" spans="1:30" ht="16" x14ac:dyDescent="0.2">
      <c r="A682" s="47"/>
      <c r="B682" s="422"/>
      <c r="C682" s="176">
        <f t="shared" si="228"/>
        <v>679</v>
      </c>
      <c r="D682" s="146">
        <v>45787</v>
      </c>
      <c r="E682" s="37">
        <v>45789</v>
      </c>
      <c r="F682" s="65" t="s">
        <v>312</v>
      </c>
      <c r="G682" s="11" t="str">
        <f ca="1">IF(AND(E682&lt;&gt;"",E682&lt;TODAY()),"Disponible",IFERROR(INDEX(Vehiculos[Estado Vehiculo],MATCH(F682,Vehiculos[Placa Vehiculo],0)),""))</f>
        <v>Disponible</v>
      </c>
      <c r="H682" s="34"/>
      <c r="I682" s="34" t="s">
        <v>273</v>
      </c>
      <c r="J682" s="169" t="s">
        <v>274</v>
      </c>
      <c r="K682" s="39">
        <v>3247</v>
      </c>
      <c r="L682" s="39">
        <v>3262</v>
      </c>
      <c r="M682" s="15">
        <f t="shared" ref="M682:M691" si="234">L682-K682</f>
        <v>15</v>
      </c>
      <c r="N682" s="15">
        <f>Rutas[[#This Row],[Kms Recorridos]]</f>
        <v>15</v>
      </c>
      <c r="O682" s="39"/>
      <c r="P682" s="36"/>
      <c r="Q682" s="16">
        <f t="shared" ref="Q682:Q691" si="235">M682*P682</f>
        <v>0</v>
      </c>
      <c r="R682" s="34" t="s">
        <v>273</v>
      </c>
      <c r="S682" s="34" t="s">
        <v>102</v>
      </c>
      <c r="T682" s="36">
        <v>1.8</v>
      </c>
      <c r="U682" s="293">
        <f>Rutas[[#This Row],[Precio x Galón ($/gal)]]*Rutas[[#This Row],[Volumen de Combustible (gal)]]</f>
        <v>16.650000000000002</v>
      </c>
      <c r="V682" s="36"/>
      <c r="W682" s="36"/>
      <c r="X682" s="36"/>
      <c r="Y682" s="145">
        <f t="shared" ref="Y682:Y691" si="236">U682+SUM(V682:X682)</f>
        <v>16.650000000000002</v>
      </c>
      <c r="Z682" s="567"/>
      <c r="AA682" s="12">
        <v>9.25</v>
      </c>
      <c r="AB682" s="12">
        <f t="shared" ref="AB682:AB691" si="237">IFERROR(M682/AA682,0)</f>
        <v>1.6216216216216217</v>
      </c>
      <c r="AC682" s="12">
        <f t="shared" ref="AC682:AC691" si="238">IFERROR(Q682/M682,0)</f>
        <v>0</v>
      </c>
      <c r="AD682" s="34"/>
    </row>
    <row r="683" spans="1:30" ht="16" x14ac:dyDescent="0.2">
      <c r="A683" s="47"/>
      <c r="B683" s="422"/>
      <c r="C683" s="176">
        <f t="shared" si="228"/>
        <v>680</v>
      </c>
      <c r="D683" s="146">
        <v>45789</v>
      </c>
      <c r="E683" s="37">
        <v>45791</v>
      </c>
      <c r="F683" s="65" t="s">
        <v>312</v>
      </c>
      <c r="G683" s="11" t="str">
        <f ca="1">IF(AND(E683&lt;&gt;"",E683&lt;TODAY()),"Disponible",IFERROR(INDEX(Vehiculos[Estado Vehiculo],MATCH(F683,Vehiculos[Placa Vehiculo],0)),""))</f>
        <v>Disponible</v>
      </c>
      <c r="H683" s="34"/>
      <c r="I683" s="34" t="s">
        <v>273</v>
      </c>
      <c r="J683" s="169" t="s">
        <v>274</v>
      </c>
      <c r="K683" s="39">
        <v>3262</v>
      </c>
      <c r="L683" s="39">
        <v>3279</v>
      </c>
      <c r="M683" s="15">
        <f t="shared" si="234"/>
        <v>17</v>
      </c>
      <c r="N683" s="15">
        <f>Rutas[[#This Row],[Kms Recorridos]]</f>
        <v>17</v>
      </c>
      <c r="O683" s="39"/>
      <c r="P683" s="36"/>
      <c r="Q683" s="16">
        <f t="shared" si="235"/>
        <v>0</v>
      </c>
      <c r="R683" s="34" t="s">
        <v>273</v>
      </c>
      <c r="S683" s="34" t="s">
        <v>102</v>
      </c>
      <c r="T683" s="36">
        <v>1.8</v>
      </c>
      <c r="U683" s="293">
        <f>Rutas[[#This Row],[Precio x Galón ($/gal)]]*Rutas[[#This Row],[Volumen de Combustible (gal)]]</f>
        <v>21.708000000000002</v>
      </c>
      <c r="V683" s="36"/>
      <c r="W683" s="36"/>
      <c r="X683" s="36"/>
      <c r="Y683" s="145">
        <f t="shared" si="236"/>
        <v>21.708000000000002</v>
      </c>
      <c r="Z683" s="567"/>
      <c r="AA683" s="12">
        <v>12.06</v>
      </c>
      <c r="AB683" s="12">
        <f t="shared" si="237"/>
        <v>1.4096185737976783</v>
      </c>
      <c r="AC683" s="12">
        <f t="shared" si="238"/>
        <v>0</v>
      </c>
      <c r="AD683" s="34"/>
    </row>
    <row r="684" spans="1:30" ht="16" x14ac:dyDescent="0.2">
      <c r="A684" s="47"/>
      <c r="B684" s="422"/>
      <c r="C684" s="176">
        <f t="shared" si="228"/>
        <v>681</v>
      </c>
      <c r="D684" s="146">
        <v>45791</v>
      </c>
      <c r="E684" s="37">
        <v>45793</v>
      </c>
      <c r="F684" s="65" t="s">
        <v>312</v>
      </c>
      <c r="G684" s="11" t="str">
        <f ca="1">IF(AND(E684&lt;&gt;"",E684&lt;TODAY()),"Disponible",IFERROR(INDEX(Vehiculos[Estado Vehiculo],MATCH(F684,Vehiculos[Placa Vehiculo],0)),""))</f>
        <v>Disponible</v>
      </c>
      <c r="H684" s="34"/>
      <c r="I684" s="34" t="s">
        <v>273</v>
      </c>
      <c r="J684" s="169" t="s">
        <v>274</v>
      </c>
      <c r="K684" s="39">
        <v>3279</v>
      </c>
      <c r="L684" s="39">
        <v>3295</v>
      </c>
      <c r="M684" s="15">
        <f t="shared" si="234"/>
        <v>16</v>
      </c>
      <c r="N684" s="15">
        <f>Rutas[[#This Row],[Kms Recorridos]]</f>
        <v>16</v>
      </c>
      <c r="O684" s="39"/>
      <c r="P684" s="36"/>
      <c r="Q684" s="16">
        <f t="shared" si="235"/>
        <v>0</v>
      </c>
      <c r="R684" s="34" t="s">
        <v>273</v>
      </c>
      <c r="S684" s="34" t="s">
        <v>102</v>
      </c>
      <c r="T684" s="36">
        <v>1.8</v>
      </c>
      <c r="U684" s="293">
        <f>Rutas[[#This Row],[Precio x Galón ($/gal)]]*Rutas[[#This Row],[Volumen de Combustible (gal)]]</f>
        <v>19.98</v>
      </c>
      <c r="V684" s="36"/>
      <c r="W684" s="36"/>
      <c r="X684" s="36"/>
      <c r="Y684" s="145">
        <f t="shared" si="236"/>
        <v>19.98</v>
      </c>
      <c r="Z684" s="567"/>
      <c r="AA684" s="12">
        <v>11.1</v>
      </c>
      <c r="AB684" s="12">
        <f t="shared" si="237"/>
        <v>1.4414414414414416</v>
      </c>
      <c r="AC684" s="12">
        <f t="shared" si="238"/>
        <v>0</v>
      </c>
      <c r="AD684" s="34"/>
    </row>
    <row r="685" spans="1:30" ht="16" x14ac:dyDescent="0.2">
      <c r="A685" s="47"/>
      <c r="B685" s="422"/>
      <c r="C685" s="176">
        <f t="shared" si="228"/>
        <v>682</v>
      </c>
      <c r="D685" s="146">
        <v>45793</v>
      </c>
      <c r="E685" s="37">
        <v>45795</v>
      </c>
      <c r="F685" s="65" t="s">
        <v>312</v>
      </c>
      <c r="G685" s="11" t="str">
        <f ca="1">IF(AND(E685&lt;&gt;"",E685&lt;TODAY()),"Disponible",IFERROR(INDEX(Vehiculos[Estado Vehiculo],MATCH(F685,Vehiculos[Placa Vehiculo],0)),""))</f>
        <v>Disponible</v>
      </c>
      <c r="H685" s="34"/>
      <c r="I685" s="34" t="s">
        <v>273</v>
      </c>
      <c r="J685" s="169" t="s">
        <v>274</v>
      </c>
      <c r="K685" s="39">
        <v>3295</v>
      </c>
      <c r="L685" s="39">
        <v>3300</v>
      </c>
      <c r="M685" s="15">
        <f t="shared" si="234"/>
        <v>5</v>
      </c>
      <c r="N685" s="15">
        <f>Rutas[[#This Row],[Kms Recorridos]]</f>
        <v>5</v>
      </c>
      <c r="O685" s="39"/>
      <c r="P685" s="36"/>
      <c r="Q685" s="16">
        <f t="shared" si="235"/>
        <v>0</v>
      </c>
      <c r="R685" s="34" t="s">
        <v>273</v>
      </c>
      <c r="S685" s="34" t="s">
        <v>102</v>
      </c>
      <c r="T685" s="36">
        <v>1.8</v>
      </c>
      <c r="U685" s="293">
        <f>Rutas[[#This Row],[Precio x Galón ($/gal)]]*Rutas[[#This Row],[Volumen de Combustible (gal)]]</f>
        <v>9.8279999999999994</v>
      </c>
      <c r="V685" s="36"/>
      <c r="W685" s="36"/>
      <c r="X685" s="36"/>
      <c r="Y685" s="145">
        <f t="shared" si="236"/>
        <v>9.8279999999999994</v>
      </c>
      <c r="Z685" s="567"/>
      <c r="AA685" s="12">
        <v>5.46</v>
      </c>
      <c r="AB685" s="12">
        <f t="shared" si="237"/>
        <v>0.91575091575091572</v>
      </c>
      <c r="AC685" s="12">
        <f t="shared" si="238"/>
        <v>0</v>
      </c>
      <c r="AD685" s="34"/>
    </row>
    <row r="686" spans="1:30" ht="16" x14ac:dyDescent="0.2">
      <c r="A686" s="47"/>
      <c r="B686" s="422"/>
      <c r="C686" s="176">
        <f t="shared" si="228"/>
        <v>683</v>
      </c>
      <c r="D686" s="146">
        <v>45795</v>
      </c>
      <c r="E686" s="37">
        <v>45796</v>
      </c>
      <c r="F686" s="65" t="s">
        <v>312</v>
      </c>
      <c r="G686" s="11" t="str">
        <f ca="1">IF(AND(E686&lt;&gt;"",E686&lt;TODAY()),"Disponible",IFERROR(INDEX(Vehiculos[Estado Vehiculo],MATCH(F686,Vehiculos[Placa Vehiculo],0)),""))</f>
        <v>Disponible</v>
      </c>
      <c r="H686" s="34"/>
      <c r="I686" s="34" t="s">
        <v>273</v>
      </c>
      <c r="J686" s="34" t="s">
        <v>274</v>
      </c>
      <c r="K686" s="39">
        <v>3300</v>
      </c>
      <c r="L686" s="39">
        <v>3306</v>
      </c>
      <c r="M686" s="15">
        <f t="shared" si="234"/>
        <v>6</v>
      </c>
      <c r="N686" s="15">
        <f>Rutas[[#This Row],[Kms Recorridos]]</f>
        <v>6</v>
      </c>
      <c r="O686" s="39"/>
      <c r="P686" s="36"/>
      <c r="Q686" s="16">
        <f t="shared" si="235"/>
        <v>0</v>
      </c>
      <c r="R686" s="34" t="s">
        <v>273</v>
      </c>
      <c r="S686" s="34" t="s">
        <v>102</v>
      </c>
      <c r="T686" s="36">
        <v>1.8</v>
      </c>
      <c r="U686" s="293">
        <f>Rutas[[#This Row],[Precio x Galón ($/gal)]]*Rutas[[#This Row],[Volumen de Combustible (gal)]]</f>
        <v>10.368</v>
      </c>
      <c r="V686" s="36"/>
      <c r="W686" s="36"/>
      <c r="X686" s="36"/>
      <c r="Y686" s="145">
        <f t="shared" si="236"/>
        <v>10.368</v>
      </c>
      <c r="Z686" s="567"/>
      <c r="AA686" s="12">
        <v>5.76</v>
      </c>
      <c r="AB686" s="12">
        <f t="shared" si="237"/>
        <v>1.0416666666666667</v>
      </c>
      <c r="AC686" s="12">
        <f t="shared" si="238"/>
        <v>0</v>
      </c>
      <c r="AD686" s="34"/>
    </row>
    <row r="687" spans="1:30" ht="16" x14ac:dyDescent="0.2">
      <c r="A687" s="47"/>
      <c r="B687" s="422"/>
      <c r="C687" s="176">
        <f t="shared" si="228"/>
        <v>684</v>
      </c>
      <c r="D687" s="146">
        <v>45796</v>
      </c>
      <c r="E687" s="37">
        <v>45797</v>
      </c>
      <c r="F687" s="65" t="s">
        <v>312</v>
      </c>
      <c r="G687" s="11" t="str">
        <f ca="1">IF(AND(E687&lt;&gt;"",E687&lt;TODAY()),"Disponible",IFERROR(INDEX(Vehiculos[Estado Vehiculo],MATCH(F687,Vehiculos[Placa Vehiculo],0)),""))</f>
        <v>Disponible</v>
      </c>
      <c r="H687" s="34"/>
      <c r="I687" s="34" t="s">
        <v>273</v>
      </c>
      <c r="J687" s="34" t="s">
        <v>274</v>
      </c>
      <c r="K687" s="39">
        <v>3306</v>
      </c>
      <c r="L687" s="39">
        <v>3310</v>
      </c>
      <c r="M687" s="15">
        <f t="shared" si="234"/>
        <v>4</v>
      </c>
      <c r="N687" s="15">
        <f>Rutas[[#This Row],[Kms Recorridos]]</f>
        <v>4</v>
      </c>
      <c r="O687" s="39"/>
      <c r="P687" s="36"/>
      <c r="Q687" s="16">
        <f t="shared" si="235"/>
        <v>0</v>
      </c>
      <c r="R687" s="34" t="s">
        <v>273</v>
      </c>
      <c r="S687" s="34" t="s">
        <v>102</v>
      </c>
      <c r="T687" s="36">
        <v>1.8</v>
      </c>
      <c r="U687" s="293">
        <f>Rutas[[#This Row],[Precio x Galón ($/gal)]]*Rutas[[#This Row],[Volumen de Combustible (gal)]]</f>
        <v>7.2</v>
      </c>
      <c r="V687" s="36"/>
      <c r="W687" s="36"/>
      <c r="X687" s="36"/>
      <c r="Y687" s="145">
        <f t="shared" si="236"/>
        <v>7.2</v>
      </c>
      <c r="Z687" s="567"/>
      <c r="AA687" s="12">
        <v>4</v>
      </c>
      <c r="AB687" s="12">
        <f t="shared" si="237"/>
        <v>1</v>
      </c>
      <c r="AC687" s="12">
        <f t="shared" si="238"/>
        <v>0</v>
      </c>
      <c r="AD687" s="34"/>
    </row>
    <row r="688" spans="1:30" ht="16" x14ac:dyDescent="0.2">
      <c r="A688" s="47"/>
      <c r="B688" s="422"/>
      <c r="C688" s="176">
        <f t="shared" si="228"/>
        <v>685</v>
      </c>
      <c r="D688" s="146">
        <v>45797</v>
      </c>
      <c r="E688" s="37">
        <v>45798</v>
      </c>
      <c r="F688" s="65" t="s">
        <v>312</v>
      </c>
      <c r="G688" s="11" t="str">
        <f ca="1">IF(AND(E688&lt;&gt;"",E688&lt;TODAY()),"Disponible",IFERROR(INDEX(Vehiculos[Estado Vehiculo],MATCH(F688,Vehiculos[Placa Vehiculo],0)),""))</f>
        <v>Disponible</v>
      </c>
      <c r="H688" s="34"/>
      <c r="I688" s="34" t="s">
        <v>273</v>
      </c>
      <c r="J688" s="34" t="s">
        <v>274</v>
      </c>
      <c r="K688" s="39">
        <v>3310</v>
      </c>
      <c r="L688" s="39">
        <v>3312</v>
      </c>
      <c r="M688" s="15">
        <f t="shared" si="234"/>
        <v>2</v>
      </c>
      <c r="N688" s="15">
        <f>Rutas[[#This Row],[Kms Recorridos]]</f>
        <v>2</v>
      </c>
      <c r="O688" s="39"/>
      <c r="P688" s="36"/>
      <c r="Q688" s="16">
        <f t="shared" si="235"/>
        <v>0</v>
      </c>
      <c r="R688" s="34" t="s">
        <v>273</v>
      </c>
      <c r="S688" s="34" t="s">
        <v>102</v>
      </c>
      <c r="T688" s="36">
        <v>1.8</v>
      </c>
      <c r="U688" s="293">
        <f>Rutas[[#This Row],[Precio x Galón ($/gal)]]*Rutas[[#This Row],[Volumen de Combustible (gal)]]</f>
        <v>5.2919999999999998</v>
      </c>
      <c r="V688" s="36"/>
      <c r="W688" s="36"/>
      <c r="X688" s="36"/>
      <c r="Y688" s="145">
        <f t="shared" si="236"/>
        <v>5.2919999999999998</v>
      </c>
      <c r="Z688" s="567"/>
      <c r="AA688" s="12">
        <v>2.94</v>
      </c>
      <c r="AB688" s="12">
        <f t="shared" si="237"/>
        <v>0.68027210884353739</v>
      </c>
      <c r="AC688" s="12">
        <f t="shared" si="238"/>
        <v>0</v>
      </c>
      <c r="AD688" s="34"/>
    </row>
    <row r="689" spans="1:30" ht="16" x14ac:dyDescent="0.2">
      <c r="A689" s="47"/>
      <c r="B689" s="422"/>
      <c r="C689" s="176">
        <f t="shared" si="228"/>
        <v>686</v>
      </c>
      <c r="D689" s="146">
        <v>45798</v>
      </c>
      <c r="E689" s="37">
        <v>45801</v>
      </c>
      <c r="F689" s="65" t="s">
        <v>312</v>
      </c>
      <c r="G689" s="11" t="str">
        <f ca="1">IF(AND(E689&lt;&gt;"",E689&lt;TODAY()),"Disponible",IFERROR(INDEX(Vehiculos[Estado Vehiculo],MATCH(F689,Vehiculos[Placa Vehiculo],0)),""))</f>
        <v>Disponible</v>
      </c>
      <c r="H689" s="34"/>
      <c r="I689" s="34" t="s">
        <v>273</v>
      </c>
      <c r="J689" s="34" t="s">
        <v>274</v>
      </c>
      <c r="K689" s="39">
        <v>3312</v>
      </c>
      <c r="L689" s="39">
        <v>3326</v>
      </c>
      <c r="M689" s="15">
        <f t="shared" si="234"/>
        <v>14</v>
      </c>
      <c r="N689" s="15">
        <f>Rutas[[#This Row],[Kms Recorridos]]</f>
        <v>14</v>
      </c>
      <c r="O689" s="39"/>
      <c r="P689" s="36"/>
      <c r="Q689" s="16">
        <f t="shared" si="235"/>
        <v>0</v>
      </c>
      <c r="R689" s="34" t="s">
        <v>273</v>
      </c>
      <c r="S689" s="34" t="s">
        <v>102</v>
      </c>
      <c r="T689" s="36">
        <v>1.8</v>
      </c>
      <c r="U689" s="293">
        <f>Rutas[[#This Row],[Precio x Galón ($/gal)]]*Rutas[[#This Row],[Volumen de Combustible (gal)]]</f>
        <v>25.541999999999998</v>
      </c>
      <c r="V689" s="36"/>
      <c r="W689" s="36"/>
      <c r="X689" s="36"/>
      <c r="Y689" s="145">
        <f t="shared" si="236"/>
        <v>25.541999999999998</v>
      </c>
      <c r="Z689" s="567"/>
      <c r="AA689" s="12">
        <v>14.19</v>
      </c>
      <c r="AB689" s="12">
        <f t="shared" si="237"/>
        <v>0.98661028893587033</v>
      </c>
      <c r="AC689" s="12">
        <f t="shared" si="238"/>
        <v>0</v>
      </c>
      <c r="AD689" s="34"/>
    </row>
    <row r="690" spans="1:30" ht="16" x14ac:dyDescent="0.2">
      <c r="A690" s="47"/>
      <c r="B690" s="422"/>
      <c r="C690" s="176">
        <f t="shared" si="228"/>
        <v>687</v>
      </c>
      <c r="D690" s="146">
        <v>45801</v>
      </c>
      <c r="E690" s="37">
        <v>45804</v>
      </c>
      <c r="F690" s="65" t="s">
        <v>312</v>
      </c>
      <c r="G690" s="11" t="str">
        <f ca="1">IF(AND(E690&lt;&gt;"",E690&lt;TODAY()),"Disponible",IFERROR(INDEX(Vehiculos[Estado Vehiculo],MATCH(F690,Vehiculos[Placa Vehiculo],0)),""))</f>
        <v>Disponible</v>
      </c>
      <c r="H690" s="34"/>
      <c r="I690" s="34" t="s">
        <v>273</v>
      </c>
      <c r="J690" s="34" t="s">
        <v>274</v>
      </c>
      <c r="K690" s="39">
        <v>3326</v>
      </c>
      <c r="L690" s="39">
        <v>3327</v>
      </c>
      <c r="M690" s="15">
        <f>L690-K690</f>
        <v>1</v>
      </c>
      <c r="N690" s="15">
        <v>1</v>
      </c>
      <c r="O690" s="39"/>
      <c r="P690" s="36"/>
      <c r="Q690" s="16">
        <f>M690*P690</f>
        <v>0</v>
      </c>
      <c r="R690" s="34" t="s">
        <v>273</v>
      </c>
      <c r="S690" s="34" t="s">
        <v>102</v>
      </c>
      <c r="T690" s="36">
        <v>1.8</v>
      </c>
      <c r="U690" s="293">
        <f>Rutas[[#This Row],[Precio x Galón ($/gal)]]*Rutas[[#This Row],[Volumen de Combustible (gal)]]</f>
        <v>14.4</v>
      </c>
      <c r="V690" s="36"/>
      <c r="W690" s="36"/>
      <c r="X690" s="36"/>
      <c r="Y690" s="145">
        <f>U690+SUM(V690:X690)</f>
        <v>14.4</v>
      </c>
      <c r="Z690" s="567"/>
      <c r="AA690" s="12">
        <v>8</v>
      </c>
      <c r="AB690" s="12">
        <f>IFERROR(M690/AA690,0)</f>
        <v>0.125</v>
      </c>
      <c r="AC690" s="12">
        <f>IFERROR(Q690/M690,0)</f>
        <v>0</v>
      </c>
      <c r="AD690" s="34"/>
    </row>
    <row r="691" spans="1:30" ht="16" x14ac:dyDescent="0.2">
      <c r="A691" s="47"/>
      <c r="B691" s="422"/>
      <c r="C691" s="176">
        <f t="shared" si="228"/>
        <v>688</v>
      </c>
      <c r="D691" s="146">
        <v>45804</v>
      </c>
      <c r="E691" s="37">
        <v>45805</v>
      </c>
      <c r="F691" s="65" t="s">
        <v>312</v>
      </c>
      <c r="G691" s="11" t="str">
        <f ca="1">IF(AND(E691&lt;&gt;"",E691&lt;TODAY()),"Disponible",IFERROR(INDEX(Vehiculos[Estado Vehiculo],MATCH(F691,Vehiculos[Placa Vehiculo],0)),""))</f>
        <v>Disponible</v>
      </c>
      <c r="H691" s="34"/>
      <c r="I691" s="34" t="s">
        <v>273</v>
      </c>
      <c r="J691" s="34" t="s">
        <v>274</v>
      </c>
      <c r="K691" s="39">
        <v>3327</v>
      </c>
      <c r="L691" s="39">
        <v>3328</v>
      </c>
      <c r="M691" s="15">
        <f t="shared" si="234"/>
        <v>1</v>
      </c>
      <c r="N691" s="15">
        <v>1</v>
      </c>
      <c r="O691" s="39"/>
      <c r="P691" s="36"/>
      <c r="Q691" s="16">
        <f t="shared" si="235"/>
        <v>0</v>
      </c>
      <c r="R691" s="34" t="s">
        <v>273</v>
      </c>
      <c r="S691" s="34" t="s">
        <v>102</v>
      </c>
      <c r="T691" s="36">
        <v>1.8</v>
      </c>
      <c r="U691" s="293">
        <f>Rutas[[#This Row],[Precio x Galón ($/gal)]]*Rutas[[#This Row],[Volumen de Combustible (gal)]]</f>
        <v>16.253999999999998</v>
      </c>
      <c r="V691" s="36"/>
      <c r="W691" s="36"/>
      <c r="X691" s="36"/>
      <c r="Y691" s="145">
        <f t="shared" si="236"/>
        <v>16.253999999999998</v>
      </c>
      <c r="Z691" s="567"/>
      <c r="AA691" s="12">
        <v>9.0299999999999994</v>
      </c>
      <c r="AB691" s="12">
        <f t="shared" si="237"/>
        <v>0.11074197120708749</v>
      </c>
      <c r="AC691" s="12">
        <f t="shared" si="238"/>
        <v>0</v>
      </c>
      <c r="AD691" s="34"/>
    </row>
    <row r="692" spans="1:30" ht="16" x14ac:dyDescent="0.2">
      <c r="A692" s="47"/>
      <c r="B692" s="422"/>
      <c r="C692" s="176">
        <f t="shared" si="228"/>
        <v>689</v>
      </c>
      <c r="D692" s="146">
        <v>45805</v>
      </c>
      <c r="E692" s="37">
        <v>45807</v>
      </c>
      <c r="F692" s="65" t="s">
        <v>312</v>
      </c>
      <c r="G692" s="11" t="str">
        <f ca="1">IF(AND(E692&lt;&gt;"",E692&lt;TODAY()),"Disponible",IFERROR(INDEX(Vehiculos[Estado Vehiculo],MATCH(F692,Vehiculos[Placa Vehiculo],0)),""))</f>
        <v>Disponible</v>
      </c>
      <c r="H692" s="34"/>
      <c r="I692" s="34" t="s">
        <v>273</v>
      </c>
      <c r="J692" s="34" t="s">
        <v>274</v>
      </c>
      <c r="K692" s="39">
        <v>3328</v>
      </c>
      <c r="L692" s="39">
        <v>3338</v>
      </c>
      <c r="M692" s="15">
        <f t="shared" ref="M692:M707" si="239">L692-K692</f>
        <v>10</v>
      </c>
      <c r="N692" s="15">
        <v>10</v>
      </c>
      <c r="O692" s="39"/>
      <c r="P692" s="36"/>
      <c r="Q692" s="16">
        <f t="shared" ref="Q692:Q707" si="240">M692*P692</f>
        <v>0</v>
      </c>
      <c r="R692" s="34" t="s">
        <v>273</v>
      </c>
      <c r="S692" s="34" t="s">
        <v>102</v>
      </c>
      <c r="T692" s="36">
        <v>1.8</v>
      </c>
      <c r="U692" s="293">
        <f>Rutas[[#This Row],[Precio x Galón ($/gal)]]*Rutas[[#This Row],[Volumen de Combustible (gal)]]</f>
        <v>17.676000000000002</v>
      </c>
      <c r="V692" s="36"/>
      <c r="W692" s="36"/>
      <c r="X692" s="36"/>
      <c r="Y692" s="145">
        <f t="shared" ref="Y692:Y707" si="241">U692+SUM(V692:X692)</f>
        <v>17.676000000000002</v>
      </c>
      <c r="Z692" s="567"/>
      <c r="AA692" s="12">
        <v>9.82</v>
      </c>
      <c r="AB692" s="12">
        <f t="shared" ref="AB692:AB707" si="242">IFERROR(M692/AA692,0)</f>
        <v>1.0183299389002036</v>
      </c>
      <c r="AC692" s="12">
        <f t="shared" ref="AC692:AC707" si="243">IFERROR(Q692/M692,0)</f>
        <v>0</v>
      </c>
      <c r="AD692" s="34"/>
    </row>
    <row r="693" spans="1:30" ht="16" x14ac:dyDescent="0.2">
      <c r="A693" s="47"/>
      <c r="B693" s="422"/>
      <c r="C693" s="176">
        <f t="shared" si="228"/>
        <v>690</v>
      </c>
      <c r="D693" s="146">
        <v>45807</v>
      </c>
      <c r="E693" s="37">
        <v>45808</v>
      </c>
      <c r="F693" s="65" t="s">
        <v>312</v>
      </c>
      <c r="G693" s="11" t="str">
        <f ca="1">IF(AND(E693&lt;&gt;"",E693&lt;TODAY()),"Disponible",IFERROR(INDEX(Vehiculos[Estado Vehiculo],MATCH(F693,Vehiculos[Placa Vehiculo],0)),""))</f>
        <v>Disponible</v>
      </c>
      <c r="H693" s="34"/>
      <c r="I693" s="34" t="s">
        <v>273</v>
      </c>
      <c r="J693" s="34" t="s">
        <v>274</v>
      </c>
      <c r="K693" s="39">
        <v>3338</v>
      </c>
      <c r="L693" s="39">
        <v>3339</v>
      </c>
      <c r="M693" s="15">
        <f t="shared" si="239"/>
        <v>1</v>
      </c>
      <c r="N693" s="15">
        <v>1</v>
      </c>
      <c r="O693" s="39"/>
      <c r="P693" s="36"/>
      <c r="Q693" s="16">
        <f t="shared" si="240"/>
        <v>0</v>
      </c>
      <c r="R693" s="34" t="s">
        <v>273</v>
      </c>
      <c r="S693" s="34" t="s">
        <v>102</v>
      </c>
      <c r="T693" s="36"/>
      <c r="U693" s="293"/>
      <c r="V693" s="36"/>
      <c r="W693" s="36"/>
      <c r="X693" s="36"/>
      <c r="Y693" s="145">
        <f t="shared" si="241"/>
        <v>0</v>
      </c>
      <c r="Z693" s="567"/>
      <c r="AA693" s="12"/>
      <c r="AB693" s="12">
        <f t="shared" si="242"/>
        <v>0</v>
      </c>
      <c r="AC693" s="12">
        <f t="shared" si="243"/>
        <v>0</v>
      </c>
      <c r="AD693" s="34"/>
    </row>
    <row r="694" spans="1:30" ht="16" x14ac:dyDescent="0.2">
      <c r="A694" s="47"/>
      <c r="B694" s="422"/>
      <c r="C694" s="176">
        <f t="shared" si="228"/>
        <v>691</v>
      </c>
      <c r="D694" s="437"/>
      <c r="E694" s="438"/>
      <c r="F694" s="439"/>
      <c r="G694" s="440" t="str">
        <f ca="1">IF(AND(E694&lt;&gt;"",E694&lt;TODAY()),"Disponible",IFERROR(INDEX(Vehiculos[Estado Vehiculo],MATCH(F694,Vehiculos[Placa Vehiculo],0)),""))</f>
        <v/>
      </c>
      <c r="H694" s="441"/>
      <c r="I694" s="441"/>
      <c r="J694" s="441"/>
      <c r="K694" s="442"/>
      <c r="L694" s="442"/>
      <c r="M694" s="443">
        <f t="shared" si="239"/>
        <v>0</v>
      </c>
      <c r="N694" s="443">
        <f>Rutas[[#This Row],[Kms Recorridos]]</f>
        <v>0</v>
      </c>
      <c r="O694" s="442"/>
      <c r="P694" s="444"/>
      <c r="Q694" s="445">
        <f t="shared" si="240"/>
        <v>0</v>
      </c>
      <c r="R694" s="441"/>
      <c r="S694" s="441"/>
      <c r="T694" s="444"/>
      <c r="U694" s="446">
        <f>Rutas[[#This Row],[Precio x Galón ($/gal)]]*Rutas[[#This Row],[Volumen de Combustible (gal)]]</f>
        <v>0</v>
      </c>
      <c r="V694" s="444"/>
      <c r="W694" s="444"/>
      <c r="X694" s="444"/>
      <c r="Y694" s="447">
        <f t="shared" si="241"/>
        <v>0</v>
      </c>
      <c r="Z694" s="570"/>
      <c r="AA694" s="448"/>
      <c r="AB694" s="448">
        <f t="shared" si="242"/>
        <v>0</v>
      </c>
      <c r="AC694" s="448">
        <f t="shared" si="243"/>
        <v>0</v>
      </c>
      <c r="AD694" s="441"/>
    </row>
    <row r="695" spans="1:30" ht="16" x14ac:dyDescent="0.2">
      <c r="A695" s="47"/>
      <c r="B695" s="422"/>
      <c r="C695" s="176">
        <f t="shared" si="228"/>
        <v>692</v>
      </c>
      <c r="D695" s="90">
        <v>45778</v>
      </c>
      <c r="E695" s="90">
        <v>45779</v>
      </c>
      <c r="F695" s="68" t="s">
        <v>318</v>
      </c>
      <c r="G695" s="379" t="str">
        <f ca="1">IF(AND(E695&lt;&gt;"",E695&lt;TODAY()),"Disponible",IFERROR(INDEX(Vehiculos[Estado Vehiculo],MATCH(F695,Vehiculos[Placa Vehiculo],0)),""))</f>
        <v>Disponible</v>
      </c>
      <c r="H695" s="89"/>
      <c r="I695" s="89" t="s">
        <v>273</v>
      </c>
      <c r="J695" s="89" t="s">
        <v>282</v>
      </c>
      <c r="K695" s="380">
        <v>353</v>
      </c>
      <c r="L695" s="380">
        <v>363</v>
      </c>
      <c r="M695" s="381">
        <f t="shared" si="239"/>
        <v>10</v>
      </c>
      <c r="N695" s="381">
        <f>Rutas[[#This Row],[Kms Recorridos]]</f>
        <v>10</v>
      </c>
      <c r="O695" s="380"/>
      <c r="P695" s="92"/>
      <c r="Q695" s="382">
        <f t="shared" si="240"/>
        <v>0</v>
      </c>
      <c r="R695" s="89" t="s">
        <v>273</v>
      </c>
      <c r="S695" s="89" t="s">
        <v>102</v>
      </c>
      <c r="T695" s="92">
        <v>1.8</v>
      </c>
      <c r="U695" s="266">
        <f>Rutas[[#This Row],[Precio x Galón ($/gal)]]*Rutas[[#This Row],[Volumen de Combustible (gal)]]</f>
        <v>12.618</v>
      </c>
      <c r="V695" s="92"/>
      <c r="W695" s="92"/>
      <c r="X695" s="92"/>
      <c r="Y695" s="382">
        <f t="shared" si="241"/>
        <v>12.618</v>
      </c>
      <c r="Z695" s="567"/>
      <c r="AA695" s="382">
        <v>7.01</v>
      </c>
      <c r="AB695" s="382">
        <f t="shared" si="242"/>
        <v>1.4265335235378032</v>
      </c>
      <c r="AC695" s="382">
        <f t="shared" si="243"/>
        <v>0</v>
      </c>
      <c r="AD695" s="89"/>
    </row>
    <row r="696" spans="1:30" ht="16" x14ac:dyDescent="0.2">
      <c r="A696" s="47"/>
      <c r="B696" s="422"/>
      <c r="C696" s="176">
        <f t="shared" si="228"/>
        <v>693</v>
      </c>
      <c r="D696" s="146">
        <v>45779</v>
      </c>
      <c r="E696" s="37">
        <v>45785</v>
      </c>
      <c r="F696" s="65" t="s">
        <v>318</v>
      </c>
      <c r="G696" s="11" t="str">
        <f ca="1">IF(AND(E696&lt;&gt;"",E696&lt;TODAY()),"Disponible",IFERROR(INDEX(Vehiculos[Estado Vehiculo],MATCH(F696,Vehiculos[Placa Vehiculo],0)),""))</f>
        <v>Disponible</v>
      </c>
      <c r="H696" s="34"/>
      <c r="I696" s="34" t="s">
        <v>273</v>
      </c>
      <c r="J696" s="34" t="s">
        <v>282</v>
      </c>
      <c r="K696" s="39">
        <v>363</v>
      </c>
      <c r="L696" s="39">
        <v>390</v>
      </c>
      <c r="M696" s="15">
        <f t="shared" si="239"/>
        <v>27</v>
      </c>
      <c r="N696" s="15">
        <f>Rutas[[#This Row],[Kms Recorridos]]</f>
        <v>27</v>
      </c>
      <c r="O696" s="39"/>
      <c r="P696" s="36"/>
      <c r="Q696" s="16">
        <f t="shared" si="240"/>
        <v>0</v>
      </c>
      <c r="R696" s="34" t="s">
        <v>273</v>
      </c>
      <c r="S696" s="34" t="s">
        <v>102</v>
      </c>
      <c r="T696" s="36">
        <v>1.8</v>
      </c>
      <c r="U696" s="293">
        <f>Rutas[[#This Row],[Precio x Galón ($/gal)]]*Rutas[[#This Row],[Volumen de Combustible (gal)]]</f>
        <v>23.796000000000003</v>
      </c>
      <c r="V696" s="36"/>
      <c r="W696" s="36"/>
      <c r="X696" s="36"/>
      <c r="Y696" s="145">
        <f t="shared" si="241"/>
        <v>23.796000000000003</v>
      </c>
      <c r="Z696" s="567"/>
      <c r="AA696" s="12">
        <v>13.22</v>
      </c>
      <c r="AB696" s="12">
        <f t="shared" si="242"/>
        <v>2.0423600605143721</v>
      </c>
      <c r="AC696" s="12">
        <f t="shared" si="243"/>
        <v>0</v>
      </c>
      <c r="AD696" s="34"/>
    </row>
    <row r="697" spans="1:30" ht="16" x14ac:dyDescent="0.2">
      <c r="A697" s="47"/>
      <c r="B697" s="422"/>
      <c r="C697" s="176">
        <f t="shared" si="228"/>
        <v>694</v>
      </c>
      <c r="D697" s="146">
        <v>45785</v>
      </c>
      <c r="E697" s="37">
        <v>45789</v>
      </c>
      <c r="F697" s="65" t="s">
        <v>318</v>
      </c>
      <c r="G697" s="11" t="str">
        <f ca="1">IF(AND(E697&lt;&gt;"",E697&lt;TODAY()),"Disponible",IFERROR(INDEX(Vehiculos[Estado Vehiculo],MATCH(F697,Vehiculos[Placa Vehiculo],0)),""))</f>
        <v>Disponible</v>
      </c>
      <c r="H697" s="34"/>
      <c r="I697" s="34" t="s">
        <v>273</v>
      </c>
      <c r="J697" s="34" t="s">
        <v>282</v>
      </c>
      <c r="K697" s="39">
        <v>390</v>
      </c>
      <c r="L697" s="39">
        <v>402</v>
      </c>
      <c r="M697" s="15">
        <f t="shared" si="239"/>
        <v>12</v>
      </c>
      <c r="N697" s="15">
        <f>Rutas[[#This Row],[Kms Recorridos]]</f>
        <v>12</v>
      </c>
      <c r="O697" s="39"/>
      <c r="P697" s="36"/>
      <c r="Q697" s="16">
        <f t="shared" si="240"/>
        <v>0</v>
      </c>
      <c r="R697" s="34" t="s">
        <v>273</v>
      </c>
      <c r="S697" s="34" t="s">
        <v>102</v>
      </c>
      <c r="T697" s="36">
        <v>1.8</v>
      </c>
      <c r="U697" s="293">
        <f>Rutas[[#This Row],[Precio x Galón ($/gal)]]*Rutas[[#This Row],[Volumen de Combustible (gal)]]</f>
        <v>17.100000000000001</v>
      </c>
      <c r="V697" s="36"/>
      <c r="W697" s="36"/>
      <c r="X697" s="36"/>
      <c r="Y697" s="145">
        <f t="shared" si="241"/>
        <v>17.100000000000001</v>
      </c>
      <c r="Z697" s="567"/>
      <c r="AA697" s="12">
        <v>9.5</v>
      </c>
      <c r="AB697" s="12">
        <f t="shared" si="242"/>
        <v>1.263157894736842</v>
      </c>
      <c r="AC697" s="12">
        <f t="shared" si="243"/>
        <v>0</v>
      </c>
      <c r="AD697" s="34"/>
    </row>
    <row r="698" spans="1:30" ht="16" x14ac:dyDescent="0.2">
      <c r="A698" s="47"/>
      <c r="B698" s="422"/>
      <c r="C698" s="176">
        <f t="shared" si="228"/>
        <v>695</v>
      </c>
      <c r="D698" s="146">
        <v>45789</v>
      </c>
      <c r="E698" s="37">
        <v>45794</v>
      </c>
      <c r="F698" s="65" t="s">
        <v>318</v>
      </c>
      <c r="G698" s="11" t="str">
        <f ca="1">IF(AND(E698&lt;&gt;"",E698&lt;TODAY()),"Disponible",IFERROR(INDEX(Vehiculos[Estado Vehiculo],MATCH(F698,Vehiculos[Placa Vehiculo],0)),""))</f>
        <v>Disponible</v>
      </c>
      <c r="H698" s="34"/>
      <c r="I698" s="34" t="s">
        <v>273</v>
      </c>
      <c r="J698" s="34" t="s">
        <v>282</v>
      </c>
      <c r="K698" s="39">
        <v>402</v>
      </c>
      <c r="L698" s="39">
        <v>416</v>
      </c>
      <c r="M698" s="15">
        <f t="shared" si="239"/>
        <v>14</v>
      </c>
      <c r="N698" s="15">
        <f>Rutas[[#This Row],[Kms Recorridos]]</f>
        <v>14</v>
      </c>
      <c r="O698" s="39"/>
      <c r="P698" s="36"/>
      <c r="Q698" s="16">
        <f t="shared" si="240"/>
        <v>0</v>
      </c>
      <c r="R698" s="34" t="s">
        <v>273</v>
      </c>
      <c r="S698" s="34" t="s">
        <v>102</v>
      </c>
      <c r="T698" s="36">
        <v>1.8</v>
      </c>
      <c r="U698" s="293">
        <f>Rutas[[#This Row],[Precio x Galón ($/gal)]]*Rutas[[#This Row],[Volumen de Combustible (gal)]]</f>
        <v>10.926</v>
      </c>
      <c r="V698" s="36"/>
      <c r="W698" s="36"/>
      <c r="X698" s="36"/>
      <c r="Y698" s="145">
        <f t="shared" si="241"/>
        <v>10.926</v>
      </c>
      <c r="Z698" s="567"/>
      <c r="AA698" s="12">
        <v>6.07</v>
      </c>
      <c r="AB698" s="12">
        <f t="shared" si="242"/>
        <v>2.3064250411861615</v>
      </c>
      <c r="AC698" s="12">
        <f t="shared" si="243"/>
        <v>0</v>
      </c>
      <c r="AD698" s="34"/>
    </row>
    <row r="699" spans="1:30" ht="16" x14ac:dyDescent="0.2">
      <c r="A699" s="47"/>
      <c r="B699" s="422"/>
      <c r="C699" s="176">
        <f t="shared" si="228"/>
        <v>696</v>
      </c>
      <c r="D699" s="146">
        <v>45794</v>
      </c>
      <c r="E699" s="37">
        <v>45796</v>
      </c>
      <c r="F699" s="65" t="s">
        <v>318</v>
      </c>
      <c r="G699" s="11" t="str">
        <f ca="1">IF(AND(E699&lt;&gt;"",E699&lt;TODAY()),"Disponible",IFERROR(INDEX(Vehiculos[Estado Vehiculo],MATCH(F699,Vehiculos[Placa Vehiculo],0)),""))</f>
        <v>Disponible</v>
      </c>
      <c r="H699" s="34"/>
      <c r="I699" s="34" t="s">
        <v>273</v>
      </c>
      <c r="J699" s="34" t="s">
        <v>282</v>
      </c>
      <c r="K699" s="39">
        <v>416</v>
      </c>
      <c r="L699" s="39">
        <v>425</v>
      </c>
      <c r="M699" s="15">
        <f t="shared" si="239"/>
        <v>9</v>
      </c>
      <c r="N699" s="15">
        <f>Rutas[[#This Row],[Kms Recorridos]]</f>
        <v>9</v>
      </c>
      <c r="O699" s="39"/>
      <c r="P699" s="36"/>
      <c r="Q699" s="16">
        <f t="shared" si="240"/>
        <v>0</v>
      </c>
      <c r="R699" s="34" t="s">
        <v>273</v>
      </c>
      <c r="S699" s="34" t="s">
        <v>102</v>
      </c>
      <c r="T699" s="36">
        <v>1.8</v>
      </c>
      <c r="U699" s="293">
        <f>Rutas[[#This Row],[Precio x Galón ($/gal)]]*Rutas[[#This Row],[Volumen de Combustible (gal)]]</f>
        <v>16.091999999999999</v>
      </c>
      <c r="V699" s="36"/>
      <c r="W699" s="36"/>
      <c r="X699" s="36"/>
      <c r="Y699" s="145">
        <f t="shared" si="241"/>
        <v>16.091999999999999</v>
      </c>
      <c r="Z699" s="567"/>
      <c r="AA699" s="12">
        <v>8.94</v>
      </c>
      <c r="AB699" s="12">
        <f t="shared" si="242"/>
        <v>1.0067114093959733</v>
      </c>
      <c r="AC699" s="12">
        <f t="shared" si="243"/>
        <v>0</v>
      </c>
      <c r="AD699" s="34"/>
    </row>
    <row r="700" spans="1:30" ht="16" x14ac:dyDescent="0.2">
      <c r="A700" s="47"/>
      <c r="B700" s="422"/>
      <c r="C700" s="176">
        <f t="shared" si="228"/>
        <v>697</v>
      </c>
      <c r="D700" s="146">
        <v>45796</v>
      </c>
      <c r="E700" s="37">
        <v>45799</v>
      </c>
      <c r="F700" s="65" t="s">
        <v>318</v>
      </c>
      <c r="G700" s="11" t="str">
        <f ca="1">IF(AND(E700&lt;&gt;"",E700&lt;TODAY()),"Disponible",IFERROR(INDEX(Vehiculos[Estado Vehiculo],MATCH(F700,Vehiculos[Placa Vehiculo],0)),""))</f>
        <v>Disponible</v>
      </c>
      <c r="H700" s="34"/>
      <c r="I700" s="34" t="s">
        <v>273</v>
      </c>
      <c r="J700" s="34" t="s">
        <v>282</v>
      </c>
      <c r="K700" s="39">
        <v>425</v>
      </c>
      <c r="L700" s="39">
        <v>435</v>
      </c>
      <c r="M700" s="15">
        <f t="shared" si="239"/>
        <v>10</v>
      </c>
      <c r="N700" s="15">
        <f>Rutas[[#This Row],[Kms Recorridos]]</f>
        <v>10</v>
      </c>
      <c r="O700" s="39"/>
      <c r="P700" s="36"/>
      <c r="Q700" s="16">
        <f t="shared" si="240"/>
        <v>0</v>
      </c>
      <c r="R700" s="34" t="s">
        <v>273</v>
      </c>
      <c r="S700" s="34" t="s">
        <v>102</v>
      </c>
      <c r="T700" s="36">
        <v>1.8</v>
      </c>
      <c r="U700" s="293">
        <f>Rutas[[#This Row],[Precio x Galón ($/gal)]]*Rutas[[#This Row],[Volumen de Combustible (gal)]]</f>
        <v>19.8</v>
      </c>
      <c r="V700" s="36"/>
      <c r="W700" s="36"/>
      <c r="X700" s="36"/>
      <c r="Y700" s="145">
        <f t="shared" si="241"/>
        <v>19.8</v>
      </c>
      <c r="Z700" s="567"/>
      <c r="AA700" s="12">
        <v>11</v>
      </c>
      <c r="AB700" s="12">
        <f t="shared" si="242"/>
        <v>0.90909090909090906</v>
      </c>
      <c r="AC700" s="12">
        <f t="shared" si="243"/>
        <v>0</v>
      </c>
      <c r="AD700" s="34"/>
    </row>
    <row r="701" spans="1:30" ht="16" x14ac:dyDescent="0.2">
      <c r="A701" s="47"/>
      <c r="B701" s="422"/>
      <c r="C701" s="176">
        <f t="shared" si="228"/>
        <v>698</v>
      </c>
      <c r="D701" s="146">
        <v>45799</v>
      </c>
      <c r="E701" s="37">
        <v>45802</v>
      </c>
      <c r="F701" s="65" t="s">
        <v>318</v>
      </c>
      <c r="G701" s="11" t="str">
        <f ca="1">IF(AND(E701&lt;&gt;"",E701&lt;TODAY()),"Disponible",IFERROR(INDEX(Vehiculos[Estado Vehiculo],MATCH(F701,Vehiculos[Placa Vehiculo],0)),""))</f>
        <v>Disponible</v>
      </c>
      <c r="H701" s="34"/>
      <c r="I701" s="34" t="s">
        <v>273</v>
      </c>
      <c r="J701" s="34" t="s">
        <v>282</v>
      </c>
      <c r="K701" s="39">
        <v>435</v>
      </c>
      <c r="L701" s="39">
        <v>445</v>
      </c>
      <c r="M701" s="15">
        <f t="shared" si="239"/>
        <v>10</v>
      </c>
      <c r="N701" s="15">
        <f>Rutas[[#This Row],[Kms Recorridos]]</f>
        <v>10</v>
      </c>
      <c r="O701" s="39"/>
      <c r="P701" s="36"/>
      <c r="Q701" s="16">
        <f t="shared" si="240"/>
        <v>0</v>
      </c>
      <c r="R701" s="34" t="s">
        <v>273</v>
      </c>
      <c r="S701" s="34" t="s">
        <v>102</v>
      </c>
      <c r="T701" s="36">
        <v>1.8</v>
      </c>
      <c r="U701" s="293">
        <f>Rutas[[#This Row],[Precio x Galón ($/gal)]]*Rutas[[#This Row],[Volumen de Combustible (gal)]]</f>
        <v>10.8</v>
      </c>
      <c r="V701" s="36"/>
      <c r="W701" s="36"/>
      <c r="X701" s="36"/>
      <c r="Y701" s="145">
        <f t="shared" si="241"/>
        <v>10.8</v>
      </c>
      <c r="Z701" s="567"/>
      <c r="AA701" s="12">
        <v>6</v>
      </c>
      <c r="AB701" s="12">
        <f t="shared" si="242"/>
        <v>1.6666666666666667</v>
      </c>
      <c r="AC701" s="12">
        <f t="shared" si="243"/>
        <v>0</v>
      </c>
      <c r="AD701" s="34"/>
    </row>
    <row r="702" spans="1:30" ht="16" x14ac:dyDescent="0.2">
      <c r="A702" s="47"/>
      <c r="B702" s="422"/>
      <c r="C702" s="176">
        <f t="shared" si="228"/>
        <v>699</v>
      </c>
      <c r="D702" s="146">
        <v>45802</v>
      </c>
      <c r="E702" s="37">
        <v>45807</v>
      </c>
      <c r="F702" s="65" t="s">
        <v>318</v>
      </c>
      <c r="G702" s="11" t="str">
        <f ca="1">IF(AND(E702&lt;&gt;"",E702&lt;TODAY()),"Disponible",IFERROR(INDEX(Vehiculos[Estado Vehiculo],MATCH(F702,Vehiculos[Placa Vehiculo],0)),""))</f>
        <v>Disponible</v>
      </c>
      <c r="H702" s="34"/>
      <c r="I702" s="34" t="s">
        <v>273</v>
      </c>
      <c r="J702" s="34" t="s">
        <v>282</v>
      </c>
      <c r="K702" s="39">
        <v>445</v>
      </c>
      <c r="L702" s="39">
        <v>457</v>
      </c>
      <c r="M702" s="15">
        <f t="shared" si="239"/>
        <v>12</v>
      </c>
      <c r="N702" s="15">
        <f>Rutas[[#This Row],[Kms Recorridos]]</f>
        <v>12</v>
      </c>
      <c r="O702" s="39"/>
      <c r="P702" s="36"/>
      <c r="Q702" s="16">
        <f t="shared" si="240"/>
        <v>0</v>
      </c>
      <c r="R702" s="34" t="s">
        <v>273</v>
      </c>
      <c r="S702" s="34" t="s">
        <v>102</v>
      </c>
      <c r="T702" s="36">
        <v>1.8</v>
      </c>
      <c r="U702" s="293"/>
      <c r="V702" s="36"/>
      <c r="W702" s="36"/>
      <c r="X702" s="36"/>
      <c r="Y702" s="145">
        <f t="shared" si="241"/>
        <v>0</v>
      </c>
      <c r="Z702" s="567"/>
      <c r="AA702" s="12"/>
      <c r="AB702" s="12">
        <f t="shared" si="242"/>
        <v>0</v>
      </c>
      <c r="AC702" s="12">
        <f t="shared" si="243"/>
        <v>0</v>
      </c>
      <c r="AD702" s="34"/>
    </row>
    <row r="703" spans="1:30" ht="16" x14ac:dyDescent="0.2">
      <c r="A703" s="47"/>
      <c r="B703" s="422"/>
      <c r="C703" s="176">
        <f t="shared" si="228"/>
        <v>700</v>
      </c>
      <c r="D703" s="146"/>
      <c r="E703" s="37"/>
      <c r="F703" s="65"/>
      <c r="G703" s="11" t="str">
        <f ca="1">IF(AND(E703&lt;&gt;"",E703&lt;TODAY()),"Disponible",IFERROR(INDEX(Vehiculos[Estado Vehiculo],MATCH(F703,Vehiculos[Placa Vehiculo],0)),""))</f>
        <v/>
      </c>
      <c r="H703" s="34"/>
      <c r="I703" s="34"/>
      <c r="J703" s="34"/>
      <c r="K703" s="39"/>
      <c r="L703" s="39"/>
      <c r="M703" s="15">
        <f t="shared" si="239"/>
        <v>0</v>
      </c>
      <c r="N703" s="15"/>
      <c r="O703" s="39"/>
      <c r="P703" s="36"/>
      <c r="Q703" s="16">
        <f t="shared" si="240"/>
        <v>0</v>
      </c>
      <c r="R703" s="34"/>
      <c r="S703" s="34"/>
      <c r="T703" s="36"/>
      <c r="U703" s="293"/>
      <c r="V703" s="36"/>
      <c r="W703" s="36"/>
      <c r="X703" s="36"/>
      <c r="Y703" s="145">
        <f t="shared" si="241"/>
        <v>0</v>
      </c>
      <c r="Z703" s="567"/>
      <c r="AA703" s="12"/>
      <c r="AB703" s="12">
        <f t="shared" si="242"/>
        <v>0</v>
      </c>
      <c r="AC703" s="12">
        <f t="shared" si="243"/>
        <v>0</v>
      </c>
      <c r="AD703" s="34"/>
    </row>
    <row r="704" spans="1:30" ht="16" x14ac:dyDescent="0.2">
      <c r="A704" s="47"/>
      <c r="B704" s="422"/>
      <c r="C704" s="176">
        <f t="shared" si="228"/>
        <v>701</v>
      </c>
      <c r="D704" s="90">
        <v>45778</v>
      </c>
      <c r="E704" s="90">
        <v>45779</v>
      </c>
      <c r="F704" s="68" t="s">
        <v>320</v>
      </c>
      <c r="G704" s="379" t="str">
        <f ca="1">IF(AND(E704&lt;&gt;"",E704&lt;TODAY()),"Disponible",IFERROR(INDEX(Vehiculos[Estado Vehiculo],MATCH(F704,Vehiculos[Placa Vehiculo],0)),""))</f>
        <v>Disponible</v>
      </c>
      <c r="H704" s="89"/>
      <c r="I704" s="89" t="s">
        <v>273</v>
      </c>
      <c r="J704" s="89" t="s">
        <v>274</v>
      </c>
      <c r="K704" s="380">
        <v>2509</v>
      </c>
      <c r="L704" s="380">
        <v>2519</v>
      </c>
      <c r="M704" s="381">
        <f t="shared" si="239"/>
        <v>10</v>
      </c>
      <c r="N704" s="381">
        <f>Rutas[[#This Row],[Kms Recorridos]]</f>
        <v>10</v>
      </c>
      <c r="O704" s="380"/>
      <c r="P704" s="92"/>
      <c r="Q704" s="382">
        <f t="shared" si="240"/>
        <v>0</v>
      </c>
      <c r="R704" s="89" t="s">
        <v>273</v>
      </c>
      <c r="S704" s="89" t="s">
        <v>102</v>
      </c>
      <c r="T704" s="92">
        <v>1.8</v>
      </c>
      <c r="U704" s="266">
        <f>Rutas[[#This Row],[Precio x Galón ($/gal)]]*Rutas[[#This Row],[Volumen de Combustible (gal)]]</f>
        <v>16.11</v>
      </c>
      <c r="V704" s="92"/>
      <c r="W704" s="92"/>
      <c r="X704" s="92"/>
      <c r="Y704" s="382">
        <f t="shared" si="241"/>
        <v>16.11</v>
      </c>
      <c r="Z704" s="567"/>
      <c r="AA704" s="382">
        <v>8.9499999999999993</v>
      </c>
      <c r="AB704" s="382">
        <f t="shared" si="242"/>
        <v>1.1173184357541901</v>
      </c>
      <c r="AC704" s="382">
        <f t="shared" si="243"/>
        <v>0</v>
      </c>
      <c r="AD704" s="89"/>
    </row>
    <row r="705" spans="1:30" ht="16" x14ac:dyDescent="0.2">
      <c r="A705" s="47"/>
      <c r="B705" s="422"/>
      <c r="C705" s="176">
        <f t="shared" si="228"/>
        <v>702</v>
      </c>
      <c r="D705" s="146">
        <v>45779</v>
      </c>
      <c r="E705" s="37">
        <v>45781</v>
      </c>
      <c r="F705" s="65" t="s">
        <v>320</v>
      </c>
      <c r="G705" s="11" t="str">
        <f ca="1">IF(AND(E705&lt;&gt;"",E705&lt;TODAY()),"Disponible",IFERROR(INDEX(Vehiculos[Estado Vehiculo],MATCH(F705,Vehiculos[Placa Vehiculo],0)),""))</f>
        <v>Disponible</v>
      </c>
      <c r="H705" s="34"/>
      <c r="I705" s="34" t="s">
        <v>273</v>
      </c>
      <c r="J705" s="169" t="s">
        <v>274</v>
      </c>
      <c r="K705" s="39">
        <v>2519</v>
      </c>
      <c r="L705" s="39">
        <v>2533</v>
      </c>
      <c r="M705" s="15">
        <f t="shared" si="239"/>
        <v>14</v>
      </c>
      <c r="N705" s="15">
        <f>Rutas[[#This Row],[Kms Recorridos]]</f>
        <v>14</v>
      </c>
      <c r="O705" s="39"/>
      <c r="P705" s="36"/>
      <c r="Q705" s="16">
        <f t="shared" si="240"/>
        <v>0</v>
      </c>
      <c r="R705" s="34" t="s">
        <v>273</v>
      </c>
      <c r="S705" s="34" t="s">
        <v>102</v>
      </c>
      <c r="T705" s="36">
        <v>1.8</v>
      </c>
      <c r="U705" s="293">
        <f>Rutas[[#This Row],[Precio x Galón ($/gal)]]*Rutas[[#This Row],[Volumen de Combustible (gal)]]</f>
        <v>19.224</v>
      </c>
      <c r="V705" s="36"/>
      <c r="W705" s="36"/>
      <c r="X705" s="36"/>
      <c r="Y705" s="145">
        <f t="shared" si="241"/>
        <v>19.224</v>
      </c>
      <c r="Z705" s="567"/>
      <c r="AA705" s="12">
        <v>10.68</v>
      </c>
      <c r="AB705" s="12">
        <f t="shared" si="242"/>
        <v>1.3108614232209739</v>
      </c>
      <c r="AC705" s="12">
        <f t="shared" si="243"/>
        <v>0</v>
      </c>
      <c r="AD705" s="34"/>
    </row>
    <row r="706" spans="1:30" ht="16" x14ac:dyDescent="0.2">
      <c r="A706" s="47"/>
      <c r="B706" s="422"/>
      <c r="C706" s="176">
        <f t="shared" si="228"/>
        <v>703</v>
      </c>
      <c r="D706" s="146">
        <v>45781</v>
      </c>
      <c r="E706" s="37">
        <v>45783</v>
      </c>
      <c r="F706" s="65" t="s">
        <v>320</v>
      </c>
      <c r="G706" s="11" t="str">
        <f ca="1">IF(AND(E706&lt;&gt;"",E706&lt;TODAY()),"Disponible",IFERROR(INDEX(Vehiculos[Estado Vehiculo],MATCH(F706,Vehiculos[Placa Vehiculo],0)),""))</f>
        <v>Disponible</v>
      </c>
      <c r="H706" s="34"/>
      <c r="I706" s="34" t="s">
        <v>273</v>
      </c>
      <c r="J706" s="169" t="s">
        <v>274</v>
      </c>
      <c r="K706" s="39">
        <v>2533</v>
      </c>
      <c r="L706" s="39">
        <v>2547</v>
      </c>
      <c r="M706" s="15">
        <f t="shared" si="239"/>
        <v>14</v>
      </c>
      <c r="N706" s="15">
        <f>Rutas[[#This Row],[Kms Recorridos]]</f>
        <v>14</v>
      </c>
      <c r="O706" s="39"/>
      <c r="P706" s="36"/>
      <c r="Q706" s="16">
        <f t="shared" si="240"/>
        <v>0</v>
      </c>
      <c r="R706" s="34" t="s">
        <v>273</v>
      </c>
      <c r="S706" s="34" t="s">
        <v>102</v>
      </c>
      <c r="T706" s="36">
        <v>1.8</v>
      </c>
      <c r="U706" s="293">
        <f>Rutas[[#This Row],[Precio x Galón ($/gal)]]*Rutas[[#This Row],[Volumen de Combustible (gal)]]</f>
        <v>20.123999999999999</v>
      </c>
      <c r="V706" s="36"/>
      <c r="W706" s="36"/>
      <c r="X706" s="36"/>
      <c r="Y706" s="145">
        <f t="shared" si="241"/>
        <v>20.123999999999999</v>
      </c>
      <c r="Z706" s="567"/>
      <c r="AA706" s="12">
        <v>11.18</v>
      </c>
      <c r="AB706" s="12">
        <f t="shared" si="242"/>
        <v>1.2522361359570662</v>
      </c>
      <c r="AC706" s="12">
        <f t="shared" si="243"/>
        <v>0</v>
      </c>
      <c r="AD706" s="34"/>
    </row>
    <row r="707" spans="1:30" ht="16" x14ac:dyDescent="0.2">
      <c r="A707" s="47"/>
      <c r="B707" s="422"/>
      <c r="C707" s="176">
        <f t="shared" si="228"/>
        <v>704</v>
      </c>
      <c r="D707" s="146">
        <v>45783</v>
      </c>
      <c r="E707" s="37">
        <v>45785</v>
      </c>
      <c r="F707" s="65" t="s">
        <v>320</v>
      </c>
      <c r="G707" s="11" t="str">
        <f ca="1">IF(AND(E707&lt;&gt;"",E707&lt;TODAY()),"Disponible",IFERROR(INDEX(Vehiculos[Estado Vehiculo],MATCH(F707,Vehiculos[Placa Vehiculo],0)),""))</f>
        <v>Disponible</v>
      </c>
      <c r="H707" s="34"/>
      <c r="I707" s="34" t="s">
        <v>273</v>
      </c>
      <c r="J707" s="169" t="s">
        <v>274</v>
      </c>
      <c r="K707" s="39">
        <v>2547</v>
      </c>
      <c r="L707" s="39">
        <v>2562</v>
      </c>
      <c r="M707" s="15">
        <f t="shared" si="239"/>
        <v>15</v>
      </c>
      <c r="N707" s="15">
        <f>Rutas[[#This Row],[Kms Recorridos]]</f>
        <v>15</v>
      </c>
      <c r="O707" s="39"/>
      <c r="P707" s="36"/>
      <c r="Q707" s="16">
        <f t="shared" si="240"/>
        <v>0</v>
      </c>
      <c r="R707" s="34" t="s">
        <v>273</v>
      </c>
      <c r="S707" s="34" t="s">
        <v>102</v>
      </c>
      <c r="T707" s="36">
        <v>1.8</v>
      </c>
      <c r="U707" s="293">
        <f>Rutas[[#This Row],[Precio x Galón ($/gal)]]*Rutas[[#This Row],[Volumen de Combustible (gal)]]</f>
        <v>22.932000000000002</v>
      </c>
      <c r="V707" s="36"/>
      <c r="W707" s="36"/>
      <c r="X707" s="36"/>
      <c r="Y707" s="145">
        <f t="shared" si="241"/>
        <v>22.932000000000002</v>
      </c>
      <c r="Z707" s="567"/>
      <c r="AA707" s="12">
        <v>12.74</v>
      </c>
      <c r="AB707" s="12">
        <f t="shared" si="242"/>
        <v>1.1773940345368916</v>
      </c>
      <c r="AC707" s="12">
        <f t="shared" si="243"/>
        <v>0</v>
      </c>
      <c r="AD707" s="34"/>
    </row>
    <row r="708" spans="1:30" ht="16" x14ac:dyDescent="0.2">
      <c r="A708" s="47"/>
      <c r="B708" s="422"/>
      <c r="C708" s="176">
        <f t="shared" ref="C708:C771" si="244">ROW(A705)</f>
        <v>705</v>
      </c>
      <c r="D708" s="146">
        <v>45785</v>
      </c>
      <c r="E708" s="37">
        <v>45787</v>
      </c>
      <c r="F708" s="65" t="s">
        <v>320</v>
      </c>
      <c r="G708" s="11" t="str">
        <f ca="1">IF(AND(E708&lt;&gt;"",E708&lt;TODAY()),"Disponible",IFERROR(INDEX(Vehiculos[Estado Vehiculo],MATCH(F708,Vehiculos[Placa Vehiculo],0)),""))</f>
        <v>Disponible</v>
      </c>
      <c r="H708" s="34"/>
      <c r="I708" s="34" t="s">
        <v>273</v>
      </c>
      <c r="J708" s="169" t="s">
        <v>274</v>
      </c>
      <c r="K708" s="39">
        <v>2562</v>
      </c>
      <c r="L708" s="39">
        <v>2573</v>
      </c>
      <c r="M708" s="15">
        <f t="shared" ref="M708:M713" si="245">L708-K708</f>
        <v>11</v>
      </c>
      <c r="N708" s="15">
        <f>Rutas[[#This Row],[Kms Recorridos]]</f>
        <v>11</v>
      </c>
      <c r="O708" s="39"/>
      <c r="P708" s="36"/>
      <c r="Q708" s="16">
        <f t="shared" ref="Q708:Q713" si="246">M708*P708</f>
        <v>0</v>
      </c>
      <c r="R708" s="34" t="s">
        <v>273</v>
      </c>
      <c r="S708" s="34" t="s">
        <v>102</v>
      </c>
      <c r="T708" s="36">
        <v>1.8</v>
      </c>
      <c r="U708" s="293">
        <f>Rutas[[#This Row],[Precio x Galón ($/gal)]]*Rutas[[#This Row],[Volumen de Combustible (gal)]]</f>
        <v>13.950000000000001</v>
      </c>
      <c r="V708" s="36"/>
      <c r="W708" s="36"/>
      <c r="X708" s="36"/>
      <c r="Y708" s="145">
        <f t="shared" ref="Y708:Y713" si="247">U708+SUM(V708:X708)</f>
        <v>13.950000000000001</v>
      </c>
      <c r="Z708" s="567"/>
      <c r="AA708" s="12">
        <v>7.75</v>
      </c>
      <c r="AB708" s="12">
        <f t="shared" ref="AB708:AB713" si="248">IFERROR(M708/AA708,0)</f>
        <v>1.4193548387096775</v>
      </c>
      <c r="AC708" s="12">
        <f t="shared" ref="AC708:AC713" si="249">IFERROR(Q708/M708,0)</f>
        <v>0</v>
      </c>
      <c r="AD708" s="34"/>
    </row>
    <row r="709" spans="1:30" ht="16" x14ac:dyDescent="0.2">
      <c r="A709" s="47"/>
      <c r="B709" s="422"/>
      <c r="C709" s="176">
        <f t="shared" si="244"/>
        <v>706</v>
      </c>
      <c r="D709" s="146">
        <v>45787</v>
      </c>
      <c r="E709" s="37">
        <v>45789</v>
      </c>
      <c r="F709" s="65" t="s">
        <v>320</v>
      </c>
      <c r="G709" s="11" t="str">
        <f ca="1">IF(AND(E709&lt;&gt;"",E709&lt;TODAY()),"Disponible",IFERROR(INDEX(Vehiculos[Estado Vehiculo],MATCH(F709,Vehiculos[Placa Vehiculo],0)),""))</f>
        <v>Disponible</v>
      </c>
      <c r="H709" s="34"/>
      <c r="I709" s="34" t="s">
        <v>273</v>
      </c>
      <c r="J709" s="169" t="s">
        <v>274</v>
      </c>
      <c r="K709" s="39">
        <v>2573</v>
      </c>
      <c r="L709" s="39">
        <v>2586</v>
      </c>
      <c r="M709" s="15">
        <f t="shared" si="245"/>
        <v>13</v>
      </c>
      <c r="N709" s="15">
        <f>Rutas[[#This Row],[Kms Recorridos]]</f>
        <v>13</v>
      </c>
      <c r="O709" s="39"/>
      <c r="P709" s="36"/>
      <c r="Q709" s="16">
        <f t="shared" si="246"/>
        <v>0</v>
      </c>
      <c r="R709" s="34" t="s">
        <v>273</v>
      </c>
      <c r="S709" s="34" t="s">
        <v>102</v>
      </c>
      <c r="T709" s="36">
        <v>1.8</v>
      </c>
      <c r="U709" s="293">
        <f>Rutas[[#This Row],[Precio x Galón ($/gal)]]*Rutas[[#This Row],[Volumen de Combustible (gal)]]</f>
        <v>21.942</v>
      </c>
      <c r="V709" s="36"/>
      <c r="W709" s="36"/>
      <c r="X709" s="36"/>
      <c r="Y709" s="145">
        <f t="shared" si="247"/>
        <v>21.942</v>
      </c>
      <c r="Z709" s="567"/>
      <c r="AA709" s="12">
        <v>12.19</v>
      </c>
      <c r="AB709" s="12">
        <f t="shared" si="248"/>
        <v>1.0664479081214111</v>
      </c>
      <c r="AC709" s="12">
        <f t="shared" si="249"/>
        <v>0</v>
      </c>
      <c r="AD709" s="34"/>
    </row>
    <row r="710" spans="1:30" ht="16" x14ac:dyDescent="0.2">
      <c r="A710" s="47"/>
      <c r="B710" s="422"/>
      <c r="C710" s="176">
        <f t="shared" si="244"/>
        <v>707</v>
      </c>
      <c r="D710" s="146">
        <v>45789</v>
      </c>
      <c r="E710" s="37">
        <v>45791</v>
      </c>
      <c r="F710" s="65" t="s">
        <v>320</v>
      </c>
      <c r="G710" s="11" t="str">
        <f ca="1">IF(AND(E710&lt;&gt;"",E710&lt;TODAY()),"Disponible",IFERROR(INDEX(Vehiculos[Estado Vehiculo],MATCH(F710,Vehiculos[Placa Vehiculo],0)),""))</f>
        <v>Disponible</v>
      </c>
      <c r="H710" s="34"/>
      <c r="I710" s="34" t="s">
        <v>273</v>
      </c>
      <c r="J710" s="169" t="s">
        <v>274</v>
      </c>
      <c r="K710" s="39">
        <v>2586</v>
      </c>
      <c r="L710" s="39">
        <v>2604</v>
      </c>
      <c r="M710" s="15">
        <f t="shared" si="245"/>
        <v>18</v>
      </c>
      <c r="N710" s="15">
        <f>Rutas[[#This Row],[Kms Recorridos]]</f>
        <v>18</v>
      </c>
      <c r="O710" s="39"/>
      <c r="P710" s="36"/>
      <c r="Q710" s="16">
        <f t="shared" si="246"/>
        <v>0</v>
      </c>
      <c r="R710" s="34" t="s">
        <v>273</v>
      </c>
      <c r="S710" s="34" t="s">
        <v>102</v>
      </c>
      <c r="T710" s="36">
        <v>1.8</v>
      </c>
      <c r="U710" s="293">
        <f>Rutas[[#This Row],[Precio x Galón ($/gal)]]*Rutas[[#This Row],[Volumen de Combustible (gal)]]</f>
        <v>24.840000000000003</v>
      </c>
      <c r="V710" s="36"/>
      <c r="W710" s="36"/>
      <c r="X710" s="36"/>
      <c r="Y710" s="145">
        <f t="shared" si="247"/>
        <v>24.840000000000003</v>
      </c>
      <c r="Z710" s="567"/>
      <c r="AA710" s="12">
        <v>13.8</v>
      </c>
      <c r="AB710" s="12">
        <f t="shared" si="248"/>
        <v>1.3043478260869565</v>
      </c>
      <c r="AC710" s="12">
        <f t="shared" si="249"/>
        <v>0</v>
      </c>
      <c r="AD710" s="34"/>
    </row>
    <row r="711" spans="1:30" ht="16" x14ac:dyDescent="0.2">
      <c r="A711" s="47"/>
      <c r="B711" s="422"/>
      <c r="C711" s="176">
        <f t="shared" si="244"/>
        <v>708</v>
      </c>
      <c r="D711" s="146">
        <v>45791</v>
      </c>
      <c r="E711" s="37">
        <v>45793</v>
      </c>
      <c r="F711" s="65" t="s">
        <v>320</v>
      </c>
      <c r="G711" s="11" t="str">
        <f ca="1">IF(AND(E711&lt;&gt;"",E711&lt;TODAY()),"Disponible",IFERROR(INDEX(Vehiculos[Estado Vehiculo],MATCH(F711,Vehiculos[Placa Vehiculo],0)),""))</f>
        <v>Disponible</v>
      </c>
      <c r="H711" s="34"/>
      <c r="I711" s="34" t="s">
        <v>273</v>
      </c>
      <c r="J711" s="169" t="s">
        <v>274</v>
      </c>
      <c r="K711" s="39">
        <v>2604</v>
      </c>
      <c r="L711" s="39">
        <v>2616</v>
      </c>
      <c r="M711" s="15">
        <f t="shared" si="245"/>
        <v>12</v>
      </c>
      <c r="N711" s="15">
        <f>Rutas[[#This Row],[Kms Recorridos]]</f>
        <v>12</v>
      </c>
      <c r="O711" s="39"/>
      <c r="P711" s="36"/>
      <c r="Q711" s="16">
        <f t="shared" si="246"/>
        <v>0</v>
      </c>
      <c r="R711" s="34" t="s">
        <v>273</v>
      </c>
      <c r="S711" s="34" t="s">
        <v>102</v>
      </c>
      <c r="T711" s="36">
        <v>1.8</v>
      </c>
      <c r="U711" s="293">
        <f>Rutas[[#This Row],[Precio x Galón ($/gal)]]*Rutas[[#This Row],[Volumen de Combustible (gal)]]</f>
        <v>20.268000000000001</v>
      </c>
      <c r="V711" s="36"/>
      <c r="W711" s="36"/>
      <c r="X711" s="36"/>
      <c r="Y711" s="145">
        <f t="shared" si="247"/>
        <v>20.268000000000001</v>
      </c>
      <c r="Z711" s="567"/>
      <c r="AA711" s="12">
        <v>11.26</v>
      </c>
      <c r="AB711" s="12">
        <f t="shared" si="248"/>
        <v>1.0657193605683837</v>
      </c>
      <c r="AC711" s="12">
        <f t="shared" si="249"/>
        <v>0</v>
      </c>
      <c r="AD711" s="34"/>
    </row>
    <row r="712" spans="1:30" ht="16" x14ac:dyDescent="0.2">
      <c r="A712" s="47"/>
      <c r="B712" s="422"/>
      <c r="C712" s="176">
        <f t="shared" si="244"/>
        <v>709</v>
      </c>
      <c r="D712" s="146">
        <v>45793</v>
      </c>
      <c r="E712" s="37">
        <v>45795</v>
      </c>
      <c r="F712" s="65" t="s">
        <v>320</v>
      </c>
      <c r="G712" s="11" t="s">
        <v>349</v>
      </c>
      <c r="H712" s="34"/>
      <c r="I712" s="34" t="s">
        <v>273</v>
      </c>
      <c r="J712" s="169" t="s">
        <v>274</v>
      </c>
      <c r="K712" s="39">
        <v>2616</v>
      </c>
      <c r="L712" s="39">
        <v>2623</v>
      </c>
      <c r="M712" s="15">
        <f t="shared" si="245"/>
        <v>7</v>
      </c>
      <c r="N712" s="15">
        <f>Rutas[[#This Row],[Kms Recorridos]]</f>
        <v>7</v>
      </c>
      <c r="O712" s="39"/>
      <c r="P712" s="36"/>
      <c r="Q712" s="16">
        <f t="shared" si="246"/>
        <v>0</v>
      </c>
      <c r="R712" s="34" t="s">
        <v>273</v>
      </c>
      <c r="S712" s="34" t="s">
        <v>102</v>
      </c>
      <c r="T712" s="36">
        <v>1.8</v>
      </c>
      <c r="U712" s="293">
        <f>Rutas[[#This Row],[Precio x Galón ($/gal)]]*Rutas[[#This Row],[Volumen de Combustible (gal)]]</f>
        <v>13.41</v>
      </c>
      <c r="V712" s="36"/>
      <c r="W712" s="36"/>
      <c r="X712" s="36"/>
      <c r="Y712" s="145">
        <f t="shared" si="247"/>
        <v>13.41</v>
      </c>
      <c r="Z712" s="567"/>
      <c r="AA712" s="12">
        <v>7.45</v>
      </c>
      <c r="AB712" s="12">
        <f t="shared" si="248"/>
        <v>0.93959731543624159</v>
      </c>
      <c r="AC712" s="12">
        <f t="shared" si="249"/>
        <v>0</v>
      </c>
      <c r="AD712" s="34"/>
    </row>
    <row r="713" spans="1:30" ht="16" x14ac:dyDescent="0.2">
      <c r="A713" s="47"/>
      <c r="B713" s="422"/>
      <c r="C713" s="176">
        <f t="shared" si="244"/>
        <v>710</v>
      </c>
      <c r="D713" s="146">
        <v>45795</v>
      </c>
      <c r="E713" s="37">
        <v>45797</v>
      </c>
      <c r="F713" s="65" t="s">
        <v>320</v>
      </c>
      <c r="G713" s="11" t="str">
        <f ca="1">IF(AND(E713&lt;&gt;"",E713&lt;TODAY()),"Disponible",IFERROR(INDEX(Vehiculos[Estado Vehiculo],MATCH(F713,Vehiculos[Placa Vehiculo],0)),""))</f>
        <v>Disponible</v>
      </c>
      <c r="H713" s="34"/>
      <c r="I713" s="34" t="s">
        <v>273</v>
      </c>
      <c r="J713" s="169" t="s">
        <v>274</v>
      </c>
      <c r="K713" s="39">
        <v>2623</v>
      </c>
      <c r="L713" s="39">
        <v>2637</v>
      </c>
      <c r="M713" s="15">
        <f t="shared" si="245"/>
        <v>14</v>
      </c>
      <c r="N713" s="15">
        <f>Rutas[[#This Row],[Kms Recorridos]]</f>
        <v>14</v>
      </c>
      <c r="O713" s="39"/>
      <c r="P713" s="36"/>
      <c r="Q713" s="16">
        <f t="shared" si="246"/>
        <v>0</v>
      </c>
      <c r="R713" s="34" t="s">
        <v>273</v>
      </c>
      <c r="S713" s="34" t="s">
        <v>102</v>
      </c>
      <c r="T713" s="36">
        <v>1.8</v>
      </c>
      <c r="U713" s="293">
        <f>Rutas[[#This Row],[Precio x Galón ($/gal)]]*Rutas[[#This Row],[Volumen de Combustible (gal)]]</f>
        <v>18.809999999999999</v>
      </c>
      <c r="V713" s="36"/>
      <c r="W713" s="36"/>
      <c r="X713" s="36"/>
      <c r="Y713" s="145">
        <f t="shared" si="247"/>
        <v>18.809999999999999</v>
      </c>
      <c r="Z713" s="567"/>
      <c r="AA713" s="12">
        <v>10.45</v>
      </c>
      <c r="AB713" s="12">
        <f t="shared" si="248"/>
        <v>1.3397129186602872</v>
      </c>
      <c r="AC713" s="12">
        <f t="shared" si="249"/>
        <v>0</v>
      </c>
      <c r="AD713" s="34"/>
    </row>
    <row r="714" spans="1:30" ht="16" x14ac:dyDescent="0.2">
      <c r="A714" s="47"/>
      <c r="B714" s="422"/>
      <c r="C714" s="176">
        <f t="shared" si="244"/>
        <v>711</v>
      </c>
      <c r="D714" s="146">
        <v>45797</v>
      </c>
      <c r="E714" s="37">
        <v>45801</v>
      </c>
      <c r="F714" s="65" t="s">
        <v>320</v>
      </c>
      <c r="G714" s="11" t="str">
        <f ca="1">IF(AND(E714&lt;&gt;"",E714&lt;TODAY()),"Disponible",IFERROR(INDEX(Vehiculos[Estado Vehiculo],MATCH(F714,Vehiculos[Placa Vehiculo],0)),""))</f>
        <v>Disponible</v>
      </c>
      <c r="H714" s="34"/>
      <c r="I714" s="34" t="s">
        <v>273</v>
      </c>
      <c r="J714" s="34" t="s">
        <v>274</v>
      </c>
      <c r="K714" s="39">
        <v>2637</v>
      </c>
      <c r="L714" s="39">
        <v>2656</v>
      </c>
      <c r="M714" s="15">
        <f t="shared" ref="M714:M719" si="250">L714-K714</f>
        <v>19</v>
      </c>
      <c r="N714" s="15">
        <f>Rutas[[#This Row],[Kms Recorridos]]</f>
        <v>19</v>
      </c>
      <c r="O714" s="39"/>
      <c r="P714" s="36"/>
      <c r="Q714" s="16">
        <f t="shared" ref="Q714:Q719" si="251">M714*P714</f>
        <v>0</v>
      </c>
      <c r="R714" s="34" t="s">
        <v>273</v>
      </c>
      <c r="S714" s="34" t="s">
        <v>102</v>
      </c>
      <c r="T714" s="36">
        <v>1.8</v>
      </c>
      <c r="U714" s="293">
        <f>Rutas[[#This Row],[Precio x Galón ($/gal)]]*Rutas[[#This Row],[Volumen de Combustible (gal)]]</f>
        <v>27.900000000000002</v>
      </c>
      <c r="V714" s="36"/>
      <c r="W714" s="36"/>
      <c r="X714" s="36"/>
      <c r="Y714" s="145">
        <f t="shared" ref="Y714:Y719" si="252">U714+SUM(V714:X714)</f>
        <v>27.900000000000002</v>
      </c>
      <c r="Z714" s="567"/>
      <c r="AA714" s="12">
        <v>15.5</v>
      </c>
      <c r="AB714" s="12">
        <f t="shared" ref="AB714:AB719" si="253">IFERROR(M714/AA714,0)</f>
        <v>1.2258064516129032</v>
      </c>
      <c r="AC714" s="12">
        <f t="shared" ref="AC714:AC719" si="254">IFERROR(Q714/M714,0)</f>
        <v>0</v>
      </c>
      <c r="AD714" s="34"/>
    </row>
    <row r="715" spans="1:30" ht="16" x14ac:dyDescent="0.2">
      <c r="A715" s="47"/>
      <c r="B715" s="422"/>
      <c r="C715" s="176">
        <f t="shared" si="244"/>
        <v>712</v>
      </c>
      <c r="D715" s="146">
        <v>45801</v>
      </c>
      <c r="E715" s="37">
        <v>45803</v>
      </c>
      <c r="F715" s="65" t="s">
        <v>320</v>
      </c>
      <c r="G715" s="11" t="str">
        <f ca="1">IF(AND(E715&lt;&gt;"",E715&lt;TODAY()),"Disponible",IFERROR(INDEX(Vehiculos[Estado Vehiculo],MATCH(F715,Vehiculos[Placa Vehiculo],0)),""))</f>
        <v>Disponible</v>
      </c>
      <c r="H715" s="34"/>
      <c r="I715" s="34" t="s">
        <v>273</v>
      </c>
      <c r="J715" s="34" t="s">
        <v>274</v>
      </c>
      <c r="K715" s="39">
        <v>2656</v>
      </c>
      <c r="L715" s="39">
        <v>2670</v>
      </c>
      <c r="M715" s="15">
        <f t="shared" si="250"/>
        <v>14</v>
      </c>
      <c r="N715" s="15">
        <f>Rutas[[#This Row],[Kms Recorridos]]</f>
        <v>14</v>
      </c>
      <c r="O715" s="39"/>
      <c r="P715" s="36"/>
      <c r="Q715" s="16">
        <f t="shared" si="251"/>
        <v>0</v>
      </c>
      <c r="R715" s="34" t="s">
        <v>273</v>
      </c>
      <c r="S715" s="34" t="s">
        <v>102</v>
      </c>
      <c r="T715" s="36">
        <v>1.8</v>
      </c>
      <c r="U715" s="293">
        <f>Rutas[[#This Row],[Precio x Galón ($/gal)]]*Rutas[[#This Row],[Volumen de Combustible (gal)]]</f>
        <v>20.808</v>
      </c>
      <c r="V715" s="36"/>
      <c r="W715" s="36"/>
      <c r="X715" s="36"/>
      <c r="Y715" s="145">
        <f t="shared" si="252"/>
        <v>20.808</v>
      </c>
      <c r="Z715" s="567"/>
      <c r="AA715" s="12">
        <v>11.56</v>
      </c>
      <c r="AB715" s="12">
        <f t="shared" si="253"/>
        <v>1.2110726643598615</v>
      </c>
      <c r="AC715" s="12">
        <f t="shared" si="254"/>
        <v>0</v>
      </c>
      <c r="AD715" s="34"/>
    </row>
    <row r="716" spans="1:30" ht="16" x14ac:dyDescent="0.2">
      <c r="A716" s="47"/>
      <c r="B716" s="422"/>
      <c r="C716" s="176">
        <f t="shared" si="244"/>
        <v>713</v>
      </c>
      <c r="D716" s="146">
        <v>45803</v>
      </c>
      <c r="E716" s="37">
        <v>45744</v>
      </c>
      <c r="F716" s="65" t="s">
        <v>320</v>
      </c>
      <c r="G716" s="11" t="str">
        <f ca="1">IF(AND(E716&lt;&gt;"",E716&lt;TODAY()),"Disponible",IFERROR(INDEX(Vehiculos[Estado Vehiculo],MATCH(F716,Vehiculos[Placa Vehiculo],0)),""))</f>
        <v>Disponible</v>
      </c>
      <c r="H716" s="34"/>
      <c r="I716" s="34" t="s">
        <v>273</v>
      </c>
      <c r="J716" s="34" t="s">
        <v>274</v>
      </c>
      <c r="K716" s="39">
        <v>2670</v>
      </c>
      <c r="L716" s="39">
        <v>2682</v>
      </c>
      <c r="M716" s="15">
        <f t="shared" si="250"/>
        <v>12</v>
      </c>
      <c r="N716" s="15">
        <f>Rutas[[#This Row],[Kms Recorridos]]</f>
        <v>12</v>
      </c>
      <c r="O716" s="39"/>
      <c r="P716" s="36"/>
      <c r="Q716" s="16">
        <f t="shared" si="251"/>
        <v>0</v>
      </c>
      <c r="R716" s="34" t="s">
        <v>273</v>
      </c>
      <c r="S716" s="34" t="s">
        <v>102</v>
      </c>
      <c r="T716" s="36">
        <v>1.8</v>
      </c>
      <c r="U716" s="293">
        <f>Rutas[[#This Row],[Precio x Galón ($/gal)]]*Rutas[[#This Row],[Volumen de Combustible (gal)]]</f>
        <v>18</v>
      </c>
      <c r="V716" s="36"/>
      <c r="W716" s="36"/>
      <c r="X716" s="36"/>
      <c r="Y716" s="145">
        <f t="shared" si="252"/>
        <v>18</v>
      </c>
      <c r="Z716" s="567"/>
      <c r="AA716" s="12">
        <v>10</v>
      </c>
      <c r="AB716" s="12">
        <f t="shared" si="253"/>
        <v>1.2</v>
      </c>
      <c r="AC716" s="12">
        <f t="shared" si="254"/>
        <v>0</v>
      </c>
      <c r="AD716" s="34"/>
    </row>
    <row r="717" spans="1:30" ht="16" x14ac:dyDescent="0.2">
      <c r="A717" s="47"/>
      <c r="B717" s="422"/>
      <c r="C717" s="176">
        <f t="shared" si="244"/>
        <v>714</v>
      </c>
      <c r="D717" s="146">
        <v>45805</v>
      </c>
      <c r="E717" s="37">
        <v>45807</v>
      </c>
      <c r="F717" s="65" t="s">
        <v>320</v>
      </c>
      <c r="G717" s="11" t="str">
        <f ca="1">IF(AND(E717&lt;&gt;"",E717&lt;TODAY()),"Disponible",IFERROR(INDEX(Vehiculos[Estado Vehiculo],MATCH(F717,Vehiculos[Placa Vehiculo],0)),""))</f>
        <v>Disponible</v>
      </c>
      <c r="H717" s="34"/>
      <c r="I717" s="34" t="s">
        <v>273</v>
      </c>
      <c r="J717" s="34" t="s">
        <v>274</v>
      </c>
      <c r="K717" s="39">
        <v>2682</v>
      </c>
      <c r="L717" s="39">
        <v>2698</v>
      </c>
      <c r="M717" s="15">
        <f t="shared" si="250"/>
        <v>16</v>
      </c>
      <c r="N717" s="15">
        <v>16</v>
      </c>
      <c r="O717" s="39"/>
      <c r="P717" s="36"/>
      <c r="Q717" s="16">
        <f t="shared" si="251"/>
        <v>0</v>
      </c>
      <c r="R717" s="34" t="s">
        <v>273</v>
      </c>
      <c r="S717" s="34" t="s">
        <v>102</v>
      </c>
      <c r="T717" s="36">
        <v>1.8</v>
      </c>
      <c r="U717" s="293">
        <f>Rutas[[#This Row],[Precio x Galón ($/gal)]]*Rutas[[#This Row],[Volumen de Combustible (gal)]]</f>
        <v>22.248000000000001</v>
      </c>
      <c r="V717" s="36"/>
      <c r="W717" s="36"/>
      <c r="X717" s="36"/>
      <c r="Y717" s="145">
        <f t="shared" si="252"/>
        <v>22.248000000000001</v>
      </c>
      <c r="Z717" s="567"/>
      <c r="AA717" s="12">
        <v>12.36</v>
      </c>
      <c r="AB717" s="12">
        <f t="shared" si="253"/>
        <v>1.2944983818770228</v>
      </c>
      <c r="AC717" s="12">
        <f t="shared" si="254"/>
        <v>0</v>
      </c>
      <c r="AD717" s="34"/>
    </row>
    <row r="718" spans="1:30" ht="16" x14ac:dyDescent="0.2">
      <c r="A718" s="47"/>
      <c r="B718" s="422"/>
      <c r="C718" s="176">
        <f t="shared" si="244"/>
        <v>715</v>
      </c>
      <c r="D718" s="146">
        <v>45807</v>
      </c>
      <c r="E718" s="37">
        <v>45808</v>
      </c>
      <c r="F718" s="65" t="s">
        <v>320</v>
      </c>
      <c r="G718" s="11" t="str">
        <f ca="1">IF(AND(E718&lt;&gt;"",E718&lt;TODAY()),"Disponible",IFERROR(INDEX(Vehiculos[Estado Vehiculo],MATCH(F718,Vehiculos[Placa Vehiculo],0)),""))</f>
        <v>Disponible</v>
      </c>
      <c r="H718" s="34"/>
      <c r="I718" s="34" t="s">
        <v>273</v>
      </c>
      <c r="J718" s="34" t="s">
        <v>274</v>
      </c>
      <c r="K718" s="39">
        <v>2698</v>
      </c>
      <c r="L718" s="39">
        <v>2699</v>
      </c>
      <c r="M718" s="15">
        <f t="shared" si="250"/>
        <v>1</v>
      </c>
      <c r="N718" s="15">
        <f>Rutas[[#This Row],[Kms Recorridos]]</f>
        <v>1</v>
      </c>
      <c r="O718" s="39"/>
      <c r="P718" s="36"/>
      <c r="Q718" s="16">
        <f t="shared" si="251"/>
        <v>0</v>
      </c>
      <c r="R718" s="34" t="s">
        <v>273</v>
      </c>
      <c r="S718" s="34" t="s">
        <v>102</v>
      </c>
      <c r="T718" s="36"/>
      <c r="U718" s="293"/>
      <c r="V718" s="36"/>
      <c r="W718" s="36"/>
      <c r="X718" s="36"/>
      <c r="Y718" s="145">
        <f t="shared" si="252"/>
        <v>0</v>
      </c>
      <c r="Z718" s="567"/>
      <c r="AA718" s="12"/>
      <c r="AB718" s="12">
        <f t="shared" si="253"/>
        <v>0</v>
      </c>
      <c r="AC718" s="12">
        <f t="shared" si="254"/>
        <v>0</v>
      </c>
      <c r="AD718" s="34"/>
    </row>
    <row r="719" spans="1:30" ht="16" x14ac:dyDescent="0.2">
      <c r="A719" s="47"/>
      <c r="B719" s="422"/>
      <c r="C719" s="176">
        <f t="shared" si="244"/>
        <v>716</v>
      </c>
      <c r="D719" s="146"/>
      <c r="E719" s="37"/>
      <c r="F719" s="65"/>
      <c r="G719" s="11" t="str">
        <f ca="1">IF(AND(E719&lt;&gt;"",E719&lt;TODAY()),"Disponible",IFERROR(INDEX(Vehiculos[Estado Vehiculo],MATCH(F719,Vehiculos[Placa Vehiculo],0)),""))</f>
        <v/>
      </c>
      <c r="H719" s="34"/>
      <c r="I719" s="34"/>
      <c r="J719" s="34"/>
      <c r="K719" s="39"/>
      <c r="L719" s="39"/>
      <c r="M719" s="15">
        <f t="shared" si="250"/>
        <v>0</v>
      </c>
      <c r="N719" s="15"/>
      <c r="O719" s="39"/>
      <c r="P719" s="36"/>
      <c r="Q719" s="16">
        <f t="shared" si="251"/>
        <v>0</v>
      </c>
      <c r="R719" s="34"/>
      <c r="S719" s="34"/>
      <c r="T719" s="36"/>
      <c r="U719" s="293"/>
      <c r="V719" s="36"/>
      <c r="W719" s="36"/>
      <c r="X719" s="36"/>
      <c r="Y719" s="145">
        <f t="shared" si="252"/>
        <v>0</v>
      </c>
      <c r="Z719" s="567"/>
      <c r="AA719" s="12"/>
      <c r="AB719" s="12">
        <f t="shared" si="253"/>
        <v>0</v>
      </c>
      <c r="AC719" s="12">
        <f t="shared" si="254"/>
        <v>0</v>
      </c>
      <c r="AD719" s="34"/>
    </row>
    <row r="720" spans="1:30" ht="16" x14ac:dyDescent="0.2">
      <c r="A720" s="47"/>
      <c r="B720" s="422"/>
      <c r="C720" s="176">
        <f t="shared" si="244"/>
        <v>717</v>
      </c>
      <c r="D720" s="437"/>
      <c r="E720" s="438"/>
      <c r="F720" s="439"/>
      <c r="G720" s="440" t="str">
        <f ca="1">IF(AND(E720&lt;&gt;"",E720&lt;TODAY()),"Disponible",IFERROR(INDEX(Vehiculos[Estado Vehiculo],MATCH(F720,Vehiculos[Placa Vehiculo],0)),""))</f>
        <v/>
      </c>
      <c r="H720" s="441"/>
      <c r="I720" s="441"/>
      <c r="J720" s="441"/>
      <c r="K720" s="442"/>
      <c r="L720" s="442"/>
      <c r="M720" s="443">
        <f>L720-K720</f>
        <v>0</v>
      </c>
      <c r="N720" s="443">
        <f>Rutas[[#This Row],[Kms Recorridos]]</f>
        <v>0</v>
      </c>
      <c r="O720" s="442"/>
      <c r="P720" s="444"/>
      <c r="Q720" s="445">
        <f>M720*P720</f>
        <v>0</v>
      </c>
      <c r="R720" s="441"/>
      <c r="S720" s="441"/>
      <c r="T720" s="444">
        <v>1.8</v>
      </c>
      <c r="U720" s="446">
        <f>Rutas[[#This Row],[Precio x Galón ($/gal)]]*Rutas[[#This Row],[Volumen de Combustible (gal)]]</f>
        <v>0</v>
      </c>
      <c r="V720" s="444"/>
      <c r="W720" s="444"/>
      <c r="X720" s="444"/>
      <c r="Y720" s="447">
        <f>U720+SUM(V720:X720)</f>
        <v>0</v>
      </c>
      <c r="Z720" s="570"/>
      <c r="AA720" s="448"/>
      <c r="AB720" s="448">
        <f>IFERROR(M720/AA720,0)</f>
        <v>0</v>
      </c>
      <c r="AC720" s="448">
        <f>IFERROR(Q720/M720,0)</f>
        <v>0</v>
      </c>
      <c r="AD720" s="441"/>
    </row>
    <row r="721" spans="1:30" ht="16" x14ac:dyDescent="0.2">
      <c r="A721" s="47"/>
      <c r="B721" s="422"/>
      <c r="C721" s="176">
        <f t="shared" si="244"/>
        <v>718</v>
      </c>
      <c r="D721" s="90">
        <v>45778</v>
      </c>
      <c r="E721" s="90">
        <v>45779</v>
      </c>
      <c r="F721" s="68" t="s">
        <v>352</v>
      </c>
      <c r="G721" s="379" t="str">
        <f ca="1">IF(AND(E721&lt;&gt;"",E721&lt;TODAY()),"Disponible",IFERROR(INDEX(Vehiculos[Estado Vehiculo],MATCH(F721,Vehiculos[Placa Vehiculo],0)),""))</f>
        <v>Disponible</v>
      </c>
      <c r="H721" s="89"/>
      <c r="I721" s="89" t="s">
        <v>273</v>
      </c>
      <c r="J721" s="89" t="s">
        <v>274</v>
      </c>
      <c r="K721" s="380">
        <v>1052</v>
      </c>
      <c r="L721" s="380">
        <v>1054</v>
      </c>
      <c r="M721" s="381">
        <f>L721-K721</f>
        <v>2</v>
      </c>
      <c r="N721" s="381">
        <f>Rutas[[#This Row],[Kms Recorridos]]</f>
        <v>2</v>
      </c>
      <c r="O721" s="380"/>
      <c r="P721" s="92"/>
      <c r="Q721" s="382">
        <f>M721*P721</f>
        <v>0</v>
      </c>
      <c r="R721" s="89" t="s">
        <v>273</v>
      </c>
      <c r="S721" s="89" t="s">
        <v>102</v>
      </c>
      <c r="T721" s="92">
        <v>1.8</v>
      </c>
      <c r="U721" s="266">
        <f>Rutas[[#This Row],[Precio x Galón ($/gal)]]*Rutas[[#This Row],[Volumen de Combustible (gal)]]</f>
        <v>17.100000000000001</v>
      </c>
      <c r="V721" s="92"/>
      <c r="W721" s="92"/>
      <c r="X721" s="92"/>
      <c r="Y721" s="382">
        <f>U721+SUM(V721:X721)</f>
        <v>17.100000000000001</v>
      </c>
      <c r="Z721" s="567"/>
      <c r="AA721" s="382">
        <v>9.5</v>
      </c>
      <c r="AB721" s="382">
        <f>IFERROR(M721/AA721,0)</f>
        <v>0.21052631578947367</v>
      </c>
      <c r="AC721" s="382">
        <f>IFERROR(Q721/M721,0)</f>
        <v>0</v>
      </c>
      <c r="AD721" s="89"/>
    </row>
    <row r="722" spans="1:30" ht="16" x14ac:dyDescent="0.2">
      <c r="A722" s="47"/>
      <c r="B722" s="422"/>
      <c r="C722" s="176">
        <f t="shared" si="244"/>
        <v>719</v>
      </c>
      <c r="D722" s="146">
        <v>45779</v>
      </c>
      <c r="E722" s="37">
        <v>45781</v>
      </c>
      <c r="F722" s="65" t="s">
        <v>352</v>
      </c>
      <c r="G722" s="11" t="s">
        <v>349</v>
      </c>
      <c r="H722" s="34"/>
      <c r="I722" s="34" t="s">
        <v>273</v>
      </c>
      <c r="J722" s="34"/>
      <c r="K722" s="39">
        <v>1054</v>
      </c>
      <c r="L722" s="39">
        <v>1063</v>
      </c>
      <c r="M722" s="15">
        <f>L722-K722</f>
        <v>9</v>
      </c>
      <c r="N722" s="15">
        <f>Rutas[[#This Row],[Kms Recorridos]]</f>
        <v>9</v>
      </c>
      <c r="O722" s="39"/>
      <c r="P722" s="36"/>
      <c r="Q722" s="16">
        <f>M722*P722</f>
        <v>0</v>
      </c>
      <c r="R722" s="34" t="s">
        <v>273</v>
      </c>
      <c r="S722" s="34" t="s">
        <v>102</v>
      </c>
      <c r="T722" s="36">
        <v>1.8</v>
      </c>
      <c r="U722" s="293">
        <f>Rutas[[#This Row],[Precio x Galón ($/gal)]]*Rutas[[#This Row],[Volumen de Combustible (gal)]]</f>
        <v>15.858000000000001</v>
      </c>
      <c r="V722" s="36"/>
      <c r="W722" s="36"/>
      <c r="X722" s="36"/>
      <c r="Y722" s="145">
        <f>U722+SUM(V722:X722)</f>
        <v>15.858000000000001</v>
      </c>
      <c r="Z722" s="567"/>
      <c r="AA722" s="12">
        <v>8.81</v>
      </c>
      <c r="AB722" s="12">
        <f>IFERROR(M722/AA722,0)</f>
        <v>1.0215664018161179</v>
      </c>
      <c r="AC722" s="12">
        <f>IFERROR(Q722/M722,0)</f>
        <v>0</v>
      </c>
      <c r="AD722" s="34"/>
    </row>
    <row r="723" spans="1:30" ht="16" x14ac:dyDescent="0.2">
      <c r="A723" s="47"/>
      <c r="B723" s="422"/>
      <c r="C723" s="176">
        <f t="shared" si="244"/>
        <v>720</v>
      </c>
      <c r="D723" s="146">
        <v>45781</v>
      </c>
      <c r="E723" s="37">
        <v>45787</v>
      </c>
      <c r="F723" s="65" t="s">
        <v>352</v>
      </c>
      <c r="G723" s="11" t="str">
        <f ca="1">IF(AND(E723&lt;&gt;"",E723&lt;TODAY()),"Disponible",IFERROR(INDEX(Vehiculos[Estado Vehiculo],MATCH(F723,Vehiculos[Placa Vehiculo],0)),""))</f>
        <v>Disponible</v>
      </c>
      <c r="H723" s="34"/>
      <c r="I723" s="34" t="s">
        <v>273</v>
      </c>
      <c r="J723" s="34"/>
      <c r="K723" s="39">
        <v>1063</v>
      </c>
      <c r="L723" s="39">
        <v>1075</v>
      </c>
      <c r="M723" s="15">
        <f>L723-K723</f>
        <v>12</v>
      </c>
      <c r="N723" s="15">
        <f>Rutas[[#This Row],[Kms Recorridos]]</f>
        <v>12</v>
      </c>
      <c r="O723" s="39"/>
      <c r="P723" s="36"/>
      <c r="Q723" s="16">
        <f>M723*P723</f>
        <v>0</v>
      </c>
      <c r="R723" s="34" t="s">
        <v>273</v>
      </c>
      <c r="S723" s="34" t="s">
        <v>102</v>
      </c>
      <c r="T723" s="36">
        <v>1.8</v>
      </c>
      <c r="U723" s="293">
        <f>Rutas[[#This Row],[Precio x Galón ($/gal)]]*Rutas[[#This Row],[Volumen de Combustible (gal)]]</f>
        <v>18.018000000000001</v>
      </c>
      <c r="V723" s="36"/>
      <c r="W723" s="36"/>
      <c r="X723" s="36"/>
      <c r="Y723" s="145">
        <f>U723+SUM(V723:X723)</f>
        <v>18.018000000000001</v>
      </c>
      <c r="Z723" s="567"/>
      <c r="AA723" s="12">
        <v>10.01</v>
      </c>
      <c r="AB723" s="12">
        <f>IFERROR(M723/AA723,0)</f>
        <v>1.1988011988011988</v>
      </c>
      <c r="AC723" s="12">
        <f>IFERROR(Q723/M723,0)</f>
        <v>0</v>
      </c>
      <c r="AD723" s="34"/>
    </row>
    <row r="724" spans="1:30" ht="16" x14ac:dyDescent="0.2">
      <c r="A724" s="47"/>
      <c r="B724" s="422"/>
      <c r="C724" s="176">
        <f t="shared" si="244"/>
        <v>721</v>
      </c>
      <c r="D724" s="146">
        <v>45787</v>
      </c>
      <c r="E724" s="37">
        <v>45790</v>
      </c>
      <c r="F724" s="65" t="s">
        <v>352</v>
      </c>
      <c r="G724" s="11" t="str">
        <f ca="1">IF(AND(E724&lt;&gt;"",E724&lt;TODAY()),"Disponible",IFERROR(INDEX(Vehiculos[Estado Vehiculo],MATCH(F724,Vehiculos[Placa Vehiculo],0)),""))</f>
        <v>Disponible</v>
      </c>
      <c r="H724" s="34"/>
      <c r="I724" s="34" t="s">
        <v>273</v>
      </c>
      <c r="J724" s="34"/>
      <c r="K724" s="39">
        <v>1075</v>
      </c>
      <c r="L724" s="39">
        <v>1087</v>
      </c>
      <c r="M724" s="15">
        <f>L724-K724</f>
        <v>12</v>
      </c>
      <c r="N724" s="15">
        <f>Rutas[[#This Row],[Kms Recorridos]]</f>
        <v>12</v>
      </c>
      <c r="O724" s="39"/>
      <c r="P724" s="36"/>
      <c r="Q724" s="16">
        <f>M724*P724</f>
        <v>0</v>
      </c>
      <c r="R724" s="34" t="s">
        <v>273</v>
      </c>
      <c r="S724" s="34" t="s">
        <v>102</v>
      </c>
      <c r="T724" s="36">
        <v>1.8</v>
      </c>
      <c r="U724" s="293">
        <f>Rutas[[#This Row],[Precio x Galón ($/gal)]]*Rutas[[#This Row],[Volumen de Combustible (gal)]]</f>
        <v>36</v>
      </c>
      <c r="V724" s="36"/>
      <c r="W724" s="36"/>
      <c r="X724" s="36"/>
      <c r="Y724" s="145">
        <f>U724+SUM(V724:X724)</f>
        <v>36</v>
      </c>
      <c r="Z724" s="567"/>
      <c r="AA724" s="12">
        <v>20</v>
      </c>
      <c r="AB724" s="12">
        <f>IFERROR(M724/AA724,0)</f>
        <v>0.6</v>
      </c>
      <c r="AC724" s="12">
        <f>IFERROR(Q724/M724,0)</f>
        <v>0</v>
      </c>
      <c r="AD724" s="34"/>
    </row>
    <row r="725" spans="1:30" ht="16" x14ac:dyDescent="0.2">
      <c r="A725" s="47"/>
      <c r="B725" s="422"/>
      <c r="C725" s="176">
        <f t="shared" si="244"/>
        <v>722</v>
      </c>
      <c r="D725" s="146">
        <v>45790</v>
      </c>
      <c r="E725" s="37">
        <v>45792</v>
      </c>
      <c r="F725" s="65" t="s">
        <v>352</v>
      </c>
      <c r="G725" s="11" t="str">
        <f ca="1">IF(AND(E725&lt;&gt;"",E725&lt;TODAY()),"Disponible",IFERROR(INDEX(Vehiculos[Estado Vehiculo],MATCH(F725,Vehiculos[Placa Vehiculo],0)),""))</f>
        <v>Disponible</v>
      </c>
      <c r="H725" s="34"/>
      <c r="I725" s="34" t="s">
        <v>273</v>
      </c>
      <c r="J725" s="34"/>
      <c r="K725" s="39">
        <v>1087</v>
      </c>
      <c r="L725" s="39">
        <v>1089</v>
      </c>
      <c r="M725" s="15">
        <f t="shared" ref="M725:M762" si="255">L725-K725</f>
        <v>2</v>
      </c>
      <c r="N725" s="15">
        <f>Rutas[[#This Row],[Kms Recorridos]]</f>
        <v>2</v>
      </c>
      <c r="O725" s="39"/>
      <c r="P725" s="36"/>
      <c r="Q725" s="16">
        <f t="shared" ref="Q725:Q762" si="256">M725*P725</f>
        <v>0</v>
      </c>
      <c r="R725" s="34" t="s">
        <v>273</v>
      </c>
      <c r="S725" s="34" t="s">
        <v>102</v>
      </c>
      <c r="T725" s="36">
        <v>1.8</v>
      </c>
      <c r="U725" s="293">
        <f>Rutas[[#This Row],[Precio x Galón ($/gal)]]*Rutas[[#This Row],[Volumen de Combustible (gal)]]</f>
        <v>25.794</v>
      </c>
      <c r="V725" s="36"/>
      <c r="W725" s="36"/>
      <c r="X725" s="36"/>
      <c r="Y725" s="145">
        <f t="shared" ref="Y725:Y762" si="257">U725+SUM(V725:X725)</f>
        <v>25.794</v>
      </c>
      <c r="Z725" s="567"/>
      <c r="AA725" s="12">
        <v>14.33</v>
      </c>
      <c r="AB725" s="12">
        <f t="shared" ref="AB725:AB762" si="258">IFERROR(M725/AA725,0)</f>
        <v>0.13956734124214934</v>
      </c>
      <c r="AC725" s="12">
        <f t="shared" ref="AC725:AC762" si="259">IFERROR(Q725/M725,0)</f>
        <v>0</v>
      </c>
      <c r="AD725" s="34"/>
    </row>
    <row r="726" spans="1:30" ht="16" x14ac:dyDescent="0.2">
      <c r="A726" s="47"/>
      <c r="B726" s="422"/>
      <c r="C726" s="176">
        <f t="shared" si="244"/>
        <v>723</v>
      </c>
      <c r="D726" s="146">
        <v>45792</v>
      </c>
      <c r="E726" s="37">
        <v>45795</v>
      </c>
      <c r="F726" s="65" t="s">
        <v>352</v>
      </c>
      <c r="G726" s="11" t="str">
        <f ca="1">IF(AND(E726&lt;&gt;"",E726&lt;TODAY()),"Disponible",IFERROR(INDEX(Vehiculos[Estado Vehiculo],MATCH(F726,Vehiculos[Placa Vehiculo],0)),""))</f>
        <v>Disponible</v>
      </c>
      <c r="H726" s="34"/>
      <c r="I726" s="34" t="s">
        <v>273</v>
      </c>
      <c r="J726" s="34"/>
      <c r="K726" s="39">
        <v>1089</v>
      </c>
      <c r="L726" s="39">
        <v>1102</v>
      </c>
      <c r="M726" s="15">
        <f t="shared" si="255"/>
        <v>13</v>
      </c>
      <c r="N726" s="15">
        <f>Rutas[[#This Row],[Kms Recorridos]]</f>
        <v>13</v>
      </c>
      <c r="O726" s="39"/>
      <c r="P726" s="36"/>
      <c r="Q726" s="16">
        <f t="shared" si="256"/>
        <v>0</v>
      </c>
      <c r="R726" s="34" t="s">
        <v>273</v>
      </c>
      <c r="S726" s="34" t="s">
        <v>102</v>
      </c>
      <c r="T726" s="36">
        <v>1.8</v>
      </c>
      <c r="U726" s="293">
        <f>Rutas[[#This Row],[Precio x Galón ($/gal)]]*Rutas[[#This Row],[Volumen de Combustible (gal)]]</f>
        <v>24.012</v>
      </c>
      <c r="V726" s="36"/>
      <c r="W726" s="36"/>
      <c r="X726" s="36"/>
      <c r="Y726" s="145">
        <f t="shared" si="257"/>
        <v>24.012</v>
      </c>
      <c r="Z726" s="567"/>
      <c r="AA726" s="12">
        <v>13.34</v>
      </c>
      <c r="AB726" s="12">
        <f t="shared" si="258"/>
        <v>0.97451274362818596</v>
      </c>
      <c r="AC726" s="12">
        <f t="shared" si="259"/>
        <v>0</v>
      </c>
      <c r="AD726" s="34"/>
    </row>
    <row r="727" spans="1:30" ht="16" x14ac:dyDescent="0.2">
      <c r="A727" s="47"/>
      <c r="B727" s="422"/>
      <c r="C727" s="176">
        <f t="shared" si="244"/>
        <v>724</v>
      </c>
      <c r="D727" s="146">
        <v>45795</v>
      </c>
      <c r="E727" s="37">
        <v>45798</v>
      </c>
      <c r="F727" s="65" t="s">
        <v>352</v>
      </c>
      <c r="G727" s="11" t="str">
        <f ca="1">IF(AND(E727&lt;&gt;"",E727&lt;TODAY()),"Disponible",IFERROR(INDEX(Vehiculos[Estado Vehiculo],MATCH(F727,Vehiculos[Placa Vehiculo],0)),""))</f>
        <v>Disponible</v>
      </c>
      <c r="H727" s="34"/>
      <c r="I727" s="34" t="s">
        <v>273</v>
      </c>
      <c r="J727" s="34"/>
      <c r="K727" s="39">
        <v>1102</v>
      </c>
      <c r="L727" s="39">
        <v>1113</v>
      </c>
      <c r="M727" s="15">
        <f t="shared" si="255"/>
        <v>11</v>
      </c>
      <c r="N727" s="15">
        <f>Rutas[[#This Row],[Kms Recorridos]]</f>
        <v>11</v>
      </c>
      <c r="O727" s="39"/>
      <c r="P727" s="36"/>
      <c r="Q727" s="16">
        <f t="shared" si="256"/>
        <v>0</v>
      </c>
      <c r="R727" s="34" t="s">
        <v>273</v>
      </c>
      <c r="S727" s="34" t="s">
        <v>102</v>
      </c>
      <c r="T727" s="36">
        <v>1.8</v>
      </c>
      <c r="U727" s="293">
        <f>Rutas[[#This Row],[Precio x Galón ($/gal)]]*Rutas[[#This Row],[Volumen de Combustible (gal)]]</f>
        <v>20.61</v>
      </c>
      <c r="V727" s="36"/>
      <c r="W727" s="36"/>
      <c r="X727" s="36"/>
      <c r="Y727" s="145">
        <f t="shared" si="257"/>
        <v>20.61</v>
      </c>
      <c r="Z727" s="567"/>
      <c r="AA727" s="12">
        <v>11.45</v>
      </c>
      <c r="AB727" s="12">
        <f t="shared" si="258"/>
        <v>0.9606986899563319</v>
      </c>
      <c r="AC727" s="12">
        <f t="shared" si="259"/>
        <v>0</v>
      </c>
      <c r="AD727" s="34"/>
    </row>
    <row r="728" spans="1:30" ht="16" x14ac:dyDescent="0.2">
      <c r="A728" s="47"/>
      <c r="B728" s="422"/>
      <c r="C728" s="176">
        <f t="shared" si="244"/>
        <v>725</v>
      </c>
      <c r="D728" s="146">
        <v>45798</v>
      </c>
      <c r="E728" s="37">
        <v>45800</v>
      </c>
      <c r="F728" s="65" t="s">
        <v>352</v>
      </c>
      <c r="G728" s="11" t="str">
        <f ca="1">IF(AND(E728&lt;&gt;"",E728&lt;TODAY()),"Disponible",IFERROR(INDEX(Vehiculos[Estado Vehiculo],MATCH(F728,Vehiculos[Placa Vehiculo],0)),""))</f>
        <v>Disponible</v>
      </c>
      <c r="H728" s="34"/>
      <c r="I728" s="34" t="s">
        <v>273</v>
      </c>
      <c r="J728" s="34"/>
      <c r="K728" s="39">
        <v>1113</v>
      </c>
      <c r="L728" s="39">
        <v>1117</v>
      </c>
      <c r="M728" s="15">
        <f t="shared" si="255"/>
        <v>4</v>
      </c>
      <c r="N728" s="15">
        <f>Rutas[[#This Row],[Kms Recorridos]]</f>
        <v>4</v>
      </c>
      <c r="O728" s="39"/>
      <c r="P728" s="36"/>
      <c r="Q728" s="16">
        <f t="shared" si="256"/>
        <v>0</v>
      </c>
      <c r="R728" s="34" t="s">
        <v>273</v>
      </c>
      <c r="S728" s="34" t="s">
        <v>102</v>
      </c>
      <c r="T728" s="36">
        <v>1.8</v>
      </c>
      <c r="U728" s="293">
        <f>Rutas[[#This Row],[Precio x Galón ($/gal)]]*Rutas[[#This Row],[Volumen de Combustible (gal)]]</f>
        <v>12.51</v>
      </c>
      <c r="V728" s="36"/>
      <c r="W728" s="36"/>
      <c r="X728" s="36"/>
      <c r="Y728" s="145">
        <f t="shared" si="257"/>
        <v>12.51</v>
      </c>
      <c r="Z728" s="567"/>
      <c r="AA728" s="12">
        <v>6.95</v>
      </c>
      <c r="AB728" s="12">
        <f t="shared" si="258"/>
        <v>0.57553956834532372</v>
      </c>
      <c r="AC728" s="12">
        <f t="shared" si="259"/>
        <v>0</v>
      </c>
      <c r="AD728" s="34"/>
    </row>
    <row r="729" spans="1:30" ht="16" x14ac:dyDescent="0.2">
      <c r="A729" s="47"/>
      <c r="B729" s="422"/>
      <c r="C729" s="176">
        <f t="shared" si="244"/>
        <v>726</v>
      </c>
      <c r="D729" s="146">
        <v>45800</v>
      </c>
      <c r="E729" s="37">
        <v>45802</v>
      </c>
      <c r="F729" s="65" t="s">
        <v>352</v>
      </c>
      <c r="G729" s="11" t="str">
        <f ca="1">IF(AND(E729&lt;&gt;"",E729&lt;TODAY()),"Disponible",IFERROR(INDEX(Vehiculos[Estado Vehiculo],MATCH(F729,Vehiculos[Placa Vehiculo],0)),""))</f>
        <v>Disponible</v>
      </c>
      <c r="H729" s="34"/>
      <c r="I729" s="34" t="s">
        <v>273</v>
      </c>
      <c r="J729" s="34"/>
      <c r="K729" s="39">
        <v>1117</v>
      </c>
      <c r="L729" s="39">
        <v>1119</v>
      </c>
      <c r="M729" s="15">
        <f t="shared" si="255"/>
        <v>2</v>
      </c>
      <c r="N729" s="15">
        <f>Rutas[[#This Row],[Kms Recorridos]]</f>
        <v>2</v>
      </c>
      <c r="O729" s="39"/>
      <c r="P729" s="36"/>
      <c r="Q729" s="16">
        <f t="shared" si="256"/>
        <v>0</v>
      </c>
      <c r="R729" s="34" t="s">
        <v>273</v>
      </c>
      <c r="S729" s="34" t="s">
        <v>102</v>
      </c>
      <c r="T729" s="36">
        <v>1.8</v>
      </c>
      <c r="U729" s="293">
        <f>Rutas[[#This Row],[Precio x Galón ($/gal)]]*Rutas[[#This Row],[Volumen de Combustible (gal)]]</f>
        <v>30.06</v>
      </c>
      <c r="V729" s="36"/>
      <c r="W729" s="36"/>
      <c r="X729" s="36"/>
      <c r="Y729" s="145">
        <f t="shared" si="257"/>
        <v>30.06</v>
      </c>
      <c r="Z729" s="567"/>
      <c r="AA729" s="12">
        <v>16.7</v>
      </c>
      <c r="AB729" s="12">
        <f t="shared" si="258"/>
        <v>0.11976047904191617</v>
      </c>
      <c r="AC729" s="12">
        <f t="shared" si="259"/>
        <v>0</v>
      </c>
      <c r="AD729" s="34"/>
    </row>
    <row r="730" spans="1:30" ht="16" x14ac:dyDescent="0.2">
      <c r="A730" s="47"/>
      <c r="B730" s="422"/>
      <c r="C730" s="176">
        <f t="shared" si="244"/>
        <v>727</v>
      </c>
      <c r="D730" s="146">
        <v>45802</v>
      </c>
      <c r="E730" s="37">
        <v>45805</v>
      </c>
      <c r="F730" s="65" t="s">
        <v>352</v>
      </c>
      <c r="G730" s="11" t="str">
        <f ca="1">IF(AND(E730&lt;&gt;"",E730&lt;TODAY()),"Disponible",IFERROR(INDEX(Vehiculos[Estado Vehiculo],MATCH(F730,Vehiculos[Placa Vehiculo],0)),""))</f>
        <v>Disponible</v>
      </c>
      <c r="H730" s="34"/>
      <c r="I730" s="34" t="s">
        <v>273</v>
      </c>
      <c r="J730" s="34"/>
      <c r="K730" s="39">
        <v>1119</v>
      </c>
      <c r="L730" s="39">
        <v>1128</v>
      </c>
      <c r="M730" s="15">
        <f t="shared" si="255"/>
        <v>9</v>
      </c>
      <c r="N730" s="15">
        <f>Rutas[[#This Row],[Kms Recorridos]]</f>
        <v>9</v>
      </c>
      <c r="O730" s="39"/>
      <c r="P730" s="36"/>
      <c r="Q730" s="16">
        <f t="shared" si="256"/>
        <v>0</v>
      </c>
      <c r="R730" s="34" t="s">
        <v>273</v>
      </c>
      <c r="S730" s="34" t="s">
        <v>102</v>
      </c>
      <c r="T730" s="36">
        <v>1.8</v>
      </c>
      <c r="U730" s="293">
        <f>Rutas[[#This Row],[Precio x Galón ($/gal)]]*Rutas[[#This Row],[Volumen de Combustible (gal)]]</f>
        <v>17.154</v>
      </c>
      <c r="V730" s="36"/>
      <c r="W730" s="36"/>
      <c r="X730" s="36"/>
      <c r="Y730" s="145">
        <f t="shared" si="257"/>
        <v>17.154</v>
      </c>
      <c r="Z730" s="567"/>
      <c r="AA730" s="12">
        <v>9.5299999999999994</v>
      </c>
      <c r="AB730" s="12">
        <f t="shared" si="258"/>
        <v>0.94438614900314799</v>
      </c>
      <c r="AC730" s="12">
        <f t="shared" si="259"/>
        <v>0</v>
      </c>
      <c r="AD730" s="34"/>
    </row>
    <row r="731" spans="1:30" ht="16" x14ac:dyDescent="0.2">
      <c r="A731" s="47"/>
      <c r="B731" s="422"/>
      <c r="C731" s="176">
        <f t="shared" si="244"/>
        <v>728</v>
      </c>
      <c r="D731" s="146">
        <v>45805</v>
      </c>
      <c r="E731" s="37">
        <v>45808</v>
      </c>
      <c r="F731" s="65" t="s">
        <v>352</v>
      </c>
      <c r="G731" s="11" t="str">
        <f ca="1">IF(AND(E731&lt;&gt;"",E731&lt;TODAY()),"Disponible",IFERROR(INDEX(Vehiculos[Estado Vehiculo],MATCH(F731,Vehiculos[Placa Vehiculo],0)),""))</f>
        <v>Disponible</v>
      </c>
      <c r="H731" s="34"/>
      <c r="I731" s="34" t="s">
        <v>273</v>
      </c>
      <c r="J731" s="34"/>
      <c r="K731" s="39">
        <v>1128</v>
      </c>
      <c r="L731" s="39">
        <v>1135</v>
      </c>
      <c r="M731" s="15">
        <f t="shared" si="255"/>
        <v>7</v>
      </c>
      <c r="N731" s="15">
        <f>Rutas[[#This Row],[Kms Recorridos]]</f>
        <v>7</v>
      </c>
      <c r="O731" s="39"/>
      <c r="P731" s="36"/>
      <c r="Q731" s="16">
        <f t="shared" si="256"/>
        <v>0</v>
      </c>
      <c r="R731" s="34" t="s">
        <v>273</v>
      </c>
      <c r="S731" s="34" t="s">
        <v>102</v>
      </c>
      <c r="T731" s="36"/>
      <c r="U731" s="293">
        <f>Rutas[[#This Row],[Precio x Galón ($/gal)]]*Rutas[[#This Row],[Volumen de Combustible (gal)]]</f>
        <v>0</v>
      </c>
      <c r="V731" s="36"/>
      <c r="W731" s="36"/>
      <c r="X731" s="36"/>
      <c r="Y731" s="145">
        <f t="shared" si="257"/>
        <v>0</v>
      </c>
      <c r="Z731" s="567"/>
      <c r="AA731" s="12"/>
      <c r="AB731" s="12">
        <f t="shared" si="258"/>
        <v>0</v>
      </c>
      <c r="AC731" s="12">
        <f t="shared" si="259"/>
        <v>0</v>
      </c>
      <c r="AD731" s="34"/>
    </row>
    <row r="732" spans="1:30" ht="17" thickBot="1" x14ac:dyDescent="0.25">
      <c r="A732" s="174"/>
      <c r="B732" s="449"/>
      <c r="C732" s="176">
        <f t="shared" si="244"/>
        <v>729</v>
      </c>
      <c r="D732" s="156"/>
      <c r="E732" s="157"/>
      <c r="F732" s="436"/>
      <c r="G732" s="159" t="str">
        <f ca="1">IF(AND(E732&lt;&gt;"",E732&lt;TODAY()),"Disponible",IFERROR(INDEX(Vehiculos[Estado Vehiculo],MATCH(F732,Vehiculos[Placa Vehiculo],0)),""))</f>
        <v/>
      </c>
      <c r="H732" s="160"/>
      <c r="I732" s="160"/>
      <c r="J732" s="160"/>
      <c r="K732" s="161"/>
      <c r="L732" s="161"/>
      <c r="M732" s="162"/>
      <c r="N732" s="162"/>
      <c r="O732" s="161"/>
      <c r="P732" s="163"/>
      <c r="Q732" s="164">
        <f t="shared" si="256"/>
        <v>0</v>
      </c>
      <c r="R732" s="160"/>
      <c r="S732" s="160"/>
      <c r="T732" s="163"/>
      <c r="U732" s="407">
        <f>Rutas[[#This Row],[Precio x Galón ($/gal)]]*Rutas[[#This Row],[Volumen de Combustible (gal)]]</f>
        <v>0</v>
      </c>
      <c r="V732" s="163"/>
      <c r="W732" s="163"/>
      <c r="X732" s="163"/>
      <c r="Y732" s="165">
        <f t="shared" si="257"/>
        <v>0</v>
      </c>
      <c r="Z732" s="568"/>
      <c r="AA732" s="166"/>
      <c r="AB732" s="166">
        <f t="shared" si="258"/>
        <v>0</v>
      </c>
      <c r="AC732" s="166">
        <f t="shared" si="259"/>
        <v>0</v>
      </c>
      <c r="AD732" s="160"/>
    </row>
    <row r="733" spans="1:30" ht="17" thickTop="1" x14ac:dyDescent="0.2">
      <c r="A733" s="47"/>
      <c r="B733" s="305"/>
      <c r="C733" s="176">
        <f t="shared" si="244"/>
        <v>730</v>
      </c>
      <c r="D733" s="90">
        <v>45809</v>
      </c>
      <c r="E733" s="90">
        <v>45810</v>
      </c>
      <c r="F733" s="68" t="s">
        <v>204</v>
      </c>
      <c r="G733" s="379" t="str">
        <f ca="1">IF(AND(E733&lt;&gt;"",E733&lt;TODAY()),"Disponible",IFERROR(INDEX(Vehiculos[Estado Vehiculo],MATCH(F733,Vehiculos[Placa Vehiculo],0)),""))</f>
        <v>Disponible</v>
      </c>
      <c r="H733" s="89" t="s">
        <v>247</v>
      </c>
      <c r="I733" s="89" t="s">
        <v>273</v>
      </c>
      <c r="J733" s="89" t="s">
        <v>282</v>
      </c>
      <c r="K733" s="380">
        <v>29871</v>
      </c>
      <c r="L733" s="380">
        <v>30137</v>
      </c>
      <c r="M733" s="381">
        <f t="shared" si="255"/>
        <v>266</v>
      </c>
      <c r="N733" s="381"/>
      <c r="O733" s="380"/>
      <c r="P733" s="92"/>
      <c r="Q733" s="382">
        <f t="shared" si="256"/>
        <v>0</v>
      </c>
      <c r="R733" s="89" t="s">
        <v>273</v>
      </c>
      <c r="S733" s="89" t="s">
        <v>102</v>
      </c>
      <c r="T733" s="92">
        <v>1.8</v>
      </c>
      <c r="U733" s="266">
        <f>Rutas[[#This Row],[Precio x Galón ($/gal)]]*Rutas[[#This Row],[Volumen de Combustible (gal)]]</f>
        <v>130.78800000000001</v>
      </c>
      <c r="V733" s="92"/>
      <c r="W733" s="92"/>
      <c r="X733" s="92"/>
      <c r="Y733" s="382">
        <f t="shared" si="257"/>
        <v>130.78800000000001</v>
      </c>
      <c r="Z733" s="567"/>
      <c r="AA733" s="382">
        <v>72.66</v>
      </c>
      <c r="AB733" s="382">
        <f t="shared" si="258"/>
        <v>3.6608863198458574</v>
      </c>
      <c r="AC733" s="382">
        <f t="shared" si="259"/>
        <v>0</v>
      </c>
      <c r="AD733" s="89"/>
    </row>
    <row r="734" spans="1:30" ht="16" x14ac:dyDescent="0.2">
      <c r="A734" s="47"/>
      <c r="B734" s="305"/>
      <c r="C734" s="176">
        <f t="shared" si="244"/>
        <v>731</v>
      </c>
      <c r="D734" s="146">
        <v>45810</v>
      </c>
      <c r="E734" s="37">
        <v>45821</v>
      </c>
      <c r="F734" s="65" t="s">
        <v>204</v>
      </c>
      <c r="G734" s="11" t="str">
        <f ca="1">IF(AND(E734&lt;&gt;"",E734&lt;TODAY()),"Disponible",IFERROR(INDEX(Vehiculos[Estado Vehiculo],MATCH(F734,Vehiculos[Placa Vehiculo],0)),""))</f>
        <v>Disponible</v>
      </c>
      <c r="H734" s="34" t="s">
        <v>237</v>
      </c>
      <c r="I734" s="34" t="s">
        <v>273</v>
      </c>
      <c r="J734" s="34" t="s">
        <v>282</v>
      </c>
      <c r="K734" s="39">
        <v>30137</v>
      </c>
      <c r="L734" s="39">
        <v>30797</v>
      </c>
      <c r="M734" s="15">
        <f t="shared" si="255"/>
        <v>660</v>
      </c>
      <c r="N734" s="15"/>
      <c r="O734" s="39"/>
      <c r="P734" s="36"/>
      <c r="Q734" s="16">
        <f t="shared" si="256"/>
        <v>0</v>
      </c>
      <c r="R734" s="34" t="s">
        <v>273</v>
      </c>
      <c r="S734" s="34" t="s">
        <v>102</v>
      </c>
      <c r="T734" s="36">
        <v>1.8</v>
      </c>
      <c r="U734" s="293">
        <f>Rutas[[#This Row],[Precio x Galón ($/gal)]]*Rutas[[#This Row],[Volumen de Combustible (gal)]]</f>
        <v>137.898</v>
      </c>
      <c r="V734" s="36"/>
      <c r="W734" s="36"/>
      <c r="X734" s="36"/>
      <c r="Y734" s="145">
        <f t="shared" si="257"/>
        <v>137.898</v>
      </c>
      <c r="Z734" s="567"/>
      <c r="AA734" s="12">
        <v>76.61</v>
      </c>
      <c r="AB734" s="12">
        <f t="shared" si="258"/>
        <v>8.6150633076621848</v>
      </c>
      <c r="AC734" s="12">
        <f t="shared" si="259"/>
        <v>0</v>
      </c>
      <c r="AD734" s="34"/>
    </row>
    <row r="735" spans="1:30" ht="16" x14ac:dyDescent="0.2">
      <c r="A735" s="47"/>
      <c r="B735" s="305"/>
      <c r="C735" s="176">
        <f t="shared" si="244"/>
        <v>732</v>
      </c>
      <c r="D735" s="146">
        <v>45821</v>
      </c>
      <c r="E735" s="37">
        <v>45830</v>
      </c>
      <c r="F735" s="65" t="s">
        <v>204</v>
      </c>
      <c r="G735" s="11" t="str">
        <f ca="1">IF(AND(E735&lt;&gt;"",E735&lt;TODAY()),"Disponible",IFERROR(INDEX(Vehiculos[Estado Vehiculo],MATCH(F735,Vehiculos[Placa Vehiculo],0)),""))</f>
        <v>Disponible</v>
      </c>
      <c r="H735" s="34" t="s">
        <v>247</v>
      </c>
      <c r="I735" s="34" t="s">
        <v>273</v>
      </c>
      <c r="J735" s="34" t="s">
        <v>282</v>
      </c>
      <c r="K735" s="39">
        <v>30797</v>
      </c>
      <c r="L735" s="39">
        <v>31318</v>
      </c>
      <c r="M735" s="15">
        <f t="shared" si="255"/>
        <v>521</v>
      </c>
      <c r="N735" s="15"/>
      <c r="O735" s="39"/>
      <c r="P735" s="36"/>
      <c r="Q735" s="16">
        <f t="shared" si="256"/>
        <v>0</v>
      </c>
      <c r="R735" s="34" t="s">
        <v>273</v>
      </c>
      <c r="S735" s="34" t="s">
        <v>102</v>
      </c>
      <c r="T735" s="36">
        <v>1.8</v>
      </c>
      <c r="U735" s="293">
        <f>Rutas[[#This Row],[Precio x Galón ($/gal)]]*Rutas[[#This Row],[Volumen de Combustible (gal)]]</f>
        <v>180.52200000000002</v>
      </c>
      <c r="V735" s="36"/>
      <c r="W735" s="36"/>
      <c r="X735" s="36"/>
      <c r="Y735" s="145">
        <f t="shared" si="257"/>
        <v>180.52200000000002</v>
      </c>
      <c r="Z735" s="567"/>
      <c r="AA735" s="12">
        <v>100.29</v>
      </c>
      <c r="AB735" s="12">
        <f t="shared" si="258"/>
        <v>5.1949346894007373</v>
      </c>
      <c r="AC735" s="12">
        <f t="shared" si="259"/>
        <v>0</v>
      </c>
      <c r="AD735" s="34"/>
    </row>
    <row r="736" spans="1:30" ht="16" x14ac:dyDescent="0.2">
      <c r="A736" s="47"/>
      <c r="B736" s="305"/>
      <c r="C736" s="176">
        <f t="shared" si="244"/>
        <v>733</v>
      </c>
      <c r="D736" s="146">
        <v>45830</v>
      </c>
      <c r="E736" s="37">
        <v>45838</v>
      </c>
      <c r="F736" s="65" t="s">
        <v>204</v>
      </c>
      <c r="G736" s="11" t="str">
        <f ca="1">IF(AND(E736&lt;&gt;"",E736&lt;TODAY()),"Disponible",IFERROR(INDEX(Vehiculos[Estado Vehiculo],MATCH(F736,Vehiculos[Placa Vehiculo],0)),""))</f>
        <v>Disponible</v>
      </c>
      <c r="H736" s="34" t="s">
        <v>237</v>
      </c>
      <c r="I736" s="34" t="s">
        <v>273</v>
      </c>
      <c r="J736" s="34" t="s">
        <v>282</v>
      </c>
      <c r="K736" s="39">
        <v>31318</v>
      </c>
      <c r="L736" s="39">
        <v>31660</v>
      </c>
      <c r="M736" s="15">
        <f t="shared" si="255"/>
        <v>342</v>
      </c>
      <c r="N736" s="532">
        <v>300</v>
      </c>
      <c r="O736" s="39"/>
      <c r="P736" s="36"/>
      <c r="Q736" s="16">
        <f t="shared" si="256"/>
        <v>0</v>
      </c>
      <c r="R736" s="34" t="s">
        <v>273</v>
      </c>
      <c r="S736" s="34" t="s">
        <v>102</v>
      </c>
      <c r="T736" s="36">
        <v>1.8</v>
      </c>
      <c r="U736" s="293">
        <f>Rutas[[#This Row],[Precio x Galón ($/gal)]]*Rutas[[#This Row],[Volumen de Combustible (gal)]]</f>
        <v>153.66600000000003</v>
      </c>
      <c r="V736" s="36"/>
      <c r="W736" s="36"/>
      <c r="X736" s="36"/>
      <c r="Y736" s="145">
        <f t="shared" si="257"/>
        <v>153.66600000000003</v>
      </c>
      <c r="Z736" s="567"/>
      <c r="AA736" s="12">
        <v>85.37</v>
      </c>
      <c r="AB736" s="12">
        <f t="shared" si="258"/>
        <v>4.0060911327164108</v>
      </c>
      <c r="AC736" s="12">
        <f t="shared" si="259"/>
        <v>0</v>
      </c>
      <c r="AD736" s="34"/>
    </row>
    <row r="737" spans="1:30" ht="16" x14ac:dyDescent="0.2">
      <c r="A737" s="47"/>
      <c r="B737" s="305"/>
      <c r="C737" s="176">
        <f t="shared" si="244"/>
        <v>734</v>
      </c>
      <c r="D737" s="146"/>
      <c r="E737" s="37"/>
      <c r="F737" s="65"/>
      <c r="G737" s="11" t="str">
        <f ca="1">IF(AND(E737&lt;&gt;"",E737&lt;TODAY()),"Disponible",IFERROR(INDEX(Vehiculos[Estado Vehiculo],MATCH(F737,Vehiculos[Placa Vehiculo],0)),""))</f>
        <v/>
      </c>
      <c r="H737" s="34"/>
      <c r="I737" s="34"/>
      <c r="J737" s="34"/>
      <c r="K737" s="39"/>
      <c r="L737" s="39"/>
      <c r="M737" s="15"/>
      <c r="N737" s="15"/>
      <c r="O737" s="39"/>
      <c r="P737" s="36"/>
      <c r="Q737" s="16">
        <f t="shared" si="256"/>
        <v>0</v>
      </c>
      <c r="R737" s="34"/>
      <c r="S737" s="34"/>
      <c r="T737" s="36"/>
      <c r="U737" s="293">
        <f>Rutas[[#This Row],[Precio x Galón ($/gal)]]*Rutas[[#This Row],[Volumen de Combustible (gal)]]</f>
        <v>0</v>
      </c>
      <c r="V737" s="36"/>
      <c r="W737" s="36"/>
      <c r="X737" s="36"/>
      <c r="Y737" s="145">
        <f t="shared" si="257"/>
        <v>0</v>
      </c>
      <c r="Z737" s="567"/>
      <c r="AA737" s="12"/>
      <c r="AB737" s="12">
        <f t="shared" si="258"/>
        <v>0</v>
      </c>
      <c r="AC737" s="12">
        <f t="shared" si="259"/>
        <v>0</v>
      </c>
      <c r="AD737" s="34"/>
    </row>
    <row r="738" spans="1:30" ht="16" x14ac:dyDescent="0.2">
      <c r="A738" s="47"/>
      <c r="B738" s="305"/>
      <c r="C738" s="176">
        <f t="shared" si="244"/>
        <v>735</v>
      </c>
      <c r="D738" s="90">
        <v>45809</v>
      </c>
      <c r="E738" s="90">
        <v>45810</v>
      </c>
      <c r="F738" s="68" t="s">
        <v>207</v>
      </c>
      <c r="G738" s="379" t="str">
        <f ca="1">IF(AND(E738&lt;&gt;"",E738&lt;TODAY()),"Disponible",IFERROR(INDEX(Vehiculos[Estado Vehiculo],MATCH(F738,Vehiculos[Placa Vehiculo],0)),""))</f>
        <v>Disponible</v>
      </c>
      <c r="H738" s="89" t="s">
        <v>242</v>
      </c>
      <c r="I738" s="89" t="s">
        <v>273</v>
      </c>
      <c r="J738" s="89" t="s">
        <v>274</v>
      </c>
      <c r="K738" s="380">
        <v>51047</v>
      </c>
      <c r="L738" s="380">
        <v>51427</v>
      </c>
      <c r="M738" s="381">
        <f t="shared" si="255"/>
        <v>380</v>
      </c>
      <c r="N738" s="381"/>
      <c r="O738" s="380"/>
      <c r="P738" s="92"/>
      <c r="Q738" s="382">
        <f t="shared" si="256"/>
        <v>0</v>
      </c>
      <c r="R738" s="89" t="s">
        <v>273</v>
      </c>
      <c r="S738" s="89" t="s">
        <v>102</v>
      </c>
      <c r="T738" s="92">
        <v>1.8</v>
      </c>
      <c r="U738" s="266">
        <f>Rutas[[#This Row],[Precio x Galón ($/gal)]]*Rutas[[#This Row],[Volumen de Combustible (gal)]]</f>
        <v>99.882000000000005</v>
      </c>
      <c r="V738" s="92"/>
      <c r="W738" s="92"/>
      <c r="X738" s="92"/>
      <c r="Y738" s="382">
        <f t="shared" si="257"/>
        <v>99.882000000000005</v>
      </c>
      <c r="Z738" s="567"/>
      <c r="AA738" s="382">
        <v>55.49</v>
      </c>
      <c r="AB738" s="382">
        <f t="shared" si="258"/>
        <v>6.8480807352676152</v>
      </c>
      <c r="AC738" s="382">
        <f t="shared" si="259"/>
        <v>0</v>
      </c>
      <c r="AD738" s="89"/>
    </row>
    <row r="739" spans="1:30" ht="16" x14ac:dyDescent="0.2">
      <c r="A739" s="47"/>
      <c r="B739" s="305"/>
      <c r="C739" s="176">
        <f t="shared" si="244"/>
        <v>736</v>
      </c>
      <c r="D739" s="146">
        <v>45810</v>
      </c>
      <c r="E739" s="37">
        <v>45811</v>
      </c>
      <c r="F739" s="65" t="s">
        <v>207</v>
      </c>
      <c r="G739" s="11" t="str">
        <f ca="1">IF(AND(E739&lt;&gt;"",E739&lt;TODAY()),"Disponible",IFERROR(INDEX(Vehiculos[Estado Vehiculo],MATCH(F739,Vehiculos[Placa Vehiculo],0)),""))</f>
        <v>Disponible</v>
      </c>
      <c r="H739" s="34" t="s">
        <v>242</v>
      </c>
      <c r="I739" s="34" t="s">
        <v>273</v>
      </c>
      <c r="J739" s="34" t="s">
        <v>274</v>
      </c>
      <c r="K739" s="39">
        <v>51427</v>
      </c>
      <c r="L739" s="39">
        <v>51818</v>
      </c>
      <c r="M739" s="15">
        <f t="shared" si="255"/>
        <v>391</v>
      </c>
      <c r="N739" s="15"/>
      <c r="O739" s="39"/>
      <c r="P739" s="36"/>
      <c r="Q739" s="16">
        <f t="shared" si="256"/>
        <v>0</v>
      </c>
      <c r="R739" s="34" t="s">
        <v>273</v>
      </c>
      <c r="S739" s="34" t="s">
        <v>102</v>
      </c>
      <c r="T739" s="36">
        <v>1.8</v>
      </c>
      <c r="U739" s="293">
        <f>Rutas[[#This Row],[Precio x Galón ($/gal)]]*Rutas[[#This Row],[Volumen de Combustible (gal)]]</f>
        <v>71.837999999999994</v>
      </c>
      <c r="V739" s="36"/>
      <c r="W739" s="36"/>
      <c r="X739" s="36"/>
      <c r="Y739" s="145">
        <f t="shared" si="257"/>
        <v>71.837999999999994</v>
      </c>
      <c r="Z739" s="567"/>
      <c r="AA739" s="12">
        <v>39.909999999999997</v>
      </c>
      <c r="AB739" s="12">
        <f t="shared" si="258"/>
        <v>9.7970433475319485</v>
      </c>
      <c r="AC739" s="12">
        <f t="shared" si="259"/>
        <v>0</v>
      </c>
      <c r="AD739" s="34"/>
    </row>
    <row r="740" spans="1:30" ht="16" x14ac:dyDescent="0.2">
      <c r="A740" s="47"/>
      <c r="B740" s="305"/>
      <c r="C740" s="176">
        <f t="shared" si="244"/>
        <v>737</v>
      </c>
      <c r="D740" s="146">
        <v>45811</v>
      </c>
      <c r="E740" s="37">
        <v>45812</v>
      </c>
      <c r="F740" s="65" t="s">
        <v>207</v>
      </c>
      <c r="G740" s="11" t="str">
        <f ca="1">IF(AND(E740&lt;&gt;"",E740&lt;TODAY()),"Disponible",IFERROR(INDEX(Vehiculos[Estado Vehiculo],MATCH(F740,Vehiculos[Placa Vehiculo],0)),""))</f>
        <v>Disponible</v>
      </c>
      <c r="H740" s="34" t="s">
        <v>248</v>
      </c>
      <c r="I740" s="34" t="s">
        <v>273</v>
      </c>
      <c r="J740" s="34" t="s">
        <v>274</v>
      </c>
      <c r="K740" s="39">
        <v>51818</v>
      </c>
      <c r="L740" s="39">
        <v>52142</v>
      </c>
      <c r="M740" s="15">
        <f t="shared" si="255"/>
        <v>324</v>
      </c>
      <c r="N740" s="15"/>
      <c r="O740" s="39"/>
      <c r="P740" s="36"/>
      <c r="Q740" s="16">
        <f t="shared" si="256"/>
        <v>0</v>
      </c>
      <c r="R740" s="34" t="s">
        <v>273</v>
      </c>
      <c r="S740" s="34" t="s">
        <v>102</v>
      </c>
      <c r="T740" s="36">
        <v>1.8</v>
      </c>
      <c r="U740" s="293">
        <f>Rutas[[#This Row],[Precio x Galón ($/gal)]]*Rutas[[#This Row],[Volumen de Combustible (gal)]]</f>
        <v>286.99200000000002</v>
      </c>
      <c r="V740" s="36"/>
      <c r="W740" s="36"/>
      <c r="X740" s="36"/>
      <c r="Y740" s="145">
        <f t="shared" si="257"/>
        <v>286.99200000000002</v>
      </c>
      <c r="Z740" s="567"/>
      <c r="AA740" s="12">
        <v>159.44</v>
      </c>
      <c r="AB740" s="12">
        <f t="shared" si="258"/>
        <v>2.0321123933768188</v>
      </c>
      <c r="AC740" s="12">
        <f t="shared" si="259"/>
        <v>0</v>
      </c>
      <c r="AD740" s="34"/>
    </row>
    <row r="741" spans="1:30" ht="16" x14ac:dyDescent="0.2">
      <c r="A741" s="47"/>
      <c r="B741" s="305"/>
      <c r="C741" s="176">
        <f t="shared" si="244"/>
        <v>738</v>
      </c>
      <c r="D741" s="146">
        <v>45812</v>
      </c>
      <c r="E741" s="37">
        <v>45815</v>
      </c>
      <c r="F741" s="65" t="s">
        <v>207</v>
      </c>
      <c r="G741" s="11" t="str">
        <f ca="1">IF(AND(E741&lt;&gt;"",E741&lt;TODAY()),"Disponible",IFERROR(INDEX(Vehiculos[Estado Vehiculo],MATCH(F741,Vehiculos[Placa Vehiculo],0)),""))</f>
        <v>Disponible</v>
      </c>
      <c r="H741" s="34" t="s">
        <v>248</v>
      </c>
      <c r="I741" s="34" t="s">
        <v>273</v>
      </c>
      <c r="J741" s="34" t="s">
        <v>274</v>
      </c>
      <c r="K741" s="39">
        <v>52142</v>
      </c>
      <c r="L741" s="39">
        <v>52562</v>
      </c>
      <c r="M741" s="15">
        <f t="shared" si="255"/>
        <v>420</v>
      </c>
      <c r="N741" s="15"/>
      <c r="O741" s="39"/>
      <c r="P741" s="36"/>
      <c r="Q741" s="16">
        <f t="shared" si="256"/>
        <v>0</v>
      </c>
      <c r="R741" s="34" t="s">
        <v>273</v>
      </c>
      <c r="S741" s="34" t="s">
        <v>102</v>
      </c>
      <c r="T741" s="36">
        <v>1.8</v>
      </c>
      <c r="U741" s="293">
        <f>Rutas[[#This Row],[Precio x Galón ($/gal)]]*Rutas[[#This Row],[Volumen de Combustible (gal)]]</f>
        <v>134.38800000000001</v>
      </c>
      <c r="V741" s="36"/>
      <c r="W741" s="36"/>
      <c r="X741" s="36"/>
      <c r="Y741" s="145">
        <f t="shared" si="257"/>
        <v>134.38800000000001</v>
      </c>
      <c r="Z741" s="567"/>
      <c r="AA741" s="12">
        <v>74.66</v>
      </c>
      <c r="AB741" s="12">
        <f t="shared" si="258"/>
        <v>5.6255022769890175</v>
      </c>
      <c r="AC741" s="12">
        <f t="shared" si="259"/>
        <v>0</v>
      </c>
      <c r="AD741" s="34"/>
    </row>
    <row r="742" spans="1:30" ht="16" x14ac:dyDescent="0.2">
      <c r="A742" s="47"/>
      <c r="B742" s="305"/>
      <c r="C742" s="176">
        <f t="shared" si="244"/>
        <v>739</v>
      </c>
      <c r="D742" s="146">
        <v>45815</v>
      </c>
      <c r="E742" s="37">
        <v>45819</v>
      </c>
      <c r="F742" s="65" t="s">
        <v>207</v>
      </c>
      <c r="G742" s="11" t="str">
        <f ca="1">IF(AND(E742&lt;&gt;"",E742&lt;TODAY()),"Disponible",IFERROR(INDEX(Vehiculos[Estado Vehiculo],MATCH(F742,Vehiculos[Placa Vehiculo],0)),""))</f>
        <v>Disponible</v>
      </c>
      <c r="H742" s="34" t="s">
        <v>242</v>
      </c>
      <c r="I742" s="34" t="s">
        <v>273</v>
      </c>
      <c r="J742" s="34" t="s">
        <v>274</v>
      </c>
      <c r="K742" s="39">
        <v>52562</v>
      </c>
      <c r="L742" s="39">
        <v>53532</v>
      </c>
      <c r="M742" s="15">
        <f t="shared" si="255"/>
        <v>970</v>
      </c>
      <c r="N742" s="15"/>
      <c r="O742" s="39"/>
      <c r="P742" s="36"/>
      <c r="Q742" s="16">
        <f t="shared" si="256"/>
        <v>0</v>
      </c>
      <c r="R742" s="34" t="s">
        <v>273</v>
      </c>
      <c r="S742" s="34" t="s">
        <v>102</v>
      </c>
      <c r="T742" s="36">
        <v>1.8</v>
      </c>
      <c r="U742" s="293">
        <f>Rutas[[#This Row],[Precio x Galón ($/gal)]]*Rutas[[#This Row],[Volumen de Combustible (gal)]]</f>
        <v>327.54599999999999</v>
      </c>
      <c r="V742" s="36"/>
      <c r="W742" s="36"/>
      <c r="X742" s="36"/>
      <c r="Y742" s="145">
        <f t="shared" si="257"/>
        <v>327.54599999999999</v>
      </c>
      <c r="Z742" s="567"/>
      <c r="AA742" s="12">
        <v>181.97</v>
      </c>
      <c r="AB742" s="12">
        <f t="shared" si="258"/>
        <v>5.3305489915920203</v>
      </c>
      <c r="AC742" s="12">
        <f t="shared" si="259"/>
        <v>0</v>
      </c>
      <c r="AD742" s="34"/>
    </row>
    <row r="743" spans="1:30" ht="16" x14ac:dyDescent="0.2">
      <c r="A743" s="47"/>
      <c r="B743" s="305"/>
      <c r="C743" s="176">
        <f t="shared" si="244"/>
        <v>740</v>
      </c>
      <c r="D743" s="146">
        <v>45819</v>
      </c>
      <c r="E743" s="37">
        <v>45821</v>
      </c>
      <c r="F743" s="65" t="s">
        <v>207</v>
      </c>
      <c r="G743" s="11" t="str">
        <f ca="1">IF(AND(E743&lt;&gt;"",E743&lt;TODAY()),"Disponible",IFERROR(INDEX(Vehiculos[Estado Vehiculo],MATCH(F743,Vehiculos[Placa Vehiculo],0)),""))</f>
        <v>Disponible</v>
      </c>
      <c r="H743" s="34" t="s">
        <v>242</v>
      </c>
      <c r="I743" s="34" t="s">
        <v>273</v>
      </c>
      <c r="J743" s="34" t="s">
        <v>274</v>
      </c>
      <c r="K743" s="39">
        <v>53532</v>
      </c>
      <c r="L743" s="39">
        <v>53796</v>
      </c>
      <c r="M743" s="15">
        <f t="shared" si="255"/>
        <v>264</v>
      </c>
      <c r="N743" s="15"/>
      <c r="O743" s="39"/>
      <c r="P743" s="36"/>
      <c r="Q743" s="16">
        <f t="shared" si="256"/>
        <v>0</v>
      </c>
      <c r="R743" s="34" t="s">
        <v>273</v>
      </c>
      <c r="S743" s="34" t="s">
        <v>102</v>
      </c>
      <c r="T743" s="36">
        <v>1.8</v>
      </c>
      <c r="U743" s="293">
        <f>Rutas[[#This Row],[Precio x Galón ($/gal)]]*Rutas[[#This Row],[Volumen de Combustible (gal)]]</f>
        <v>90.036000000000001</v>
      </c>
      <c r="V743" s="36"/>
      <c r="W743" s="36"/>
      <c r="X743" s="36"/>
      <c r="Y743" s="145">
        <f t="shared" si="257"/>
        <v>90.036000000000001</v>
      </c>
      <c r="Z743" s="567"/>
      <c r="AA743" s="12">
        <v>50.02</v>
      </c>
      <c r="AB743" s="12">
        <f t="shared" si="258"/>
        <v>5.2778888444622147</v>
      </c>
      <c r="AC743" s="12">
        <f t="shared" si="259"/>
        <v>0</v>
      </c>
      <c r="AD743" s="34"/>
    </row>
    <row r="744" spans="1:30" ht="16" x14ac:dyDescent="0.2">
      <c r="A744" s="47"/>
      <c r="B744" s="305"/>
      <c r="C744" s="176">
        <f t="shared" si="244"/>
        <v>741</v>
      </c>
      <c r="D744" s="146">
        <v>45821</v>
      </c>
      <c r="E744" s="37">
        <v>45824</v>
      </c>
      <c r="F744" s="65" t="s">
        <v>207</v>
      </c>
      <c r="G744" s="11" t="str">
        <f ca="1">IF(AND(E744&lt;&gt;"",E744&lt;TODAY()),"Disponible",IFERROR(INDEX(Vehiculos[Estado Vehiculo],MATCH(F744,Vehiculos[Placa Vehiculo],0)),""))</f>
        <v>Disponible</v>
      </c>
      <c r="H744" s="34" t="s">
        <v>242</v>
      </c>
      <c r="I744" s="34" t="s">
        <v>273</v>
      </c>
      <c r="J744" s="34" t="s">
        <v>274</v>
      </c>
      <c r="K744" s="39">
        <v>53796</v>
      </c>
      <c r="L744" s="39">
        <v>54185</v>
      </c>
      <c r="M744" s="15">
        <f t="shared" si="255"/>
        <v>389</v>
      </c>
      <c r="N744" s="15"/>
      <c r="O744" s="39"/>
      <c r="P744" s="36"/>
      <c r="Q744" s="16">
        <f t="shared" si="256"/>
        <v>0</v>
      </c>
      <c r="R744" s="34" t="s">
        <v>273</v>
      </c>
      <c r="S744" s="34" t="s">
        <v>102</v>
      </c>
      <c r="T744" s="36">
        <v>1.8</v>
      </c>
      <c r="U744" s="293">
        <f>Rutas[[#This Row],[Precio x Galón ($/gal)]]*Rutas[[#This Row],[Volumen de Combustible (gal)]]</f>
        <v>140.57999999999998</v>
      </c>
      <c r="V744" s="36"/>
      <c r="W744" s="36"/>
      <c r="X744" s="36"/>
      <c r="Y744" s="145">
        <f t="shared" si="257"/>
        <v>140.57999999999998</v>
      </c>
      <c r="Z744" s="567"/>
      <c r="AA744" s="12">
        <v>78.099999999999994</v>
      </c>
      <c r="AB744" s="12">
        <f t="shared" si="258"/>
        <v>4.9807938540332914</v>
      </c>
      <c r="AC744" s="12">
        <f t="shared" si="259"/>
        <v>0</v>
      </c>
      <c r="AD744" s="34"/>
    </row>
    <row r="745" spans="1:30" ht="16" x14ac:dyDescent="0.2">
      <c r="A745" s="47"/>
      <c r="B745" s="305"/>
      <c r="C745" s="176">
        <f t="shared" si="244"/>
        <v>742</v>
      </c>
      <c r="D745" s="146">
        <v>45824</v>
      </c>
      <c r="E745" s="37">
        <v>45829</v>
      </c>
      <c r="F745" s="65" t="s">
        <v>207</v>
      </c>
      <c r="G745" s="11" t="str">
        <f ca="1">IF(AND(E745&lt;&gt;"",E745&lt;TODAY()),"Disponible",IFERROR(INDEX(Vehiculos[Estado Vehiculo],MATCH(F745,Vehiculos[Placa Vehiculo],0)),""))</f>
        <v>Disponible</v>
      </c>
      <c r="H745" s="34" t="s">
        <v>305</v>
      </c>
      <c r="I745" s="34" t="s">
        <v>273</v>
      </c>
      <c r="J745" s="34" t="s">
        <v>274</v>
      </c>
      <c r="K745" s="39">
        <v>54185</v>
      </c>
      <c r="L745" s="39">
        <v>54749</v>
      </c>
      <c r="M745" s="15">
        <f t="shared" si="255"/>
        <v>564</v>
      </c>
      <c r="N745" s="15"/>
      <c r="O745" s="39"/>
      <c r="P745" s="36"/>
      <c r="Q745" s="16">
        <f t="shared" si="256"/>
        <v>0</v>
      </c>
      <c r="R745" s="34" t="s">
        <v>273</v>
      </c>
      <c r="S745" s="34" t="s">
        <v>102</v>
      </c>
      <c r="T745" s="36">
        <v>1.8</v>
      </c>
      <c r="U745" s="293">
        <f>Rutas[[#This Row],[Precio x Galón ($/gal)]]*Rutas[[#This Row],[Volumen de Combustible (gal)]]</f>
        <v>202.06800000000001</v>
      </c>
      <c r="V745" s="36"/>
      <c r="W745" s="36"/>
      <c r="X745" s="36"/>
      <c r="Y745" s="145">
        <f t="shared" si="257"/>
        <v>202.06800000000001</v>
      </c>
      <c r="Z745" s="567"/>
      <c r="AA745" s="12">
        <v>112.26</v>
      </c>
      <c r="AB745" s="12">
        <f t="shared" si="258"/>
        <v>5.0240513094601811</v>
      </c>
      <c r="AC745" s="12">
        <f t="shared" si="259"/>
        <v>0</v>
      </c>
      <c r="AD745" s="34"/>
    </row>
    <row r="746" spans="1:30" ht="16" x14ac:dyDescent="0.2">
      <c r="A746" s="47"/>
      <c r="B746" s="305"/>
      <c r="C746" s="176">
        <f t="shared" si="244"/>
        <v>743</v>
      </c>
      <c r="D746" s="146">
        <v>45829</v>
      </c>
      <c r="E746" s="37">
        <v>45838</v>
      </c>
      <c r="F746" s="65" t="s">
        <v>207</v>
      </c>
      <c r="G746" s="11" t="str">
        <f ca="1">IF(AND(E746&lt;&gt;"",E746&lt;TODAY()),"Disponible",IFERROR(INDEX(Vehiculos[Estado Vehiculo],MATCH(F746,Vehiculos[Placa Vehiculo],0)),""))</f>
        <v>Disponible</v>
      </c>
      <c r="H746" s="34" t="s">
        <v>305</v>
      </c>
      <c r="I746" s="34" t="s">
        <v>273</v>
      </c>
      <c r="J746" s="34" t="s">
        <v>274</v>
      </c>
      <c r="K746" s="39">
        <v>54749</v>
      </c>
      <c r="L746" s="39">
        <v>55255</v>
      </c>
      <c r="M746" s="15">
        <f>L746-K746</f>
        <v>506</v>
      </c>
      <c r="N746" s="532">
        <v>440</v>
      </c>
      <c r="O746" s="39"/>
      <c r="P746" s="36"/>
      <c r="Q746" s="16">
        <f>M746*P746</f>
        <v>0</v>
      </c>
      <c r="R746" s="34" t="s">
        <v>273</v>
      </c>
      <c r="S746" s="34" t="s">
        <v>102</v>
      </c>
      <c r="T746" s="36">
        <v>1.8</v>
      </c>
      <c r="U746" s="293">
        <f>Rutas[[#This Row],[Precio x Galón ($/gal)]]*Rutas[[#This Row],[Volumen de Combustible (gal)]]</f>
        <v>205.21800000000002</v>
      </c>
      <c r="V746" s="36"/>
      <c r="W746" s="36"/>
      <c r="X746" s="36"/>
      <c r="Y746" s="145">
        <f>U746+SUM(V746:X746)</f>
        <v>205.21800000000002</v>
      </c>
      <c r="Z746" s="567"/>
      <c r="AA746" s="12">
        <v>114.01</v>
      </c>
      <c r="AB746" s="12">
        <f>IFERROR(M746/AA746,0)</f>
        <v>4.4382071748092269</v>
      </c>
      <c r="AC746" s="12">
        <f>IFERROR(Q746/M746,0)</f>
        <v>0</v>
      </c>
      <c r="AD746" s="34"/>
    </row>
    <row r="747" spans="1:30" ht="16" x14ac:dyDescent="0.2">
      <c r="A747" s="47"/>
      <c r="B747" s="305"/>
      <c r="C747" s="176">
        <f t="shared" si="244"/>
        <v>744</v>
      </c>
      <c r="D747" s="146"/>
      <c r="E747" s="37"/>
      <c r="F747" s="65"/>
      <c r="G747" s="11" t="str">
        <f ca="1">IF(AND(E747&lt;&gt;"",E747&lt;TODAY()),"Disponible",IFERROR(INDEX(Vehiculos[Estado Vehiculo],MATCH(F747,Vehiculos[Placa Vehiculo],0)),""))</f>
        <v/>
      </c>
      <c r="H747" s="34"/>
      <c r="I747" s="34"/>
      <c r="J747" s="34"/>
      <c r="K747" s="39"/>
      <c r="L747" s="39"/>
      <c r="M747" s="15"/>
      <c r="N747" s="15"/>
      <c r="O747" s="39"/>
      <c r="P747" s="36"/>
      <c r="Q747" s="16">
        <f t="shared" si="256"/>
        <v>0</v>
      </c>
      <c r="R747" s="34"/>
      <c r="S747" s="34"/>
      <c r="T747" s="36"/>
      <c r="U747" s="293">
        <f>Rutas[[#This Row],[Precio x Galón ($/gal)]]*Rutas[[#This Row],[Volumen de Combustible (gal)]]</f>
        <v>0</v>
      </c>
      <c r="V747" s="36"/>
      <c r="W747" s="36"/>
      <c r="X747" s="36"/>
      <c r="Y747" s="145">
        <f t="shared" si="257"/>
        <v>0</v>
      </c>
      <c r="Z747" s="567"/>
      <c r="AA747" s="12"/>
      <c r="AB747" s="12">
        <f t="shared" si="258"/>
        <v>0</v>
      </c>
      <c r="AC747" s="12">
        <f t="shared" si="259"/>
        <v>0</v>
      </c>
      <c r="AD747" s="34"/>
    </row>
    <row r="748" spans="1:30" ht="16" x14ac:dyDescent="0.2">
      <c r="A748" s="47"/>
      <c r="B748" s="305"/>
      <c r="C748" s="176">
        <f t="shared" si="244"/>
        <v>745</v>
      </c>
      <c r="D748" s="90">
        <v>45809</v>
      </c>
      <c r="E748" s="90">
        <v>45810</v>
      </c>
      <c r="F748" s="68" t="s">
        <v>208</v>
      </c>
      <c r="G748" s="379" t="str">
        <f ca="1">IF(AND(E748&lt;&gt;"",E748&lt;TODAY()),"Disponible",IFERROR(INDEX(Vehiculos[Estado Vehiculo],MATCH(F748,Vehiculos[Placa Vehiculo],0)),""))</f>
        <v>Disponible</v>
      </c>
      <c r="H748" s="89" t="s">
        <v>236</v>
      </c>
      <c r="I748" s="89" t="s">
        <v>273</v>
      </c>
      <c r="J748" s="89" t="s">
        <v>274</v>
      </c>
      <c r="K748" s="380">
        <v>99095</v>
      </c>
      <c r="L748" s="380">
        <v>99539</v>
      </c>
      <c r="M748" s="381">
        <f t="shared" si="255"/>
        <v>444</v>
      </c>
      <c r="N748" s="381"/>
      <c r="O748" s="380"/>
      <c r="P748" s="92"/>
      <c r="Q748" s="382">
        <f t="shared" si="256"/>
        <v>0</v>
      </c>
      <c r="R748" s="89" t="s">
        <v>273</v>
      </c>
      <c r="S748" s="89" t="s">
        <v>102</v>
      </c>
      <c r="T748" s="92">
        <v>1.8</v>
      </c>
      <c r="U748" s="266">
        <f>Rutas[[#This Row],[Precio x Galón ($/gal)]]*Rutas[[#This Row],[Volumen de Combustible (gal)]]</f>
        <v>159.15600000000001</v>
      </c>
      <c r="V748" s="92"/>
      <c r="W748" s="92"/>
      <c r="X748" s="92"/>
      <c r="Y748" s="382">
        <f t="shared" si="257"/>
        <v>159.15600000000001</v>
      </c>
      <c r="Z748" s="567"/>
      <c r="AA748" s="382">
        <v>88.42</v>
      </c>
      <c r="AB748" s="382">
        <f t="shared" si="258"/>
        <v>5.021488351051798</v>
      </c>
      <c r="AC748" s="382">
        <f t="shared" si="259"/>
        <v>0</v>
      </c>
      <c r="AD748" s="89"/>
    </row>
    <row r="749" spans="1:30" ht="16" x14ac:dyDescent="0.2">
      <c r="A749" s="47"/>
      <c r="B749" s="305"/>
      <c r="C749" s="176">
        <f t="shared" si="244"/>
        <v>746</v>
      </c>
      <c r="D749" s="146">
        <v>45810</v>
      </c>
      <c r="E749" s="37">
        <v>45812</v>
      </c>
      <c r="F749" s="65" t="s">
        <v>208</v>
      </c>
      <c r="G749" s="11" t="str">
        <f ca="1">IF(AND(E749&lt;&gt;"",E749&lt;TODAY()),"Disponible",IFERROR(INDEX(Vehiculos[Estado Vehiculo],MATCH(F749,Vehiculos[Placa Vehiculo],0)),""))</f>
        <v>Disponible</v>
      </c>
      <c r="H749" s="34" t="s">
        <v>236</v>
      </c>
      <c r="I749" s="34" t="s">
        <v>273</v>
      </c>
      <c r="J749" s="34" t="s">
        <v>274</v>
      </c>
      <c r="K749" s="39">
        <v>99539</v>
      </c>
      <c r="L749" s="39">
        <v>99935</v>
      </c>
      <c r="M749" s="15">
        <f t="shared" si="255"/>
        <v>396</v>
      </c>
      <c r="N749" s="15"/>
      <c r="O749" s="39"/>
      <c r="P749" s="36"/>
      <c r="Q749" s="16">
        <f t="shared" si="256"/>
        <v>0</v>
      </c>
      <c r="R749" s="34" t="s">
        <v>273</v>
      </c>
      <c r="S749" s="34" t="s">
        <v>102</v>
      </c>
      <c r="T749" s="36">
        <v>1.8</v>
      </c>
      <c r="U749" s="293">
        <f>Rutas[[#This Row],[Precio x Galón ($/gal)]]*Rutas[[#This Row],[Volumen de Combustible (gal)]]</f>
        <v>139.06800000000001</v>
      </c>
      <c r="V749" s="36"/>
      <c r="W749" s="36"/>
      <c r="X749" s="36"/>
      <c r="Y749" s="145">
        <f t="shared" si="257"/>
        <v>139.06800000000001</v>
      </c>
      <c r="Z749" s="567"/>
      <c r="AA749" s="12">
        <v>77.260000000000005</v>
      </c>
      <c r="AB749" s="12">
        <f t="shared" si="258"/>
        <v>5.1255500906031575</v>
      </c>
      <c r="AC749" s="12">
        <f t="shared" si="259"/>
        <v>0</v>
      </c>
      <c r="AD749" s="34"/>
    </row>
    <row r="750" spans="1:30" ht="16" x14ac:dyDescent="0.2">
      <c r="A750" s="47"/>
      <c r="B750" s="305"/>
      <c r="C750" s="176">
        <f t="shared" si="244"/>
        <v>747</v>
      </c>
      <c r="D750" s="146">
        <v>45812</v>
      </c>
      <c r="E750" s="37">
        <v>45815</v>
      </c>
      <c r="F750" s="65" t="s">
        <v>208</v>
      </c>
      <c r="G750" s="11" t="str">
        <f ca="1">IF(AND(E750&lt;&gt;"",E750&lt;TODAY()),"Disponible",IFERROR(INDEX(Vehiculos[Estado Vehiculo],MATCH(F750,Vehiculos[Placa Vehiculo],0)),""))</f>
        <v>Disponible</v>
      </c>
      <c r="H750" s="34" t="s">
        <v>236</v>
      </c>
      <c r="I750" s="34" t="s">
        <v>273</v>
      </c>
      <c r="J750" s="34" t="s">
        <v>274</v>
      </c>
      <c r="K750" s="39">
        <v>99935</v>
      </c>
      <c r="L750" s="39">
        <v>100402</v>
      </c>
      <c r="M750" s="15">
        <f t="shared" si="255"/>
        <v>467</v>
      </c>
      <c r="N750" s="15"/>
      <c r="O750" s="39"/>
      <c r="P750" s="36"/>
      <c r="Q750" s="16">
        <f t="shared" si="256"/>
        <v>0</v>
      </c>
      <c r="R750" s="34" t="s">
        <v>273</v>
      </c>
      <c r="S750" s="34" t="s">
        <v>102</v>
      </c>
      <c r="T750" s="36">
        <v>1.8</v>
      </c>
      <c r="U750" s="293">
        <f>Rutas[[#This Row],[Precio x Galón ($/gal)]]*Rutas[[#This Row],[Volumen de Combustible (gal)]]</f>
        <v>165.99600000000001</v>
      </c>
      <c r="V750" s="36"/>
      <c r="W750" s="36"/>
      <c r="X750" s="36"/>
      <c r="Y750" s="145">
        <f t="shared" si="257"/>
        <v>165.99600000000001</v>
      </c>
      <c r="Z750" s="567"/>
      <c r="AA750" s="12">
        <v>92.22</v>
      </c>
      <c r="AB750" s="12">
        <f t="shared" si="258"/>
        <v>5.0639774452396447</v>
      </c>
      <c r="AC750" s="12">
        <f t="shared" si="259"/>
        <v>0</v>
      </c>
      <c r="AD750" s="34"/>
    </row>
    <row r="751" spans="1:30" ht="16" x14ac:dyDescent="0.2">
      <c r="A751" s="47"/>
      <c r="B751" s="305"/>
      <c r="C751" s="176">
        <f t="shared" si="244"/>
        <v>748</v>
      </c>
      <c r="D751" s="146">
        <v>45815</v>
      </c>
      <c r="E751" s="37">
        <v>45817</v>
      </c>
      <c r="F751" s="65" t="s">
        <v>208</v>
      </c>
      <c r="G751" s="11" t="str">
        <f ca="1">IF(AND(E751&lt;&gt;"",E751&lt;TODAY()),"Disponible",IFERROR(INDEX(Vehiculos[Estado Vehiculo],MATCH(F751,Vehiculos[Placa Vehiculo],0)),""))</f>
        <v>Disponible</v>
      </c>
      <c r="H751" s="34" t="s">
        <v>236</v>
      </c>
      <c r="I751" s="34" t="s">
        <v>273</v>
      </c>
      <c r="J751" s="34" t="s">
        <v>274</v>
      </c>
      <c r="K751" s="39">
        <v>100402</v>
      </c>
      <c r="L751" s="39">
        <v>100872</v>
      </c>
      <c r="M751" s="15">
        <f t="shared" si="255"/>
        <v>470</v>
      </c>
      <c r="N751" s="15"/>
      <c r="O751" s="39"/>
      <c r="P751" s="36"/>
      <c r="Q751" s="16">
        <f t="shared" si="256"/>
        <v>0</v>
      </c>
      <c r="R751" s="34" t="s">
        <v>273</v>
      </c>
      <c r="S751" s="34" t="s">
        <v>102</v>
      </c>
      <c r="T751" s="36">
        <v>1.8</v>
      </c>
      <c r="U751" s="293">
        <f>Rutas[[#This Row],[Precio x Galón ($/gal)]]*Rutas[[#This Row],[Volumen de Combustible (gal)]]</f>
        <v>166.536</v>
      </c>
      <c r="V751" s="36"/>
      <c r="W751" s="36"/>
      <c r="X751" s="36"/>
      <c r="Y751" s="145">
        <f t="shared" si="257"/>
        <v>166.536</v>
      </c>
      <c r="Z751" s="567"/>
      <c r="AA751" s="12">
        <v>92.52</v>
      </c>
      <c r="AB751" s="12">
        <f t="shared" si="258"/>
        <v>5.079982706441851</v>
      </c>
      <c r="AC751" s="12">
        <f t="shared" si="259"/>
        <v>0</v>
      </c>
      <c r="AD751" s="34"/>
    </row>
    <row r="752" spans="1:30" ht="16" x14ac:dyDescent="0.2">
      <c r="A752" s="47"/>
      <c r="B752" s="305"/>
      <c r="C752" s="176">
        <f t="shared" si="244"/>
        <v>749</v>
      </c>
      <c r="D752" s="146">
        <v>45817</v>
      </c>
      <c r="E752" s="37">
        <v>45819</v>
      </c>
      <c r="F752" s="65" t="s">
        <v>208</v>
      </c>
      <c r="G752" s="11" t="str">
        <f ca="1">IF(AND(E752&lt;&gt;"",E752&lt;TODAY()),"Disponible",IFERROR(INDEX(Vehiculos[Estado Vehiculo],MATCH(F752,Vehiculos[Placa Vehiculo],0)),""))</f>
        <v>Disponible</v>
      </c>
      <c r="H752" s="34" t="s">
        <v>305</v>
      </c>
      <c r="I752" s="34" t="s">
        <v>273</v>
      </c>
      <c r="J752" s="34" t="s">
        <v>274</v>
      </c>
      <c r="K752" s="39">
        <v>100872</v>
      </c>
      <c r="L752" s="39">
        <v>101322</v>
      </c>
      <c r="M752" s="15">
        <f t="shared" si="255"/>
        <v>450</v>
      </c>
      <c r="N752" s="15"/>
      <c r="O752" s="39"/>
      <c r="P752" s="36"/>
      <c r="Q752" s="16">
        <f t="shared" si="256"/>
        <v>0</v>
      </c>
      <c r="R752" s="34" t="s">
        <v>273</v>
      </c>
      <c r="S752" s="34" t="s">
        <v>102</v>
      </c>
      <c r="T752" s="36">
        <v>1.8</v>
      </c>
      <c r="U752" s="293">
        <f>Rutas[[#This Row],[Precio x Galón ($/gal)]]*Rutas[[#This Row],[Volumen de Combustible (gal)]]</f>
        <v>169.16400000000002</v>
      </c>
      <c r="V752" s="36"/>
      <c r="W752" s="36"/>
      <c r="X752" s="36"/>
      <c r="Y752" s="145">
        <f t="shared" si="257"/>
        <v>169.16400000000002</v>
      </c>
      <c r="Z752" s="567"/>
      <c r="AA752" s="12">
        <v>93.98</v>
      </c>
      <c r="AB752" s="12">
        <f t="shared" si="258"/>
        <v>4.7882528197488829</v>
      </c>
      <c r="AC752" s="12">
        <f t="shared" si="259"/>
        <v>0</v>
      </c>
      <c r="AD752" s="34"/>
    </row>
    <row r="753" spans="1:30" ht="16" x14ac:dyDescent="0.2">
      <c r="A753" s="47"/>
      <c r="B753" s="305"/>
      <c r="C753" s="176">
        <f t="shared" si="244"/>
        <v>750</v>
      </c>
      <c r="D753" s="146">
        <v>45819</v>
      </c>
      <c r="E753" s="37">
        <v>45821</v>
      </c>
      <c r="F753" s="65" t="s">
        <v>208</v>
      </c>
      <c r="G753" s="11" t="str">
        <f ca="1">IF(AND(E753&lt;&gt;"",E753&lt;TODAY()),"Disponible",IFERROR(INDEX(Vehiculos[Estado Vehiculo],MATCH(F753,Vehiculos[Placa Vehiculo],0)),""))</f>
        <v>Disponible</v>
      </c>
      <c r="H753" s="34" t="s">
        <v>305</v>
      </c>
      <c r="I753" s="34" t="s">
        <v>273</v>
      </c>
      <c r="J753" s="34" t="s">
        <v>274</v>
      </c>
      <c r="K753" s="39">
        <v>101322</v>
      </c>
      <c r="L753" s="39">
        <v>101583</v>
      </c>
      <c r="M753" s="15">
        <f>L753-K753</f>
        <v>261</v>
      </c>
      <c r="N753" s="15"/>
      <c r="O753" s="39"/>
      <c r="P753" s="36"/>
      <c r="Q753" s="16">
        <f>M753*P753</f>
        <v>0</v>
      </c>
      <c r="R753" s="34" t="s">
        <v>273</v>
      </c>
      <c r="S753" s="34" t="s">
        <v>102</v>
      </c>
      <c r="T753" s="36">
        <v>1.8</v>
      </c>
      <c r="U753" s="293">
        <f>Rutas[[#This Row],[Precio x Galón ($/gal)]]*Rutas[[#This Row],[Volumen de Combustible (gal)]]</f>
        <v>90.539999999999992</v>
      </c>
      <c r="V753" s="36"/>
      <c r="W753" s="36"/>
      <c r="X753" s="36"/>
      <c r="Y753" s="145">
        <f>U753+SUM(V753:X753)</f>
        <v>90.539999999999992</v>
      </c>
      <c r="Z753" s="567"/>
      <c r="AA753" s="12">
        <v>50.3</v>
      </c>
      <c r="AB753" s="12">
        <f>IFERROR(M753/AA753,0)</f>
        <v>5.1888667992047717</v>
      </c>
      <c r="AC753" s="12">
        <f>IFERROR(Q753/M753,0)</f>
        <v>0</v>
      </c>
      <c r="AD753" s="34"/>
    </row>
    <row r="754" spans="1:30" ht="16" x14ac:dyDescent="0.2">
      <c r="A754" s="47"/>
      <c r="B754" s="305"/>
      <c r="C754" s="176">
        <f t="shared" si="244"/>
        <v>751</v>
      </c>
      <c r="D754" s="146">
        <v>45821</v>
      </c>
      <c r="E754" s="37">
        <v>45824</v>
      </c>
      <c r="F754" s="65" t="s">
        <v>208</v>
      </c>
      <c r="G754" s="11" t="str">
        <f ca="1">IF(AND(E754&lt;&gt;"",E754&lt;TODAY()),"Disponible",IFERROR(INDEX(Vehiculos[Estado Vehiculo],MATCH(F754,Vehiculos[Placa Vehiculo],0)),""))</f>
        <v>Disponible</v>
      </c>
      <c r="H754" s="34" t="s">
        <v>231</v>
      </c>
      <c r="I754" s="34" t="s">
        <v>273</v>
      </c>
      <c r="J754" s="34" t="s">
        <v>274</v>
      </c>
      <c r="K754" s="39">
        <v>101583</v>
      </c>
      <c r="L754" s="39">
        <v>101945</v>
      </c>
      <c r="M754" s="15">
        <f>L754-K754</f>
        <v>362</v>
      </c>
      <c r="N754" s="15"/>
      <c r="O754" s="39"/>
      <c r="P754" s="36"/>
      <c r="Q754" s="16">
        <f>M754*P754</f>
        <v>0</v>
      </c>
      <c r="R754" s="34" t="s">
        <v>273</v>
      </c>
      <c r="S754" s="34" t="s">
        <v>102</v>
      </c>
      <c r="T754" s="36">
        <v>1.8</v>
      </c>
      <c r="U754" s="293">
        <f>Rutas[[#This Row],[Precio x Galón ($/gal)]]*Rutas[[#This Row],[Volumen de Combustible (gal)]]</f>
        <v>133.68600000000001</v>
      </c>
      <c r="V754" s="36"/>
      <c r="W754" s="36"/>
      <c r="X754" s="36"/>
      <c r="Y754" s="145">
        <f>U754+SUM(V754:X754)</f>
        <v>133.68600000000001</v>
      </c>
      <c r="Z754" s="567"/>
      <c r="AA754" s="12">
        <v>74.27</v>
      </c>
      <c r="AB754" s="12">
        <f>IFERROR(M754/AA754,0)</f>
        <v>4.874107984381312</v>
      </c>
      <c r="AC754" s="12">
        <f>IFERROR(Q754/M754,0)</f>
        <v>0</v>
      </c>
      <c r="AD754" s="34"/>
    </row>
    <row r="755" spans="1:30" ht="16" x14ac:dyDescent="0.2">
      <c r="A755" s="47"/>
      <c r="B755" s="305"/>
      <c r="C755" s="176">
        <f t="shared" si="244"/>
        <v>752</v>
      </c>
      <c r="D755" s="146">
        <v>45824</v>
      </c>
      <c r="E755" s="37">
        <v>45827</v>
      </c>
      <c r="F755" s="65" t="s">
        <v>208</v>
      </c>
      <c r="G755" s="11" t="str">
        <f ca="1">IF(AND(E755&lt;&gt;"",E755&lt;TODAY()),"Disponible",IFERROR(INDEX(Vehiculos[Estado Vehiculo],MATCH(F755,Vehiculos[Placa Vehiculo],0)),""))</f>
        <v>Disponible</v>
      </c>
      <c r="H755" s="34" t="s">
        <v>231</v>
      </c>
      <c r="I755" s="34" t="s">
        <v>273</v>
      </c>
      <c r="J755" s="34" t="s">
        <v>274</v>
      </c>
      <c r="K755" s="39">
        <v>101945</v>
      </c>
      <c r="L755" s="39">
        <v>102340</v>
      </c>
      <c r="M755" s="15">
        <f>L755-K755</f>
        <v>395</v>
      </c>
      <c r="N755" s="15"/>
      <c r="O755" s="39"/>
      <c r="P755" s="36"/>
      <c r="Q755" s="16">
        <f>M755*P755</f>
        <v>0</v>
      </c>
      <c r="R755" s="34" t="s">
        <v>273</v>
      </c>
      <c r="S755" s="34" t="s">
        <v>102</v>
      </c>
      <c r="T755" s="36">
        <v>1.8</v>
      </c>
      <c r="U755" s="293">
        <f>Rutas[[#This Row],[Precio x Galón ($/gal)]]*Rutas[[#This Row],[Volumen de Combustible (gal)]]</f>
        <v>146.46600000000001</v>
      </c>
      <c r="V755" s="36"/>
      <c r="W755" s="36"/>
      <c r="X755" s="36"/>
      <c r="Y755" s="145">
        <f>U755+SUM(V755:X755)</f>
        <v>146.46600000000001</v>
      </c>
      <c r="Z755" s="567"/>
      <c r="AA755" s="12">
        <v>81.37</v>
      </c>
      <c r="AB755" s="12">
        <f>IFERROR(M755/AA755,0)</f>
        <v>4.8543689320388346</v>
      </c>
      <c r="AC755" s="12">
        <f>IFERROR(Q755/M755,0)</f>
        <v>0</v>
      </c>
      <c r="AD755" s="34"/>
    </row>
    <row r="756" spans="1:30" ht="16" x14ac:dyDescent="0.2">
      <c r="A756" s="47"/>
      <c r="B756" s="305"/>
      <c r="C756" s="176">
        <f t="shared" si="244"/>
        <v>753</v>
      </c>
      <c r="D756" s="146">
        <v>45827</v>
      </c>
      <c r="E756" s="37">
        <v>45832</v>
      </c>
      <c r="F756" s="65" t="s">
        <v>208</v>
      </c>
      <c r="G756" s="11" t="str">
        <f ca="1">IF(AND(E756&lt;&gt;"",E756&lt;TODAY()),"Disponible",IFERROR(INDEX(Vehiculos[Estado Vehiculo],MATCH(F756,Vehiculos[Placa Vehiculo],0)),""))</f>
        <v>Disponible</v>
      </c>
      <c r="H756" s="34" t="s">
        <v>231</v>
      </c>
      <c r="I756" s="34" t="s">
        <v>273</v>
      </c>
      <c r="J756" s="34" t="s">
        <v>274</v>
      </c>
      <c r="K756" s="39">
        <v>102340</v>
      </c>
      <c r="L756" s="39">
        <v>102899</v>
      </c>
      <c r="M756" s="15">
        <f>L756-K756</f>
        <v>559</v>
      </c>
      <c r="N756" s="15"/>
      <c r="O756" s="39"/>
      <c r="P756" s="36"/>
      <c r="Q756" s="16">
        <f>M756*P756</f>
        <v>0</v>
      </c>
      <c r="R756" s="34" t="s">
        <v>273</v>
      </c>
      <c r="S756" s="34" t="s">
        <v>102</v>
      </c>
      <c r="T756" s="36">
        <v>1.8</v>
      </c>
      <c r="U756" s="293">
        <f>Rutas[[#This Row],[Precio x Galón ($/gal)]]*Rutas[[#This Row],[Volumen de Combustible (gal)]]</f>
        <v>204.876</v>
      </c>
      <c r="V756" s="36"/>
      <c r="W756" s="36"/>
      <c r="X756" s="36"/>
      <c r="Y756" s="145">
        <f>U756+SUM(V756:X756)</f>
        <v>204.876</v>
      </c>
      <c r="Z756" s="567"/>
      <c r="AA756" s="12">
        <v>113.82</v>
      </c>
      <c r="AB756" s="12">
        <f>IFERROR(M756/AA756,0)</f>
        <v>4.9112633983482699</v>
      </c>
      <c r="AC756" s="12">
        <f>IFERROR(Q756/M756,0)</f>
        <v>0</v>
      </c>
      <c r="AD756" s="34"/>
    </row>
    <row r="757" spans="1:30" ht="16" x14ac:dyDescent="0.2">
      <c r="A757" s="47"/>
      <c r="B757" s="305"/>
      <c r="C757" s="176">
        <f t="shared" si="244"/>
        <v>754</v>
      </c>
      <c r="D757" s="146">
        <v>45832</v>
      </c>
      <c r="E757" s="37">
        <v>45836</v>
      </c>
      <c r="F757" s="65" t="s">
        <v>208</v>
      </c>
      <c r="G757" s="11" t="str">
        <f ca="1">IF(AND(E757&lt;&gt;"",E757&lt;TODAY()),"Disponible",IFERROR(INDEX(Vehiculos[Estado Vehiculo],MATCH(F757,Vehiculos[Placa Vehiculo],0)),""))</f>
        <v>Disponible</v>
      </c>
      <c r="H757" s="34" t="s">
        <v>231</v>
      </c>
      <c r="I757" s="34" t="s">
        <v>273</v>
      </c>
      <c r="J757" s="34" t="s">
        <v>274</v>
      </c>
      <c r="K757" s="39">
        <v>102899</v>
      </c>
      <c r="L757" s="39">
        <v>103362</v>
      </c>
      <c r="M757" s="15">
        <f t="shared" si="255"/>
        <v>463</v>
      </c>
      <c r="N757" s="15"/>
      <c r="O757" s="39"/>
      <c r="P757" s="36"/>
      <c r="Q757" s="16">
        <f t="shared" si="256"/>
        <v>0</v>
      </c>
      <c r="R757" s="34" t="s">
        <v>273</v>
      </c>
      <c r="S757" s="34" t="s">
        <v>102</v>
      </c>
      <c r="T757" s="36">
        <v>1.8</v>
      </c>
      <c r="U757" s="293">
        <f>Rutas[[#This Row],[Precio x Galón ($/gal)]]*Rutas[[#This Row],[Volumen de Combustible (gal)]]</f>
        <v>163.15200000000002</v>
      </c>
      <c r="V757" s="36"/>
      <c r="W757" s="36"/>
      <c r="X757" s="36"/>
      <c r="Y757" s="145">
        <f t="shared" si="257"/>
        <v>163.15200000000002</v>
      </c>
      <c r="Z757" s="567"/>
      <c r="AA757" s="12">
        <v>90.64</v>
      </c>
      <c r="AB757" s="12">
        <f t="shared" si="258"/>
        <v>5.1081200353045011</v>
      </c>
      <c r="AC757" s="12">
        <f t="shared" si="259"/>
        <v>0</v>
      </c>
      <c r="AD757" s="34"/>
    </row>
    <row r="758" spans="1:30" ht="16" x14ac:dyDescent="0.2">
      <c r="A758" s="47"/>
      <c r="B758" s="305"/>
      <c r="C758" s="176">
        <f t="shared" si="244"/>
        <v>755</v>
      </c>
      <c r="D758" s="146">
        <v>45836</v>
      </c>
      <c r="E758" s="37">
        <v>45837</v>
      </c>
      <c r="F758" s="65" t="s">
        <v>208</v>
      </c>
      <c r="G758" s="11" t="str">
        <f ca="1">IF(AND(E758&lt;&gt;"",E758&lt;TODAY()),"Disponible",IFERROR(INDEX(Vehiculos[Estado Vehiculo],MATCH(F758,Vehiculos[Placa Vehiculo],0)),""))</f>
        <v>Disponible</v>
      </c>
      <c r="H758" s="34" t="s">
        <v>231</v>
      </c>
      <c r="I758" s="34" t="s">
        <v>273</v>
      </c>
      <c r="J758" s="34" t="s">
        <v>274</v>
      </c>
      <c r="K758" s="39">
        <v>103362</v>
      </c>
      <c r="L758" s="39">
        <v>103678</v>
      </c>
      <c r="M758" s="15">
        <f>L758-K758</f>
        <v>316</v>
      </c>
      <c r="N758" s="532">
        <v>600</v>
      </c>
      <c r="O758" s="39"/>
      <c r="P758" s="36"/>
      <c r="Q758" s="16">
        <f>M758*P758</f>
        <v>0</v>
      </c>
      <c r="R758" s="34" t="s">
        <v>273</v>
      </c>
      <c r="S758" s="34" t="s">
        <v>102</v>
      </c>
      <c r="T758" s="36"/>
      <c r="U758" s="293"/>
      <c r="V758" s="36"/>
      <c r="W758" s="36"/>
      <c r="X758" s="36"/>
      <c r="Y758" s="145">
        <f>U758+SUM(V758:X758)</f>
        <v>0</v>
      </c>
      <c r="Z758" s="567"/>
      <c r="AA758" s="12"/>
      <c r="AB758" s="12">
        <f>IFERROR(M758/AA758,0)</f>
        <v>0</v>
      </c>
      <c r="AC758" s="12">
        <f>IFERROR(Q758/M758,0)</f>
        <v>0</v>
      </c>
      <c r="AD758" s="34"/>
    </row>
    <row r="759" spans="1:30" ht="16" x14ac:dyDescent="0.2">
      <c r="A759" s="47"/>
      <c r="B759" s="305"/>
      <c r="C759" s="176">
        <f t="shared" si="244"/>
        <v>756</v>
      </c>
      <c r="D759" s="146"/>
      <c r="E759" s="37"/>
      <c r="F759" s="65"/>
      <c r="G759" s="11" t="str">
        <f ca="1">IF(AND(E759&lt;&gt;"",E759&lt;TODAY()),"Disponible",IFERROR(INDEX(Vehiculos[Estado Vehiculo],MATCH(F759,Vehiculos[Placa Vehiculo],0)),""))</f>
        <v/>
      </c>
      <c r="H759" s="34"/>
      <c r="I759" s="34"/>
      <c r="J759" s="34"/>
      <c r="K759" s="39"/>
      <c r="L759" s="39"/>
      <c r="M759" s="15"/>
      <c r="N759" s="15"/>
      <c r="O759" s="39"/>
      <c r="P759" s="36"/>
      <c r="Q759" s="16">
        <f t="shared" si="256"/>
        <v>0</v>
      </c>
      <c r="R759" s="34"/>
      <c r="S759" s="34"/>
      <c r="T759" s="36"/>
      <c r="U759" s="293">
        <f>Rutas[[#This Row],[Precio x Galón ($/gal)]]*Rutas[[#This Row],[Volumen de Combustible (gal)]]</f>
        <v>0</v>
      </c>
      <c r="V759" s="36"/>
      <c r="W759" s="36"/>
      <c r="X759" s="36"/>
      <c r="Y759" s="145">
        <f t="shared" si="257"/>
        <v>0</v>
      </c>
      <c r="Z759" s="567"/>
      <c r="AA759" s="12"/>
      <c r="AB759" s="12">
        <f t="shared" si="258"/>
        <v>0</v>
      </c>
      <c r="AC759" s="12">
        <f t="shared" si="259"/>
        <v>0</v>
      </c>
      <c r="AD759" s="34"/>
    </row>
    <row r="760" spans="1:30" ht="16" x14ac:dyDescent="0.2">
      <c r="A760" s="47"/>
      <c r="B760" s="305"/>
      <c r="C760" s="176">
        <f t="shared" si="244"/>
        <v>757</v>
      </c>
      <c r="D760" s="90">
        <v>45809</v>
      </c>
      <c r="E760" s="90">
        <v>45810</v>
      </c>
      <c r="F760" s="68" t="s">
        <v>209</v>
      </c>
      <c r="G760" s="379" t="str">
        <f ca="1">IF(AND(E760&lt;&gt;"",E760&lt;TODAY()),"Disponible",IFERROR(INDEX(Vehiculos[Estado Vehiculo],MATCH(F760,Vehiculos[Placa Vehiculo],0)),""))</f>
        <v>Disponible</v>
      </c>
      <c r="H760" s="89" t="s">
        <v>241</v>
      </c>
      <c r="I760" s="89" t="s">
        <v>273</v>
      </c>
      <c r="J760" s="89" t="s">
        <v>274</v>
      </c>
      <c r="K760" s="380">
        <v>101362</v>
      </c>
      <c r="L760" s="380">
        <v>101757</v>
      </c>
      <c r="M760" s="381">
        <f t="shared" si="255"/>
        <v>395</v>
      </c>
      <c r="N760" s="381"/>
      <c r="O760" s="380"/>
      <c r="P760" s="92"/>
      <c r="Q760" s="382">
        <f t="shared" si="256"/>
        <v>0</v>
      </c>
      <c r="R760" s="89" t="s">
        <v>273</v>
      </c>
      <c r="S760" s="89" t="s">
        <v>102</v>
      </c>
      <c r="T760" s="92">
        <v>1.8</v>
      </c>
      <c r="U760" s="266">
        <f>Rutas[[#This Row],[Precio x Galón ($/gal)]]*Rutas[[#This Row],[Volumen de Combustible (gal)]]</f>
        <v>92.34</v>
      </c>
      <c r="V760" s="92"/>
      <c r="W760" s="92"/>
      <c r="X760" s="92"/>
      <c r="Y760" s="382">
        <f t="shared" si="257"/>
        <v>92.34</v>
      </c>
      <c r="Z760" s="567"/>
      <c r="AA760" s="382">
        <v>51.3</v>
      </c>
      <c r="AB760" s="382">
        <f t="shared" si="258"/>
        <v>7.6998050682261212</v>
      </c>
      <c r="AC760" s="382">
        <f t="shared" si="259"/>
        <v>0</v>
      </c>
      <c r="AD760" s="89"/>
    </row>
    <row r="761" spans="1:30" ht="16" x14ac:dyDescent="0.2">
      <c r="A761" s="47"/>
      <c r="B761" s="305"/>
      <c r="C761" s="176">
        <f t="shared" si="244"/>
        <v>758</v>
      </c>
      <c r="D761" s="146">
        <v>45810</v>
      </c>
      <c r="E761" s="37">
        <v>45811</v>
      </c>
      <c r="F761" s="65" t="s">
        <v>209</v>
      </c>
      <c r="G761" s="11" t="str">
        <f ca="1">IF(AND(E761&lt;&gt;"",E761&lt;TODAY()),"Disponible",IFERROR(INDEX(Vehiculos[Estado Vehiculo],MATCH(F761,Vehiculos[Placa Vehiculo],0)),""))</f>
        <v>Disponible</v>
      </c>
      <c r="H761" s="34" t="s">
        <v>241</v>
      </c>
      <c r="I761" s="34" t="s">
        <v>273</v>
      </c>
      <c r="J761" s="34" t="s">
        <v>274</v>
      </c>
      <c r="K761" s="39">
        <v>101757</v>
      </c>
      <c r="L761" s="39">
        <v>102215</v>
      </c>
      <c r="M761" s="15">
        <f t="shared" si="255"/>
        <v>458</v>
      </c>
      <c r="N761" s="15"/>
      <c r="O761" s="39"/>
      <c r="P761" s="36"/>
      <c r="Q761" s="16">
        <f t="shared" si="256"/>
        <v>0</v>
      </c>
      <c r="R761" s="34" t="s">
        <v>273</v>
      </c>
      <c r="S761" s="34" t="s">
        <v>102</v>
      </c>
      <c r="T761" s="36">
        <v>1.8</v>
      </c>
      <c r="U761" s="293">
        <f>Rutas[[#This Row],[Precio x Galón ($/gal)]]*Rutas[[#This Row],[Volumen de Combustible (gal)]]</f>
        <v>190.02599999999998</v>
      </c>
      <c r="V761" s="36"/>
      <c r="W761" s="36"/>
      <c r="X761" s="36"/>
      <c r="Y761" s="145">
        <f t="shared" si="257"/>
        <v>190.02599999999998</v>
      </c>
      <c r="Z761" s="567"/>
      <c r="AA761" s="12">
        <v>105.57</v>
      </c>
      <c r="AB761" s="12">
        <f t="shared" si="258"/>
        <v>4.3383536989675102</v>
      </c>
      <c r="AC761" s="12">
        <f t="shared" si="259"/>
        <v>0</v>
      </c>
      <c r="AD761" s="34"/>
    </row>
    <row r="762" spans="1:30" ht="16" x14ac:dyDescent="0.2">
      <c r="A762" s="47"/>
      <c r="B762" s="305"/>
      <c r="C762" s="176">
        <f t="shared" si="244"/>
        <v>759</v>
      </c>
      <c r="D762" s="146">
        <v>45811</v>
      </c>
      <c r="E762" s="37">
        <v>45815</v>
      </c>
      <c r="F762" s="65" t="s">
        <v>209</v>
      </c>
      <c r="G762" s="11" t="str">
        <f ca="1">IF(AND(E762&lt;&gt;"",E762&lt;TODAY()),"Disponible",IFERROR(INDEX(Vehiculos[Estado Vehiculo],MATCH(F762,Vehiculos[Placa Vehiculo],0)),""))</f>
        <v>Disponible</v>
      </c>
      <c r="H762" s="34" t="s">
        <v>241</v>
      </c>
      <c r="I762" s="34" t="s">
        <v>273</v>
      </c>
      <c r="J762" s="34" t="s">
        <v>274</v>
      </c>
      <c r="K762" s="39">
        <v>102215</v>
      </c>
      <c r="L762" s="39">
        <v>102765</v>
      </c>
      <c r="M762" s="15">
        <f t="shared" si="255"/>
        <v>550</v>
      </c>
      <c r="N762" s="15"/>
      <c r="O762" s="39"/>
      <c r="P762" s="36"/>
      <c r="Q762" s="16">
        <f t="shared" si="256"/>
        <v>0</v>
      </c>
      <c r="R762" s="34" t="s">
        <v>273</v>
      </c>
      <c r="S762" s="34" t="s">
        <v>102</v>
      </c>
      <c r="T762" s="36">
        <v>1.8</v>
      </c>
      <c r="U762" s="293">
        <f>Rutas[[#This Row],[Precio x Galón ($/gal)]]*Rutas[[#This Row],[Volumen de Combustible (gal)]]</f>
        <v>169.03800000000001</v>
      </c>
      <c r="V762" s="36"/>
      <c r="W762" s="36"/>
      <c r="X762" s="36"/>
      <c r="Y762" s="145">
        <f t="shared" si="257"/>
        <v>169.03800000000001</v>
      </c>
      <c r="Z762" s="567"/>
      <c r="AA762" s="12">
        <v>93.91</v>
      </c>
      <c r="AB762" s="12">
        <f t="shared" si="258"/>
        <v>5.8566712810137371</v>
      </c>
      <c r="AC762" s="12">
        <f t="shared" si="259"/>
        <v>0</v>
      </c>
      <c r="AD762" s="34"/>
    </row>
    <row r="763" spans="1:30" ht="16" x14ac:dyDescent="0.2">
      <c r="A763" s="47"/>
      <c r="B763" s="305"/>
      <c r="C763" s="176">
        <f t="shared" si="244"/>
        <v>760</v>
      </c>
      <c r="D763" s="146">
        <v>45815</v>
      </c>
      <c r="E763" s="37">
        <v>45816</v>
      </c>
      <c r="F763" s="65" t="s">
        <v>209</v>
      </c>
      <c r="G763" s="11" t="str">
        <f ca="1">IF(AND(E763&lt;&gt;"",E763&lt;TODAY()),"Disponible",IFERROR(INDEX(Vehiculos[Estado Vehiculo],MATCH(F763,Vehiculos[Placa Vehiculo],0)),""))</f>
        <v>Disponible</v>
      </c>
      <c r="H763" s="34" t="s">
        <v>241</v>
      </c>
      <c r="I763" s="34" t="s">
        <v>273</v>
      </c>
      <c r="J763" s="34" t="s">
        <v>274</v>
      </c>
      <c r="K763" s="39">
        <v>102765</v>
      </c>
      <c r="L763" s="39">
        <v>102976</v>
      </c>
      <c r="M763" s="15">
        <f t="shared" ref="M763:M769" si="260">L763-K763</f>
        <v>211</v>
      </c>
      <c r="N763" s="15"/>
      <c r="O763" s="39"/>
      <c r="P763" s="36"/>
      <c r="Q763" s="16">
        <f t="shared" ref="Q763:Q866" si="261">M763*P763</f>
        <v>0</v>
      </c>
      <c r="R763" s="34" t="s">
        <v>273</v>
      </c>
      <c r="S763" s="34" t="s">
        <v>102</v>
      </c>
      <c r="T763" s="36">
        <v>1.8</v>
      </c>
      <c r="U763" s="293">
        <f>Rutas[[#This Row],[Precio x Galón ($/gal)]]*Rutas[[#This Row],[Volumen de Combustible (gal)]]</f>
        <v>77.850000000000009</v>
      </c>
      <c r="V763" s="36"/>
      <c r="W763" s="36"/>
      <c r="X763" s="36"/>
      <c r="Y763" s="145">
        <f t="shared" ref="Y763:Y866" si="262">U763+SUM(V763:X763)</f>
        <v>77.850000000000009</v>
      </c>
      <c r="Z763" s="567"/>
      <c r="AA763" s="12">
        <v>43.25</v>
      </c>
      <c r="AB763" s="12">
        <f t="shared" ref="AB763:AB866" si="263">IFERROR(M763/AA763,0)</f>
        <v>4.8786127167630058</v>
      </c>
      <c r="AC763" s="12">
        <f t="shared" ref="AC763:AC866" si="264">IFERROR(Q763/M763,0)</f>
        <v>0</v>
      </c>
      <c r="AD763" s="34"/>
    </row>
    <row r="764" spans="1:30" ht="16" x14ac:dyDescent="0.2">
      <c r="A764" s="47"/>
      <c r="B764" s="305"/>
      <c r="C764" s="176">
        <f t="shared" si="244"/>
        <v>761</v>
      </c>
      <c r="D764" s="146">
        <v>45816</v>
      </c>
      <c r="E764" s="37">
        <v>45817</v>
      </c>
      <c r="F764" s="65" t="s">
        <v>209</v>
      </c>
      <c r="G764" s="11" t="str">
        <f ca="1">IF(AND(E764&lt;&gt;"",E764&lt;TODAY()),"Disponible",IFERROR(INDEX(Vehiculos[Estado Vehiculo],MATCH(F764,Vehiculos[Placa Vehiculo],0)),""))</f>
        <v>Disponible</v>
      </c>
      <c r="H764" s="34" t="s">
        <v>241</v>
      </c>
      <c r="I764" s="34" t="s">
        <v>273</v>
      </c>
      <c r="J764" s="34" t="s">
        <v>274</v>
      </c>
      <c r="K764" s="39">
        <v>102976</v>
      </c>
      <c r="L764" s="39">
        <v>103361</v>
      </c>
      <c r="M764" s="15">
        <f t="shared" si="260"/>
        <v>385</v>
      </c>
      <c r="N764" s="15"/>
      <c r="O764" s="39"/>
      <c r="P764" s="36"/>
      <c r="Q764" s="16">
        <f t="shared" si="261"/>
        <v>0</v>
      </c>
      <c r="R764" s="34" t="s">
        <v>273</v>
      </c>
      <c r="S764" s="34" t="s">
        <v>102</v>
      </c>
      <c r="T764" s="36">
        <v>1.8</v>
      </c>
      <c r="U764" s="293">
        <f>Rutas[[#This Row],[Precio x Galón ($/gal)]]*Rutas[[#This Row],[Volumen de Combustible (gal)]]</f>
        <v>121.86000000000001</v>
      </c>
      <c r="V764" s="36"/>
      <c r="W764" s="36"/>
      <c r="X764" s="36"/>
      <c r="Y764" s="145">
        <f t="shared" si="262"/>
        <v>121.86000000000001</v>
      </c>
      <c r="Z764" s="567"/>
      <c r="AA764" s="12">
        <v>67.7</v>
      </c>
      <c r="AB764" s="12">
        <f t="shared" si="263"/>
        <v>5.6868537666174293</v>
      </c>
      <c r="AC764" s="12">
        <f t="shared" si="264"/>
        <v>0</v>
      </c>
      <c r="AD764" s="34"/>
    </row>
    <row r="765" spans="1:30" ht="16" x14ac:dyDescent="0.2">
      <c r="A765" s="47"/>
      <c r="B765" s="305"/>
      <c r="C765" s="176">
        <f t="shared" si="244"/>
        <v>762</v>
      </c>
      <c r="D765" s="146">
        <v>45817</v>
      </c>
      <c r="E765" s="37">
        <v>45820</v>
      </c>
      <c r="F765" s="65" t="s">
        <v>209</v>
      </c>
      <c r="G765" s="11" t="str">
        <f ca="1">IF(AND(E765&lt;&gt;"",E765&lt;TODAY()),"Disponible",IFERROR(INDEX(Vehiculos[Estado Vehiculo],MATCH(F765,Vehiculos[Placa Vehiculo],0)),""))</f>
        <v>Disponible</v>
      </c>
      <c r="H765" s="34" t="s">
        <v>239</v>
      </c>
      <c r="I765" s="34" t="s">
        <v>273</v>
      </c>
      <c r="J765" s="34" t="s">
        <v>274</v>
      </c>
      <c r="K765" s="39">
        <v>103361</v>
      </c>
      <c r="L765" s="39">
        <v>103864</v>
      </c>
      <c r="M765" s="15">
        <f t="shared" si="260"/>
        <v>503</v>
      </c>
      <c r="N765" s="15"/>
      <c r="O765" s="39"/>
      <c r="P765" s="36"/>
      <c r="Q765" s="16">
        <f t="shared" si="261"/>
        <v>0</v>
      </c>
      <c r="R765" s="34" t="s">
        <v>273</v>
      </c>
      <c r="S765" s="34" t="s">
        <v>102</v>
      </c>
      <c r="T765" s="36">
        <v>1.8</v>
      </c>
      <c r="U765" s="293">
        <f>Rutas[[#This Row],[Precio x Galón ($/gal)]]*Rutas[[#This Row],[Volumen de Combustible (gal)]]</f>
        <v>158.54400000000001</v>
      </c>
      <c r="V765" s="36"/>
      <c r="W765" s="36"/>
      <c r="X765" s="36"/>
      <c r="Y765" s="145">
        <f t="shared" si="262"/>
        <v>158.54400000000001</v>
      </c>
      <c r="Z765" s="567"/>
      <c r="AA765" s="12">
        <v>88.08</v>
      </c>
      <c r="AB765" s="12">
        <f t="shared" si="263"/>
        <v>5.7107175295186199</v>
      </c>
      <c r="AC765" s="12">
        <f t="shared" si="264"/>
        <v>0</v>
      </c>
      <c r="AD765" s="34"/>
    </row>
    <row r="766" spans="1:30" ht="16" x14ac:dyDescent="0.2">
      <c r="A766" s="47"/>
      <c r="B766" s="305"/>
      <c r="C766" s="176">
        <f t="shared" si="244"/>
        <v>763</v>
      </c>
      <c r="D766" s="146">
        <v>45820</v>
      </c>
      <c r="E766" s="37">
        <v>45824</v>
      </c>
      <c r="F766" s="65" t="s">
        <v>209</v>
      </c>
      <c r="G766" s="11" t="str">
        <f ca="1">IF(AND(E766&lt;&gt;"",E766&lt;TODAY()),"Disponible",IFERROR(INDEX(Vehiculos[Estado Vehiculo],MATCH(F766,Vehiculos[Placa Vehiculo],0)),""))</f>
        <v>Disponible</v>
      </c>
      <c r="H766" s="34" t="s">
        <v>239</v>
      </c>
      <c r="I766" s="34" t="s">
        <v>273</v>
      </c>
      <c r="J766" s="34" t="s">
        <v>274</v>
      </c>
      <c r="K766" s="39">
        <v>103864</v>
      </c>
      <c r="L766" s="39">
        <v>104324</v>
      </c>
      <c r="M766" s="15">
        <f t="shared" si="260"/>
        <v>460</v>
      </c>
      <c r="N766" s="15"/>
      <c r="O766" s="39"/>
      <c r="P766" s="36"/>
      <c r="Q766" s="16">
        <f>M766*P766</f>
        <v>0</v>
      </c>
      <c r="R766" s="34" t="s">
        <v>273</v>
      </c>
      <c r="S766" s="34" t="s">
        <v>102</v>
      </c>
      <c r="T766" s="36">
        <v>1.8</v>
      </c>
      <c r="U766" s="293">
        <f>Rutas[[#This Row],[Precio x Galón ($/gal)]]*Rutas[[#This Row],[Volumen de Combustible (gal)]]</f>
        <v>158.63399999999999</v>
      </c>
      <c r="V766" s="36"/>
      <c r="W766" s="36"/>
      <c r="X766" s="36"/>
      <c r="Y766" s="145">
        <f>U766+SUM(V766:X766)</f>
        <v>158.63399999999999</v>
      </c>
      <c r="Z766" s="567"/>
      <c r="AA766" s="12">
        <v>88.13</v>
      </c>
      <c r="AB766" s="12">
        <f>IFERROR(M766/AA766,0)</f>
        <v>5.2195620106660616</v>
      </c>
      <c r="AC766" s="12">
        <f>IFERROR(Q766/M766,0)</f>
        <v>0</v>
      </c>
      <c r="AD766" s="34"/>
    </row>
    <row r="767" spans="1:30" ht="16" x14ac:dyDescent="0.2">
      <c r="A767" s="47"/>
      <c r="B767" s="305"/>
      <c r="C767" s="176">
        <f t="shared" si="244"/>
        <v>764</v>
      </c>
      <c r="D767" s="146">
        <v>45824</v>
      </c>
      <c r="E767" s="37">
        <v>45829</v>
      </c>
      <c r="F767" s="65" t="s">
        <v>209</v>
      </c>
      <c r="G767" s="11" t="str">
        <f ca="1">IF(AND(E767&lt;&gt;"",E767&lt;TODAY()),"Disponible",IFERROR(INDEX(Vehiculos[Estado Vehiculo],MATCH(F767,Vehiculos[Placa Vehiculo],0)),""))</f>
        <v>Disponible</v>
      </c>
      <c r="H767" s="34" t="s">
        <v>241</v>
      </c>
      <c r="I767" s="34" t="s">
        <v>273</v>
      </c>
      <c r="J767" s="34" t="s">
        <v>274</v>
      </c>
      <c r="K767" s="39">
        <v>104324</v>
      </c>
      <c r="L767" s="39">
        <v>104898</v>
      </c>
      <c r="M767" s="15">
        <f t="shared" si="260"/>
        <v>574</v>
      </c>
      <c r="N767" s="15"/>
      <c r="O767" s="39"/>
      <c r="P767" s="36"/>
      <c r="Q767" s="16">
        <f>M767*P767</f>
        <v>0</v>
      </c>
      <c r="R767" s="34" t="s">
        <v>273</v>
      </c>
      <c r="S767" s="34" t="s">
        <v>102</v>
      </c>
      <c r="T767" s="36">
        <v>1.8</v>
      </c>
      <c r="U767" s="293">
        <f>Rutas[[#This Row],[Precio x Galón ($/gal)]]*Rutas[[#This Row],[Volumen de Combustible (gal)]]</f>
        <v>239.41799999999998</v>
      </c>
      <c r="V767" s="36"/>
      <c r="W767" s="36"/>
      <c r="X767" s="36"/>
      <c r="Y767" s="145">
        <f>U767+SUM(V767:X767)</f>
        <v>239.41799999999998</v>
      </c>
      <c r="Z767" s="567"/>
      <c r="AA767" s="12">
        <v>133.01</v>
      </c>
      <c r="AB767" s="12">
        <f>IFERROR(M767/AA767,0)</f>
        <v>4.315465002631381</v>
      </c>
      <c r="AC767" s="12">
        <f>IFERROR(Q767/M767,0)</f>
        <v>0</v>
      </c>
      <c r="AD767" s="34"/>
    </row>
    <row r="768" spans="1:30" ht="16" x14ac:dyDescent="0.2">
      <c r="A768" s="47"/>
      <c r="B768" s="305"/>
      <c r="C768" s="176">
        <f t="shared" si="244"/>
        <v>765</v>
      </c>
      <c r="D768" s="146">
        <v>45829</v>
      </c>
      <c r="E768" s="37">
        <v>45833</v>
      </c>
      <c r="F768" s="65" t="s">
        <v>209</v>
      </c>
      <c r="G768" s="11" t="str">
        <f ca="1">IF(AND(E768&lt;&gt;"",E768&lt;TODAY()),"Disponible",IFERROR(INDEX(Vehiculos[Estado Vehiculo],MATCH(F768,Vehiculos[Placa Vehiculo],0)),""))</f>
        <v>Disponible</v>
      </c>
      <c r="H768" s="34" t="s">
        <v>241</v>
      </c>
      <c r="I768" s="34" t="s">
        <v>273</v>
      </c>
      <c r="J768" s="34" t="s">
        <v>274</v>
      </c>
      <c r="K768" s="39">
        <v>104898</v>
      </c>
      <c r="L768" s="39">
        <v>105474</v>
      </c>
      <c r="M768" s="15">
        <f t="shared" si="260"/>
        <v>576</v>
      </c>
      <c r="N768" s="15"/>
      <c r="O768" s="39"/>
      <c r="P768" s="36"/>
      <c r="Q768" s="16">
        <f>M768*P768</f>
        <v>0</v>
      </c>
      <c r="R768" s="34" t="s">
        <v>273</v>
      </c>
      <c r="S768" s="34" t="s">
        <v>102</v>
      </c>
      <c r="T768" s="36">
        <v>1.8</v>
      </c>
      <c r="U768" s="293">
        <f>Rutas[[#This Row],[Precio x Galón ($/gal)]]*Rutas[[#This Row],[Volumen de Combustible (gal)]]</f>
        <v>176.41800000000001</v>
      </c>
      <c r="V768" s="36"/>
      <c r="W768" s="36"/>
      <c r="X768" s="36"/>
      <c r="Y768" s="145">
        <f>U768+SUM(V768:X768)</f>
        <v>176.41800000000001</v>
      </c>
      <c r="Z768" s="567"/>
      <c r="AA768" s="12">
        <v>98.01</v>
      </c>
      <c r="AB768" s="12">
        <f>IFERROR(M768/AA768,0)</f>
        <v>5.8769513314967856</v>
      </c>
      <c r="AC768" s="12">
        <f>IFERROR(Q768/M768,0)</f>
        <v>0</v>
      </c>
      <c r="AD768" s="34"/>
    </row>
    <row r="769" spans="1:30" ht="16" x14ac:dyDescent="0.2">
      <c r="A769" s="47"/>
      <c r="B769" s="305"/>
      <c r="C769" s="176">
        <f t="shared" si="244"/>
        <v>766</v>
      </c>
      <c r="D769" s="146">
        <v>45833</v>
      </c>
      <c r="E769" s="37">
        <v>45838</v>
      </c>
      <c r="F769" s="65" t="s">
        <v>209</v>
      </c>
      <c r="G769" s="11" t="str">
        <f ca="1">IF(AND(E769&lt;&gt;"",E769&lt;TODAY()),"Disponible",IFERROR(INDEX(Vehiculos[Estado Vehiculo],MATCH(F769,Vehiculos[Placa Vehiculo],0)),""))</f>
        <v>Disponible</v>
      </c>
      <c r="H769" s="34" t="s">
        <v>241</v>
      </c>
      <c r="I769" s="34" t="s">
        <v>273</v>
      </c>
      <c r="J769" s="34" t="s">
        <v>274</v>
      </c>
      <c r="K769" s="39">
        <v>105747</v>
      </c>
      <c r="L769" s="39">
        <v>106101</v>
      </c>
      <c r="M769" s="15">
        <f t="shared" si="260"/>
        <v>354</v>
      </c>
      <c r="N769" s="532">
        <v>600</v>
      </c>
      <c r="O769" s="39"/>
      <c r="P769" s="36"/>
      <c r="Q769" s="16">
        <f>M769*P769</f>
        <v>0</v>
      </c>
      <c r="R769" s="34" t="s">
        <v>273</v>
      </c>
      <c r="S769" s="34" t="s">
        <v>102</v>
      </c>
      <c r="T769" s="36">
        <v>1.8</v>
      </c>
      <c r="U769" s="293">
        <f>Rutas[[#This Row],[Precio x Galón ($/gal)]]*Rutas[[#This Row],[Volumen de Combustible (gal)]]</f>
        <v>221.50800000000001</v>
      </c>
      <c r="V769" s="36"/>
      <c r="W769" s="36"/>
      <c r="X769" s="36"/>
      <c r="Y769" s="145">
        <f>U769+SUM(V769:X769)</f>
        <v>221.50800000000001</v>
      </c>
      <c r="Z769" s="567"/>
      <c r="AA769" s="12">
        <v>123.06</v>
      </c>
      <c r="AB769" s="12">
        <f>IFERROR(M769/AA769,0)</f>
        <v>2.8766455387615797</v>
      </c>
      <c r="AC769" s="12">
        <f>IFERROR(Q769/M769,0)</f>
        <v>0</v>
      </c>
      <c r="AD769" s="34"/>
    </row>
    <row r="770" spans="1:30" ht="16" x14ac:dyDescent="0.2">
      <c r="A770" s="47"/>
      <c r="B770" s="305"/>
      <c r="C770" s="176">
        <f t="shared" si="244"/>
        <v>767</v>
      </c>
      <c r="D770" s="146"/>
      <c r="E770" s="37"/>
      <c r="F770" s="65"/>
      <c r="G770" s="11" t="str">
        <f ca="1">IF(AND(E770&lt;&gt;"",E770&lt;TODAY()),"Disponible",IFERROR(INDEX(Vehiculos[Estado Vehiculo],MATCH(F770,Vehiculos[Placa Vehiculo],0)),""))</f>
        <v/>
      </c>
      <c r="H770" s="34"/>
      <c r="I770" s="34"/>
      <c r="J770" s="34"/>
      <c r="K770" s="39"/>
      <c r="L770" s="39"/>
      <c r="M770" s="15"/>
      <c r="N770" s="15"/>
      <c r="O770" s="39"/>
      <c r="P770" s="36"/>
      <c r="Q770" s="16">
        <f t="shared" si="261"/>
        <v>0</v>
      </c>
      <c r="R770" s="34"/>
      <c r="S770" s="34"/>
      <c r="T770" s="36"/>
      <c r="U770" s="293"/>
      <c r="V770" s="36"/>
      <c r="W770" s="36"/>
      <c r="X770" s="36"/>
      <c r="Y770" s="145">
        <f t="shared" si="262"/>
        <v>0</v>
      </c>
      <c r="Z770" s="567"/>
      <c r="AA770" s="12"/>
      <c r="AB770" s="12">
        <f t="shared" si="263"/>
        <v>0</v>
      </c>
      <c r="AC770" s="12">
        <f t="shared" si="264"/>
        <v>0</v>
      </c>
      <c r="AD770" s="34"/>
    </row>
    <row r="771" spans="1:30" ht="16" x14ac:dyDescent="0.2">
      <c r="A771" s="47"/>
      <c r="B771" s="305"/>
      <c r="C771" s="176">
        <f t="shared" si="244"/>
        <v>768</v>
      </c>
      <c r="D771" s="90">
        <v>45809</v>
      </c>
      <c r="E771" s="90">
        <v>45810</v>
      </c>
      <c r="F771" s="68" t="s">
        <v>210</v>
      </c>
      <c r="G771" s="379" t="str">
        <f ca="1">IF(AND(E771&lt;&gt;"",E771&lt;TODAY()),"Disponible",IFERROR(INDEX(Vehiculos[Estado Vehiculo],MATCH(F771,Vehiculos[Placa Vehiculo],0)),""))</f>
        <v>Disponible</v>
      </c>
      <c r="H771" s="89" t="s">
        <v>245</v>
      </c>
      <c r="I771" s="89" t="s">
        <v>273</v>
      </c>
      <c r="J771" s="89" t="s">
        <v>274</v>
      </c>
      <c r="K771" s="380">
        <v>85688</v>
      </c>
      <c r="L771" s="380">
        <v>86108</v>
      </c>
      <c r="M771" s="381">
        <f t="shared" ref="M771:M781" si="265">L771-K771</f>
        <v>420</v>
      </c>
      <c r="N771" s="381"/>
      <c r="O771" s="380"/>
      <c r="P771" s="92"/>
      <c r="Q771" s="382">
        <f t="shared" si="261"/>
        <v>0</v>
      </c>
      <c r="R771" s="89" t="s">
        <v>273</v>
      </c>
      <c r="S771" s="89" t="s">
        <v>102</v>
      </c>
      <c r="T771" s="92">
        <v>1.8</v>
      </c>
      <c r="U771" s="266">
        <f>Rutas[[#This Row],[Precio x Galón ($/gal)]]*Rutas[[#This Row],[Volumen de Combustible (gal)]]</f>
        <v>108.09</v>
      </c>
      <c r="V771" s="92"/>
      <c r="W771" s="92"/>
      <c r="X771" s="92"/>
      <c r="Y771" s="382">
        <f t="shared" si="262"/>
        <v>108.09</v>
      </c>
      <c r="Z771" s="567"/>
      <c r="AA771" s="382">
        <v>60.05</v>
      </c>
      <c r="AB771" s="382">
        <f t="shared" si="263"/>
        <v>6.9941715237302251</v>
      </c>
      <c r="AC771" s="382">
        <f t="shared" si="264"/>
        <v>0</v>
      </c>
      <c r="AD771" s="89"/>
    </row>
    <row r="772" spans="1:30" ht="16" x14ac:dyDescent="0.2">
      <c r="A772" s="47"/>
      <c r="B772" s="305"/>
      <c r="C772" s="176">
        <f t="shared" ref="C772:C835" si="266">ROW(A769)</f>
        <v>769</v>
      </c>
      <c r="D772" s="146">
        <v>45810</v>
      </c>
      <c r="E772" s="37">
        <v>45811</v>
      </c>
      <c r="F772" s="65" t="s">
        <v>210</v>
      </c>
      <c r="G772" s="11" t="str">
        <f ca="1">IF(AND(E772&lt;&gt;"",E772&lt;TODAY()),"Disponible",IFERROR(INDEX(Vehiculos[Estado Vehiculo],MATCH(F772,Vehiculos[Placa Vehiculo],0)),""))</f>
        <v>Disponible</v>
      </c>
      <c r="H772" s="34" t="s">
        <v>245</v>
      </c>
      <c r="I772" s="34" t="s">
        <v>273</v>
      </c>
      <c r="J772" s="34" t="s">
        <v>274</v>
      </c>
      <c r="K772" s="39">
        <v>86108</v>
      </c>
      <c r="L772" s="39">
        <v>86551</v>
      </c>
      <c r="M772" s="15">
        <f t="shared" si="265"/>
        <v>443</v>
      </c>
      <c r="N772" s="15"/>
      <c r="O772" s="39"/>
      <c r="P772" s="36"/>
      <c r="Q772" s="16">
        <f t="shared" si="261"/>
        <v>0</v>
      </c>
      <c r="R772" s="34" t="s">
        <v>273</v>
      </c>
      <c r="S772" s="34" t="s">
        <v>102</v>
      </c>
      <c r="T772" s="36">
        <v>1.8</v>
      </c>
      <c r="U772" s="293">
        <f>Rutas[[#This Row],[Precio x Galón ($/gal)]]*Rutas[[#This Row],[Volumen de Combustible (gal)]]</f>
        <v>183.13200000000001</v>
      </c>
      <c r="V772" s="36"/>
      <c r="W772" s="36"/>
      <c r="X772" s="36"/>
      <c r="Y772" s="145">
        <f t="shared" si="262"/>
        <v>183.13200000000001</v>
      </c>
      <c r="Z772" s="567"/>
      <c r="AA772" s="12">
        <v>101.74</v>
      </c>
      <c r="AB772" s="12">
        <f t="shared" si="263"/>
        <v>4.35423628857873</v>
      </c>
      <c r="AC772" s="12">
        <f t="shared" si="264"/>
        <v>0</v>
      </c>
      <c r="AD772" s="34"/>
    </row>
    <row r="773" spans="1:30" ht="16" x14ac:dyDescent="0.2">
      <c r="A773" s="47"/>
      <c r="B773" s="305"/>
      <c r="C773" s="176">
        <f t="shared" si="266"/>
        <v>770</v>
      </c>
      <c r="D773" s="146">
        <v>45811</v>
      </c>
      <c r="E773" s="37">
        <v>45813</v>
      </c>
      <c r="F773" s="65" t="s">
        <v>210</v>
      </c>
      <c r="G773" s="11" t="str">
        <f ca="1">IF(AND(E773&lt;&gt;"",E773&lt;TODAY()),"Disponible",IFERROR(INDEX(Vehiculos[Estado Vehiculo],MATCH(F773,Vehiculos[Placa Vehiculo],0)),""))</f>
        <v>Disponible</v>
      </c>
      <c r="H773" s="34" t="s">
        <v>245</v>
      </c>
      <c r="I773" s="34" t="s">
        <v>273</v>
      </c>
      <c r="J773" s="34" t="s">
        <v>274</v>
      </c>
      <c r="K773" s="39">
        <v>86551</v>
      </c>
      <c r="L773" s="39">
        <v>86964</v>
      </c>
      <c r="M773" s="15">
        <f t="shared" si="265"/>
        <v>413</v>
      </c>
      <c r="N773" s="15"/>
      <c r="O773" s="39"/>
      <c r="P773" s="36"/>
      <c r="Q773" s="16">
        <f t="shared" si="261"/>
        <v>0</v>
      </c>
      <c r="R773" s="34" t="s">
        <v>273</v>
      </c>
      <c r="S773" s="34" t="s">
        <v>102</v>
      </c>
      <c r="T773" s="36">
        <v>1.8</v>
      </c>
      <c r="U773" s="293">
        <f>Rutas[[#This Row],[Precio x Galón ($/gal)]]*Rutas[[#This Row],[Volumen de Combustible (gal)]]</f>
        <v>131.59800000000001</v>
      </c>
      <c r="V773" s="36"/>
      <c r="W773" s="36"/>
      <c r="X773" s="36"/>
      <c r="Y773" s="145">
        <f t="shared" si="262"/>
        <v>131.59800000000001</v>
      </c>
      <c r="Z773" s="567"/>
      <c r="AA773" s="12">
        <v>73.11</v>
      </c>
      <c r="AB773" s="12">
        <f t="shared" si="263"/>
        <v>5.6490220216112705</v>
      </c>
      <c r="AC773" s="12">
        <f t="shared" si="264"/>
        <v>0</v>
      </c>
      <c r="AD773" s="34"/>
    </row>
    <row r="774" spans="1:30" ht="16" x14ac:dyDescent="0.2">
      <c r="A774" s="47"/>
      <c r="B774" s="305"/>
      <c r="C774" s="176">
        <f t="shared" si="266"/>
        <v>771</v>
      </c>
      <c r="D774" s="146">
        <v>45813</v>
      </c>
      <c r="E774" s="37">
        <v>45815</v>
      </c>
      <c r="F774" s="65" t="s">
        <v>210</v>
      </c>
      <c r="G774" s="11" t="str">
        <f ca="1">IF(AND(E774&lt;&gt;"",E774&lt;TODAY()),"Disponible",IFERROR(INDEX(Vehiculos[Estado Vehiculo],MATCH(F774,Vehiculos[Placa Vehiculo],0)),""))</f>
        <v>Disponible</v>
      </c>
      <c r="H774" s="34" t="s">
        <v>245</v>
      </c>
      <c r="I774" s="34" t="s">
        <v>273</v>
      </c>
      <c r="J774" s="34" t="s">
        <v>274</v>
      </c>
      <c r="K774" s="39">
        <v>86964</v>
      </c>
      <c r="L774" s="39">
        <v>87439</v>
      </c>
      <c r="M774" s="15">
        <f t="shared" si="265"/>
        <v>475</v>
      </c>
      <c r="N774" s="15"/>
      <c r="O774" s="39"/>
      <c r="P774" s="36"/>
      <c r="Q774" s="16">
        <f t="shared" si="261"/>
        <v>0</v>
      </c>
      <c r="R774" s="34" t="s">
        <v>273</v>
      </c>
      <c r="S774" s="34" t="s">
        <v>102</v>
      </c>
      <c r="T774" s="36">
        <v>1.8</v>
      </c>
      <c r="U774" s="293">
        <f>Rutas[[#This Row],[Precio x Galón ($/gal)]]*Rutas[[#This Row],[Volumen de Combustible (gal)]]</f>
        <v>149.292</v>
      </c>
      <c r="V774" s="36"/>
      <c r="W774" s="36"/>
      <c r="X774" s="36"/>
      <c r="Y774" s="145">
        <f t="shared" si="262"/>
        <v>149.292</v>
      </c>
      <c r="Z774" s="567"/>
      <c r="AA774" s="12">
        <v>82.94</v>
      </c>
      <c r="AB774" s="12">
        <f t="shared" si="263"/>
        <v>5.7270315891005552</v>
      </c>
      <c r="AC774" s="12">
        <f t="shared" si="264"/>
        <v>0</v>
      </c>
      <c r="AD774" s="34"/>
    </row>
    <row r="775" spans="1:30" ht="16" x14ac:dyDescent="0.2">
      <c r="A775" s="47"/>
      <c r="B775" s="305"/>
      <c r="C775" s="176">
        <f t="shared" si="266"/>
        <v>772</v>
      </c>
      <c r="D775" s="146">
        <v>45815</v>
      </c>
      <c r="E775" s="37">
        <v>45817</v>
      </c>
      <c r="F775" s="65" t="s">
        <v>210</v>
      </c>
      <c r="G775" s="11" t="str">
        <f ca="1">IF(AND(E775&lt;&gt;"",E775&lt;TODAY()),"Disponible",IFERROR(INDEX(Vehiculos[Estado Vehiculo],MATCH(F775,Vehiculos[Placa Vehiculo],0)),""))</f>
        <v>Disponible</v>
      </c>
      <c r="H775" s="34" t="s">
        <v>245</v>
      </c>
      <c r="I775" s="34" t="s">
        <v>273</v>
      </c>
      <c r="J775" s="34" t="s">
        <v>274</v>
      </c>
      <c r="K775" s="39">
        <v>87439</v>
      </c>
      <c r="L775" s="39">
        <v>87848</v>
      </c>
      <c r="M775" s="15">
        <f t="shared" si="265"/>
        <v>409</v>
      </c>
      <c r="N775" s="15"/>
      <c r="O775" s="39"/>
      <c r="P775" s="36"/>
      <c r="Q775" s="16">
        <f t="shared" si="261"/>
        <v>0</v>
      </c>
      <c r="R775" s="34" t="s">
        <v>273</v>
      </c>
      <c r="S775" s="34" t="s">
        <v>102</v>
      </c>
      <c r="T775" s="36">
        <v>1.8</v>
      </c>
      <c r="U775" s="293">
        <f>Rutas[[#This Row],[Precio x Galón ($/gal)]]*Rutas[[#This Row],[Volumen de Combustible (gal)]]</f>
        <v>136.02599999999998</v>
      </c>
      <c r="V775" s="36"/>
      <c r="W775" s="36"/>
      <c r="X775" s="36"/>
      <c r="Y775" s="145">
        <f t="shared" si="262"/>
        <v>136.02599999999998</v>
      </c>
      <c r="Z775" s="567"/>
      <c r="AA775" s="12">
        <v>75.569999999999993</v>
      </c>
      <c r="AB775" s="12">
        <f t="shared" si="263"/>
        <v>5.4122006087071597</v>
      </c>
      <c r="AC775" s="12">
        <f t="shared" si="264"/>
        <v>0</v>
      </c>
      <c r="AD775" s="34"/>
    </row>
    <row r="776" spans="1:30" ht="16" x14ac:dyDescent="0.2">
      <c r="A776" s="47"/>
      <c r="B776" s="305"/>
      <c r="C776" s="176">
        <f t="shared" si="266"/>
        <v>773</v>
      </c>
      <c r="D776" s="146">
        <v>45817</v>
      </c>
      <c r="E776" s="37">
        <v>45820</v>
      </c>
      <c r="F776" s="65" t="s">
        <v>210</v>
      </c>
      <c r="G776" s="11" t="str">
        <f ca="1">IF(AND(E776&lt;&gt;"",E776&lt;TODAY()),"Disponible",IFERROR(INDEX(Vehiculos[Estado Vehiculo],MATCH(F776,Vehiculos[Placa Vehiculo],0)),""))</f>
        <v>Disponible</v>
      </c>
      <c r="H776" s="34" t="s">
        <v>238</v>
      </c>
      <c r="I776" s="34" t="s">
        <v>273</v>
      </c>
      <c r="J776" s="34" t="s">
        <v>274</v>
      </c>
      <c r="K776" s="39">
        <v>87848</v>
      </c>
      <c r="L776" s="39">
        <v>88316</v>
      </c>
      <c r="M776" s="15">
        <f t="shared" si="265"/>
        <v>468</v>
      </c>
      <c r="N776" s="15"/>
      <c r="O776" s="39"/>
      <c r="P776" s="36"/>
      <c r="Q776" s="16">
        <f>M776*P776</f>
        <v>0</v>
      </c>
      <c r="R776" s="34" t="s">
        <v>273</v>
      </c>
      <c r="S776" s="34" t="s">
        <v>102</v>
      </c>
      <c r="T776" s="36">
        <v>1.8</v>
      </c>
      <c r="U776" s="293">
        <f>Rutas[[#This Row],[Precio x Galón ($/gal)]]*Rutas[[#This Row],[Volumen de Combustible (gal)]]</f>
        <v>150.60599999999999</v>
      </c>
      <c r="V776" s="36"/>
      <c r="W776" s="36"/>
      <c r="X776" s="36"/>
      <c r="Y776" s="145">
        <f>U776+SUM(V776:X776)</f>
        <v>150.60599999999999</v>
      </c>
      <c r="Z776" s="567"/>
      <c r="AA776" s="12">
        <v>83.67</v>
      </c>
      <c r="AB776" s="12">
        <f>IFERROR(M776/AA776,0)</f>
        <v>5.5934026532807453</v>
      </c>
      <c r="AC776" s="12">
        <f>IFERROR(Q776/M776,0)</f>
        <v>0</v>
      </c>
      <c r="AD776" s="34"/>
    </row>
    <row r="777" spans="1:30" ht="16" x14ac:dyDescent="0.2">
      <c r="A777" s="47"/>
      <c r="B777" s="305"/>
      <c r="C777" s="176">
        <f t="shared" si="266"/>
        <v>774</v>
      </c>
      <c r="D777" s="146">
        <v>45820</v>
      </c>
      <c r="E777" s="37">
        <v>45824</v>
      </c>
      <c r="F777" s="65" t="s">
        <v>210</v>
      </c>
      <c r="G777" s="11" t="str">
        <f ca="1">IF(AND(E777&lt;&gt;"",E777&lt;TODAY()),"Disponible",IFERROR(INDEX(Vehiculos[Estado Vehiculo],MATCH(F777,Vehiculos[Placa Vehiculo],0)),""))</f>
        <v>Disponible</v>
      </c>
      <c r="H777" s="34" t="s">
        <v>238</v>
      </c>
      <c r="I777" s="34" t="s">
        <v>273</v>
      </c>
      <c r="J777" s="34" t="s">
        <v>274</v>
      </c>
      <c r="K777" s="39">
        <v>88316</v>
      </c>
      <c r="L777" s="39">
        <v>88817</v>
      </c>
      <c r="M777" s="15">
        <f t="shared" si="265"/>
        <v>501</v>
      </c>
      <c r="N777" s="15"/>
      <c r="O777" s="39"/>
      <c r="P777" s="36"/>
      <c r="Q777" s="16">
        <f>M777*P777</f>
        <v>0</v>
      </c>
      <c r="R777" s="34" t="s">
        <v>273</v>
      </c>
      <c r="S777" s="34" t="s">
        <v>102</v>
      </c>
      <c r="T777" s="36">
        <v>1.8</v>
      </c>
      <c r="U777" s="293">
        <f>Rutas[[#This Row],[Precio x Galón ($/gal)]]*Rutas[[#This Row],[Volumen de Combustible (gal)]]</f>
        <v>172.04400000000001</v>
      </c>
      <c r="V777" s="36"/>
      <c r="W777" s="36"/>
      <c r="X777" s="36"/>
      <c r="Y777" s="145">
        <f>U777+SUM(V777:X777)</f>
        <v>172.04400000000001</v>
      </c>
      <c r="Z777" s="567"/>
      <c r="AA777" s="12">
        <v>95.58</v>
      </c>
      <c r="AB777" s="12">
        <f>IFERROR(M777/AA777,0)</f>
        <v>5.2416823603264282</v>
      </c>
      <c r="AC777" s="12">
        <f>IFERROR(Q777/M777,0)</f>
        <v>0</v>
      </c>
      <c r="AD777" s="34"/>
    </row>
    <row r="778" spans="1:30" ht="16" x14ac:dyDescent="0.2">
      <c r="A778" s="47"/>
      <c r="B778" s="305"/>
      <c r="C778" s="176">
        <f t="shared" si="266"/>
        <v>775</v>
      </c>
      <c r="D778" s="146">
        <v>45824</v>
      </c>
      <c r="E778" s="37">
        <v>45827</v>
      </c>
      <c r="F778" s="65" t="s">
        <v>210</v>
      </c>
      <c r="G778" s="11" t="str">
        <f ca="1">IF(AND(E778&lt;&gt;"",E778&lt;TODAY()),"Disponible",IFERROR(INDEX(Vehiculos[Estado Vehiculo],MATCH(F778,Vehiculos[Placa Vehiculo],0)),""))</f>
        <v>Disponible</v>
      </c>
      <c r="H778" s="34" t="s">
        <v>238</v>
      </c>
      <c r="I778" s="34" t="s">
        <v>273</v>
      </c>
      <c r="J778" s="34" t="s">
        <v>274</v>
      </c>
      <c r="K778" s="39">
        <v>88817</v>
      </c>
      <c r="L778" s="39">
        <v>89200</v>
      </c>
      <c r="M778" s="15">
        <f t="shared" si="265"/>
        <v>383</v>
      </c>
      <c r="N778" s="15"/>
      <c r="O778" s="39"/>
      <c r="P778" s="36"/>
      <c r="Q778" s="16">
        <f>M778*P778</f>
        <v>0</v>
      </c>
      <c r="R778" s="34" t="s">
        <v>273</v>
      </c>
      <c r="S778" s="34" t="s">
        <v>102</v>
      </c>
      <c r="T778" s="36">
        <v>1.8</v>
      </c>
      <c r="U778" s="293">
        <f>Rutas[[#This Row],[Precio x Galón ($/gal)]]*Rutas[[#This Row],[Volumen de Combustible (gal)]]</f>
        <v>123.96600000000001</v>
      </c>
      <c r="V778" s="36"/>
      <c r="W778" s="36"/>
      <c r="X778" s="36"/>
      <c r="Y778" s="145">
        <f>U778+SUM(V778:X778)</f>
        <v>123.96600000000001</v>
      </c>
      <c r="Z778" s="567"/>
      <c r="AA778" s="12">
        <v>68.87</v>
      </c>
      <c r="AB778" s="12">
        <f>IFERROR(M778/AA778,0)</f>
        <v>5.5612022651372151</v>
      </c>
      <c r="AC778" s="12">
        <f>IFERROR(Q778/M778,0)</f>
        <v>0</v>
      </c>
      <c r="AD778" s="34"/>
    </row>
    <row r="779" spans="1:30" ht="16" x14ac:dyDescent="0.2">
      <c r="A779" s="47"/>
      <c r="B779" s="305"/>
      <c r="C779" s="176">
        <f t="shared" si="266"/>
        <v>776</v>
      </c>
      <c r="D779" s="146">
        <v>45827</v>
      </c>
      <c r="E779" s="37">
        <v>45830</v>
      </c>
      <c r="F779" s="65" t="s">
        <v>210</v>
      </c>
      <c r="G779" s="11" t="str">
        <f ca="1">IF(AND(E779&lt;&gt;"",E779&lt;TODAY()),"Disponible",IFERROR(INDEX(Vehiculos[Estado Vehiculo],MATCH(F779,Vehiculos[Placa Vehiculo],0)),""))</f>
        <v>Disponible</v>
      </c>
      <c r="H779" s="34" t="s">
        <v>238</v>
      </c>
      <c r="I779" s="34" t="s">
        <v>273</v>
      </c>
      <c r="J779" s="34" t="s">
        <v>274</v>
      </c>
      <c r="K779" s="39">
        <v>89200</v>
      </c>
      <c r="L779" s="39">
        <v>89716</v>
      </c>
      <c r="M779" s="15">
        <f t="shared" si="265"/>
        <v>516</v>
      </c>
      <c r="N779" s="15"/>
      <c r="O779" s="39"/>
      <c r="P779" s="36"/>
      <c r="Q779" s="16">
        <f>M779*P779</f>
        <v>0</v>
      </c>
      <c r="R779" s="34" t="s">
        <v>273</v>
      </c>
      <c r="S779" s="34" t="s">
        <v>102</v>
      </c>
      <c r="T779" s="36">
        <v>1.8</v>
      </c>
      <c r="U779" s="293">
        <f>Rutas[[#This Row],[Precio x Galón ($/gal)]]*Rutas[[#This Row],[Volumen de Combustible (gal)]]</f>
        <v>175.392</v>
      </c>
      <c r="V779" s="36"/>
      <c r="W779" s="36"/>
      <c r="X779" s="36"/>
      <c r="Y779" s="145">
        <f>U779+SUM(V779:X779)</f>
        <v>175.392</v>
      </c>
      <c r="Z779" s="567"/>
      <c r="AA779" s="12">
        <v>97.44</v>
      </c>
      <c r="AB779" s="12">
        <f>IFERROR(M779/AA779,0)</f>
        <v>5.2955665024630543</v>
      </c>
      <c r="AC779" s="12">
        <f>IFERROR(Q779/M779,0)</f>
        <v>0</v>
      </c>
      <c r="AD779" s="34"/>
    </row>
    <row r="780" spans="1:30" ht="16" x14ac:dyDescent="0.2">
      <c r="A780" s="47"/>
      <c r="B780" s="305"/>
      <c r="C780" s="176">
        <f t="shared" si="266"/>
        <v>777</v>
      </c>
      <c r="D780" s="146">
        <v>45830</v>
      </c>
      <c r="E780" s="37">
        <v>45836</v>
      </c>
      <c r="F780" s="65" t="s">
        <v>210</v>
      </c>
      <c r="G780" s="11" t="str">
        <f ca="1">IF(AND(E780&lt;&gt;"",E780&lt;TODAY()),"Disponible",IFERROR(INDEX(Vehiculos[Estado Vehiculo],MATCH(F780,Vehiculos[Placa Vehiculo],0)),""))</f>
        <v>Disponible</v>
      </c>
      <c r="H780" s="34" t="s">
        <v>250</v>
      </c>
      <c r="I780" s="34" t="s">
        <v>273</v>
      </c>
      <c r="J780" s="34" t="s">
        <v>274</v>
      </c>
      <c r="K780" s="39">
        <v>89716</v>
      </c>
      <c r="L780" s="39">
        <v>90305</v>
      </c>
      <c r="M780" s="15">
        <f t="shared" si="265"/>
        <v>589</v>
      </c>
      <c r="N780" s="15"/>
      <c r="O780" s="39"/>
      <c r="P780" s="36"/>
      <c r="Q780" s="16">
        <f>M780*P780</f>
        <v>0</v>
      </c>
      <c r="R780" s="34" t="s">
        <v>273</v>
      </c>
      <c r="S780" s="34" t="s">
        <v>102</v>
      </c>
      <c r="T780" s="36">
        <v>1.8</v>
      </c>
      <c r="U780" s="293">
        <f>Rutas[[#This Row],[Precio x Galón ($/gal)]]*Rutas[[#This Row],[Volumen de Combustible (gal)]]</f>
        <v>205.00200000000001</v>
      </c>
      <c r="V780" s="36"/>
      <c r="W780" s="36"/>
      <c r="X780" s="36"/>
      <c r="Y780" s="145">
        <f>U780+SUM(V780:X780)</f>
        <v>205.00200000000001</v>
      </c>
      <c r="Z780" s="567"/>
      <c r="AA780" s="12">
        <v>113.89</v>
      </c>
      <c r="AB780" s="12">
        <f>IFERROR(M780/AA780,0)</f>
        <v>5.1716568618842746</v>
      </c>
      <c r="AC780" s="12">
        <f>IFERROR(Q780/M780,0)</f>
        <v>0</v>
      </c>
      <c r="AD780" s="34"/>
    </row>
    <row r="781" spans="1:30" ht="16" x14ac:dyDescent="0.2">
      <c r="A781" s="47"/>
      <c r="B781" s="305"/>
      <c r="C781" s="176">
        <f t="shared" si="266"/>
        <v>778</v>
      </c>
      <c r="D781" s="146">
        <v>45836</v>
      </c>
      <c r="E781" s="37">
        <v>45838</v>
      </c>
      <c r="F781" s="65" t="s">
        <v>210</v>
      </c>
      <c r="G781" s="11" t="str">
        <f ca="1">IF(AND(E781&lt;&gt;"",E781&lt;TODAY()),"Disponible",IFERROR(INDEX(Vehiculos[Estado Vehiculo],MATCH(F781,Vehiculos[Placa Vehiculo],0)),""))</f>
        <v>Disponible</v>
      </c>
      <c r="H781" s="34" t="s">
        <v>250</v>
      </c>
      <c r="I781" s="34" t="s">
        <v>273</v>
      </c>
      <c r="J781" s="34" t="s">
        <v>274</v>
      </c>
      <c r="K781" s="39">
        <v>90305</v>
      </c>
      <c r="L781" s="39">
        <v>90682</v>
      </c>
      <c r="M781" s="15">
        <f t="shared" si="265"/>
        <v>377</v>
      </c>
      <c r="N781" s="532">
        <v>602</v>
      </c>
      <c r="O781" s="39"/>
      <c r="P781" s="36"/>
      <c r="Q781" s="16">
        <f t="shared" si="261"/>
        <v>0</v>
      </c>
      <c r="R781" s="34" t="s">
        <v>273</v>
      </c>
      <c r="S781" s="34" t="s">
        <v>102</v>
      </c>
      <c r="T781" s="36"/>
      <c r="U781" s="293">
        <f>Rutas[[#This Row],[Precio x Galón ($/gal)]]*Rutas[[#This Row],[Volumen de Combustible (gal)]]</f>
        <v>0</v>
      </c>
      <c r="V781" s="36"/>
      <c r="W781" s="36"/>
      <c r="X781" s="36"/>
      <c r="Y781" s="145">
        <f t="shared" si="262"/>
        <v>0</v>
      </c>
      <c r="Z781" s="567"/>
      <c r="AA781" s="12"/>
      <c r="AB781" s="12">
        <f t="shared" si="263"/>
        <v>0</v>
      </c>
      <c r="AC781" s="12">
        <f t="shared" si="264"/>
        <v>0</v>
      </c>
      <c r="AD781" s="34"/>
    </row>
    <row r="782" spans="1:30" ht="16" x14ac:dyDescent="0.2">
      <c r="A782" s="47"/>
      <c r="B782" s="305"/>
      <c r="C782" s="176">
        <f t="shared" si="266"/>
        <v>779</v>
      </c>
      <c r="D782" s="146"/>
      <c r="E782" s="37"/>
      <c r="F782" s="65"/>
      <c r="G782" s="11" t="str">
        <f ca="1">IF(AND(E782&lt;&gt;"",E782&lt;TODAY()),"Disponible",IFERROR(INDEX(Vehiculos[Estado Vehiculo],MATCH(F782,Vehiculos[Placa Vehiculo],0)),""))</f>
        <v/>
      </c>
      <c r="H782" s="34"/>
      <c r="I782" s="34"/>
      <c r="J782" s="34"/>
      <c r="K782" s="39"/>
      <c r="L782" s="39"/>
      <c r="M782" s="15"/>
      <c r="N782" s="15"/>
      <c r="O782" s="39"/>
      <c r="P782" s="36"/>
      <c r="Q782" s="16">
        <f t="shared" si="261"/>
        <v>0</v>
      </c>
      <c r="R782" s="34"/>
      <c r="S782" s="34"/>
      <c r="T782" s="36"/>
      <c r="U782" s="293">
        <f>Rutas[[#This Row],[Precio x Galón ($/gal)]]*Rutas[[#This Row],[Volumen de Combustible (gal)]]</f>
        <v>0</v>
      </c>
      <c r="V782" s="36"/>
      <c r="W782" s="36"/>
      <c r="X782" s="36"/>
      <c r="Y782" s="145">
        <f t="shared" si="262"/>
        <v>0</v>
      </c>
      <c r="Z782" s="567"/>
      <c r="AA782" s="12"/>
      <c r="AB782" s="12">
        <f t="shared" si="263"/>
        <v>0</v>
      </c>
      <c r="AC782" s="12">
        <f t="shared" si="264"/>
        <v>0</v>
      </c>
      <c r="AD782" s="34"/>
    </row>
    <row r="783" spans="1:30" ht="16" x14ac:dyDescent="0.2">
      <c r="A783" s="47"/>
      <c r="B783" s="305"/>
      <c r="C783" s="176">
        <f t="shared" si="266"/>
        <v>780</v>
      </c>
      <c r="D783" s="90">
        <v>45809</v>
      </c>
      <c r="E783" s="90">
        <v>45824</v>
      </c>
      <c r="F783" s="68" t="s">
        <v>211</v>
      </c>
      <c r="G783" s="379" t="str">
        <f ca="1">IF(AND(E783&lt;&gt;"",E783&lt;TODAY()),"Disponible",IFERROR(INDEX(Vehiculos[Estado Vehiculo],MATCH(F783,Vehiculos[Placa Vehiculo],0)),""))</f>
        <v>Disponible</v>
      </c>
      <c r="H783" s="89" t="s">
        <v>305</v>
      </c>
      <c r="I783" s="89" t="s">
        <v>273</v>
      </c>
      <c r="J783" s="89" t="s">
        <v>274</v>
      </c>
      <c r="K783" s="515">
        <v>40165</v>
      </c>
      <c r="L783" s="515">
        <v>41000</v>
      </c>
      <c r="M783" s="516">
        <f>L783-K783</f>
        <v>835</v>
      </c>
      <c r="N783" s="516"/>
      <c r="O783" s="515"/>
      <c r="P783" s="517"/>
      <c r="Q783" s="518">
        <f t="shared" si="261"/>
        <v>0</v>
      </c>
      <c r="R783" s="89" t="s">
        <v>273</v>
      </c>
      <c r="S783" s="89" t="s">
        <v>102</v>
      </c>
      <c r="T783" s="92">
        <v>1.8</v>
      </c>
      <c r="U783" s="266">
        <f>Rutas[[#This Row],[Precio x Galón ($/gal)]]*Rutas[[#This Row],[Volumen de Combustible (gal)]]</f>
        <v>148.536</v>
      </c>
      <c r="V783" s="517"/>
      <c r="W783" s="517"/>
      <c r="X783" s="517"/>
      <c r="Y783" s="518">
        <f t="shared" si="262"/>
        <v>148.536</v>
      </c>
      <c r="Z783" s="571"/>
      <c r="AA783" s="518">
        <v>82.52</v>
      </c>
      <c r="AB783" s="518">
        <f t="shared" si="263"/>
        <v>10.118759088705769</v>
      </c>
      <c r="AC783" s="518">
        <f t="shared" si="264"/>
        <v>0</v>
      </c>
      <c r="AD783" s="89"/>
    </row>
    <row r="784" spans="1:30" ht="16" x14ac:dyDescent="0.2">
      <c r="A784" s="47"/>
      <c r="B784" s="305"/>
      <c r="C784" s="176">
        <f t="shared" si="266"/>
        <v>781</v>
      </c>
      <c r="D784" s="454">
        <v>45824</v>
      </c>
      <c r="E784" s="90">
        <v>45833</v>
      </c>
      <c r="F784" s="68" t="s">
        <v>211</v>
      </c>
      <c r="G784" s="11" t="str">
        <f ca="1">IF(AND(E784&lt;&gt;"",E784&lt;TODAY()),"Disponible",IFERROR(INDEX(Vehiculos[Estado Vehiculo],MATCH(F784,Vehiculos[Placa Vehiculo],0)),""))</f>
        <v>Disponible</v>
      </c>
      <c r="H784" s="89" t="s">
        <v>418</v>
      </c>
      <c r="I784" s="89" t="s">
        <v>273</v>
      </c>
      <c r="J784" s="89"/>
      <c r="K784" s="515">
        <v>41000</v>
      </c>
      <c r="L784" s="515">
        <v>41972</v>
      </c>
      <c r="M784" s="534">
        <f>L784-K784</f>
        <v>972</v>
      </c>
      <c r="N784" s="15"/>
      <c r="O784" s="515"/>
      <c r="P784" s="517"/>
      <c r="Q784" s="535">
        <f>M784*P784</f>
        <v>0</v>
      </c>
      <c r="R784" s="89" t="s">
        <v>273</v>
      </c>
      <c r="S784" s="89" t="s">
        <v>102</v>
      </c>
      <c r="T784" s="92">
        <v>1.8</v>
      </c>
      <c r="U784" s="266">
        <f>Rutas[[#This Row],[Precio x Galón ($/gal)]]*Rutas[[#This Row],[Volumen de Combustible (gal)]]</f>
        <v>197.28</v>
      </c>
      <c r="V784" s="517"/>
      <c r="W784" s="517"/>
      <c r="X784" s="517"/>
      <c r="Y784" s="536">
        <f>U784+SUM(V784:X784)</f>
        <v>197.28</v>
      </c>
      <c r="Z784" s="571"/>
      <c r="AA784" s="537">
        <v>109.6</v>
      </c>
      <c r="AB784" s="537">
        <f>IFERROR(M784/AA784,0)</f>
        <v>8.8686131386861327</v>
      </c>
      <c r="AC784" s="537">
        <f>IFERROR(Q784/M784,0)</f>
        <v>0</v>
      </c>
      <c r="AD784" s="89"/>
    </row>
    <row r="785" spans="1:30" ht="16" x14ac:dyDescent="0.2">
      <c r="A785" s="47"/>
      <c r="B785" s="305"/>
      <c r="C785" s="176">
        <f t="shared" si="266"/>
        <v>782</v>
      </c>
      <c r="D785" s="146">
        <v>45833</v>
      </c>
      <c r="E785" s="37">
        <v>45837</v>
      </c>
      <c r="F785" s="65" t="s">
        <v>211</v>
      </c>
      <c r="G785" s="11" t="str">
        <f ca="1">IF(AND(E785&lt;&gt;"",E785&lt;TODAY()),"Disponible",IFERROR(INDEX(Vehiculos[Estado Vehiculo],MATCH(F785,Vehiculos[Placa Vehiculo],0)),""))</f>
        <v>Disponible</v>
      </c>
      <c r="H785" s="34" t="s">
        <v>305</v>
      </c>
      <c r="I785" s="34" t="s">
        <v>273</v>
      </c>
      <c r="J785" s="34" t="s">
        <v>274</v>
      </c>
      <c r="K785" s="39">
        <v>41972</v>
      </c>
      <c r="L785" s="39">
        <v>42470</v>
      </c>
      <c r="M785" s="15">
        <f>L785-K785</f>
        <v>498</v>
      </c>
      <c r="N785" s="15"/>
      <c r="O785" s="39"/>
      <c r="P785" s="36"/>
      <c r="Q785" s="16">
        <f t="shared" si="261"/>
        <v>0</v>
      </c>
      <c r="R785" s="34" t="s">
        <v>273</v>
      </c>
      <c r="S785" s="34" t="s">
        <v>102</v>
      </c>
      <c r="T785" s="36">
        <v>1.8</v>
      </c>
      <c r="U785" s="293">
        <f>Rutas[[#This Row],[Precio x Galón ($/gal)]]*Rutas[[#This Row],[Volumen de Combustible (gal)]]</f>
        <v>243</v>
      </c>
      <c r="V785" s="36"/>
      <c r="W785" s="36"/>
      <c r="X785" s="36"/>
      <c r="Y785" s="145">
        <f t="shared" si="262"/>
        <v>243</v>
      </c>
      <c r="Z785" s="567"/>
      <c r="AA785" s="12">
        <v>135</v>
      </c>
      <c r="AB785" s="12">
        <f t="shared" si="263"/>
        <v>3.6888888888888891</v>
      </c>
      <c r="AC785" s="12">
        <f t="shared" si="264"/>
        <v>0</v>
      </c>
      <c r="AD785" s="34"/>
    </row>
    <row r="786" spans="1:30" ht="16" x14ac:dyDescent="0.2">
      <c r="A786" s="47"/>
      <c r="B786" s="305"/>
      <c r="C786" s="176">
        <f t="shared" si="266"/>
        <v>783</v>
      </c>
      <c r="D786" s="146">
        <v>45837</v>
      </c>
      <c r="E786" s="37">
        <v>45838</v>
      </c>
      <c r="F786" s="65" t="s">
        <v>211</v>
      </c>
      <c r="G786" s="11" t="str">
        <f ca="1">IF(AND(E786&lt;&gt;"",E786&lt;TODAY()),"Disponible",IFERROR(INDEX(Vehiculos[Estado Vehiculo],MATCH(F786,Vehiculos[Placa Vehiculo],0)),""))</f>
        <v>Disponible</v>
      </c>
      <c r="H786" s="34" t="s">
        <v>305</v>
      </c>
      <c r="I786" s="34" t="s">
        <v>273</v>
      </c>
      <c r="J786" s="34" t="s">
        <v>274</v>
      </c>
      <c r="K786" s="39">
        <v>42470</v>
      </c>
      <c r="L786" s="39">
        <v>42619</v>
      </c>
      <c r="M786" s="15">
        <f>L786-K786</f>
        <v>149</v>
      </c>
      <c r="N786" s="533">
        <v>100</v>
      </c>
      <c r="O786" s="39"/>
      <c r="P786" s="36"/>
      <c r="Q786" s="16">
        <f t="shared" si="261"/>
        <v>0</v>
      </c>
      <c r="R786" s="34" t="s">
        <v>273</v>
      </c>
      <c r="S786" s="34" t="s">
        <v>102</v>
      </c>
      <c r="T786" s="36">
        <v>1.8</v>
      </c>
      <c r="U786" s="293">
        <f>Rutas[[#This Row],[Precio x Galón ($/gal)]]*Rutas[[#This Row],[Volumen de Combustible (gal)]]</f>
        <v>199.96200000000002</v>
      </c>
      <c r="V786" s="36"/>
      <c r="W786" s="36"/>
      <c r="X786" s="36"/>
      <c r="Y786" s="145">
        <f t="shared" si="262"/>
        <v>199.96200000000002</v>
      </c>
      <c r="Z786" s="567"/>
      <c r="AA786" s="12">
        <v>111.09</v>
      </c>
      <c r="AB786" s="12">
        <f t="shared" si="263"/>
        <v>1.3412548384192997</v>
      </c>
      <c r="AC786" s="12">
        <f t="shared" si="264"/>
        <v>0</v>
      </c>
      <c r="AD786" s="34"/>
    </row>
    <row r="787" spans="1:30" ht="16" x14ac:dyDescent="0.2">
      <c r="A787" s="47"/>
      <c r="B787" s="305"/>
      <c r="C787" s="176">
        <f t="shared" si="266"/>
        <v>784</v>
      </c>
      <c r="D787" s="146"/>
      <c r="E787" s="37"/>
      <c r="F787" s="65"/>
      <c r="G787" s="11" t="str">
        <f ca="1">IF(AND(E787&lt;&gt;"",E787&lt;TODAY()),"Disponible",IFERROR(INDEX(Vehiculos[Estado Vehiculo],MATCH(F787,Vehiculos[Placa Vehiculo],0)),""))</f>
        <v/>
      </c>
      <c r="H787" s="34"/>
      <c r="I787" s="34"/>
      <c r="J787" s="34"/>
      <c r="K787" s="39"/>
      <c r="L787" s="39"/>
      <c r="M787" s="15"/>
      <c r="N787" s="15"/>
      <c r="O787" s="39"/>
      <c r="P787" s="36"/>
      <c r="Q787" s="16">
        <f t="shared" si="261"/>
        <v>0</v>
      </c>
      <c r="R787" s="34"/>
      <c r="S787" s="34"/>
      <c r="T787" s="36">
        <v>1.8</v>
      </c>
      <c r="U787" s="293">
        <f>Rutas[[#This Row],[Precio x Galón ($/gal)]]*Rutas[[#This Row],[Volumen de Combustible (gal)]]</f>
        <v>0</v>
      </c>
      <c r="V787" s="36"/>
      <c r="W787" s="36"/>
      <c r="X787" s="36"/>
      <c r="Y787" s="145">
        <f t="shared" si="262"/>
        <v>0</v>
      </c>
      <c r="Z787" s="567"/>
      <c r="AA787" s="12"/>
      <c r="AB787" s="12">
        <f t="shared" si="263"/>
        <v>0</v>
      </c>
      <c r="AC787" s="12">
        <f t="shared" si="264"/>
        <v>0</v>
      </c>
      <c r="AD787" s="34"/>
    </row>
    <row r="788" spans="1:30" ht="16" x14ac:dyDescent="0.2">
      <c r="A788" s="47"/>
      <c r="B788" s="305"/>
      <c r="C788" s="176">
        <f t="shared" si="266"/>
        <v>785</v>
      </c>
      <c r="D788" s="90">
        <v>45809</v>
      </c>
      <c r="E788" s="90">
        <v>45811</v>
      </c>
      <c r="F788" s="68" t="s">
        <v>212</v>
      </c>
      <c r="G788" s="379" t="str">
        <f ca="1">IF(AND(E788&lt;&gt;"",E788&lt;TODAY()),"Disponible",IFERROR(INDEX(Vehiculos[Estado Vehiculo],MATCH(F788,Vehiculos[Placa Vehiculo],0)),""))</f>
        <v>Disponible</v>
      </c>
      <c r="H788" s="89" t="s">
        <v>248</v>
      </c>
      <c r="I788" s="89" t="s">
        <v>273</v>
      </c>
      <c r="J788" s="89" t="s">
        <v>274</v>
      </c>
      <c r="K788" s="380">
        <v>265582</v>
      </c>
      <c r="L788" s="380">
        <v>266010</v>
      </c>
      <c r="M788" s="381">
        <f>L788-K788</f>
        <v>428</v>
      </c>
      <c r="N788" s="381"/>
      <c r="O788" s="380"/>
      <c r="P788" s="92"/>
      <c r="Q788" s="382">
        <f t="shared" si="261"/>
        <v>0</v>
      </c>
      <c r="R788" s="89" t="s">
        <v>273</v>
      </c>
      <c r="S788" s="89" t="s">
        <v>102</v>
      </c>
      <c r="T788" s="92">
        <v>1.8</v>
      </c>
      <c r="U788" s="266">
        <f>Rutas[[#This Row],[Precio x Galón ($/gal)]]*Rutas[[#This Row],[Volumen de Combustible (gal)]]</f>
        <v>237.34800000000004</v>
      </c>
      <c r="V788" s="92"/>
      <c r="W788" s="92"/>
      <c r="X788" s="92"/>
      <c r="Y788" s="382">
        <f t="shared" si="262"/>
        <v>237.34800000000004</v>
      </c>
      <c r="Z788" s="567"/>
      <c r="AA788" s="382">
        <v>131.86000000000001</v>
      </c>
      <c r="AB788" s="382">
        <f t="shared" si="263"/>
        <v>3.245866828454421</v>
      </c>
      <c r="AC788" s="382">
        <f t="shared" si="264"/>
        <v>0</v>
      </c>
      <c r="AD788" s="89"/>
    </row>
    <row r="789" spans="1:30" ht="16" x14ac:dyDescent="0.2">
      <c r="A789" s="47"/>
      <c r="B789" s="305"/>
      <c r="C789" s="176">
        <f t="shared" si="266"/>
        <v>786</v>
      </c>
      <c r="D789" s="146">
        <v>45811</v>
      </c>
      <c r="E789" s="37">
        <v>45815</v>
      </c>
      <c r="F789" s="65" t="s">
        <v>212</v>
      </c>
      <c r="G789" s="11" t="str">
        <f ca="1">IF(AND(E789&lt;&gt;"",E789&lt;TODAY()),"Disponible",IFERROR(INDEX(Vehiculos[Estado Vehiculo],MATCH(F789,Vehiculos[Placa Vehiculo],0)),""))</f>
        <v>Disponible</v>
      </c>
      <c r="H789" s="34" t="s">
        <v>269</v>
      </c>
      <c r="I789" s="34" t="s">
        <v>273</v>
      </c>
      <c r="J789" s="34" t="s">
        <v>274</v>
      </c>
      <c r="K789" s="39">
        <v>266010</v>
      </c>
      <c r="L789" s="39">
        <v>266633</v>
      </c>
      <c r="M789" s="15">
        <f>L789-K789</f>
        <v>623</v>
      </c>
      <c r="N789" s="15"/>
      <c r="O789" s="39"/>
      <c r="P789" s="36"/>
      <c r="Q789" s="16">
        <f t="shared" si="261"/>
        <v>0</v>
      </c>
      <c r="R789" s="34" t="s">
        <v>273</v>
      </c>
      <c r="S789" s="34" t="s">
        <v>102</v>
      </c>
      <c r="T789" s="36">
        <v>1.8</v>
      </c>
      <c r="U789" s="293">
        <f>Rutas[[#This Row],[Precio x Galón ($/gal)]]*Rutas[[#This Row],[Volumen de Combustible (gal)]]</f>
        <v>192.13200000000001</v>
      </c>
      <c r="V789" s="36"/>
      <c r="W789" s="36"/>
      <c r="X789" s="36"/>
      <c r="Y789" s="145">
        <f t="shared" si="262"/>
        <v>192.13200000000001</v>
      </c>
      <c r="Z789" s="567"/>
      <c r="AA789" s="12">
        <v>106.74</v>
      </c>
      <c r="AB789" s="12">
        <f t="shared" si="263"/>
        <v>5.8366123290237963</v>
      </c>
      <c r="AC789" s="12">
        <f t="shared" si="264"/>
        <v>0</v>
      </c>
      <c r="AD789" s="34"/>
    </row>
    <row r="790" spans="1:30" ht="16" x14ac:dyDescent="0.2">
      <c r="A790" s="47"/>
      <c r="B790" s="305"/>
      <c r="C790" s="176">
        <f t="shared" si="266"/>
        <v>787</v>
      </c>
      <c r="D790" s="146">
        <v>45815</v>
      </c>
      <c r="E790" s="37">
        <v>45819</v>
      </c>
      <c r="F790" s="65" t="s">
        <v>212</v>
      </c>
      <c r="G790" s="11" t="str">
        <f ca="1">IF(AND(E790&lt;&gt;"",E790&lt;TODAY()),"Disponible",IFERROR(INDEX(Vehiculos[Estado Vehiculo],MATCH(F790,Vehiculos[Placa Vehiculo],0)),""))</f>
        <v>Disponible</v>
      </c>
      <c r="H790" s="34" t="s">
        <v>409</v>
      </c>
      <c r="I790" s="34" t="s">
        <v>273</v>
      </c>
      <c r="J790" s="34" t="s">
        <v>274</v>
      </c>
      <c r="K790" s="39">
        <v>266633</v>
      </c>
      <c r="L790" s="39">
        <v>267189</v>
      </c>
      <c r="M790" s="15">
        <f>L790-K790</f>
        <v>556</v>
      </c>
      <c r="N790" s="15"/>
      <c r="O790" s="39"/>
      <c r="P790" s="36"/>
      <c r="Q790" s="16">
        <f t="shared" si="261"/>
        <v>0</v>
      </c>
      <c r="R790" s="34" t="s">
        <v>273</v>
      </c>
      <c r="S790" s="34" t="s">
        <v>102</v>
      </c>
      <c r="T790" s="36">
        <v>1.8</v>
      </c>
      <c r="U790" s="293">
        <f>Rutas[[#This Row],[Precio x Galón ($/gal)]]*Rutas[[#This Row],[Volumen de Combustible (gal)]]</f>
        <v>230.238</v>
      </c>
      <c r="V790" s="36"/>
      <c r="W790" s="36"/>
      <c r="X790" s="36"/>
      <c r="Y790" s="145">
        <f t="shared" si="262"/>
        <v>230.238</v>
      </c>
      <c r="Z790" s="567"/>
      <c r="AA790" s="12">
        <v>127.91</v>
      </c>
      <c r="AB790" s="12">
        <f t="shared" si="263"/>
        <v>4.3468063482135877</v>
      </c>
      <c r="AC790" s="12">
        <f t="shared" si="264"/>
        <v>0</v>
      </c>
      <c r="AD790" s="34"/>
    </row>
    <row r="791" spans="1:30" ht="16" x14ac:dyDescent="0.2">
      <c r="A791" s="47"/>
      <c r="B791" s="305"/>
      <c r="C791" s="176">
        <f t="shared" si="266"/>
        <v>788</v>
      </c>
      <c r="D791" s="146">
        <v>45819</v>
      </c>
      <c r="E791" s="37">
        <v>45821</v>
      </c>
      <c r="F791" s="65" t="s">
        <v>212</v>
      </c>
      <c r="G791" s="11" t="str">
        <f ca="1">IF(AND(E791&lt;&gt;"",E791&lt;TODAY()),"Disponible",IFERROR(INDEX(Vehiculos[Estado Vehiculo],MATCH(F791,Vehiculos[Placa Vehiculo],0)),""))</f>
        <v>Disponible</v>
      </c>
      <c r="H791" s="34" t="s">
        <v>409</v>
      </c>
      <c r="I791" s="34" t="s">
        <v>273</v>
      </c>
      <c r="J791" s="34" t="s">
        <v>274</v>
      </c>
      <c r="K791" s="39">
        <v>267189</v>
      </c>
      <c r="L791" s="39">
        <v>267492</v>
      </c>
      <c r="M791" s="15">
        <f t="shared" ref="M791:M796" si="267">L791-K791</f>
        <v>303</v>
      </c>
      <c r="N791" s="15"/>
      <c r="O791" s="39"/>
      <c r="P791" s="36"/>
      <c r="Q791" s="16">
        <f t="shared" ref="Q791:Q796" si="268">M791*P791</f>
        <v>0</v>
      </c>
      <c r="R791" s="34" t="s">
        <v>273</v>
      </c>
      <c r="S791" s="34" t="s">
        <v>102</v>
      </c>
      <c r="T791" s="36">
        <v>1.8</v>
      </c>
      <c r="U791" s="293">
        <f>Rutas[[#This Row],[Precio x Galón ($/gal)]]*Rutas[[#This Row],[Volumen de Combustible (gal)]]</f>
        <v>147.88800000000001</v>
      </c>
      <c r="V791" s="36"/>
      <c r="W791" s="36"/>
      <c r="X791" s="36"/>
      <c r="Y791" s="145">
        <f t="shared" ref="Y791:Y796" si="269">U791+SUM(V791:X791)</f>
        <v>147.88800000000001</v>
      </c>
      <c r="Z791" s="567"/>
      <c r="AA791" s="12">
        <v>82.16</v>
      </c>
      <c r="AB791" s="12">
        <f t="shared" ref="AB791:AB796" si="270">IFERROR(M791/AA791,0)</f>
        <v>3.6879259980525805</v>
      </c>
      <c r="AC791" s="12">
        <f t="shared" ref="AC791:AC796" si="271">IFERROR(Q791/M791,0)</f>
        <v>0</v>
      </c>
      <c r="AD791" s="34"/>
    </row>
    <row r="792" spans="1:30" ht="16" x14ac:dyDescent="0.2">
      <c r="A792" s="47"/>
      <c r="B792" s="305"/>
      <c r="C792" s="176">
        <f t="shared" si="266"/>
        <v>789</v>
      </c>
      <c r="D792" s="146">
        <v>45821</v>
      </c>
      <c r="E792" s="37">
        <v>45824</v>
      </c>
      <c r="F792" s="65" t="s">
        <v>212</v>
      </c>
      <c r="G792" s="11" t="str">
        <f ca="1">IF(AND(E792&lt;&gt;"",E792&lt;TODAY()),"Disponible",IFERROR(INDEX(Vehiculos[Estado Vehiculo],MATCH(F792,Vehiculos[Placa Vehiculo],0)),""))</f>
        <v>Disponible</v>
      </c>
      <c r="H792" s="34" t="s">
        <v>237</v>
      </c>
      <c r="I792" s="34" t="s">
        <v>273</v>
      </c>
      <c r="J792" s="34" t="s">
        <v>274</v>
      </c>
      <c r="K792" s="39">
        <v>267492</v>
      </c>
      <c r="L792" s="39">
        <v>267840</v>
      </c>
      <c r="M792" s="15">
        <f t="shared" si="267"/>
        <v>348</v>
      </c>
      <c r="N792" s="15"/>
      <c r="O792" s="39"/>
      <c r="P792" s="36"/>
      <c r="Q792" s="16">
        <f t="shared" si="268"/>
        <v>0</v>
      </c>
      <c r="R792" s="34" t="s">
        <v>273</v>
      </c>
      <c r="S792" s="34" t="s">
        <v>102</v>
      </c>
      <c r="T792" s="36">
        <v>1.8</v>
      </c>
      <c r="U792" s="293">
        <f>Rutas[[#This Row],[Precio x Galón ($/gal)]]*Rutas[[#This Row],[Volumen de Combustible (gal)]]</f>
        <v>144.036</v>
      </c>
      <c r="V792" s="36"/>
      <c r="W792" s="36"/>
      <c r="X792" s="36"/>
      <c r="Y792" s="145">
        <f t="shared" si="269"/>
        <v>144.036</v>
      </c>
      <c r="Z792" s="567"/>
      <c r="AA792" s="12">
        <v>80.02</v>
      </c>
      <c r="AB792" s="12">
        <f t="shared" si="270"/>
        <v>4.3489127718070488</v>
      </c>
      <c r="AC792" s="12">
        <f t="shared" si="271"/>
        <v>0</v>
      </c>
      <c r="AD792" s="34"/>
    </row>
    <row r="793" spans="1:30" ht="16" x14ac:dyDescent="0.2">
      <c r="A793" s="47"/>
      <c r="B793" s="305"/>
      <c r="C793" s="176">
        <f t="shared" si="266"/>
        <v>790</v>
      </c>
      <c r="D793" s="146">
        <v>45793</v>
      </c>
      <c r="E793" s="37">
        <v>45827</v>
      </c>
      <c r="F793" s="65" t="s">
        <v>212</v>
      </c>
      <c r="G793" s="11" t="str">
        <f ca="1">IF(AND(E793&lt;&gt;"",E793&lt;TODAY()),"Disponible",IFERROR(INDEX(Vehiculos[Estado Vehiculo],MATCH(F793,Vehiculos[Placa Vehiculo],0)),""))</f>
        <v>Disponible</v>
      </c>
      <c r="H793" s="34" t="s">
        <v>237</v>
      </c>
      <c r="I793" s="34" t="s">
        <v>273</v>
      </c>
      <c r="J793" s="34" t="s">
        <v>274</v>
      </c>
      <c r="K793" s="39">
        <v>267840</v>
      </c>
      <c r="L793" s="39">
        <v>268196</v>
      </c>
      <c r="M793" s="15">
        <f t="shared" si="267"/>
        <v>356</v>
      </c>
      <c r="N793" s="15"/>
      <c r="O793" s="39"/>
      <c r="P793" s="36"/>
      <c r="Q793" s="16">
        <f t="shared" si="268"/>
        <v>0</v>
      </c>
      <c r="R793" s="34" t="s">
        <v>273</v>
      </c>
      <c r="S793" s="34" t="s">
        <v>102</v>
      </c>
      <c r="T793" s="36">
        <v>1.8</v>
      </c>
      <c r="U793" s="293">
        <f>Rutas[[#This Row],[Precio x Galón ($/gal)]]*Rutas[[#This Row],[Volumen de Combustible (gal)]]</f>
        <v>200.358</v>
      </c>
      <c r="V793" s="36"/>
      <c r="W793" s="36"/>
      <c r="X793" s="36"/>
      <c r="Y793" s="145">
        <f t="shared" si="269"/>
        <v>200.358</v>
      </c>
      <c r="Z793" s="567"/>
      <c r="AA793" s="12">
        <v>111.31</v>
      </c>
      <c r="AB793" s="12">
        <f t="shared" si="270"/>
        <v>3.198275087593208</v>
      </c>
      <c r="AC793" s="12">
        <f t="shared" si="271"/>
        <v>0</v>
      </c>
      <c r="AD793" s="34"/>
    </row>
    <row r="794" spans="1:30" ht="16" x14ac:dyDescent="0.2">
      <c r="A794" s="47"/>
      <c r="B794" s="305"/>
      <c r="C794" s="176">
        <f t="shared" si="266"/>
        <v>791</v>
      </c>
      <c r="D794" s="146">
        <v>45827</v>
      </c>
      <c r="E794" s="37">
        <v>45830</v>
      </c>
      <c r="F794" s="65" t="s">
        <v>212</v>
      </c>
      <c r="G794" s="11" t="str">
        <f ca="1">IF(AND(E794&lt;&gt;"",E794&lt;TODAY()),"Disponible",IFERROR(INDEX(Vehiculos[Estado Vehiculo],MATCH(F794,Vehiculos[Placa Vehiculo],0)),""))</f>
        <v>Disponible</v>
      </c>
      <c r="H794" s="34" t="s">
        <v>237</v>
      </c>
      <c r="I794" s="34" t="s">
        <v>273</v>
      </c>
      <c r="J794" s="34" t="s">
        <v>274</v>
      </c>
      <c r="K794" s="39">
        <v>268196</v>
      </c>
      <c r="L794" s="39">
        <v>268538</v>
      </c>
      <c r="M794" s="15">
        <f t="shared" si="267"/>
        <v>342</v>
      </c>
      <c r="N794" s="15"/>
      <c r="O794" s="39"/>
      <c r="P794" s="36"/>
      <c r="Q794" s="16">
        <f t="shared" si="268"/>
        <v>0</v>
      </c>
      <c r="R794" s="34" t="s">
        <v>273</v>
      </c>
      <c r="S794" s="34" t="s">
        <v>102</v>
      </c>
      <c r="T794" s="36">
        <v>1.8</v>
      </c>
      <c r="U794" s="293">
        <f>Rutas[[#This Row],[Precio x Galón ($/gal)]]*Rutas[[#This Row],[Volumen de Combustible (gal)]]</f>
        <v>168.33599999999998</v>
      </c>
      <c r="V794" s="36"/>
      <c r="W794" s="36"/>
      <c r="X794" s="36"/>
      <c r="Y794" s="145">
        <f t="shared" si="269"/>
        <v>168.33599999999998</v>
      </c>
      <c r="Z794" s="567"/>
      <c r="AA794" s="12">
        <v>93.52</v>
      </c>
      <c r="AB794" s="12">
        <f t="shared" si="270"/>
        <v>3.6569717707442262</v>
      </c>
      <c r="AC794" s="12">
        <f t="shared" si="271"/>
        <v>0</v>
      </c>
      <c r="AD794" s="34"/>
    </row>
    <row r="795" spans="1:30" ht="16" x14ac:dyDescent="0.2">
      <c r="A795" s="47"/>
      <c r="B795" s="305"/>
      <c r="C795" s="176">
        <f t="shared" si="266"/>
        <v>792</v>
      </c>
      <c r="D795" s="454">
        <v>45830</v>
      </c>
      <c r="E795" s="37">
        <v>45833</v>
      </c>
      <c r="F795" s="65" t="s">
        <v>212</v>
      </c>
      <c r="G795" s="11" t="str">
        <f ca="1">IF(AND(E795&lt;&gt;"",E795&lt;TODAY()),"Disponible",IFERROR(INDEX(Vehiculos[Estado Vehiculo],MATCH(F795,Vehiculos[Placa Vehiculo],0)),""))</f>
        <v>Disponible</v>
      </c>
      <c r="H795" s="34" t="s">
        <v>237</v>
      </c>
      <c r="I795" s="34" t="s">
        <v>273</v>
      </c>
      <c r="J795" s="34" t="s">
        <v>274</v>
      </c>
      <c r="K795" s="39">
        <v>268538</v>
      </c>
      <c r="L795" s="39">
        <v>268938</v>
      </c>
      <c r="M795" s="15">
        <f t="shared" si="267"/>
        <v>400</v>
      </c>
      <c r="N795" s="15"/>
      <c r="O795" s="39"/>
      <c r="P795" s="36"/>
      <c r="Q795" s="16">
        <f t="shared" si="268"/>
        <v>0</v>
      </c>
      <c r="R795" s="34" t="s">
        <v>273</v>
      </c>
      <c r="S795" s="34" t="s">
        <v>102</v>
      </c>
      <c r="T795" s="36">
        <v>1.8</v>
      </c>
      <c r="U795" s="293">
        <f>Rutas[[#This Row],[Precio x Galón ($/gal)]]*Rutas[[#This Row],[Volumen de Combustible (gal)]]</f>
        <v>217.386</v>
      </c>
      <c r="V795" s="36"/>
      <c r="W795" s="36"/>
      <c r="X795" s="36"/>
      <c r="Y795" s="145">
        <f t="shared" si="269"/>
        <v>217.386</v>
      </c>
      <c r="Z795" s="567"/>
      <c r="AA795" s="12">
        <v>120.77</v>
      </c>
      <c r="AB795" s="12">
        <f t="shared" si="270"/>
        <v>3.3120808147718805</v>
      </c>
      <c r="AC795" s="12">
        <f t="shared" si="271"/>
        <v>0</v>
      </c>
      <c r="AD795" s="34"/>
    </row>
    <row r="796" spans="1:30" ht="16" x14ac:dyDescent="0.2">
      <c r="A796" s="47"/>
      <c r="B796" s="305"/>
      <c r="C796" s="176">
        <f t="shared" si="266"/>
        <v>793</v>
      </c>
      <c r="D796" s="454">
        <v>45833</v>
      </c>
      <c r="E796" s="37">
        <v>45836</v>
      </c>
      <c r="F796" s="65" t="s">
        <v>212</v>
      </c>
      <c r="G796" s="11" t="str">
        <f ca="1">IF(AND(E796&lt;&gt;"",E796&lt;TODAY()),"Disponible",IFERROR(INDEX(Vehiculos[Estado Vehiculo],MATCH(F796,Vehiculos[Placa Vehiculo],0)),""))</f>
        <v>Disponible</v>
      </c>
      <c r="H796" s="34" t="s">
        <v>237</v>
      </c>
      <c r="I796" s="34" t="s">
        <v>273</v>
      </c>
      <c r="J796" s="34" t="s">
        <v>274</v>
      </c>
      <c r="K796" s="39">
        <v>268938</v>
      </c>
      <c r="L796" s="39">
        <v>269291</v>
      </c>
      <c r="M796" s="15">
        <f t="shared" si="267"/>
        <v>353</v>
      </c>
      <c r="N796" s="15"/>
      <c r="O796" s="39"/>
      <c r="P796" s="36"/>
      <c r="Q796" s="16">
        <f t="shared" si="268"/>
        <v>0</v>
      </c>
      <c r="R796" s="34" t="s">
        <v>273</v>
      </c>
      <c r="S796" s="34" t="s">
        <v>102</v>
      </c>
      <c r="T796" s="36">
        <v>1.8</v>
      </c>
      <c r="U796" s="293">
        <f>Rutas[[#This Row],[Precio x Galón ($/gal)]]*Rutas[[#This Row],[Volumen de Combustible (gal)]]</f>
        <v>166.464</v>
      </c>
      <c r="V796" s="36"/>
      <c r="W796" s="36"/>
      <c r="X796" s="36"/>
      <c r="Y796" s="145">
        <f t="shared" si="269"/>
        <v>166.464</v>
      </c>
      <c r="Z796" s="567"/>
      <c r="AA796" s="12">
        <v>92.48</v>
      </c>
      <c r="AB796" s="12">
        <f t="shared" si="270"/>
        <v>3.8170415224913494</v>
      </c>
      <c r="AC796" s="12">
        <f t="shared" si="271"/>
        <v>0</v>
      </c>
      <c r="AD796" s="34"/>
    </row>
    <row r="797" spans="1:30" ht="16" x14ac:dyDescent="0.2">
      <c r="A797" s="47"/>
      <c r="B797" s="305"/>
      <c r="C797" s="176">
        <f t="shared" si="266"/>
        <v>794</v>
      </c>
      <c r="D797" s="146">
        <v>45836</v>
      </c>
      <c r="E797" s="37">
        <v>45838</v>
      </c>
      <c r="F797" s="65" t="s">
        <v>212</v>
      </c>
      <c r="G797" s="11" t="str">
        <f ca="1">IF(AND(E797&lt;&gt;"",E797&lt;TODAY()),"Disponible",IFERROR(INDEX(Vehiculos[Estado Vehiculo],MATCH(F797,Vehiculos[Placa Vehiculo],0)),""))</f>
        <v>Disponible</v>
      </c>
      <c r="H797" s="34" t="s">
        <v>269</v>
      </c>
      <c r="I797" s="34" t="s">
        <v>273</v>
      </c>
      <c r="J797" s="34" t="s">
        <v>274</v>
      </c>
      <c r="K797" s="39">
        <v>269291</v>
      </c>
      <c r="L797" s="39">
        <v>269666</v>
      </c>
      <c r="M797" s="15">
        <f>L797-K797</f>
        <v>375</v>
      </c>
      <c r="N797" s="532">
        <v>160</v>
      </c>
      <c r="O797" s="39"/>
      <c r="P797" s="36"/>
      <c r="Q797" s="16">
        <f t="shared" si="261"/>
        <v>0</v>
      </c>
      <c r="R797" s="34" t="s">
        <v>273</v>
      </c>
      <c r="S797" s="34" t="s">
        <v>102</v>
      </c>
      <c r="T797" s="36">
        <v>1.8</v>
      </c>
      <c r="U797" s="293">
        <f>Rutas[[#This Row],[Precio x Galón ($/gal)]]*Rutas[[#This Row],[Volumen de Combustible (gal)]]</f>
        <v>165.96</v>
      </c>
      <c r="V797" s="36"/>
      <c r="W797" s="36"/>
      <c r="X797" s="36"/>
      <c r="Y797" s="145">
        <f t="shared" si="262"/>
        <v>165.96</v>
      </c>
      <c r="Z797" s="567"/>
      <c r="AA797" s="12">
        <v>92.2</v>
      </c>
      <c r="AB797" s="12">
        <f t="shared" si="263"/>
        <v>4.0672451193058565</v>
      </c>
      <c r="AC797" s="12">
        <f t="shared" si="264"/>
        <v>0</v>
      </c>
      <c r="AD797" s="34"/>
    </row>
    <row r="798" spans="1:30" ht="16" x14ac:dyDescent="0.2">
      <c r="A798" s="47"/>
      <c r="B798" s="305"/>
      <c r="C798" s="176">
        <f t="shared" si="266"/>
        <v>795</v>
      </c>
      <c r="D798" s="146"/>
      <c r="E798" s="37"/>
      <c r="F798" s="65"/>
      <c r="G798" s="11" t="str">
        <f ca="1">IF(AND(E798&lt;&gt;"",E798&lt;TODAY()),"Disponible",IFERROR(INDEX(Vehiculos[Estado Vehiculo],MATCH(F798,Vehiculos[Placa Vehiculo],0)),""))</f>
        <v/>
      </c>
      <c r="H798" s="34"/>
      <c r="I798" s="34"/>
      <c r="J798" s="34"/>
      <c r="K798" s="39"/>
      <c r="L798" s="39"/>
      <c r="M798" s="15"/>
      <c r="N798" s="15"/>
      <c r="O798" s="39"/>
      <c r="P798" s="36"/>
      <c r="Q798" s="16">
        <f>M798*P798</f>
        <v>0</v>
      </c>
      <c r="R798" s="34"/>
      <c r="S798" s="34"/>
      <c r="T798" s="36"/>
      <c r="U798" s="293"/>
      <c r="V798" s="36"/>
      <c r="W798" s="36"/>
      <c r="X798" s="36"/>
      <c r="Y798" s="145">
        <f>U798+SUM(V798:X798)</f>
        <v>0</v>
      </c>
      <c r="Z798" s="567"/>
      <c r="AA798" s="12"/>
      <c r="AB798" s="12">
        <f>IFERROR(M798/AA798,0)</f>
        <v>0</v>
      </c>
      <c r="AC798" s="12">
        <f>IFERROR(Q798/M798,0)</f>
        <v>0</v>
      </c>
      <c r="AD798" s="34"/>
    </row>
    <row r="799" spans="1:30" ht="16" x14ac:dyDescent="0.2">
      <c r="A799" s="47"/>
      <c r="B799" s="305"/>
      <c r="C799" s="176">
        <f t="shared" si="266"/>
        <v>796</v>
      </c>
      <c r="D799" s="351">
        <v>45809</v>
      </c>
      <c r="E799" s="90">
        <v>45810</v>
      </c>
      <c r="F799" s="68" t="s">
        <v>376</v>
      </c>
      <c r="G799" s="379" t="str">
        <f ca="1">IF(AND(E799&lt;&gt;"",E799&lt;TODAY()),"Disponible",IFERROR(INDEX(Vehiculos[Estado Vehiculo],MATCH(F799,Vehiculos[Placa Vehiculo],0)),""))</f>
        <v>Disponible</v>
      </c>
      <c r="H799" s="89" t="s">
        <v>269</v>
      </c>
      <c r="I799" s="89" t="s">
        <v>273</v>
      </c>
      <c r="J799" s="89" t="s">
        <v>274</v>
      </c>
      <c r="K799" s="380">
        <v>230039</v>
      </c>
      <c r="L799" s="380">
        <v>230040</v>
      </c>
      <c r="M799" s="381">
        <f>L799-K799</f>
        <v>1</v>
      </c>
      <c r="N799" s="381"/>
      <c r="O799" s="380"/>
      <c r="P799" s="92"/>
      <c r="Q799" s="382">
        <f>M799*P799</f>
        <v>0</v>
      </c>
      <c r="R799" s="89" t="s">
        <v>273</v>
      </c>
      <c r="S799" s="89" t="s">
        <v>102</v>
      </c>
      <c r="T799" s="92">
        <v>1.8</v>
      </c>
      <c r="U799" s="266">
        <f>Rutas[[#This Row],[Precio x Galón ($/gal)]]*Rutas[[#This Row],[Volumen de Combustible (gal)]]</f>
        <v>103.28400000000001</v>
      </c>
      <c r="V799" s="92"/>
      <c r="W799" s="92"/>
      <c r="X799" s="92"/>
      <c r="Y799" s="382">
        <f>U799+SUM(V799:X799)</f>
        <v>103.28400000000001</v>
      </c>
      <c r="Z799" s="567"/>
      <c r="AA799" s="382">
        <v>57.38</v>
      </c>
      <c r="AB799" s="382">
        <f>IFERROR(M799/AA799,0)</f>
        <v>1.7427675148135237E-2</v>
      </c>
      <c r="AC799" s="382">
        <f>IFERROR(Q799/M799,0)</f>
        <v>0</v>
      </c>
      <c r="AD799" s="89"/>
    </row>
    <row r="800" spans="1:30" ht="16" x14ac:dyDescent="0.2">
      <c r="A800" s="47"/>
      <c r="B800" s="305"/>
      <c r="C800" s="176">
        <f t="shared" si="266"/>
        <v>797</v>
      </c>
      <c r="D800" s="146">
        <v>45810</v>
      </c>
      <c r="E800" s="37">
        <v>45811</v>
      </c>
      <c r="F800" s="65" t="s">
        <v>376</v>
      </c>
      <c r="G800" s="11" t="str">
        <f ca="1">IF(AND(E800&lt;&gt;"",E800&lt;TODAY()),"Disponible",IFERROR(INDEX(Vehiculos[Estado Vehiculo],MATCH(F800,Vehiculos[Placa Vehiculo],0)),""))</f>
        <v>Disponible</v>
      </c>
      <c r="H800" s="34" t="s">
        <v>269</v>
      </c>
      <c r="I800" s="34" t="s">
        <v>273</v>
      </c>
      <c r="J800" s="34" t="s">
        <v>274</v>
      </c>
      <c r="K800" s="39">
        <v>230040</v>
      </c>
      <c r="L800" s="39">
        <v>230041</v>
      </c>
      <c r="M800" s="15">
        <f>L800-K800</f>
        <v>1</v>
      </c>
      <c r="N800" s="15"/>
      <c r="O800" s="39"/>
      <c r="P800" s="36"/>
      <c r="Q800" s="16">
        <f>M800*P800</f>
        <v>0</v>
      </c>
      <c r="R800" s="34" t="s">
        <v>273</v>
      </c>
      <c r="S800" s="34" t="s">
        <v>102</v>
      </c>
      <c r="T800" s="36">
        <v>1.8</v>
      </c>
      <c r="U800" s="293">
        <f>Rutas[[#This Row],[Precio x Galón ($/gal)]]*Rutas[[#This Row],[Volumen de Combustible (gal)]]</f>
        <v>126.01800000000001</v>
      </c>
      <c r="V800" s="36"/>
      <c r="W800" s="36"/>
      <c r="X800" s="36"/>
      <c r="Y800" s="145">
        <f>U800+SUM(V800:X800)</f>
        <v>126.01800000000001</v>
      </c>
      <c r="Z800" s="567"/>
      <c r="AA800" s="12">
        <v>70.010000000000005</v>
      </c>
      <c r="AB800" s="12">
        <f>IFERROR(M800/AA800,0)</f>
        <v>1.42836737608913E-2</v>
      </c>
      <c r="AC800" s="12">
        <f>IFERROR(Q800/M800,0)</f>
        <v>0</v>
      </c>
      <c r="AD800" s="34"/>
    </row>
    <row r="801" spans="1:30" ht="16" x14ac:dyDescent="0.2">
      <c r="A801" s="47"/>
      <c r="B801" s="305"/>
      <c r="C801" s="176">
        <f t="shared" si="266"/>
        <v>798</v>
      </c>
      <c r="D801" s="146">
        <v>45811</v>
      </c>
      <c r="E801" s="37">
        <v>45812</v>
      </c>
      <c r="F801" s="65" t="s">
        <v>376</v>
      </c>
      <c r="G801" s="11" t="str">
        <f ca="1">IF(AND(E801&lt;&gt;"",E801&lt;TODAY()),"Disponible",IFERROR(INDEX(Vehiculos[Estado Vehiculo],MATCH(F801,Vehiculos[Placa Vehiculo],0)),""))</f>
        <v>Disponible</v>
      </c>
      <c r="H801" s="34" t="s">
        <v>269</v>
      </c>
      <c r="I801" s="34" t="s">
        <v>273</v>
      </c>
      <c r="J801" s="34" t="s">
        <v>274</v>
      </c>
      <c r="K801" s="39">
        <v>230041</v>
      </c>
      <c r="L801" s="39">
        <v>230042</v>
      </c>
      <c r="M801" s="15">
        <f>L801-K801</f>
        <v>1</v>
      </c>
      <c r="N801" s="15"/>
      <c r="O801" s="39"/>
      <c r="P801" s="36"/>
      <c r="Q801" s="16">
        <f>M801*P801</f>
        <v>0</v>
      </c>
      <c r="R801" s="34" t="s">
        <v>273</v>
      </c>
      <c r="S801" s="34" t="s">
        <v>102</v>
      </c>
      <c r="T801" s="36">
        <v>1.8</v>
      </c>
      <c r="U801" s="293">
        <f>Rutas[[#This Row],[Precio x Galón ($/gal)]]*Rutas[[#This Row],[Volumen de Combustible (gal)]]</f>
        <v>153.32400000000001</v>
      </c>
      <c r="V801" s="36"/>
      <c r="W801" s="36"/>
      <c r="X801" s="36"/>
      <c r="Y801" s="145">
        <f>U801+SUM(V801:X801)</f>
        <v>153.32400000000001</v>
      </c>
      <c r="Z801" s="567"/>
      <c r="AA801" s="12">
        <v>85.18</v>
      </c>
      <c r="AB801" s="12">
        <f>IFERROR(M801/AA801,0)</f>
        <v>1.173984503404555E-2</v>
      </c>
      <c r="AC801" s="12">
        <f>IFERROR(Q801/M801,0)</f>
        <v>0</v>
      </c>
      <c r="AD801" s="34"/>
    </row>
    <row r="802" spans="1:30" ht="16" x14ac:dyDescent="0.2">
      <c r="A802" s="47"/>
      <c r="B802" s="305"/>
      <c r="C802" s="176">
        <f t="shared" si="266"/>
        <v>799</v>
      </c>
      <c r="D802" s="146">
        <v>45812</v>
      </c>
      <c r="E802" s="37">
        <v>45815</v>
      </c>
      <c r="F802" s="65" t="s">
        <v>376</v>
      </c>
      <c r="G802" s="11" t="str">
        <f ca="1">IF(AND(E802&lt;&gt;"",E802&lt;TODAY()),"Disponible",IFERROR(INDEX(Vehiculos[Estado Vehiculo],MATCH(F802,Vehiculos[Placa Vehiculo],0)),""))</f>
        <v>Disponible</v>
      </c>
      <c r="H802" s="34" t="s">
        <v>269</v>
      </c>
      <c r="I802" s="34" t="s">
        <v>273</v>
      </c>
      <c r="J802" s="34" t="s">
        <v>274</v>
      </c>
      <c r="K802" s="39">
        <v>230042</v>
      </c>
      <c r="L802" s="39">
        <v>230043</v>
      </c>
      <c r="M802" s="15">
        <f>L802-K802</f>
        <v>1</v>
      </c>
      <c r="N802" s="15"/>
      <c r="O802" s="39"/>
      <c r="P802" s="36"/>
      <c r="Q802" s="16">
        <f t="shared" si="261"/>
        <v>0</v>
      </c>
      <c r="R802" s="34" t="s">
        <v>273</v>
      </c>
      <c r="S802" s="34" t="s">
        <v>102</v>
      </c>
      <c r="T802" s="36">
        <v>1.8</v>
      </c>
      <c r="U802" s="293">
        <f>Rutas[[#This Row],[Precio x Galón ($/gal)]]*Rutas[[#This Row],[Volumen de Combustible (gal)]]</f>
        <v>216.99</v>
      </c>
      <c r="V802" s="36"/>
      <c r="W802" s="36"/>
      <c r="X802" s="36"/>
      <c r="Y802" s="145">
        <f t="shared" si="262"/>
        <v>216.99</v>
      </c>
      <c r="Z802" s="567"/>
      <c r="AA802" s="12">
        <v>120.55</v>
      </c>
      <c r="AB802" s="12">
        <f t="shared" si="263"/>
        <v>8.2953131480713403E-3</v>
      </c>
      <c r="AC802" s="12">
        <f t="shared" si="264"/>
        <v>0</v>
      </c>
      <c r="AD802" s="34"/>
    </row>
    <row r="803" spans="1:30" ht="16" x14ac:dyDescent="0.2">
      <c r="A803" s="47"/>
      <c r="B803" s="305"/>
      <c r="C803" s="176">
        <f t="shared" si="266"/>
        <v>800</v>
      </c>
      <c r="D803" s="146">
        <v>45815</v>
      </c>
      <c r="E803" s="37">
        <v>45816</v>
      </c>
      <c r="F803" s="65" t="s">
        <v>376</v>
      </c>
      <c r="G803" s="11" t="str">
        <f ca="1">IF(AND(E803&lt;&gt;"",E803&lt;TODAY()),"Disponible",IFERROR(INDEX(Vehiculos[Estado Vehiculo],MATCH(F803,Vehiculos[Placa Vehiculo],0)),""))</f>
        <v>Disponible</v>
      </c>
      <c r="H803" s="34"/>
      <c r="I803" s="34" t="s">
        <v>273</v>
      </c>
      <c r="J803" s="34" t="s">
        <v>274</v>
      </c>
      <c r="K803" s="39">
        <v>230043</v>
      </c>
      <c r="L803" s="39">
        <v>230044</v>
      </c>
      <c r="M803" s="15">
        <f>L803-K803</f>
        <v>1</v>
      </c>
      <c r="N803" s="533">
        <v>260</v>
      </c>
      <c r="O803" s="39"/>
      <c r="P803" s="36"/>
      <c r="Q803" s="16">
        <f>M803*P803</f>
        <v>0</v>
      </c>
      <c r="R803" s="34" t="s">
        <v>273</v>
      </c>
      <c r="S803" s="34" t="s">
        <v>102</v>
      </c>
      <c r="T803" s="36">
        <v>1.8</v>
      </c>
      <c r="U803" s="293"/>
      <c r="V803" s="36"/>
      <c r="W803" s="36"/>
      <c r="X803" s="36"/>
      <c r="Y803" s="145">
        <f>U803+SUM(V803:X803)</f>
        <v>0</v>
      </c>
      <c r="Z803" s="567"/>
      <c r="AA803" s="12"/>
      <c r="AB803" s="12">
        <f>IFERROR(M803/AA803,0)</f>
        <v>0</v>
      </c>
      <c r="AC803" s="12">
        <f>IFERROR(Q803/M803,0)</f>
        <v>0</v>
      </c>
      <c r="AD803" s="34"/>
    </row>
    <row r="804" spans="1:30" ht="16" x14ac:dyDescent="0.2">
      <c r="A804" s="47"/>
      <c r="B804" s="305"/>
      <c r="C804" s="176">
        <f t="shared" si="266"/>
        <v>801</v>
      </c>
      <c r="D804" s="146"/>
      <c r="E804" s="37"/>
      <c r="F804" s="65"/>
      <c r="G804" s="11" t="str">
        <f ca="1">IF(AND(E804&lt;&gt;"",E804&lt;TODAY()),"Disponible",IFERROR(INDEX(Vehiculos[Estado Vehiculo],MATCH(F804,Vehiculos[Placa Vehiculo],0)),""))</f>
        <v/>
      </c>
      <c r="H804" s="34"/>
      <c r="I804" s="34"/>
      <c r="J804" s="34"/>
      <c r="K804" s="39"/>
      <c r="L804" s="39"/>
      <c r="M804" s="15"/>
      <c r="N804" s="15"/>
      <c r="O804" s="39"/>
      <c r="P804" s="36"/>
      <c r="Q804" s="16">
        <f>M804*P804</f>
        <v>0</v>
      </c>
      <c r="R804" s="34"/>
      <c r="S804" s="34"/>
      <c r="T804" s="36"/>
      <c r="U804" s="293"/>
      <c r="V804" s="36"/>
      <c r="W804" s="36"/>
      <c r="X804" s="36"/>
      <c r="Y804" s="145">
        <f>U804+SUM(V804:X804)</f>
        <v>0</v>
      </c>
      <c r="Z804" s="567"/>
      <c r="AA804" s="12"/>
      <c r="AB804" s="12">
        <f>IFERROR(M804/AA804,0)</f>
        <v>0</v>
      </c>
      <c r="AC804" s="12">
        <f>IFERROR(Q804/M804,0)</f>
        <v>0</v>
      </c>
      <c r="AD804" s="34"/>
    </row>
    <row r="805" spans="1:30" ht="16" x14ac:dyDescent="0.2">
      <c r="A805" s="47"/>
      <c r="B805" s="305"/>
      <c r="C805" s="176">
        <f t="shared" si="266"/>
        <v>802</v>
      </c>
      <c r="D805" s="146"/>
      <c r="E805" s="37"/>
      <c r="F805" s="65"/>
      <c r="G805" s="11" t="str">
        <f ca="1">IF(AND(E805&lt;&gt;"",E805&lt;TODAY()),"Disponible",IFERROR(INDEX(Vehiculos[Estado Vehiculo],MATCH(F805,Vehiculos[Placa Vehiculo],0)),""))</f>
        <v/>
      </c>
      <c r="H805" s="34"/>
      <c r="I805" s="34"/>
      <c r="J805" s="34"/>
      <c r="K805" s="39"/>
      <c r="L805" s="39"/>
      <c r="M805" s="15"/>
      <c r="N805" s="15"/>
      <c r="O805" s="39"/>
      <c r="P805" s="36"/>
      <c r="Q805" s="16">
        <f t="shared" si="261"/>
        <v>0</v>
      </c>
      <c r="R805" s="34"/>
      <c r="S805" s="34"/>
      <c r="T805" s="36"/>
      <c r="U805" s="293">
        <f>Rutas[[#This Row],[Precio x Galón ($/gal)]]*Rutas[[#This Row],[Volumen de Combustible (gal)]]</f>
        <v>0</v>
      </c>
      <c r="V805" s="36"/>
      <c r="W805" s="36"/>
      <c r="X805" s="36"/>
      <c r="Y805" s="145">
        <f t="shared" si="262"/>
        <v>0</v>
      </c>
      <c r="Z805" s="567"/>
      <c r="AA805" s="12"/>
      <c r="AB805" s="12">
        <f t="shared" si="263"/>
        <v>0</v>
      </c>
      <c r="AC805" s="12">
        <f t="shared" si="264"/>
        <v>0</v>
      </c>
      <c r="AD805" s="34"/>
    </row>
    <row r="806" spans="1:30" ht="16" x14ac:dyDescent="0.2">
      <c r="A806" s="47"/>
      <c r="B806" s="305"/>
      <c r="C806" s="176">
        <f t="shared" si="266"/>
        <v>803</v>
      </c>
      <c r="D806" s="90">
        <v>45809</v>
      </c>
      <c r="E806" s="90">
        <v>45818</v>
      </c>
      <c r="F806" s="68" t="s">
        <v>365</v>
      </c>
      <c r="G806" s="379" t="str">
        <f ca="1">IF(AND(E806&lt;&gt;"",E806&lt;TODAY()),"Disponible",IFERROR(INDEX(Vehiculos[Estado Vehiculo],MATCH(F806,Vehiculos[Placa Vehiculo],0)),""))</f>
        <v>Disponible</v>
      </c>
      <c r="H806" s="89" t="s">
        <v>234</v>
      </c>
      <c r="I806" s="89" t="s">
        <v>273</v>
      </c>
      <c r="J806" s="89" t="s">
        <v>274</v>
      </c>
      <c r="K806" s="380">
        <v>356971</v>
      </c>
      <c r="L806" s="380">
        <v>357605</v>
      </c>
      <c r="M806" s="381">
        <f>L806-K806</f>
        <v>634</v>
      </c>
      <c r="N806" s="381"/>
      <c r="O806" s="380"/>
      <c r="P806" s="92"/>
      <c r="Q806" s="382">
        <f t="shared" si="261"/>
        <v>0</v>
      </c>
      <c r="R806" s="89" t="s">
        <v>273</v>
      </c>
      <c r="S806" s="89" t="s">
        <v>102</v>
      </c>
      <c r="T806" s="92">
        <v>1.8</v>
      </c>
      <c r="U806" s="266">
        <f>Rutas[[#This Row],[Precio x Galón ($/gal)]]*Rutas[[#This Row],[Volumen de Combustible (gal)]]</f>
        <v>180</v>
      </c>
      <c r="V806" s="92"/>
      <c r="W806" s="92"/>
      <c r="X806" s="92"/>
      <c r="Y806" s="382">
        <f t="shared" si="262"/>
        <v>180</v>
      </c>
      <c r="Z806" s="567"/>
      <c r="AA806" s="382">
        <v>100</v>
      </c>
      <c r="AB806" s="382">
        <f t="shared" si="263"/>
        <v>6.34</v>
      </c>
      <c r="AC806" s="382">
        <f t="shared" si="264"/>
        <v>0</v>
      </c>
      <c r="AD806" s="89"/>
    </row>
    <row r="807" spans="1:30" ht="16" x14ac:dyDescent="0.2">
      <c r="A807" s="47"/>
      <c r="B807" s="305"/>
      <c r="C807" s="176">
        <f t="shared" si="266"/>
        <v>804</v>
      </c>
      <c r="D807" s="146">
        <v>45818</v>
      </c>
      <c r="E807" s="37">
        <v>45828</v>
      </c>
      <c r="F807" s="65" t="s">
        <v>365</v>
      </c>
      <c r="G807" s="11" t="str">
        <f ca="1">IF(AND(E807&lt;&gt;"",E807&lt;TODAY()),"Disponible",IFERROR(INDEX(Vehiculos[Estado Vehiculo],MATCH(F807,Vehiculos[Placa Vehiculo],0)),""))</f>
        <v>Disponible</v>
      </c>
      <c r="H807" s="34" t="s">
        <v>234</v>
      </c>
      <c r="I807" s="34" t="s">
        <v>273</v>
      </c>
      <c r="J807" s="34" t="s">
        <v>274</v>
      </c>
      <c r="K807" s="39">
        <v>357605</v>
      </c>
      <c r="L807" s="39">
        <v>358477</v>
      </c>
      <c r="M807" s="15">
        <f>L807-K807</f>
        <v>872</v>
      </c>
      <c r="N807" s="15"/>
      <c r="O807" s="39"/>
      <c r="P807" s="36"/>
      <c r="Q807" s="16">
        <f t="shared" si="261"/>
        <v>0</v>
      </c>
      <c r="R807" s="34" t="s">
        <v>273</v>
      </c>
      <c r="S807" s="34" t="s">
        <v>102</v>
      </c>
      <c r="T807" s="36">
        <v>1.8</v>
      </c>
      <c r="U807" s="293">
        <f>Rutas[[#This Row],[Precio x Galón ($/gal)]]*Rutas[[#This Row],[Volumen de Combustible (gal)]]</f>
        <v>108</v>
      </c>
      <c r="V807" s="36"/>
      <c r="W807" s="36"/>
      <c r="X807" s="36"/>
      <c r="Y807" s="145">
        <f t="shared" si="262"/>
        <v>108</v>
      </c>
      <c r="Z807" s="567"/>
      <c r="AA807" s="12">
        <v>60</v>
      </c>
      <c r="AB807" s="12">
        <f t="shared" si="263"/>
        <v>14.533333333333333</v>
      </c>
      <c r="AC807" s="12">
        <f t="shared" si="264"/>
        <v>0</v>
      </c>
      <c r="AD807" s="34"/>
    </row>
    <row r="808" spans="1:30" ht="16" x14ac:dyDescent="0.2">
      <c r="A808" s="47"/>
      <c r="B808" s="305"/>
      <c r="C808" s="176">
        <f t="shared" si="266"/>
        <v>805</v>
      </c>
      <c r="D808" s="146">
        <v>45828</v>
      </c>
      <c r="E808" s="37">
        <v>45838</v>
      </c>
      <c r="F808" s="65" t="s">
        <v>365</v>
      </c>
      <c r="G808" s="11" t="str">
        <f ca="1">IF(AND(E808&lt;&gt;"",E808&lt;TODAY()),"Disponible",IFERROR(INDEX(Vehiculos[Estado Vehiculo],MATCH(F808,Vehiculos[Placa Vehiculo],0)),""))</f>
        <v>Disponible</v>
      </c>
      <c r="H808" s="34" t="s">
        <v>234</v>
      </c>
      <c r="I808" s="34" t="s">
        <v>273</v>
      </c>
      <c r="J808" s="34" t="s">
        <v>274</v>
      </c>
      <c r="K808" s="39">
        <v>358477</v>
      </c>
      <c r="L808" s="39">
        <v>359110</v>
      </c>
      <c r="M808" s="15">
        <f>L808-K808</f>
        <v>633</v>
      </c>
      <c r="N808" s="532">
        <v>302</v>
      </c>
      <c r="O808" s="39"/>
      <c r="P808" s="36"/>
      <c r="Q808" s="16">
        <f t="shared" si="261"/>
        <v>0</v>
      </c>
      <c r="R808" s="34" t="s">
        <v>273</v>
      </c>
      <c r="S808" s="34" t="s">
        <v>102</v>
      </c>
      <c r="T808" s="36">
        <v>1.8</v>
      </c>
      <c r="U808" s="293">
        <f>Rutas[[#This Row],[Precio x Galón ($/gal)]]*Rutas[[#This Row],[Volumen de Combustible (gal)]]</f>
        <v>225</v>
      </c>
      <c r="V808" s="36"/>
      <c r="W808" s="36"/>
      <c r="X808" s="36"/>
      <c r="Y808" s="145">
        <f t="shared" si="262"/>
        <v>225</v>
      </c>
      <c r="Z808" s="567"/>
      <c r="AA808" s="12">
        <v>125</v>
      </c>
      <c r="AB808" s="12">
        <f t="shared" si="263"/>
        <v>5.0640000000000001</v>
      </c>
      <c r="AC808" s="12">
        <f t="shared" si="264"/>
        <v>0</v>
      </c>
      <c r="AD808" s="34"/>
    </row>
    <row r="809" spans="1:30" ht="16" x14ac:dyDescent="0.2">
      <c r="A809" s="47"/>
      <c r="B809" s="305"/>
      <c r="C809" s="176">
        <f t="shared" si="266"/>
        <v>806</v>
      </c>
      <c r="D809" s="146"/>
      <c r="E809" s="37"/>
      <c r="F809" s="65"/>
      <c r="G809" s="11" t="str">
        <f ca="1">IF(AND(E809&lt;&gt;"",E809&lt;TODAY()),"Disponible",IFERROR(INDEX(Vehiculos[Estado Vehiculo],MATCH(F809,Vehiculos[Placa Vehiculo],0)),""))</f>
        <v/>
      </c>
      <c r="H809" s="34"/>
      <c r="I809" s="34"/>
      <c r="J809" s="34"/>
      <c r="K809" s="39"/>
      <c r="L809" s="39"/>
      <c r="M809" s="15"/>
      <c r="N809" s="15"/>
      <c r="O809" s="39"/>
      <c r="P809" s="36"/>
      <c r="Q809" s="16">
        <f t="shared" si="261"/>
        <v>0</v>
      </c>
      <c r="R809" s="34"/>
      <c r="S809" s="34"/>
      <c r="T809" s="36"/>
      <c r="U809" s="293">
        <f>Rutas[[#This Row],[Precio x Galón ($/gal)]]*Rutas[[#This Row],[Volumen de Combustible (gal)]]</f>
        <v>0</v>
      </c>
      <c r="V809" s="36"/>
      <c r="W809" s="36"/>
      <c r="X809" s="36"/>
      <c r="Y809" s="145">
        <f t="shared" si="262"/>
        <v>0</v>
      </c>
      <c r="Z809" s="567"/>
      <c r="AA809" s="12"/>
      <c r="AB809" s="12">
        <f t="shared" si="263"/>
        <v>0</v>
      </c>
      <c r="AC809" s="12">
        <f t="shared" si="264"/>
        <v>0</v>
      </c>
      <c r="AD809" s="34"/>
    </row>
    <row r="810" spans="1:30" ht="16" x14ac:dyDescent="0.2">
      <c r="A810" s="47"/>
      <c r="B810" s="305"/>
      <c r="C810" s="176">
        <f t="shared" si="266"/>
        <v>807</v>
      </c>
      <c r="D810" s="90">
        <v>45809</v>
      </c>
      <c r="E810" s="90">
        <v>45818</v>
      </c>
      <c r="F810" s="68" t="s">
        <v>213</v>
      </c>
      <c r="G810" s="379" t="str">
        <f ca="1">IF(AND(E810&lt;&gt;"",E810&lt;TODAY()),"Disponible",IFERROR(INDEX(Vehiculos[Estado Vehiculo],MATCH(F810,Vehiculos[Placa Vehiculo],0)),""))</f>
        <v>Disponible</v>
      </c>
      <c r="H810" s="89" t="s">
        <v>232</v>
      </c>
      <c r="I810" s="89" t="s">
        <v>273</v>
      </c>
      <c r="J810" s="89" t="s">
        <v>317</v>
      </c>
      <c r="K810" s="380">
        <v>407096</v>
      </c>
      <c r="L810" s="380">
        <v>408350</v>
      </c>
      <c r="M810" s="381">
        <f>L810-K810</f>
        <v>1254</v>
      </c>
      <c r="N810" s="381"/>
      <c r="O810" s="380"/>
      <c r="P810" s="92"/>
      <c r="Q810" s="382">
        <f t="shared" si="261"/>
        <v>0</v>
      </c>
      <c r="R810" s="89" t="s">
        <v>273</v>
      </c>
      <c r="S810" s="89" t="s">
        <v>102</v>
      </c>
      <c r="T810" s="92">
        <v>1.8</v>
      </c>
      <c r="U810" s="266">
        <f>Rutas[[#This Row],[Precio x Galón ($/gal)]]*Rutas[[#This Row],[Volumen de Combustible (gal)]]</f>
        <v>216</v>
      </c>
      <c r="V810" s="92"/>
      <c r="W810" s="92"/>
      <c r="X810" s="92"/>
      <c r="Y810" s="382">
        <f t="shared" si="262"/>
        <v>216</v>
      </c>
      <c r="Z810" s="567"/>
      <c r="AA810" s="382">
        <v>120</v>
      </c>
      <c r="AB810" s="382">
        <f t="shared" si="263"/>
        <v>10.45</v>
      </c>
      <c r="AC810" s="382">
        <f t="shared" si="264"/>
        <v>0</v>
      </c>
      <c r="AD810" s="89"/>
    </row>
    <row r="811" spans="1:30" ht="16" x14ac:dyDescent="0.2">
      <c r="A811" s="47"/>
      <c r="B811" s="305"/>
      <c r="C811" s="176">
        <f t="shared" si="266"/>
        <v>808</v>
      </c>
      <c r="D811" s="146">
        <v>45818</v>
      </c>
      <c r="E811" s="37">
        <v>45828</v>
      </c>
      <c r="F811" s="65" t="s">
        <v>213</v>
      </c>
      <c r="G811" s="11" t="str">
        <f ca="1">IF(AND(E811&lt;&gt;"",E811&lt;TODAY()),"Disponible",IFERROR(INDEX(Vehiculos[Estado Vehiculo],MATCH(F811,Vehiculos[Placa Vehiculo],0)),""))</f>
        <v>Disponible</v>
      </c>
      <c r="H811" s="34" t="s">
        <v>232</v>
      </c>
      <c r="I811" s="34" t="s">
        <v>273</v>
      </c>
      <c r="J811" s="34" t="s">
        <v>317</v>
      </c>
      <c r="K811" s="39">
        <v>408350</v>
      </c>
      <c r="L811" s="39">
        <v>409238</v>
      </c>
      <c r="M811" s="15">
        <f>L811-K811</f>
        <v>888</v>
      </c>
      <c r="N811" s="15"/>
      <c r="O811" s="39"/>
      <c r="P811" s="36"/>
      <c r="Q811" s="16">
        <f t="shared" si="261"/>
        <v>0</v>
      </c>
      <c r="R811" s="34" t="s">
        <v>273</v>
      </c>
      <c r="S811" s="34" t="s">
        <v>102</v>
      </c>
      <c r="T811" s="36">
        <v>1.8</v>
      </c>
      <c r="U811" s="293">
        <f>Rutas[[#This Row],[Precio x Galón ($/gal)]]*Rutas[[#This Row],[Volumen de Combustible (gal)]]</f>
        <v>108</v>
      </c>
      <c r="V811" s="36"/>
      <c r="W811" s="36"/>
      <c r="X811" s="36"/>
      <c r="Y811" s="145">
        <f t="shared" si="262"/>
        <v>108</v>
      </c>
      <c r="Z811" s="567"/>
      <c r="AA811" s="12">
        <v>60</v>
      </c>
      <c r="AB811" s="12">
        <f t="shared" si="263"/>
        <v>14.8</v>
      </c>
      <c r="AC811" s="12">
        <f t="shared" si="264"/>
        <v>0</v>
      </c>
      <c r="AD811" s="34"/>
    </row>
    <row r="812" spans="1:30" ht="16" x14ac:dyDescent="0.2">
      <c r="A812" s="47"/>
      <c r="B812" s="305"/>
      <c r="C812" s="176">
        <f t="shared" si="266"/>
        <v>809</v>
      </c>
      <c r="D812" s="146">
        <v>45828</v>
      </c>
      <c r="E812" s="37">
        <v>45838</v>
      </c>
      <c r="F812" s="65" t="s">
        <v>213</v>
      </c>
      <c r="G812" s="11" t="str">
        <f ca="1">IF(AND(E812&lt;&gt;"",E812&lt;TODAY()),"Disponible",IFERROR(INDEX(Vehiculos[Estado Vehiculo],MATCH(F812,Vehiculos[Placa Vehiculo],0)),""))</f>
        <v>Disponible</v>
      </c>
      <c r="H812" s="34" t="s">
        <v>253</v>
      </c>
      <c r="I812" s="34" t="s">
        <v>273</v>
      </c>
      <c r="J812" s="34" t="s">
        <v>317</v>
      </c>
      <c r="K812" s="39">
        <v>409238</v>
      </c>
      <c r="L812" s="39">
        <v>410288</v>
      </c>
      <c r="M812" s="15">
        <f>L812-K812</f>
        <v>1050</v>
      </c>
      <c r="N812" s="533">
        <v>304</v>
      </c>
      <c r="O812" s="39"/>
      <c r="P812" s="36"/>
      <c r="Q812" s="16">
        <f>M812*P812</f>
        <v>0</v>
      </c>
      <c r="R812" s="34" t="s">
        <v>273</v>
      </c>
      <c r="S812" s="34" t="s">
        <v>102</v>
      </c>
      <c r="T812" s="36">
        <v>1.8</v>
      </c>
      <c r="U812" s="293">
        <f>Rutas[[#This Row],[Precio x Galón ($/gal)]]*Rutas[[#This Row],[Volumen de Combustible (gal)]]</f>
        <v>225</v>
      </c>
      <c r="V812" s="36"/>
      <c r="W812" s="36"/>
      <c r="X812" s="36"/>
      <c r="Y812" s="145">
        <f>U812+SUM(V812:X812)</f>
        <v>225</v>
      </c>
      <c r="Z812" s="567"/>
      <c r="AA812" s="12">
        <v>125</v>
      </c>
      <c r="AB812" s="12">
        <f>IFERROR(M812/AA812,0)</f>
        <v>8.4</v>
      </c>
      <c r="AC812" s="12">
        <f>IFERROR(Q812/M812,0)</f>
        <v>0</v>
      </c>
      <c r="AD812" s="34"/>
    </row>
    <row r="813" spans="1:30" ht="16" x14ac:dyDescent="0.2">
      <c r="A813" s="47"/>
      <c r="B813" s="305"/>
      <c r="C813" s="176">
        <f t="shared" si="266"/>
        <v>810</v>
      </c>
      <c r="D813" s="146"/>
      <c r="E813" s="37"/>
      <c r="F813" s="65"/>
      <c r="G813" s="11" t="str">
        <f ca="1">IF(AND(E813&lt;&gt;"",E813&lt;TODAY()),"Disponible",IFERROR(INDEX(Vehiculos[Estado Vehiculo],MATCH(F813,Vehiculos[Placa Vehiculo],0)),""))</f>
        <v/>
      </c>
      <c r="H813" s="34"/>
      <c r="I813" s="34"/>
      <c r="J813" s="34"/>
      <c r="K813" s="39"/>
      <c r="L813" s="39"/>
      <c r="M813" s="15"/>
      <c r="N813" s="15"/>
      <c r="O813" s="39"/>
      <c r="P813" s="36"/>
      <c r="Q813" s="16">
        <f>M813*P813</f>
        <v>0</v>
      </c>
      <c r="R813" s="34"/>
      <c r="S813" s="34"/>
      <c r="T813" s="36"/>
      <c r="U813" s="293">
        <f>Rutas[[#This Row],[Precio x Galón ($/gal)]]*Rutas[[#This Row],[Volumen de Combustible (gal)]]</f>
        <v>0</v>
      </c>
      <c r="V813" s="36"/>
      <c r="W813" s="36"/>
      <c r="X813" s="36"/>
      <c r="Y813" s="145">
        <f>U813+SUM(V813:X813)</f>
        <v>0</v>
      </c>
      <c r="Z813" s="567"/>
      <c r="AA813" s="12"/>
      <c r="AB813" s="12">
        <f>IFERROR(M813/AA813,0)</f>
        <v>0</v>
      </c>
      <c r="AC813" s="12">
        <f>IFERROR(Q813/M813,0)</f>
        <v>0</v>
      </c>
      <c r="AD813" s="34"/>
    </row>
    <row r="814" spans="1:30" ht="16" x14ac:dyDescent="0.2">
      <c r="A814" s="47"/>
      <c r="B814" s="305"/>
      <c r="C814" s="176">
        <f t="shared" si="266"/>
        <v>811</v>
      </c>
      <c r="D814" s="90">
        <v>45818</v>
      </c>
      <c r="E814" s="90">
        <v>45828</v>
      </c>
      <c r="F814" s="68" t="s">
        <v>403</v>
      </c>
      <c r="G814" s="379" t="str">
        <f ca="1">IF(AND(E814&lt;&gt;"",E814&lt;TODAY()),"Disponible",IFERROR(INDEX(Vehiculos[Estado Vehiculo],MATCH(F814,Vehiculos[Placa Vehiculo],0)),""))</f>
        <v>Disponible</v>
      </c>
      <c r="H814" s="89" t="s">
        <v>411</v>
      </c>
      <c r="I814" s="89" t="s">
        <v>273</v>
      </c>
      <c r="J814" s="89" t="s">
        <v>282</v>
      </c>
      <c r="K814" s="380">
        <v>180255</v>
      </c>
      <c r="L814" s="380">
        <v>181924</v>
      </c>
      <c r="M814" s="381">
        <f>L814-K814</f>
        <v>1669</v>
      </c>
      <c r="N814" s="381"/>
      <c r="O814" s="380"/>
      <c r="P814" s="92"/>
      <c r="Q814" s="382">
        <f>M814*P814</f>
        <v>0</v>
      </c>
      <c r="R814" s="89" t="s">
        <v>273</v>
      </c>
      <c r="S814" s="89" t="s">
        <v>102</v>
      </c>
      <c r="T814" s="92">
        <v>1.8</v>
      </c>
      <c r="U814" s="92">
        <f>Rutas[[#This Row],[Precio x Galón ($/gal)]]*Rutas[[#This Row],[Volumen de Combustible (gal)]]</f>
        <v>477</v>
      </c>
      <c r="V814" s="92"/>
      <c r="W814" s="92"/>
      <c r="X814" s="92"/>
      <c r="Y814" s="382">
        <f>U814+SUM(V814:X814)</f>
        <v>477</v>
      </c>
      <c r="Z814" s="567"/>
      <c r="AA814" s="382">
        <v>265</v>
      </c>
      <c r="AB814" s="382">
        <f>IFERROR(M814/AA814,0)</f>
        <v>6.2981132075471695</v>
      </c>
      <c r="AC814" s="382">
        <f>IFERROR(Q814/M814,0)</f>
        <v>0</v>
      </c>
      <c r="AD814" s="89"/>
    </row>
    <row r="815" spans="1:30" ht="16" x14ac:dyDescent="0.2">
      <c r="A815" s="47"/>
      <c r="B815" s="305"/>
      <c r="C815" s="176">
        <f t="shared" si="266"/>
        <v>812</v>
      </c>
      <c r="D815" s="146">
        <v>45828</v>
      </c>
      <c r="E815" s="37">
        <v>45838</v>
      </c>
      <c r="F815" s="65" t="s">
        <v>403</v>
      </c>
      <c r="G815" s="11" t="str">
        <f ca="1">IF(AND(E815&lt;&gt;"",E815&lt;TODAY()),"Disponible",IFERROR(INDEX(Vehiculos[Estado Vehiculo],MATCH(F815,Vehiculos[Placa Vehiculo],0)),""))</f>
        <v>Disponible</v>
      </c>
      <c r="H815" s="34" t="s">
        <v>411</v>
      </c>
      <c r="I815" s="34" t="s">
        <v>273</v>
      </c>
      <c r="J815" s="34" t="s">
        <v>282</v>
      </c>
      <c r="K815" s="39">
        <v>181924</v>
      </c>
      <c r="L815" s="39">
        <v>183804</v>
      </c>
      <c r="M815" s="15">
        <f>L815-K815</f>
        <v>1880</v>
      </c>
      <c r="N815" s="533">
        <v>306</v>
      </c>
      <c r="O815" s="39"/>
      <c r="P815" s="36"/>
      <c r="Q815" s="16">
        <f>M815*P815</f>
        <v>0</v>
      </c>
      <c r="R815" s="34" t="s">
        <v>273</v>
      </c>
      <c r="S815" s="34" t="s">
        <v>102</v>
      </c>
      <c r="T815" s="36">
        <v>1.8</v>
      </c>
      <c r="U815" s="293">
        <f>Rutas[[#This Row],[Precio x Galón ($/gal)]]*Rutas[[#This Row],[Volumen de Combustible (gal)]]</f>
        <v>603</v>
      </c>
      <c r="V815" s="36"/>
      <c r="W815" s="36"/>
      <c r="X815" s="36"/>
      <c r="Y815" s="145">
        <f>U815+SUM(V815:X815)</f>
        <v>603</v>
      </c>
      <c r="Z815" s="567"/>
      <c r="AA815" s="12">
        <v>335</v>
      </c>
      <c r="AB815" s="12">
        <f>IFERROR(M815/AA815,0)</f>
        <v>5.6119402985074629</v>
      </c>
      <c r="AC815" s="12">
        <f>IFERROR(Q815/M815,0)</f>
        <v>0</v>
      </c>
      <c r="AD815" s="34"/>
    </row>
    <row r="816" spans="1:30" ht="16" x14ac:dyDescent="0.2">
      <c r="A816" s="47"/>
      <c r="B816" s="305"/>
      <c r="C816" s="176">
        <f t="shared" si="266"/>
        <v>813</v>
      </c>
      <c r="D816" s="146"/>
      <c r="E816" s="37"/>
      <c r="F816" s="65"/>
      <c r="G816" s="11" t="str">
        <f ca="1">IF(AND(E816&lt;&gt;"",E816&lt;TODAY()),"Disponible",IFERROR(INDEX(Vehiculos[Estado Vehiculo],MATCH(F816,Vehiculos[Placa Vehiculo],0)),""))</f>
        <v/>
      </c>
      <c r="H816" s="34"/>
      <c r="I816" s="34"/>
      <c r="J816" s="34"/>
      <c r="K816" s="39"/>
      <c r="L816" s="39"/>
      <c r="M816" s="15"/>
      <c r="N816" s="15"/>
      <c r="O816" s="39"/>
      <c r="P816" s="36"/>
      <c r="Q816" s="16">
        <f t="shared" si="261"/>
        <v>0</v>
      </c>
      <c r="R816" s="34"/>
      <c r="S816" s="34"/>
      <c r="T816" s="36"/>
      <c r="U816" s="293">
        <f>Rutas[[#This Row],[Precio x Galón ($/gal)]]*Rutas[[#This Row],[Volumen de Combustible (gal)]]</f>
        <v>0</v>
      </c>
      <c r="V816" s="36"/>
      <c r="W816" s="36"/>
      <c r="X816" s="36"/>
      <c r="Y816" s="145">
        <f t="shared" si="262"/>
        <v>0</v>
      </c>
      <c r="Z816" s="567"/>
      <c r="AA816" s="12"/>
      <c r="AB816" s="12">
        <f t="shared" si="263"/>
        <v>0</v>
      </c>
      <c r="AC816" s="12">
        <f t="shared" si="264"/>
        <v>0</v>
      </c>
      <c r="AD816" s="34"/>
    </row>
    <row r="817" spans="1:30" ht="16" x14ac:dyDescent="0.2">
      <c r="A817" s="47"/>
      <c r="B817" s="305"/>
      <c r="C817" s="176">
        <f t="shared" si="266"/>
        <v>814</v>
      </c>
      <c r="D817" s="90">
        <v>45809</v>
      </c>
      <c r="E817" s="90">
        <v>45813</v>
      </c>
      <c r="F817" s="68" t="s">
        <v>286</v>
      </c>
      <c r="G817" s="379" t="str">
        <f ca="1">IF(AND(E817&lt;&gt;"",E817&lt;TODAY()),"Disponible",IFERROR(INDEX(Vehiculos[Estado Vehiculo],MATCH(F817,Vehiculos[Placa Vehiculo],0)),""))</f>
        <v>Disponible</v>
      </c>
      <c r="H817" s="89" t="s">
        <v>288</v>
      </c>
      <c r="I817" s="89" t="s">
        <v>273</v>
      </c>
      <c r="J817" s="89" t="s">
        <v>290</v>
      </c>
      <c r="K817" s="380">
        <v>90522</v>
      </c>
      <c r="L817" s="380">
        <v>91031</v>
      </c>
      <c r="M817" s="381">
        <f t="shared" ref="M817:M822" si="272">L817-K817</f>
        <v>509</v>
      </c>
      <c r="N817" s="381"/>
      <c r="O817" s="380"/>
      <c r="P817" s="92"/>
      <c r="Q817" s="382">
        <f>M817*P817</f>
        <v>0</v>
      </c>
      <c r="R817" s="89" t="s">
        <v>273</v>
      </c>
      <c r="S817" s="89" t="s">
        <v>102</v>
      </c>
      <c r="T817" s="92">
        <v>1.8</v>
      </c>
      <c r="U817" s="92">
        <f>Rutas[[#This Row],[Precio x Galón ($/gal)]]*Rutas[[#This Row],[Volumen de Combustible (gal)]]</f>
        <v>21.617999999999999</v>
      </c>
      <c r="V817" s="92"/>
      <c r="W817" s="92"/>
      <c r="X817" s="92"/>
      <c r="Y817" s="382">
        <f>U817+SUM(V817:X817)</f>
        <v>21.617999999999999</v>
      </c>
      <c r="Z817" s="567"/>
      <c r="AA817" s="382">
        <v>12.01</v>
      </c>
      <c r="AB817" s="382">
        <f>IFERROR(M817/AA817,0)</f>
        <v>42.381348875936723</v>
      </c>
      <c r="AC817" s="382">
        <f>IFERROR(Q817/M817,0)</f>
        <v>0</v>
      </c>
      <c r="AD817" s="89"/>
    </row>
    <row r="818" spans="1:30" ht="16" x14ac:dyDescent="0.2">
      <c r="A818" s="47"/>
      <c r="B818" s="305"/>
      <c r="C818" s="176">
        <f t="shared" si="266"/>
        <v>815</v>
      </c>
      <c r="D818" s="146">
        <v>45813</v>
      </c>
      <c r="E818" s="37">
        <v>45815</v>
      </c>
      <c r="F818" s="65" t="s">
        <v>286</v>
      </c>
      <c r="G818" s="11" t="str">
        <f ca="1">IF(AND(E818&lt;&gt;"",E818&lt;TODAY()),"Disponible",IFERROR(INDEX(Vehiculos[Estado Vehiculo],MATCH(F818,Vehiculos[Placa Vehiculo],0)),""))</f>
        <v>Disponible</v>
      </c>
      <c r="H818" s="34" t="s">
        <v>288</v>
      </c>
      <c r="I818" s="34" t="s">
        <v>273</v>
      </c>
      <c r="J818" s="34" t="s">
        <v>290</v>
      </c>
      <c r="K818" s="39">
        <v>91031</v>
      </c>
      <c r="L818" s="39">
        <v>91400</v>
      </c>
      <c r="M818" s="15">
        <f t="shared" si="272"/>
        <v>369</v>
      </c>
      <c r="N818" s="15"/>
      <c r="O818" s="39"/>
      <c r="P818" s="36"/>
      <c r="Q818" s="16">
        <f>M818*P818</f>
        <v>0</v>
      </c>
      <c r="R818" s="34" t="s">
        <v>273</v>
      </c>
      <c r="S818" s="34" t="s">
        <v>102</v>
      </c>
      <c r="T818" s="36">
        <v>1.8</v>
      </c>
      <c r="U818" s="293">
        <f>Rutas[[#This Row],[Precio x Galón ($/gal)]]*Rutas[[#This Row],[Volumen de Combustible (gal)]]</f>
        <v>27.503999999999998</v>
      </c>
      <c r="V818" s="36"/>
      <c r="W818" s="36"/>
      <c r="X818" s="36"/>
      <c r="Y818" s="145">
        <f>U818+SUM(V818:X818)</f>
        <v>27.503999999999998</v>
      </c>
      <c r="Z818" s="567"/>
      <c r="AA818" s="12">
        <v>15.28</v>
      </c>
      <c r="AB818" s="12">
        <f>IFERROR(M818/AA818,0)</f>
        <v>24.149214659685864</v>
      </c>
      <c r="AC818" s="12">
        <f>IFERROR(Q818/M818,0)</f>
        <v>0</v>
      </c>
      <c r="AD818" s="34"/>
    </row>
    <row r="819" spans="1:30" ht="16" x14ac:dyDescent="0.2">
      <c r="A819" s="47"/>
      <c r="B819" s="305"/>
      <c r="C819" s="176">
        <f t="shared" si="266"/>
        <v>816</v>
      </c>
      <c r="D819" s="146">
        <v>45815</v>
      </c>
      <c r="E819" s="37">
        <v>45822</v>
      </c>
      <c r="F819" s="65" t="s">
        <v>286</v>
      </c>
      <c r="G819" s="11" t="str">
        <f ca="1">IF(AND(E819&lt;&gt;"",E819&lt;TODAY()),"Disponible",IFERROR(INDEX(Vehiculos[Estado Vehiculo],MATCH(F819,Vehiculos[Placa Vehiculo],0)),""))</f>
        <v>Disponible</v>
      </c>
      <c r="H819" s="34" t="s">
        <v>288</v>
      </c>
      <c r="I819" s="34" t="s">
        <v>273</v>
      </c>
      <c r="J819" s="34" t="s">
        <v>290</v>
      </c>
      <c r="K819" s="39">
        <v>91400</v>
      </c>
      <c r="L819" s="39">
        <v>91968</v>
      </c>
      <c r="M819" s="15">
        <f t="shared" si="272"/>
        <v>568</v>
      </c>
      <c r="N819" s="15"/>
      <c r="O819" s="39"/>
      <c r="P819" s="36"/>
      <c r="Q819" s="16">
        <f t="shared" si="261"/>
        <v>0</v>
      </c>
      <c r="R819" s="34" t="s">
        <v>273</v>
      </c>
      <c r="S819" s="34" t="s">
        <v>102</v>
      </c>
      <c r="T819" s="36">
        <v>1.8</v>
      </c>
      <c r="U819" s="293">
        <f>Rutas[[#This Row],[Precio x Galón ($/gal)]]*Rutas[[#This Row],[Volumen de Combustible (gal)]]</f>
        <v>28.8</v>
      </c>
      <c r="V819" s="36"/>
      <c r="W819" s="36"/>
      <c r="X819" s="36"/>
      <c r="Y819" s="145">
        <f t="shared" si="262"/>
        <v>28.8</v>
      </c>
      <c r="Z819" s="567"/>
      <c r="AA819" s="12">
        <v>16</v>
      </c>
      <c r="AB819" s="12">
        <f t="shared" si="263"/>
        <v>35.5</v>
      </c>
      <c r="AC819" s="12">
        <f t="shared" si="264"/>
        <v>0</v>
      </c>
      <c r="AD819" s="34"/>
    </row>
    <row r="820" spans="1:30" ht="16" x14ac:dyDescent="0.2">
      <c r="A820" s="47"/>
      <c r="B820" s="305"/>
      <c r="C820" s="176">
        <f t="shared" si="266"/>
        <v>817</v>
      </c>
      <c r="D820" s="146">
        <v>45822</v>
      </c>
      <c r="E820" s="37">
        <v>45826</v>
      </c>
      <c r="F820" s="65" t="s">
        <v>286</v>
      </c>
      <c r="G820" s="11" t="str">
        <f ca="1">IF(AND(E820&lt;&gt;"",E820&lt;TODAY()),"Disponible",IFERROR(INDEX(Vehiculos[Estado Vehiculo],MATCH(F820,Vehiculos[Placa Vehiculo],0)),""))</f>
        <v>Disponible</v>
      </c>
      <c r="H820" s="34" t="s">
        <v>288</v>
      </c>
      <c r="I820" s="34" t="s">
        <v>273</v>
      </c>
      <c r="J820" s="34" t="s">
        <v>290</v>
      </c>
      <c r="K820" s="39">
        <v>91968</v>
      </c>
      <c r="L820" s="39">
        <v>92440</v>
      </c>
      <c r="M820" s="15">
        <f t="shared" si="272"/>
        <v>472</v>
      </c>
      <c r="N820" s="15"/>
      <c r="O820" s="39"/>
      <c r="P820" s="36"/>
      <c r="Q820" s="16">
        <f t="shared" si="261"/>
        <v>0</v>
      </c>
      <c r="R820" s="34" t="s">
        <v>273</v>
      </c>
      <c r="S820" s="34" t="s">
        <v>102</v>
      </c>
      <c r="T820" s="36">
        <v>1.8</v>
      </c>
      <c r="U820" s="293">
        <f>Rutas[[#This Row],[Precio x Galón ($/gal)]]*Rutas[[#This Row],[Volumen de Combustible (gal)]]</f>
        <v>25.578000000000003</v>
      </c>
      <c r="V820" s="36"/>
      <c r="W820" s="36"/>
      <c r="X820" s="36"/>
      <c r="Y820" s="145">
        <f t="shared" si="262"/>
        <v>25.578000000000003</v>
      </c>
      <c r="Z820" s="567"/>
      <c r="AA820" s="12">
        <v>14.21</v>
      </c>
      <c r="AB820" s="12">
        <f t="shared" si="263"/>
        <v>33.216045038705133</v>
      </c>
      <c r="AC820" s="12">
        <f t="shared" si="264"/>
        <v>0</v>
      </c>
      <c r="AD820" s="34"/>
    </row>
    <row r="821" spans="1:30" ht="16" x14ac:dyDescent="0.2">
      <c r="A821" s="47"/>
      <c r="B821" s="305"/>
      <c r="C821" s="176">
        <f t="shared" si="266"/>
        <v>818</v>
      </c>
      <c r="D821" s="146">
        <v>45826</v>
      </c>
      <c r="E821" s="37">
        <v>45835</v>
      </c>
      <c r="F821" s="65" t="s">
        <v>286</v>
      </c>
      <c r="G821" s="11" t="str">
        <f ca="1">IF(AND(E821&lt;&gt;"",E821&lt;TODAY()),"Disponible",IFERROR(INDEX(Vehiculos[Estado Vehiculo],MATCH(F821,Vehiculos[Placa Vehiculo],0)),""))</f>
        <v>Disponible</v>
      </c>
      <c r="H821" s="34" t="s">
        <v>288</v>
      </c>
      <c r="I821" s="34" t="s">
        <v>273</v>
      </c>
      <c r="J821" s="34" t="s">
        <v>290</v>
      </c>
      <c r="K821" s="39">
        <v>92440</v>
      </c>
      <c r="L821" s="39">
        <v>93075</v>
      </c>
      <c r="M821" s="15">
        <f t="shared" si="272"/>
        <v>635</v>
      </c>
      <c r="N821" s="15"/>
      <c r="O821" s="39"/>
      <c r="P821" s="36"/>
      <c r="Q821" s="16">
        <f>M821*P821</f>
        <v>0</v>
      </c>
      <c r="R821" s="34" t="s">
        <v>273</v>
      </c>
      <c r="S821" s="34" t="s">
        <v>102</v>
      </c>
      <c r="T821" s="36">
        <v>1.8</v>
      </c>
      <c r="U821" s="293">
        <f>Rutas[[#This Row],[Precio x Galón ($/gal)]]*Rutas[[#This Row],[Volumen de Combustible (gal)]]</f>
        <v>28.8</v>
      </c>
      <c r="V821" s="36"/>
      <c r="W821" s="36"/>
      <c r="X821" s="36"/>
      <c r="Y821" s="145">
        <f>U821+SUM(V821:X821)</f>
        <v>28.8</v>
      </c>
      <c r="Z821" s="567"/>
      <c r="AA821" s="12">
        <v>16</v>
      </c>
      <c r="AB821" s="12">
        <f>IFERROR(M821/AA821,0)</f>
        <v>39.6875</v>
      </c>
      <c r="AC821" s="12">
        <f>IFERROR(Q821/M821,0)</f>
        <v>0</v>
      </c>
      <c r="AD821" s="34"/>
    </row>
    <row r="822" spans="1:30" ht="16" x14ac:dyDescent="0.2">
      <c r="A822" s="47"/>
      <c r="B822" s="305"/>
      <c r="C822" s="176">
        <f t="shared" si="266"/>
        <v>819</v>
      </c>
      <c r="D822" s="146">
        <v>45835</v>
      </c>
      <c r="E822" s="37">
        <v>45838</v>
      </c>
      <c r="F822" s="65" t="s">
        <v>286</v>
      </c>
      <c r="G822" s="11" t="str">
        <f ca="1">IF(AND(E822&lt;&gt;"",E822&lt;TODAY()),"Disponible",IFERROR(INDEX(Vehiculos[Estado Vehiculo],MATCH(F822,Vehiculos[Placa Vehiculo],0)),""))</f>
        <v>Disponible</v>
      </c>
      <c r="H822" s="34" t="s">
        <v>289</v>
      </c>
      <c r="I822" s="34" t="s">
        <v>273</v>
      </c>
      <c r="J822" s="34" t="s">
        <v>290</v>
      </c>
      <c r="K822" s="39">
        <v>93075</v>
      </c>
      <c r="L822" s="39">
        <v>93299</v>
      </c>
      <c r="M822" s="15">
        <f t="shared" si="272"/>
        <v>224</v>
      </c>
      <c r="N822" s="15"/>
      <c r="O822" s="39"/>
      <c r="P822" s="36"/>
      <c r="Q822" s="16">
        <f>M822*P822</f>
        <v>0</v>
      </c>
      <c r="R822" s="34" t="s">
        <v>273</v>
      </c>
      <c r="S822" s="34" t="s">
        <v>102</v>
      </c>
      <c r="T822" s="36"/>
      <c r="U822" s="293">
        <f>Rutas[[#This Row],[Precio x Galón ($/gal)]]*Rutas[[#This Row],[Volumen de Combustible (gal)]]</f>
        <v>0</v>
      </c>
      <c r="V822" s="36"/>
      <c r="W822" s="36"/>
      <c r="X822" s="36"/>
      <c r="Y822" s="145">
        <f>U822+SUM(V822:X822)</f>
        <v>0</v>
      </c>
      <c r="Z822" s="567"/>
      <c r="AA822" s="12"/>
      <c r="AB822" s="12">
        <f>IFERROR(M822/AA822,0)</f>
        <v>0</v>
      </c>
      <c r="AC822" s="12">
        <f>IFERROR(Q822/M822,0)</f>
        <v>0</v>
      </c>
      <c r="AD822" s="34"/>
    </row>
    <row r="823" spans="1:30" ht="16" x14ac:dyDescent="0.2">
      <c r="A823" s="47"/>
      <c r="B823" s="305"/>
      <c r="C823" s="176">
        <f t="shared" si="266"/>
        <v>820</v>
      </c>
      <c r="D823" s="146"/>
      <c r="E823" s="37"/>
      <c r="F823" s="65"/>
      <c r="G823" s="11" t="str">
        <f ca="1">IF(AND(E823&lt;&gt;"",E823&lt;TODAY()),"Disponible",IFERROR(INDEX(Vehiculos[Estado Vehiculo],MATCH(F823,Vehiculos[Placa Vehiculo],0)),""))</f>
        <v/>
      </c>
      <c r="H823" s="34"/>
      <c r="I823" s="34"/>
      <c r="J823" s="34"/>
      <c r="K823" s="39"/>
      <c r="L823" s="39"/>
      <c r="M823" s="15"/>
      <c r="N823" s="15"/>
      <c r="O823" s="39"/>
      <c r="P823" s="36"/>
      <c r="Q823" s="16">
        <f t="shared" si="261"/>
        <v>0</v>
      </c>
      <c r="R823" s="34"/>
      <c r="S823" s="34"/>
      <c r="T823" s="36"/>
      <c r="U823" s="293">
        <f>Rutas[[#This Row],[Precio x Galón ($/gal)]]*Rutas[[#This Row],[Volumen de Combustible (gal)]]</f>
        <v>0</v>
      </c>
      <c r="V823" s="36"/>
      <c r="W823" s="36"/>
      <c r="X823" s="36"/>
      <c r="Y823" s="145">
        <f t="shared" si="262"/>
        <v>0</v>
      </c>
      <c r="Z823" s="567"/>
      <c r="AA823" s="12"/>
      <c r="AB823" s="12">
        <f t="shared" si="263"/>
        <v>0</v>
      </c>
      <c r="AC823" s="12">
        <f t="shared" si="264"/>
        <v>0</v>
      </c>
      <c r="AD823" s="34"/>
    </row>
    <row r="824" spans="1:30" ht="16" x14ac:dyDescent="0.2">
      <c r="A824" s="47"/>
      <c r="B824" s="305"/>
      <c r="C824" s="176">
        <f t="shared" si="266"/>
        <v>821</v>
      </c>
      <c r="D824" s="90">
        <v>45809</v>
      </c>
      <c r="E824" s="90">
        <v>45810</v>
      </c>
      <c r="F824" s="68" t="s">
        <v>306</v>
      </c>
      <c r="G824" s="379" t="str">
        <f ca="1">IF(AND(E824&lt;&gt;"",E824&lt;TODAY()),"Disponible",IFERROR(INDEX(Vehiculos[Estado Vehiculo],MATCH(F824,Vehiculos[Placa Vehiculo],0)),""))</f>
        <v>Disponible</v>
      </c>
      <c r="H824" s="89" t="s">
        <v>236</v>
      </c>
      <c r="I824" s="89" t="s">
        <v>273</v>
      </c>
      <c r="J824" s="89"/>
      <c r="K824" s="380">
        <v>1928</v>
      </c>
      <c r="L824" s="380">
        <v>1950</v>
      </c>
      <c r="M824" s="381">
        <f>L824-K824</f>
        <v>22</v>
      </c>
      <c r="N824" s="381">
        <f>Rutas[[#This Row],[Kms Recorridos]]</f>
        <v>22</v>
      </c>
      <c r="O824" s="380"/>
      <c r="P824" s="92"/>
      <c r="Q824" s="382">
        <f t="shared" si="261"/>
        <v>0</v>
      </c>
      <c r="R824" s="89" t="s">
        <v>273</v>
      </c>
      <c r="S824" s="89" t="s">
        <v>102</v>
      </c>
      <c r="T824" s="92">
        <v>1.8</v>
      </c>
      <c r="U824" s="266">
        <f>Rutas[[#This Row],[Precio x Galón ($/gal)]]*Rutas[[#This Row],[Volumen de Combustible (gal)]]</f>
        <v>24.173999999999999</v>
      </c>
      <c r="V824" s="92"/>
      <c r="W824" s="92"/>
      <c r="X824" s="92"/>
      <c r="Y824" s="382">
        <f t="shared" si="262"/>
        <v>24.173999999999999</v>
      </c>
      <c r="Z824" s="567"/>
      <c r="AA824" s="382">
        <v>13.43</v>
      </c>
      <c r="AB824" s="382">
        <f t="shared" si="263"/>
        <v>1.6381236038719285</v>
      </c>
      <c r="AC824" s="382">
        <f t="shared" si="264"/>
        <v>0</v>
      </c>
      <c r="AD824" s="89"/>
    </row>
    <row r="825" spans="1:30" ht="16" x14ac:dyDescent="0.2">
      <c r="A825" s="47"/>
      <c r="B825" s="305"/>
      <c r="C825" s="176">
        <f t="shared" si="266"/>
        <v>822</v>
      </c>
      <c r="D825" s="146">
        <v>45810</v>
      </c>
      <c r="E825" s="37">
        <v>45812</v>
      </c>
      <c r="F825" s="65" t="s">
        <v>306</v>
      </c>
      <c r="G825" s="11" t="str">
        <f ca="1">IF(AND(E825&lt;&gt;"",E825&lt;TODAY()),"Disponible",IFERROR(INDEX(Vehiculos[Estado Vehiculo],MATCH(F825,Vehiculos[Placa Vehiculo],0)),""))</f>
        <v>Disponible</v>
      </c>
      <c r="H825" s="34" t="s">
        <v>236</v>
      </c>
      <c r="I825" s="34" t="s">
        <v>273</v>
      </c>
      <c r="J825" s="34"/>
      <c r="K825" s="39">
        <v>1950</v>
      </c>
      <c r="L825" s="39">
        <v>1965</v>
      </c>
      <c r="M825" s="15">
        <f>L825-K825</f>
        <v>15</v>
      </c>
      <c r="N825" s="15">
        <f>Rutas[[#This Row],[Kms Recorridos]]</f>
        <v>15</v>
      </c>
      <c r="O825" s="39"/>
      <c r="P825" s="36"/>
      <c r="Q825" s="16">
        <f t="shared" si="261"/>
        <v>0</v>
      </c>
      <c r="R825" s="34" t="s">
        <v>273</v>
      </c>
      <c r="S825" s="34" t="s">
        <v>102</v>
      </c>
      <c r="T825" s="36">
        <v>1.8</v>
      </c>
      <c r="U825" s="293">
        <f>Rutas[[#This Row],[Precio x Galón ($/gal)]]*Rutas[[#This Row],[Volumen de Combustible (gal)]]</f>
        <v>21.384</v>
      </c>
      <c r="V825" s="36"/>
      <c r="W825" s="36"/>
      <c r="X825" s="36"/>
      <c r="Y825" s="145">
        <f t="shared" si="262"/>
        <v>21.384</v>
      </c>
      <c r="Z825" s="567"/>
      <c r="AA825" s="12">
        <v>11.88</v>
      </c>
      <c r="AB825" s="12">
        <f t="shared" si="263"/>
        <v>1.2626262626262625</v>
      </c>
      <c r="AC825" s="12">
        <f t="shared" si="264"/>
        <v>0</v>
      </c>
      <c r="AD825" s="34"/>
    </row>
    <row r="826" spans="1:30" ht="16" x14ac:dyDescent="0.2">
      <c r="A826" s="47"/>
      <c r="B826" s="305"/>
      <c r="C826" s="176">
        <f t="shared" si="266"/>
        <v>823</v>
      </c>
      <c r="D826" s="146">
        <v>45812</v>
      </c>
      <c r="E826" s="37">
        <v>45815</v>
      </c>
      <c r="F826" s="65" t="s">
        <v>306</v>
      </c>
      <c r="G826" s="11" t="str">
        <f ca="1">IF(AND(E826&lt;&gt;"",E826&lt;TODAY()),"Disponible",IFERROR(INDEX(Vehiculos[Estado Vehiculo],MATCH(F826,Vehiculos[Placa Vehiculo],0)),""))</f>
        <v>Disponible</v>
      </c>
      <c r="H826" s="34" t="s">
        <v>236</v>
      </c>
      <c r="I826" s="34" t="s">
        <v>273</v>
      </c>
      <c r="J826" s="34"/>
      <c r="K826" s="39">
        <v>1965</v>
      </c>
      <c r="L826" s="39">
        <v>1986</v>
      </c>
      <c r="M826" s="15">
        <f>L826-K826</f>
        <v>21</v>
      </c>
      <c r="N826" s="15">
        <f>Rutas[[#This Row],[Kms Recorridos]]</f>
        <v>21</v>
      </c>
      <c r="O826" s="39"/>
      <c r="P826" s="36"/>
      <c r="Q826" s="16">
        <f t="shared" si="261"/>
        <v>0</v>
      </c>
      <c r="R826" s="34" t="s">
        <v>273</v>
      </c>
      <c r="S826" s="34" t="s">
        <v>102</v>
      </c>
      <c r="T826" s="36">
        <v>1.8</v>
      </c>
      <c r="U826" s="293">
        <f>Rutas[[#This Row],[Precio x Galón ($/gal)]]*Rutas[[#This Row],[Volumen de Combustible (gal)]]</f>
        <v>24.858000000000001</v>
      </c>
      <c r="V826" s="36"/>
      <c r="W826" s="36"/>
      <c r="X826" s="36"/>
      <c r="Y826" s="145">
        <f t="shared" si="262"/>
        <v>24.858000000000001</v>
      </c>
      <c r="Z826" s="567"/>
      <c r="AA826" s="12">
        <v>13.81</v>
      </c>
      <c r="AB826" s="12">
        <f t="shared" si="263"/>
        <v>1.5206372194062274</v>
      </c>
      <c r="AC826" s="12">
        <f t="shared" si="264"/>
        <v>0</v>
      </c>
      <c r="AD826" s="34"/>
    </row>
    <row r="827" spans="1:30" ht="16" x14ac:dyDescent="0.2">
      <c r="A827" s="47"/>
      <c r="B827" s="305"/>
      <c r="C827" s="176">
        <f t="shared" si="266"/>
        <v>824</v>
      </c>
      <c r="D827" s="146">
        <v>45815</v>
      </c>
      <c r="E827" s="37">
        <v>45817</v>
      </c>
      <c r="F827" s="65" t="s">
        <v>306</v>
      </c>
      <c r="G827" s="11" t="str">
        <f ca="1">IF(AND(E827&lt;&gt;"",E827&lt;TODAY()),"Disponible",IFERROR(INDEX(Vehiculos[Estado Vehiculo],MATCH(F827,Vehiculos[Placa Vehiculo],0)),""))</f>
        <v>Disponible</v>
      </c>
      <c r="H827" s="34" t="s">
        <v>236</v>
      </c>
      <c r="I827" s="34" t="s">
        <v>273</v>
      </c>
      <c r="J827" s="34"/>
      <c r="K827" s="39">
        <v>1986</v>
      </c>
      <c r="L827" s="39">
        <v>2001</v>
      </c>
      <c r="M827" s="15">
        <f>L827-K827</f>
        <v>15</v>
      </c>
      <c r="N827" s="15">
        <f>Rutas[[#This Row],[Kms Recorridos]]</f>
        <v>15</v>
      </c>
      <c r="O827" s="39"/>
      <c r="P827" s="36"/>
      <c r="Q827" s="16">
        <f t="shared" si="261"/>
        <v>0</v>
      </c>
      <c r="R827" s="34" t="s">
        <v>273</v>
      </c>
      <c r="S827" s="34" t="s">
        <v>102</v>
      </c>
      <c r="T827" s="36">
        <v>1.8</v>
      </c>
      <c r="U827" s="293">
        <f>Rutas[[#This Row],[Precio x Galón ($/gal)]]*Rutas[[#This Row],[Volumen de Combustible (gal)]]</f>
        <v>21.024000000000001</v>
      </c>
      <c r="V827" s="36"/>
      <c r="W827" s="36"/>
      <c r="X827" s="36"/>
      <c r="Y827" s="145">
        <f t="shared" si="262"/>
        <v>21.024000000000001</v>
      </c>
      <c r="Z827" s="567"/>
      <c r="AA827" s="12">
        <v>11.68</v>
      </c>
      <c r="AB827" s="12">
        <f t="shared" si="263"/>
        <v>1.2842465753424659</v>
      </c>
      <c r="AC827" s="12">
        <f t="shared" si="264"/>
        <v>0</v>
      </c>
      <c r="AD827" s="34"/>
    </row>
    <row r="828" spans="1:30" ht="16" x14ac:dyDescent="0.2">
      <c r="A828" s="47"/>
      <c r="B828" s="305"/>
      <c r="C828" s="176">
        <f t="shared" si="266"/>
        <v>825</v>
      </c>
      <c r="D828" s="146">
        <v>45817</v>
      </c>
      <c r="E828" s="37">
        <v>45819</v>
      </c>
      <c r="F828" s="65" t="s">
        <v>306</v>
      </c>
      <c r="G828" s="11" t="str">
        <f ca="1">IF(AND(E828&lt;&gt;"",E828&lt;TODAY()),"Disponible",IFERROR(INDEX(Vehiculos[Estado Vehiculo],MATCH(F828,Vehiculos[Placa Vehiculo],0)),""))</f>
        <v>Disponible</v>
      </c>
      <c r="H828" s="34" t="s">
        <v>305</v>
      </c>
      <c r="I828" s="34" t="s">
        <v>273</v>
      </c>
      <c r="J828" s="34"/>
      <c r="K828" s="39">
        <v>2001</v>
      </c>
      <c r="L828" s="39">
        <v>2015</v>
      </c>
      <c r="M828" s="15">
        <f>L828-K828</f>
        <v>14</v>
      </c>
      <c r="N828" s="15">
        <f>Rutas[[#This Row],[Kms Recorridos]]</f>
        <v>14</v>
      </c>
      <c r="O828" s="39"/>
      <c r="P828" s="36"/>
      <c r="Q828" s="16">
        <f t="shared" si="261"/>
        <v>0</v>
      </c>
      <c r="R828" s="34" t="s">
        <v>273</v>
      </c>
      <c r="S828" s="34" t="s">
        <v>102</v>
      </c>
      <c r="T828" s="36">
        <v>1.8</v>
      </c>
      <c r="U828" s="293">
        <f>Rutas[[#This Row],[Precio x Galón ($/gal)]]*Rutas[[#This Row],[Volumen de Combustible (gal)]]</f>
        <v>13.985999999999999</v>
      </c>
      <c r="V828" s="36"/>
      <c r="W828" s="36"/>
      <c r="X828" s="36"/>
      <c r="Y828" s="145">
        <f t="shared" si="262"/>
        <v>13.985999999999999</v>
      </c>
      <c r="Z828" s="567"/>
      <c r="AA828" s="12">
        <v>7.77</v>
      </c>
      <c r="AB828" s="12">
        <f t="shared" si="263"/>
        <v>1.8018018018018018</v>
      </c>
      <c r="AC828" s="12">
        <f t="shared" si="264"/>
        <v>0</v>
      </c>
      <c r="AD828" s="34"/>
    </row>
    <row r="829" spans="1:30" ht="16" x14ac:dyDescent="0.2">
      <c r="A829" s="47"/>
      <c r="B829" s="305"/>
      <c r="C829" s="176">
        <f t="shared" si="266"/>
        <v>826</v>
      </c>
      <c r="D829" s="146">
        <v>45819</v>
      </c>
      <c r="E829" s="37">
        <v>45821</v>
      </c>
      <c r="F829" s="65" t="s">
        <v>306</v>
      </c>
      <c r="G829" s="11" t="str">
        <f ca="1">IF(AND(E829&lt;&gt;"",E829&lt;TODAY()),"Disponible",IFERROR(INDEX(Vehiculos[Estado Vehiculo],MATCH(F829,Vehiculos[Placa Vehiculo],0)),""))</f>
        <v>Disponible</v>
      </c>
      <c r="H829" s="34" t="s">
        <v>305</v>
      </c>
      <c r="I829" s="34" t="s">
        <v>273</v>
      </c>
      <c r="J829" s="34"/>
      <c r="K829" s="39">
        <v>2015</v>
      </c>
      <c r="L829" s="39">
        <v>2033</v>
      </c>
      <c r="M829" s="15">
        <f t="shared" ref="M829:M834" si="273">L829-K829</f>
        <v>18</v>
      </c>
      <c r="N829" s="15">
        <f>Rutas[[#This Row],[Kms Recorridos]]</f>
        <v>18</v>
      </c>
      <c r="O829" s="39"/>
      <c r="P829" s="36"/>
      <c r="Q829" s="16">
        <f t="shared" ref="Q829:Q835" si="274">M829*P829</f>
        <v>0</v>
      </c>
      <c r="R829" s="34" t="s">
        <v>273</v>
      </c>
      <c r="S829" s="34" t="s">
        <v>102</v>
      </c>
      <c r="T829" s="36">
        <v>1.8</v>
      </c>
      <c r="U829" s="293">
        <f>Rutas[[#This Row],[Precio x Galón ($/gal)]]*Rutas[[#This Row],[Volumen de Combustible (gal)]]</f>
        <v>23.922000000000001</v>
      </c>
      <c r="V829" s="36"/>
      <c r="W829" s="36"/>
      <c r="X829" s="36"/>
      <c r="Y829" s="145">
        <f t="shared" ref="Y829:Y835" si="275">U829+SUM(V829:X829)</f>
        <v>23.922000000000001</v>
      </c>
      <c r="Z829" s="567"/>
      <c r="AA829" s="12">
        <v>13.29</v>
      </c>
      <c r="AB829" s="12">
        <f t="shared" ref="AB829:AB835" si="276">IFERROR(M829/AA829,0)</f>
        <v>1.3544018058690745</v>
      </c>
      <c r="AC829" s="12">
        <f t="shared" ref="AC829:AC835" si="277">IFERROR(Q829/M829,0)</f>
        <v>0</v>
      </c>
      <c r="AD829" s="34"/>
    </row>
    <row r="830" spans="1:30" ht="16" x14ac:dyDescent="0.2">
      <c r="A830" s="47"/>
      <c r="B830" s="305"/>
      <c r="C830" s="176">
        <f t="shared" si="266"/>
        <v>827</v>
      </c>
      <c r="D830" s="146">
        <v>45821</v>
      </c>
      <c r="E830" s="37">
        <v>45824</v>
      </c>
      <c r="F830" s="65" t="s">
        <v>306</v>
      </c>
      <c r="G830" s="11" t="str">
        <f ca="1">IF(AND(E830&lt;&gt;"",E830&lt;TODAY()),"Disponible",IFERROR(INDEX(Vehiculos[Estado Vehiculo],MATCH(F830,Vehiculos[Placa Vehiculo],0)),""))</f>
        <v>Disponible</v>
      </c>
      <c r="H830" s="34" t="s">
        <v>231</v>
      </c>
      <c r="I830" s="34" t="s">
        <v>273</v>
      </c>
      <c r="J830" s="34"/>
      <c r="K830" s="39">
        <v>2033</v>
      </c>
      <c r="L830" s="39">
        <v>2041</v>
      </c>
      <c r="M830" s="15">
        <f t="shared" si="273"/>
        <v>8</v>
      </c>
      <c r="N830" s="15">
        <f>Rutas[[#This Row],[Kms Recorridos]]</f>
        <v>8</v>
      </c>
      <c r="O830" s="39"/>
      <c r="P830" s="36"/>
      <c r="Q830" s="16">
        <f t="shared" si="274"/>
        <v>0</v>
      </c>
      <c r="R830" s="34" t="s">
        <v>273</v>
      </c>
      <c r="S830" s="34" t="s">
        <v>102</v>
      </c>
      <c r="T830" s="36">
        <v>1.8</v>
      </c>
      <c r="U830" s="293">
        <f>Rutas[[#This Row],[Precio x Galón ($/gal)]]*Rutas[[#This Row],[Volumen de Combustible (gal)]]</f>
        <v>29.97</v>
      </c>
      <c r="V830" s="36"/>
      <c r="W830" s="36"/>
      <c r="X830" s="36"/>
      <c r="Y830" s="145">
        <f t="shared" si="275"/>
        <v>29.97</v>
      </c>
      <c r="Z830" s="567"/>
      <c r="AA830" s="12">
        <v>16.649999999999999</v>
      </c>
      <c r="AB830" s="12">
        <f t="shared" si="276"/>
        <v>0.48048048048048053</v>
      </c>
      <c r="AC830" s="12">
        <f t="shared" si="277"/>
        <v>0</v>
      </c>
      <c r="AD830" s="34"/>
    </row>
    <row r="831" spans="1:30" ht="16" x14ac:dyDescent="0.2">
      <c r="A831" s="47"/>
      <c r="B831" s="305"/>
      <c r="C831" s="176">
        <f t="shared" si="266"/>
        <v>828</v>
      </c>
      <c r="D831" s="146">
        <v>45824</v>
      </c>
      <c r="E831" s="37">
        <v>45827</v>
      </c>
      <c r="F831" s="65" t="s">
        <v>306</v>
      </c>
      <c r="G831" s="11" t="str">
        <f ca="1">IF(AND(E831&lt;&gt;"",E831&lt;TODAY()),"Disponible",IFERROR(INDEX(Vehiculos[Estado Vehiculo],MATCH(F831,Vehiculos[Placa Vehiculo],0)),""))</f>
        <v>Disponible</v>
      </c>
      <c r="H831" s="34" t="s">
        <v>231</v>
      </c>
      <c r="I831" s="34" t="s">
        <v>273</v>
      </c>
      <c r="J831" s="34"/>
      <c r="K831" s="39">
        <v>2041</v>
      </c>
      <c r="L831" s="39">
        <v>2063</v>
      </c>
      <c r="M831" s="15">
        <f t="shared" si="273"/>
        <v>22</v>
      </c>
      <c r="N831" s="15">
        <f>Rutas[[#This Row],[Kms Recorridos]]</f>
        <v>22</v>
      </c>
      <c r="O831" s="39"/>
      <c r="P831" s="36"/>
      <c r="Q831" s="16">
        <f t="shared" si="274"/>
        <v>0</v>
      </c>
      <c r="R831" s="34" t="s">
        <v>273</v>
      </c>
      <c r="S831" s="34" t="s">
        <v>102</v>
      </c>
      <c r="T831" s="36">
        <v>1.8</v>
      </c>
      <c r="U831" s="293">
        <f>Rutas[[#This Row],[Precio x Galón ($/gal)]]*Rutas[[#This Row],[Volumen de Combustible (gal)]]</f>
        <v>29.736000000000001</v>
      </c>
      <c r="V831" s="36"/>
      <c r="W831" s="36"/>
      <c r="X831" s="36"/>
      <c r="Y831" s="145">
        <f t="shared" si="275"/>
        <v>29.736000000000001</v>
      </c>
      <c r="Z831" s="567"/>
      <c r="AA831" s="12">
        <v>16.52</v>
      </c>
      <c r="AB831" s="12">
        <f t="shared" si="276"/>
        <v>1.331719128329298</v>
      </c>
      <c r="AC831" s="12">
        <f t="shared" si="277"/>
        <v>0</v>
      </c>
      <c r="AD831" s="34"/>
    </row>
    <row r="832" spans="1:30" ht="16" x14ac:dyDescent="0.2">
      <c r="A832" s="47"/>
      <c r="B832" s="305"/>
      <c r="C832" s="176">
        <f t="shared" si="266"/>
        <v>829</v>
      </c>
      <c r="D832" s="146">
        <v>45827</v>
      </c>
      <c r="E832" s="37">
        <v>45832</v>
      </c>
      <c r="F832" s="65" t="s">
        <v>306</v>
      </c>
      <c r="G832" s="11" t="str">
        <f ca="1">IF(AND(E832&lt;&gt;"",E832&lt;TODAY()),"Disponible",IFERROR(INDEX(Vehiculos[Estado Vehiculo],MATCH(F832,Vehiculos[Placa Vehiculo],0)),""))</f>
        <v>Disponible</v>
      </c>
      <c r="H832" s="34" t="s">
        <v>231</v>
      </c>
      <c r="I832" s="34" t="s">
        <v>273</v>
      </c>
      <c r="J832" s="34"/>
      <c r="K832" s="39">
        <v>2063</v>
      </c>
      <c r="L832" s="39">
        <v>2092</v>
      </c>
      <c r="M832" s="15">
        <f t="shared" si="273"/>
        <v>29</v>
      </c>
      <c r="N832" s="15">
        <f>Rutas[[#This Row],[Kms Recorridos]]</f>
        <v>29</v>
      </c>
      <c r="O832" s="39"/>
      <c r="P832" s="36"/>
      <c r="Q832" s="16">
        <f t="shared" si="274"/>
        <v>0</v>
      </c>
      <c r="R832" s="34" t="s">
        <v>273</v>
      </c>
      <c r="S832" s="34" t="s">
        <v>102</v>
      </c>
      <c r="T832" s="36">
        <v>1.8</v>
      </c>
      <c r="U832" s="293">
        <f>Rutas[[#This Row],[Precio x Galón ($/gal)]]*Rutas[[#This Row],[Volumen de Combustible (gal)]]</f>
        <v>32.652000000000001</v>
      </c>
      <c r="V832" s="36"/>
      <c r="W832" s="36"/>
      <c r="X832" s="36"/>
      <c r="Y832" s="145">
        <f t="shared" si="275"/>
        <v>32.652000000000001</v>
      </c>
      <c r="Z832" s="567"/>
      <c r="AA832" s="12">
        <v>18.14</v>
      </c>
      <c r="AB832" s="12">
        <f t="shared" si="276"/>
        <v>1.5986769570011026</v>
      </c>
      <c r="AC832" s="12">
        <f t="shared" si="277"/>
        <v>0</v>
      </c>
      <c r="AD832" s="34"/>
    </row>
    <row r="833" spans="1:30" ht="16" x14ac:dyDescent="0.2">
      <c r="A833" s="47"/>
      <c r="B833" s="305"/>
      <c r="C833" s="176">
        <f t="shared" si="266"/>
        <v>830</v>
      </c>
      <c r="D833" s="454">
        <v>45832</v>
      </c>
      <c r="E833" s="37">
        <v>45836</v>
      </c>
      <c r="F833" s="65" t="s">
        <v>306</v>
      </c>
      <c r="G833" s="11" t="s">
        <v>349</v>
      </c>
      <c r="H833" s="34" t="s">
        <v>231</v>
      </c>
      <c r="I833" s="34" t="s">
        <v>273</v>
      </c>
      <c r="J833" s="34"/>
      <c r="K833" s="39">
        <v>2092</v>
      </c>
      <c r="L833" s="39">
        <v>2125</v>
      </c>
      <c r="M833" s="15">
        <f t="shared" si="273"/>
        <v>33</v>
      </c>
      <c r="N833" s="15">
        <f>Rutas[[#This Row],[Kms Recorridos]]</f>
        <v>33</v>
      </c>
      <c r="O833" s="39"/>
      <c r="P833" s="36"/>
      <c r="Q833" s="16">
        <f t="shared" si="274"/>
        <v>0</v>
      </c>
      <c r="R833" s="34" t="s">
        <v>273</v>
      </c>
      <c r="S833" s="34" t="s">
        <v>102</v>
      </c>
      <c r="T833" s="36">
        <v>1.8</v>
      </c>
      <c r="U833" s="293">
        <f>Rutas[[#This Row],[Precio x Galón ($/gal)]]*Rutas[[#This Row],[Volumen de Combustible (gal)]]</f>
        <v>36.036000000000001</v>
      </c>
      <c r="V833" s="36"/>
      <c r="W833" s="36"/>
      <c r="X833" s="36"/>
      <c r="Y833" s="145">
        <f t="shared" si="275"/>
        <v>36.036000000000001</v>
      </c>
      <c r="Z833" s="567"/>
      <c r="AA833" s="12">
        <v>20.02</v>
      </c>
      <c r="AB833" s="12">
        <f t="shared" si="276"/>
        <v>1.6483516483516485</v>
      </c>
      <c r="AC833" s="12">
        <f t="shared" si="277"/>
        <v>0</v>
      </c>
      <c r="AD833" s="34"/>
    </row>
    <row r="834" spans="1:30" ht="16" x14ac:dyDescent="0.2">
      <c r="A834" s="47"/>
      <c r="B834" s="305"/>
      <c r="C834" s="176">
        <f t="shared" si="266"/>
        <v>831</v>
      </c>
      <c r="D834" s="454">
        <v>45836</v>
      </c>
      <c r="E834" s="37">
        <v>45837</v>
      </c>
      <c r="F834" s="65" t="s">
        <v>306</v>
      </c>
      <c r="G834" s="11" t="str">
        <f ca="1">IF(AND(E834&lt;&gt;"",E834&lt;TODAY()),"Disponible",IFERROR(INDEX(Vehiculos[Estado Vehiculo],MATCH(F834,Vehiculos[Placa Vehiculo],0)),""))</f>
        <v>Disponible</v>
      </c>
      <c r="H834" s="34" t="s">
        <v>231</v>
      </c>
      <c r="I834" s="34" t="s">
        <v>273</v>
      </c>
      <c r="J834" s="34"/>
      <c r="K834" s="39">
        <v>2125</v>
      </c>
      <c r="L834" s="39">
        <v>2144</v>
      </c>
      <c r="M834" s="15">
        <f t="shared" si="273"/>
        <v>19</v>
      </c>
      <c r="N834" s="15">
        <f>Rutas[[#This Row],[Kms Recorridos]]</f>
        <v>19</v>
      </c>
      <c r="O834" s="39"/>
      <c r="P834" s="36"/>
      <c r="Q834" s="16">
        <f t="shared" si="274"/>
        <v>0</v>
      </c>
      <c r="R834" s="34" t="s">
        <v>273</v>
      </c>
      <c r="S834" s="34" t="s">
        <v>102</v>
      </c>
      <c r="T834" s="36">
        <v>1.8</v>
      </c>
      <c r="U834" s="293"/>
      <c r="V834" s="36"/>
      <c r="W834" s="36"/>
      <c r="X834" s="36"/>
      <c r="Y834" s="145">
        <f t="shared" si="275"/>
        <v>0</v>
      </c>
      <c r="Z834" s="567"/>
      <c r="AA834" s="12"/>
      <c r="AB834" s="12">
        <f t="shared" si="276"/>
        <v>0</v>
      </c>
      <c r="AC834" s="12">
        <f t="shared" si="277"/>
        <v>0</v>
      </c>
      <c r="AD834" s="34"/>
    </row>
    <row r="835" spans="1:30" ht="16" x14ac:dyDescent="0.2">
      <c r="A835" s="47"/>
      <c r="B835" s="305"/>
      <c r="C835" s="176">
        <f t="shared" si="266"/>
        <v>832</v>
      </c>
      <c r="D835" s="146"/>
      <c r="E835" s="37"/>
      <c r="F835" s="65"/>
      <c r="G835" s="11" t="str">
        <f ca="1">IF(AND(E835&lt;&gt;"",E835&lt;TODAY()),"Disponible",IFERROR(INDEX(Vehiculos[Estado Vehiculo],MATCH(F835,Vehiculos[Placa Vehiculo],0)),""))</f>
        <v/>
      </c>
      <c r="H835" s="34"/>
      <c r="I835" s="34"/>
      <c r="J835" s="34"/>
      <c r="K835" s="39"/>
      <c r="L835" s="39"/>
      <c r="M835" s="15"/>
      <c r="N835" s="15"/>
      <c r="O835" s="39"/>
      <c r="P835" s="36"/>
      <c r="Q835" s="16">
        <f t="shared" si="274"/>
        <v>0</v>
      </c>
      <c r="R835" s="34"/>
      <c r="S835" s="34"/>
      <c r="T835" s="36"/>
      <c r="U835" s="293"/>
      <c r="V835" s="36"/>
      <c r="W835" s="36"/>
      <c r="X835" s="36"/>
      <c r="Y835" s="145">
        <f t="shared" si="275"/>
        <v>0</v>
      </c>
      <c r="Z835" s="567"/>
      <c r="AA835" s="12"/>
      <c r="AB835" s="12">
        <f t="shared" si="276"/>
        <v>0</v>
      </c>
      <c r="AC835" s="12">
        <f t="shared" si="277"/>
        <v>0</v>
      </c>
      <c r="AD835" s="34"/>
    </row>
    <row r="836" spans="1:30" ht="16" x14ac:dyDescent="0.2">
      <c r="A836" s="47"/>
      <c r="B836" s="305"/>
      <c r="C836" s="176">
        <f t="shared" ref="C836:C899" si="278">ROW(A833)</f>
        <v>833</v>
      </c>
      <c r="D836" s="146"/>
      <c r="E836" s="37"/>
      <c r="F836" s="65"/>
      <c r="G836" s="11" t="str">
        <f ca="1">IF(AND(E836&lt;&gt;"",E836&lt;TODAY()),"Disponible",IFERROR(INDEX(Vehiculos[Estado Vehiculo],MATCH(F836,Vehiculos[Placa Vehiculo],0)),""))</f>
        <v/>
      </c>
      <c r="H836" s="34"/>
      <c r="I836" s="34"/>
      <c r="J836" s="34"/>
      <c r="K836" s="39"/>
      <c r="L836" s="39"/>
      <c r="M836" s="15"/>
      <c r="N836" s="15"/>
      <c r="O836" s="39"/>
      <c r="P836" s="36"/>
      <c r="Q836" s="16">
        <f t="shared" si="261"/>
        <v>0</v>
      </c>
      <c r="R836" s="34"/>
      <c r="S836" s="34"/>
      <c r="T836" s="36"/>
      <c r="U836" s="293">
        <f>Rutas[[#This Row],[Precio x Galón ($/gal)]]*Rutas[[#This Row],[Volumen de Combustible (gal)]]</f>
        <v>0</v>
      </c>
      <c r="V836" s="36"/>
      <c r="W836" s="36"/>
      <c r="X836" s="36"/>
      <c r="Y836" s="145">
        <f t="shared" si="262"/>
        <v>0</v>
      </c>
      <c r="Z836" s="567"/>
      <c r="AA836" s="12"/>
      <c r="AB836" s="12">
        <f t="shared" si="263"/>
        <v>0</v>
      </c>
      <c r="AC836" s="12">
        <f t="shared" si="264"/>
        <v>0</v>
      </c>
      <c r="AD836" s="34"/>
    </row>
    <row r="837" spans="1:30" ht="16" x14ac:dyDescent="0.2">
      <c r="A837" s="47"/>
      <c r="B837" s="305"/>
      <c r="C837" s="176">
        <f t="shared" si="278"/>
        <v>834</v>
      </c>
      <c r="D837" s="90">
        <v>45809</v>
      </c>
      <c r="E837" s="90">
        <v>45810</v>
      </c>
      <c r="F837" s="68" t="s">
        <v>307</v>
      </c>
      <c r="G837" s="379" t="str">
        <f ca="1">IF(AND(E837&lt;&gt;"",E837&lt;TODAY()),"Disponible",IFERROR(INDEX(Vehiculos[Estado Vehiculo],MATCH(F837,Vehiculos[Placa Vehiculo],0)),""))</f>
        <v>Disponible</v>
      </c>
      <c r="H837" s="89" t="s">
        <v>247</v>
      </c>
      <c r="I837" s="89" t="s">
        <v>273</v>
      </c>
      <c r="J837" s="89"/>
      <c r="K837" s="380">
        <v>4448</v>
      </c>
      <c r="L837" s="380">
        <v>4462</v>
      </c>
      <c r="M837" s="381">
        <f>L837-K837</f>
        <v>14</v>
      </c>
      <c r="N837" s="381">
        <f>Rutas[[#This Row],[Kms Recorridos]]</f>
        <v>14</v>
      </c>
      <c r="O837" s="380"/>
      <c r="P837" s="92"/>
      <c r="Q837" s="382">
        <f t="shared" si="261"/>
        <v>0</v>
      </c>
      <c r="R837" s="89" t="s">
        <v>273</v>
      </c>
      <c r="S837" s="89" t="s">
        <v>102</v>
      </c>
      <c r="T837" s="92">
        <v>1.8</v>
      </c>
      <c r="U837" s="266">
        <f>Rutas[[#This Row],[Precio x Galón ($/gal)]]*Rutas[[#This Row],[Volumen de Combustible (gal)]]</f>
        <v>24.803999999999998</v>
      </c>
      <c r="V837" s="92"/>
      <c r="W837" s="92"/>
      <c r="X837" s="92"/>
      <c r="Y837" s="382">
        <f t="shared" si="262"/>
        <v>24.803999999999998</v>
      </c>
      <c r="Z837" s="567"/>
      <c r="AA837" s="382">
        <v>13.78</v>
      </c>
      <c r="AB837" s="382">
        <f t="shared" si="263"/>
        <v>1.0159651669085632</v>
      </c>
      <c r="AC837" s="382">
        <f t="shared" si="264"/>
        <v>0</v>
      </c>
      <c r="AD837" s="89"/>
    </row>
    <row r="838" spans="1:30" ht="16" x14ac:dyDescent="0.2">
      <c r="A838" s="47"/>
      <c r="B838" s="305"/>
      <c r="C838" s="176">
        <f t="shared" si="278"/>
        <v>835</v>
      </c>
      <c r="D838" s="146">
        <v>45810</v>
      </c>
      <c r="E838" s="37">
        <v>45821</v>
      </c>
      <c r="F838" s="65" t="s">
        <v>307</v>
      </c>
      <c r="G838" s="11" t="str">
        <f ca="1">IF(AND(E838&lt;&gt;"",E838&lt;TODAY()),"Disponible",IFERROR(INDEX(Vehiculos[Estado Vehiculo],MATCH(F838,Vehiculos[Placa Vehiculo],0)),""))</f>
        <v>Disponible</v>
      </c>
      <c r="H838" s="34" t="s">
        <v>237</v>
      </c>
      <c r="I838" s="34" t="s">
        <v>273</v>
      </c>
      <c r="J838" s="34"/>
      <c r="K838" s="39">
        <v>4462</v>
      </c>
      <c r="L838" s="39">
        <v>4485</v>
      </c>
      <c r="M838" s="15">
        <f>L838-K838</f>
        <v>23</v>
      </c>
      <c r="N838" s="15">
        <f>Rutas[[#This Row],[Kms Recorridos]]</f>
        <v>23</v>
      </c>
      <c r="O838" s="39"/>
      <c r="P838" s="36"/>
      <c r="Q838" s="16">
        <f t="shared" si="261"/>
        <v>0</v>
      </c>
      <c r="R838" s="34" t="s">
        <v>273</v>
      </c>
      <c r="S838" s="34" t="s">
        <v>102</v>
      </c>
      <c r="T838" s="36">
        <v>1.8</v>
      </c>
      <c r="U838" s="293">
        <f>Rutas[[#This Row],[Precio x Galón ($/gal)]]*Rutas[[#This Row],[Volumen de Combustible (gal)]]</f>
        <v>21.114000000000001</v>
      </c>
      <c r="V838" s="36"/>
      <c r="W838" s="36"/>
      <c r="X838" s="36"/>
      <c r="Y838" s="145">
        <f t="shared" si="262"/>
        <v>21.114000000000001</v>
      </c>
      <c r="Z838" s="567"/>
      <c r="AA838" s="12">
        <v>11.73</v>
      </c>
      <c r="AB838" s="12">
        <f t="shared" si="263"/>
        <v>1.9607843137254901</v>
      </c>
      <c r="AC838" s="12">
        <f t="shared" si="264"/>
        <v>0</v>
      </c>
      <c r="AD838" s="34"/>
    </row>
    <row r="839" spans="1:30" ht="16" x14ac:dyDescent="0.2">
      <c r="A839" s="47"/>
      <c r="B839" s="305"/>
      <c r="C839" s="176">
        <f t="shared" si="278"/>
        <v>836</v>
      </c>
      <c r="D839" s="146">
        <v>45821</v>
      </c>
      <c r="E839" s="37">
        <v>45838</v>
      </c>
      <c r="F839" s="65" t="s">
        <v>307</v>
      </c>
      <c r="G839" s="11" t="str">
        <f ca="1">IF(AND(E839&lt;&gt;"",E839&lt;TODAY()),"Disponible",IFERROR(INDEX(Vehiculos[Estado Vehiculo],MATCH(F839,Vehiculos[Placa Vehiculo],0)),""))</f>
        <v>Disponible</v>
      </c>
      <c r="H839" s="34" t="s">
        <v>237</v>
      </c>
      <c r="I839" s="34" t="s">
        <v>273</v>
      </c>
      <c r="J839" s="34"/>
      <c r="K839" s="39">
        <v>4485</v>
      </c>
      <c r="L839" s="39">
        <v>4517</v>
      </c>
      <c r="M839" s="15">
        <f>L839-K839</f>
        <v>32</v>
      </c>
      <c r="N839" s="15">
        <f>Rutas[[#This Row],[Kms Recorridos]]</f>
        <v>32</v>
      </c>
      <c r="O839" s="39"/>
      <c r="P839" s="36"/>
      <c r="Q839" s="16">
        <f t="shared" si="261"/>
        <v>0</v>
      </c>
      <c r="R839" s="34" t="s">
        <v>273</v>
      </c>
      <c r="S839" s="34" t="s">
        <v>102</v>
      </c>
      <c r="T839" s="36">
        <v>1.8</v>
      </c>
      <c r="U839" s="293">
        <f>Rutas[[#This Row],[Precio x Galón ($/gal)]]*Rutas[[#This Row],[Volumen de Combustible (gal)]]</f>
        <v>21.024000000000001</v>
      </c>
      <c r="V839" s="36"/>
      <c r="W839" s="36"/>
      <c r="X839" s="36"/>
      <c r="Y839" s="145">
        <f t="shared" si="262"/>
        <v>21.024000000000001</v>
      </c>
      <c r="Z839" s="567"/>
      <c r="AA839" s="12">
        <v>11.68</v>
      </c>
      <c r="AB839" s="12">
        <f t="shared" si="263"/>
        <v>2.7397260273972601</v>
      </c>
      <c r="AC839" s="12">
        <f t="shared" si="264"/>
        <v>0</v>
      </c>
      <c r="AD839" s="34"/>
    </row>
    <row r="840" spans="1:30" ht="16" x14ac:dyDescent="0.2">
      <c r="A840" s="47"/>
      <c r="B840" s="305"/>
      <c r="C840" s="176">
        <f t="shared" si="278"/>
        <v>837</v>
      </c>
      <c r="D840" s="146"/>
      <c r="E840" s="37"/>
      <c r="F840" s="65"/>
      <c r="G840" s="11" t="str">
        <f ca="1">IF(AND(E840&lt;&gt;"",E840&lt;TODAY()),"Disponible",IFERROR(INDEX(Vehiculos[Estado Vehiculo],MATCH(F840,Vehiculos[Placa Vehiculo],0)),""))</f>
        <v/>
      </c>
      <c r="H840" s="34"/>
      <c r="I840" s="34"/>
      <c r="J840" s="34"/>
      <c r="K840" s="39"/>
      <c r="L840" s="39"/>
      <c r="M840" s="15"/>
      <c r="N840" s="15"/>
      <c r="O840" s="39"/>
      <c r="P840" s="36"/>
      <c r="Q840" s="16">
        <f t="shared" si="261"/>
        <v>0</v>
      </c>
      <c r="R840" s="34"/>
      <c r="S840" s="34"/>
      <c r="T840" s="36"/>
      <c r="U840" s="293">
        <f>Rutas[[#This Row],[Precio x Galón ($/gal)]]*Rutas[[#This Row],[Volumen de Combustible (gal)]]</f>
        <v>0</v>
      </c>
      <c r="V840" s="36"/>
      <c r="W840" s="36"/>
      <c r="X840" s="36"/>
      <c r="Y840" s="145">
        <f t="shared" si="262"/>
        <v>0</v>
      </c>
      <c r="Z840" s="567"/>
      <c r="AA840" s="12"/>
      <c r="AB840" s="12">
        <f t="shared" si="263"/>
        <v>0</v>
      </c>
      <c r="AC840" s="12">
        <f t="shared" si="264"/>
        <v>0</v>
      </c>
      <c r="AD840" s="34"/>
    </row>
    <row r="841" spans="1:30" ht="16" x14ac:dyDescent="0.2">
      <c r="A841" s="47"/>
      <c r="B841" s="305"/>
      <c r="C841" s="176">
        <f t="shared" si="278"/>
        <v>838</v>
      </c>
      <c r="D841" s="146"/>
      <c r="E841" s="37"/>
      <c r="F841" s="65"/>
      <c r="G841" s="11" t="str">
        <f ca="1">IF(AND(E841&lt;&gt;"",E841&lt;TODAY()),"Disponible",IFERROR(INDEX(Vehiculos[Estado Vehiculo],MATCH(F841,Vehiculos[Placa Vehiculo],0)),""))</f>
        <v/>
      </c>
      <c r="H841" s="34"/>
      <c r="I841" s="34"/>
      <c r="J841" s="34"/>
      <c r="K841" s="39"/>
      <c r="L841" s="39"/>
      <c r="M841" s="15"/>
      <c r="N841" s="15"/>
      <c r="O841" s="39"/>
      <c r="P841" s="36"/>
      <c r="Q841" s="16">
        <f t="shared" si="261"/>
        <v>0</v>
      </c>
      <c r="R841" s="34"/>
      <c r="S841" s="34"/>
      <c r="T841" s="36"/>
      <c r="U841" s="293">
        <f>Rutas[[#This Row],[Precio x Galón ($/gal)]]*Rutas[[#This Row],[Volumen de Combustible (gal)]]</f>
        <v>0</v>
      </c>
      <c r="V841" s="36"/>
      <c r="W841" s="36"/>
      <c r="X841" s="36"/>
      <c r="Y841" s="145">
        <f t="shared" si="262"/>
        <v>0</v>
      </c>
      <c r="Z841" s="567"/>
      <c r="AA841" s="12"/>
      <c r="AB841" s="12">
        <f t="shared" si="263"/>
        <v>0</v>
      </c>
      <c r="AC841" s="12">
        <f t="shared" si="264"/>
        <v>0</v>
      </c>
      <c r="AD841" s="34"/>
    </row>
    <row r="842" spans="1:30" ht="16" x14ac:dyDescent="0.2">
      <c r="A842" s="47"/>
      <c r="B842" s="305"/>
      <c r="C842" s="176">
        <f t="shared" si="278"/>
        <v>839</v>
      </c>
      <c r="D842" s="90">
        <v>45809</v>
      </c>
      <c r="E842" s="90">
        <v>45810</v>
      </c>
      <c r="F842" s="68" t="s">
        <v>308</v>
      </c>
      <c r="G842" s="379" t="str">
        <f ca="1">IF(AND(E842&lt;&gt;"",E842&lt;TODAY()),"Disponible",IFERROR(INDEX(Vehiculos[Estado Vehiculo],MATCH(F842,Vehiculos[Placa Vehiculo],0)),""))</f>
        <v>Disponible</v>
      </c>
      <c r="H842" s="89" t="s">
        <v>242</v>
      </c>
      <c r="I842" s="89" t="s">
        <v>273</v>
      </c>
      <c r="J842" s="89"/>
      <c r="K842" s="380">
        <v>582</v>
      </c>
      <c r="L842" s="380">
        <v>590</v>
      </c>
      <c r="M842" s="381">
        <f t="shared" ref="M842:M851" si="279">L842-K842</f>
        <v>8</v>
      </c>
      <c r="N842" s="381">
        <f>Rutas[[#This Row],[Kms Recorridos]]</f>
        <v>8</v>
      </c>
      <c r="O842" s="380"/>
      <c r="P842" s="92"/>
      <c r="Q842" s="382">
        <f t="shared" si="261"/>
        <v>0</v>
      </c>
      <c r="R842" s="89" t="s">
        <v>273</v>
      </c>
      <c r="S842" s="89" t="s">
        <v>102</v>
      </c>
      <c r="T842" s="92">
        <v>1.8</v>
      </c>
      <c r="U842" s="266">
        <f>Rutas[[#This Row],[Precio x Galón ($/gal)]]*Rutas[[#This Row],[Volumen de Combustible (gal)]]</f>
        <v>10.116</v>
      </c>
      <c r="V842" s="92"/>
      <c r="W842" s="92"/>
      <c r="X842" s="92"/>
      <c r="Y842" s="382">
        <f t="shared" si="262"/>
        <v>10.116</v>
      </c>
      <c r="Z842" s="567"/>
      <c r="AA842" s="382">
        <v>5.62</v>
      </c>
      <c r="AB842" s="382">
        <f t="shared" si="263"/>
        <v>1.4234875444839858</v>
      </c>
      <c r="AC842" s="382">
        <f t="shared" si="264"/>
        <v>0</v>
      </c>
      <c r="AD842" s="89"/>
    </row>
    <row r="843" spans="1:30" ht="16" x14ac:dyDescent="0.2">
      <c r="A843" s="47"/>
      <c r="B843" s="305"/>
      <c r="C843" s="176">
        <f t="shared" si="278"/>
        <v>840</v>
      </c>
      <c r="D843" s="146">
        <v>45810</v>
      </c>
      <c r="E843" s="37">
        <v>45811</v>
      </c>
      <c r="F843" s="65" t="s">
        <v>308</v>
      </c>
      <c r="G843" s="11" t="str">
        <f ca="1">IF(AND(E843&lt;&gt;"",E843&lt;TODAY()),"Disponible",IFERROR(INDEX(Vehiculos[Estado Vehiculo],MATCH(F843,Vehiculos[Placa Vehiculo],0)),""))</f>
        <v>Disponible</v>
      </c>
      <c r="H843" s="34" t="s">
        <v>242</v>
      </c>
      <c r="I843" s="34" t="s">
        <v>273</v>
      </c>
      <c r="J843" s="34"/>
      <c r="K843" s="39">
        <v>590</v>
      </c>
      <c r="L843" s="39">
        <v>601</v>
      </c>
      <c r="M843" s="15">
        <f t="shared" si="279"/>
        <v>11</v>
      </c>
      <c r="N843" s="15">
        <f>Rutas[[#This Row],[Kms Recorridos]]</f>
        <v>11</v>
      </c>
      <c r="O843" s="39"/>
      <c r="P843" s="36"/>
      <c r="Q843" s="16">
        <f t="shared" si="261"/>
        <v>0</v>
      </c>
      <c r="R843" s="34" t="s">
        <v>273</v>
      </c>
      <c r="S843" s="34" t="s">
        <v>102</v>
      </c>
      <c r="T843" s="36">
        <v>1.8</v>
      </c>
      <c r="U843" s="293">
        <f>Rutas[[#This Row],[Precio x Galón ($/gal)]]*Rutas[[#This Row],[Volumen de Combustible (gal)]]</f>
        <v>18.108000000000001</v>
      </c>
      <c r="V843" s="36"/>
      <c r="W843" s="36"/>
      <c r="X843" s="36"/>
      <c r="Y843" s="145">
        <f t="shared" si="262"/>
        <v>18.108000000000001</v>
      </c>
      <c r="Z843" s="567"/>
      <c r="AA843" s="12">
        <v>10.06</v>
      </c>
      <c r="AB843" s="12">
        <f t="shared" si="263"/>
        <v>1.0934393638170974</v>
      </c>
      <c r="AC843" s="12">
        <f t="shared" si="264"/>
        <v>0</v>
      </c>
      <c r="AD843" s="34"/>
    </row>
    <row r="844" spans="1:30" ht="16" x14ac:dyDescent="0.2">
      <c r="A844" s="47"/>
      <c r="B844" s="305"/>
      <c r="C844" s="176">
        <f t="shared" si="278"/>
        <v>841</v>
      </c>
      <c r="D844" s="146">
        <v>45811</v>
      </c>
      <c r="E844" s="37">
        <v>45815</v>
      </c>
      <c r="F844" s="65" t="s">
        <v>308</v>
      </c>
      <c r="G844" s="11" t="str">
        <f ca="1">IF(AND(E844&lt;&gt;"",E844&lt;TODAY()),"Disponible",IFERROR(INDEX(Vehiculos[Estado Vehiculo],MATCH(F844,Vehiculos[Placa Vehiculo],0)),""))</f>
        <v>Disponible</v>
      </c>
      <c r="H844" s="34" t="s">
        <v>248</v>
      </c>
      <c r="I844" s="34" t="s">
        <v>273</v>
      </c>
      <c r="J844" s="34"/>
      <c r="K844" s="39">
        <v>601</v>
      </c>
      <c r="L844" s="39">
        <v>618</v>
      </c>
      <c r="M844" s="15">
        <f t="shared" si="279"/>
        <v>17</v>
      </c>
      <c r="N844" s="15">
        <f>Rutas[[#This Row],[Kms Recorridos]]</f>
        <v>17</v>
      </c>
      <c r="O844" s="39"/>
      <c r="P844" s="36"/>
      <c r="Q844" s="16">
        <f t="shared" si="261"/>
        <v>0</v>
      </c>
      <c r="R844" s="34" t="s">
        <v>273</v>
      </c>
      <c r="S844" s="34" t="s">
        <v>102</v>
      </c>
      <c r="T844" s="36">
        <v>1.8</v>
      </c>
      <c r="U844" s="293">
        <f>Rutas[[#This Row],[Precio x Galón ($/gal)]]*Rutas[[#This Row],[Volumen de Combustible (gal)]]</f>
        <v>18.234000000000002</v>
      </c>
      <c r="V844" s="36"/>
      <c r="W844" s="36"/>
      <c r="X844" s="36"/>
      <c r="Y844" s="145">
        <f t="shared" si="262"/>
        <v>18.234000000000002</v>
      </c>
      <c r="Z844" s="567"/>
      <c r="AA844" s="12">
        <v>10.130000000000001</v>
      </c>
      <c r="AB844" s="12">
        <f t="shared" si="263"/>
        <v>1.678183613030602</v>
      </c>
      <c r="AC844" s="12">
        <f t="shared" si="264"/>
        <v>0</v>
      </c>
      <c r="AD844" s="34"/>
    </row>
    <row r="845" spans="1:30" ht="16" x14ac:dyDescent="0.2">
      <c r="A845" s="47"/>
      <c r="B845" s="305"/>
      <c r="C845" s="176">
        <f t="shared" si="278"/>
        <v>842</v>
      </c>
      <c r="D845" s="146">
        <v>45815</v>
      </c>
      <c r="E845" s="37">
        <v>45819</v>
      </c>
      <c r="F845" s="65" t="s">
        <v>308</v>
      </c>
      <c r="G845" s="11" t="str">
        <f ca="1">IF(AND(E845&lt;&gt;"",E845&lt;TODAY()),"Disponible",IFERROR(INDEX(Vehiculos[Estado Vehiculo],MATCH(F845,Vehiculos[Placa Vehiculo],0)),""))</f>
        <v>Disponible</v>
      </c>
      <c r="H845" s="34" t="s">
        <v>242</v>
      </c>
      <c r="I845" s="34" t="s">
        <v>273</v>
      </c>
      <c r="J845" s="34"/>
      <c r="K845" s="39">
        <v>618</v>
      </c>
      <c r="L845" s="39">
        <v>645</v>
      </c>
      <c r="M845" s="15">
        <f t="shared" si="279"/>
        <v>27</v>
      </c>
      <c r="N845" s="15">
        <f>Rutas[[#This Row],[Kms Recorridos]]</f>
        <v>27</v>
      </c>
      <c r="O845" s="39"/>
      <c r="P845" s="36"/>
      <c r="Q845" s="16">
        <f t="shared" si="261"/>
        <v>0</v>
      </c>
      <c r="R845" s="34" t="s">
        <v>273</v>
      </c>
      <c r="S845" s="34" t="s">
        <v>102</v>
      </c>
      <c r="T845" s="36">
        <v>1.8</v>
      </c>
      <c r="U845" s="293">
        <f>Rutas[[#This Row],[Precio x Galón ($/gal)]]*Rutas[[#This Row],[Volumen de Combustible (gal)]]</f>
        <v>10.026000000000002</v>
      </c>
      <c r="V845" s="36"/>
      <c r="W845" s="36"/>
      <c r="X845" s="36"/>
      <c r="Y845" s="145">
        <f t="shared" si="262"/>
        <v>10.026000000000002</v>
      </c>
      <c r="Z845" s="567"/>
      <c r="AA845" s="12">
        <v>5.57</v>
      </c>
      <c r="AB845" s="12">
        <f t="shared" si="263"/>
        <v>4.8473967684021542</v>
      </c>
      <c r="AC845" s="12">
        <f t="shared" si="264"/>
        <v>0</v>
      </c>
      <c r="AD845" s="34"/>
    </row>
    <row r="846" spans="1:30" ht="16" x14ac:dyDescent="0.2">
      <c r="A846" s="47"/>
      <c r="B846" s="305"/>
      <c r="C846" s="176">
        <f t="shared" si="278"/>
        <v>843</v>
      </c>
      <c r="D846" s="146">
        <v>45819</v>
      </c>
      <c r="E846" s="37">
        <v>45821</v>
      </c>
      <c r="F846" s="65" t="s">
        <v>308</v>
      </c>
      <c r="G846" s="11" t="str">
        <f ca="1">IF(AND(E846&lt;&gt;"",E846&lt;TODAY()),"Disponible",IFERROR(INDEX(Vehiculos[Estado Vehiculo],MATCH(F846,Vehiculos[Placa Vehiculo],0)),""))</f>
        <v>Disponible</v>
      </c>
      <c r="H846" s="34" t="s">
        <v>242</v>
      </c>
      <c r="I846" s="34" t="s">
        <v>273</v>
      </c>
      <c r="J846" s="34"/>
      <c r="K846" s="39">
        <v>645</v>
      </c>
      <c r="L846" s="39">
        <v>662</v>
      </c>
      <c r="M846" s="15">
        <f t="shared" si="279"/>
        <v>17</v>
      </c>
      <c r="N846" s="15">
        <f>Rutas[[#This Row],[Kms Recorridos]]</f>
        <v>17</v>
      </c>
      <c r="O846" s="39"/>
      <c r="P846" s="36"/>
      <c r="Q846" s="16">
        <f>M846*P846</f>
        <v>0</v>
      </c>
      <c r="R846" s="34" t="s">
        <v>273</v>
      </c>
      <c r="S846" s="34" t="s">
        <v>102</v>
      </c>
      <c r="T846" s="36">
        <v>1.8</v>
      </c>
      <c r="U846" s="293">
        <f>Rutas[[#This Row],[Precio x Galón ($/gal)]]*Rutas[[#This Row],[Volumen de Combustible (gal)]]</f>
        <v>30.509999999999998</v>
      </c>
      <c r="V846" s="36"/>
      <c r="W846" s="36"/>
      <c r="X846" s="36"/>
      <c r="Y846" s="145">
        <f>U846+SUM(V846:X846)</f>
        <v>30.509999999999998</v>
      </c>
      <c r="Z846" s="567"/>
      <c r="AA846" s="12">
        <v>16.95</v>
      </c>
      <c r="AB846" s="12">
        <f>IFERROR(M846/AA846,0)</f>
        <v>1.0029498525073748</v>
      </c>
      <c r="AC846" s="12">
        <f>IFERROR(Q846/M846,0)</f>
        <v>0</v>
      </c>
      <c r="AD846" s="34"/>
    </row>
    <row r="847" spans="1:30" ht="16" x14ac:dyDescent="0.2">
      <c r="A847" s="47"/>
      <c r="B847" s="305"/>
      <c r="C847" s="176">
        <f t="shared" si="278"/>
        <v>844</v>
      </c>
      <c r="D847" s="146">
        <v>45821</v>
      </c>
      <c r="E847" s="37">
        <v>45824</v>
      </c>
      <c r="F847" s="65" t="s">
        <v>308</v>
      </c>
      <c r="G847" s="11" t="str">
        <f ca="1">IF(AND(E847&lt;&gt;"",E847&lt;TODAY()),"Disponible",IFERROR(INDEX(Vehiculos[Estado Vehiculo],MATCH(F847,Vehiculos[Placa Vehiculo],0)),""))</f>
        <v>Disponible</v>
      </c>
      <c r="H847" s="34" t="s">
        <v>242</v>
      </c>
      <c r="I847" s="34" t="s">
        <v>273</v>
      </c>
      <c r="J847" s="34"/>
      <c r="K847" s="39">
        <v>662</v>
      </c>
      <c r="L847" s="39">
        <v>686</v>
      </c>
      <c r="M847" s="15">
        <f t="shared" si="279"/>
        <v>24</v>
      </c>
      <c r="N847" s="15">
        <f>Rutas[[#This Row],[Kms Recorridos]]</f>
        <v>24</v>
      </c>
      <c r="O847" s="39"/>
      <c r="P847" s="36"/>
      <c r="Q847" s="16">
        <f>M847*P847</f>
        <v>0</v>
      </c>
      <c r="R847" s="34" t="s">
        <v>273</v>
      </c>
      <c r="S847" s="34" t="s">
        <v>102</v>
      </c>
      <c r="T847" s="36">
        <v>1.8</v>
      </c>
      <c r="U847" s="293">
        <f>Rutas[[#This Row],[Precio x Galón ($/gal)]]*Rutas[[#This Row],[Volumen de Combustible (gal)]]</f>
        <v>26.748000000000001</v>
      </c>
      <c r="V847" s="36"/>
      <c r="W847" s="36"/>
      <c r="X847" s="36"/>
      <c r="Y847" s="145">
        <f>U847+SUM(V847:X847)</f>
        <v>26.748000000000001</v>
      </c>
      <c r="Z847" s="567"/>
      <c r="AA847" s="12">
        <v>14.86</v>
      </c>
      <c r="AB847" s="12">
        <f>IFERROR(M847/AA847,0)</f>
        <v>1.6150740242261103</v>
      </c>
      <c r="AC847" s="12">
        <f>IFERROR(Q847/M847,0)</f>
        <v>0</v>
      </c>
      <c r="AD847" s="34"/>
    </row>
    <row r="848" spans="1:30" ht="16" x14ac:dyDescent="0.2">
      <c r="A848" s="47"/>
      <c r="B848" s="305"/>
      <c r="C848" s="176">
        <f t="shared" si="278"/>
        <v>845</v>
      </c>
      <c r="D848" s="146">
        <v>45824</v>
      </c>
      <c r="E848" s="37">
        <v>45829</v>
      </c>
      <c r="F848" s="65" t="s">
        <v>308</v>
      </c>
      <c r="G848" s="11" t="str">
        <f ca="1">IF(AND(E848&lt;&gt;"",E848&lt;TODAY()),"Disponible",IFERROR(INDEX(Vehiculos[Estado Vehiculo],MATCH(F848,Vehiculos[Placa Vehiculo],0)),""))</f>
        <v>Disponible</v>
      </c>
      <c r="H848" s="34" t="s">
        <v>305</v>
      </c>
      <c r="I848" s="34" t="s">
        <v>273</v>
      </c>
      <c r="J848" s="34"/>
      <c r="K848" s="39">
        <v>686</v>
      </c>
      <c r="L848" s="39">
        <v>726</v>
      </c>
      <c r="M848" s="15">
        <f t="shared" si="279"/>
        <v>40</v>
      </c>
      <c r="N848" s="15">
        <f>Rutas[[#This Row],[Kms Recorridos]]</f>
        <v>40</v>
      </c>
      <c r="O848" s="39"/>
      <c r="P848" s="36"/>
      <c r="Q848" s="16">
        <f>M848*P848</f>
        <v>0</v>
      </c>
      <c r="R848" s="34" t="s">
        <v>273</v>
      </c>
      <c r="S848" s="34" t="s">
        <v>102</v>
      </c>
      <c r="T848" s="36">
        <v>1.8</v>
      </c>
      <c r="U848" s="293">
        <f>Rutas[[#This Row],[Precio x Galón ($/gal)]]*Rutas[[#This Row],[Volumen de Combustible (gal)]]</f>
        <v>28.8</v>
      </c>
      <c r="V848" s="36"/>
      <c r="W848" s="36"/>
      <c r="X848" s="36"/>
      <c r="Y848" s="145">
        <f>U848+SUM(V848:X848)</f>
        <v>28.8</v>
      </c>
      <c r="Z848" s="567"/>
      <c r="AA848" s="12">
        <v>16</v>
      </c>
      <c r="AB848" s="12">
        <f>IFERROR(M848/AA848,0)</f>
        <v>2.5</v>
      </c>
      <c r="AC848" s="12">
        <f>IFERROR(Q848/M848,0)</f>
        <v>0</v>
      </c>
      <c r="AD848" s="34"/>
    </row>
    <row r="849" spans="1:30" ht="16" x14ac:dyDescent="0.2">
      <c r="A849" s="47"/>
      <c r="B849" s="305"/>
      <c r="C849" s="176">
        <f t="shared" si="278"/>
        <v>846</v>
      </c>
      <c r="D849" s="146">
        <v>45829</v>
      </c>
      <c r="E849" s="37">
        <v>45833</v>
      </c>
      <c r="F849" s="65" t="s">
        <v>308</v>
      </c>
      <c r="G849" s="11" t="str">
        <f ca="1">IF(AND(E849&lt;&gt;"",E849&lt;TODAY()),"Disponible",IFERROR(INDEX(Vehiculos[Estado Vehiculo],MATCH(F849,Vehiculos[Placa Vehiculo],0)),""))</f>
        <v>Disponible</v>
      </c>
      <c r="H849" s="34" t="s">
        <v>305</v>
      </c>
      <c r="I849" s="34" t="s">
        <v>273</v>
      </c>
      <c r="J849" s="34"/>
      <c r="K849" s="39">
        <v>726</v>
      </c>
      <c r="L849" s="39">
        <v>756</v>
      </c>
      <c r="M849" s="15">
        <f t="shared" si="279"/>
        <v>30</v>
      </c>
      <c r="N849" s="15">
        <f>Rutas[[#This Row],[Kms Recorridos]]</f>
        <v>30</v>
      </c>
      <c r="O849" s="39"/>
      <c r="P849" s="36"/>
      <c r="Q849" s="16">
        <f t="shared" si="261"/>
        <v>0</v>
      </c>
      <c r="R849" s="34" t="s">
        <v>273</v>
      </c>
      <c r="S849" s="34" t="s">
        <v>102</v>
      </c>
      <c r="T849" s="36">
        <v>1.8</v>
      </c>
      <c r="U849" s="293">
        <f>Rutas[[#This Row],[Precio x Galón ($/gal)]]*Rutas[[#This Row],[Volumen de Combustible (gal)]]</f>
        <v>18.971999999999998</v>
      </c>
      <c r="V849" s="36"/>
      <c r="W849" s="36"/>
      <c r="X849" s="36"/>
      <c r="Y849" s="145">
        <f t="shared" si="262"/>
        <v>18.971999999999998</v>
      </c>
      <c r="Z849" s="567"/>
      <c r="AA849" s="12">
        <v>10.54</v>
      </c>
      <c r="AB849" s="12">
        <f t="shared" si="263"/>
        <v>2.8462998102466797</v>
      </c>
      <c r="AC849" s="12">
        <f t="shared" si="264"/>
        <v>0</v>
      </c>
      <c r="AD849" s="34"/>
    </row>
    <row r="850" spans="1:30" ht="16" x14ac:dyDescent="0.2">
      <c r="A850" s="47"/>
      <c r="B850" s="305"/>
      <c r="C850" s="176">
        <f t="shared" si="278"/>
        <v>847</v>
      </c>
      <c r="D850" s="146">
        <v>45833</v>
      </c>
      <c r="E850" s="37">
        <v>45837</v>
      </c>
      <c r="F850" s="65" t="s">
        <v>308</v>
      </c>
      <c r="G850" s="11" t="str">
        <f ca="1">IF(AND(E850&lt;&gt;"",E850&lt;TODAY()),"Disponible",IFERROR(INDEX(Vehiculos[Estado Vehiculo],MATCH(F850,Vehiculos[Placa Vehiculo],0)),""))</f>
        <v>Disponible</v>
      </c>
      <c r="H850" s="34" t="s">
        <v>305</v>
      </c>
      <c r="I850" s="34" t="s">
        <v>273</v>
      </c>
      <c r="J850" s="34"/>
      <c r="K850" s="39">
        <v>756</v>
      </c>
      <c r="L850" s="39">
        <v>790</v>
      </c>
      <c r="M850" s="15">
        <f t="shared" si="279"/>
        <v>34</v>
      </c>
      <c r="N850" s="15">
        <f>Rutas[[#This Row],[Kms Recorridos]]</f>
        <v>34</v>
      </c>
      <c r="O850" s="39"/>
      <c r="P850" s="36"/>
      <c r="Q850" s="16">
        <f>M850*P850</f>
        <v>0</v>
      </c>
      <c r="R850" s="34" t="s">
        <v>273</v>
      </c>
      <c r="S850" s="34" t="s">
        <v>102</v>
      </c>
      <c r="T850" s="36">
        <v>1.8</v>
      </c>
      <c r="U850" s="293">
        <f>Rutas[[#This Row],[Precio x Galón ($/gal)]]*Rutas[[#This Row],[Volumen de Combustible (gal)]]</f>
        <v>25.812000000000001</v>
      </c>
      <c r="V850" s="36"/>
      <c r="W850" s="36"/>
      <c r="X850" s="36"/>
      <c r="Y850" s="145">
        <f>U850+SUM(V850:X850)</f>
        <v>25.812000000000001</v>
      </c>
      <c r="Z850" s="567"/>
      <c r="AA850" s="12">
        <v>14.34</v>
      </c>
      <c r="AB850" s="12">
        <f>IFERROR(M850/AA850,0)</f>
        <v>2.3709902370990239</v>
      </c>
      <c r="AC850" s="12">
        <f>IFERROR(Q850/M850,0)</f>
        <v>0</v>
      </c>
      <c r="AD850" s="34"/>
    </row>
    <row r="851" spans="1:30" ht="16" x14ac:dyDescent="0.2">
      <c r="A851" s="47"/>
      <c r="B851" s="305"/>
      <c r="C851" s="176">
        <f t="shared" si="278"/>
        <v>848</v>
      </c>
      <c r="D851" s="146">
        <v>45837</v>
      </c>
      <c r="E851" s="37">
        <v>45838</v>
      </c>
      <c r="F851" s="65" t="s">
        <v>308</v>
      </c>
      <c r="G851" s="11" t="str">
        <f ca="1">IF(AND(E851&lt;&gt;"",E851&lt;TODAY()),"Disponible",IFERROR(INDEX(Vehiculos[Estado Vehiculo],MATCH(F851,Vehiculos[Placa Vehiculo],0)),""))</f>
        <v>Disponible</v>
      </c>
      <c r="H851" s="34" t="s">
        <v>305</v>
      </c>
      <c r="I851" s="34" t="s">
        <v>273</v>
      </c>
      <c r="J851" s="34"/>
      <c r="K851" s="39">
        <v>790</v>
      </c>
      <c r="L851" s="39">
        <v>807</v>
      </c>
      <c r="M851" s="15">
        <f t="shared" si="279"/>
        <v>17</v>
      </c>
      <c r="N851" s="15">
        <f>Rutas[[#This Row],[Kms Recorridos]]</f>
        <v>17</v>
      </c>
      <c r="O851" s="39"/>
      <c r="P851" s="36"/>
      <c r="Q851" s="16">
        <f>M851*P851</f>
        <v>0</v>
      </c>
      <c r="R851" s="34" t="s">
        <v>273</v>
      </c>
      <c r="S851" s="34" t="s">
        <v>102</v>
      </c>
      <c r="T851" s="36">
        <v>1.8</v>
      </c>
      <c r="U851" s="293">
        <f>Rutas[[#This Row],[Precio x Galón ($/gal)]]*Rutas[[#This Row],[Volumen de Combustible (gal)]]</f>
        <v>23.400000000000002</v>
      </c>
      <c r="V851" s="36"/>
      <c r="W851" s="36"/>
      <c r="X851" s="36"/>
      <c r="Y851" s="145">
        <f>U851+SUM(V851:X851)</f>
        <v>23.400000000000002</v>
      </c>
      <c r="Z851" s="567"/>
      <c r="AA851" s="12">
        <v>13</v>
      </c>
      <c r="AB851" s="12">
        <f>IFERROR(M851/AA851,0)</f>
        <v>1.3076923076923077</v>
      </c>
      <c r="AC851" s="12">
        <f>IFERROR(Q851/M851,0)</f>
        <v>0</v>
      </c>
      <c r="AD851" s="34"/>
    </row>
    <row r="852" spans="1:30" ht="16" x14ac:dyDescent="0.2">
      <c r="A852" s="47"/>
      <c r="B852" s="305"/>
      <c r="C852" s="176">
        <f t="shared" si="278"/>
        <v>849</v>
      </c>
      <c r="D852" s="146"/>
      <c r="E852" s="37"/>
      <c r="F852" s="65"/>
      <c r="G852" s="11" t="str">
        <f ca="1">IF(AND(E852&lt;&gt;"",E852&lt;TODAY()),"Disponible",IFERROR(INDEX(Vehiculos[Estado Vehiculo],MATCH(F852,Vehiculos[Placa Vehiculo],0)),""))</f>
        <v/>
      </c>
      <c r="H852" s="34"/>
      <c r="I852" s="34"/>
      <c r="J852" s="34"/>
      <c r="K852" s="39"/>
      <c r="L852" s="39"/>
      <c r="M852" s="15"/>
      <c r="N852" s="15"/>
      <c r="O852" s="39"/>
      <c r="P852" s="36"/>
      <c r="Q852" s="16">
        <f t="shared" si="261"/>
        <v>0</v>
      </c>
      <c r="R852" s="34"/>
      <c r="S852" s="34"/>
      <c r="T852" s="36"/>
      <c r="U852" s="293">
        <f>Rutas[[#This Row],[Precio x Galón ($/gal)]]*Rutas[[#This Row],[Volumen de Combustible (gal)]]</f>
        <v>0</v>
      </c>
      <c r="V852" s="36"/>
      <c r="W852" s="36"/>
      <c r="X852" s="36"/>
      <c r="Y852" s="145">
        <f t="shared" si="262"/>
        <v>0</v>
      </c>
      <c r="Z852" s="567"/>
      <c r="AA852" s="12"/>
      <c r="AB852" s="12">
        <f t="shared" si="263"/>
        <v>0</v>
      </c>
      <c r="AC852" s="12">
        <f t="shared" si="264"/>
        <v>0</v>
      </c>
      <c r="AD852" s="34"/>
    </row>
    <row r="853" spans="1:30" ht="16" x14ac:dyDescent="0.2">
      <c r="A853" s="47"/>
      <c r="B853" s="305"/>
      <c r="C853" s="176">
        <f t="shared" si="278"/>
        <v>850</v>
      </c>
      <c r="D853" s="90">
        <v>45809</v>
      </c>
      <c r="E853" s="90">
        <v>45810</v>
      </c>
      <c r="F853" s="68" t="s">
        <v>312</v>
      </c>
      <c r="G853" s="379" t="str">
        <f ca="1">IF(AND(E853&lt;&gt;"",E853&lt;TODAY()),"Disponible",IFERROR(INDEX(Vehiculos[Estado Vehiculo],MATCH(F853,Vehiculos[Placa Vehiculo],0)),""))</f>
        <v>Disponible</v>
      </c>
      <c r="H853" s="89"/>
      <c r="I853" s="89" t="s">
        <v>273</v>
      </c>
      <c r="J853" s="89"/>
      <c r="K853" s="380">
        <v>3338</v>
      </c>
      <c r="L853" s="380">
        <v>3342</v>
      </c>
      <c r="M853" s="381">
        <f>L853-K853</f>
        <v>4</v>
      </c>
      <c r="N853" s="381">
        <f>Rutas[[#This Row],[Kms Recorridos]]</f>
        <v>4</v>
      </c>
      <c r="O853" s="380"/>
      <c r="P853" s="92"/>
      <c r="Q853" s="382">
        <f t="shared" si="261"/>
        <v>0</v>
      </c>
      <c r="R853" s="89" t="s">
        <v>273</v>
      </c>
      <c r="S853" s="89" t="s">
        <v>102</v>
      </c>
      <c r="T853" s="92">
        <v>1.8</v>
      </c>
      <c r="U853" s="266">
        <f>Rutas[[#This Row],[Precio x Galón ($/gal)]]*Rutas[[#This Row],[Volumen de Combustible (gal)]]</f>
        <v>13.032</v>
      </c>
      <c r="V853" s="92"/>
      <c r="W853" s="92"/>
      <c r="X853" s="92"/>
      <c r="Y853" s="382">
        <f t="shared" si="262"/>
        <v>13.032</v>
      </c>
      <c r="Z853" s="567"/>
      <c r="AA853" s="382">
        <v>7.24</v>
      </c>
      <c r="AB853" s="382">
        <f t="shared" si="263"/>
        <v>0.5524861878453039</v>
      </c>
      <c r="AC853" s="382">
        <f t="shared" si="264"/>
        <v>0</v>
      </c>
      <c r="AD853" s="89"/>
    </row>
    <row r="854" spans="1:30" ht="16" x14ac:dyDescent="0.2">
      <c r="A854" s="47"/>
      <c r="B854" s="305"/>
      <c r="C854" s="176">
        <f t="shared" si="278"/>
        <v>851</v>
      </c>
      <c r="D854" s="146">
        <v>45810</v>
      </c>
      <c r="E854" s="37">
        <v>45811</v>
      </c>
      <c r="F854" s="65" t="s">
        <v>312</v>
      </c>
      <c r="G854" s="11" t="str">
        <f ca="1">IF(AND(E854&lt;&gt;"",E854&lt;TODAY()),"Disponible",IFERROR(INDEX(Vehiculos[Estado Vehiculo],MATCH(F854,Vehiculos[Placa Vehiculo],0)),""))</f>
        <v>Disponible</v>
      </c>
      <c r="H854" s="34" t="s">
        <v>245</v>
      </c>
      <c r="I854" s="34" t="s">
        <v>273</v>
      </c>
      <c r="J854" s="34"/>
      <c r="K854" s="39">
        <v>3342</v>
      </c>
      <c r="L854" s="39">
        <v>3350</v>
      </c>
      <c r="M854" s="15">
        <f>L854-K854</f>
        <v>8</v>
      </c>
      <c r="N854" s="15">
        <f>Rutas[[#This Row],[Kms Recorridos]]</f>
        <v>8</v>
      </c>
      <c r="O854" s="39"/>
      <c r="P854" s="36"/>
      <c r="Q854" s="16">
        <f t="shared" si="261"/>
        <v>0</v>
      </c>
      <c r="R854" s="34" t="s">
        <v>273</v>
      </c>
      <c r="S854" s="34" t="s">
        <v>102</v>
      </c>
      <c r="T854" s="36">
        <v>1.8</v>
      </c>
      <c r="U854" s="293">
        <f>Rutas[[#This Row],[Precio x Galón ($/gal)]]*Rutas[[#This Row],[Volumen de Combustible (gal)]]</f>
        <v>12.672000000000001</v>
      </c>
      <c r="V854" s="36"/>
      <c r="W854" s="36"/>
      <c r="X854" s="36"/>
      <c r="Y854" s="145">
        <f t="shared" si="262"/>
        <v>12.672000000000001</v>
      </c>
      <c r="Z854" s="567"/>
      <c r="AA854" s="12">
        <v>7.04</v>
      </c>
      <c r="AB854" s="12">
        <f t="shared" si="263"/>
        <v>1.1363636363636365</v>
      </c>
      <c r="AC854" s="12">
        <f t="shared" si="264"/>
        <v>0</v>
      </c>
      <c r="AD854" s="34"/>
    </row>
    <row r="855" spans="1:30" ht="16" x14ac:dyDescent="0.2">
      <c r="A855" s="47"/>
      <c r="B855" s="305"/>
      <c r="C855" s="176">
        <f t="shared" si="278"/>
        <v>852</v>
      </c>
      <c r="D855" s="146">
        <v>45811</v>
      </c>
      <c r="E855" s="37">
        <v>45838</v>
      </c>
      <c r="F855" s="65" t="s">
        <v>312</v>
      </c>
      <c r="G855" s="11" t="str">
        <f ca="1">IF(AND(E855&lt;&gt;"",E855&lt;TODAY()),"Disponible",IFERROR(INDEX(Vehiculos[Estado Vehiculo],MATCH(F855,Vehiculos[Placa Vehiculo],0)),""))</f>
        <v>Disponible</v>
      </c>
      <c r="H855" s="34" t="s">
        <v>245</v>
      </c>
      <c r="I855" s="34" t="s">
        <v>273</v>
      </c>
      <c r="J855" s="34"/>
      <c r="K855" s="39">
        <v>3350</v>
      </c>
      <c r="L855" s="39">
        <v>3356</v>
      </c>
      <c r="M855" s="15">
        <f>L855-K855</f>
        <v>6</v>
      </c>
      <c r="N855" s="15">
        <f>Rutas[[#This Row],[Kms Recorridos]]</f>
        <v>6</v>
      </c>
      <c r="O855" s="39"/>
      <c r="P855" s="36"/>
      <c r="Q855" s="16">
        <f t="shared" si="261"/>
        <v>0</v>
      </c>
      <c r="R855" s="34" t="s">
        <v>273</v>
      </c>
      <c r="S855" s="34" t="s">
        <v>102</v>
      </c>
      <c r="T855" s="36">
        <v>1.8</v>
      </c>
      <c r="U855" s="293">
        <f>Rutas[[#This Row],[Precio x Galón ($/gal)]]*Rutas[[#This Row],[Volumen de Combustible (gal)]]</f>
        <v>0</v>
      </c>
      <c r="V855" s="36"/>
      <c r="W855" s="36"/>
      <c r="X855" s="36"/>
      <c r="Y855" s="145">
        <f t="shared" si="262"/>
        <v>0</v>
      </c>
      <c r="Z855" s="567"/>
      <c r="AA855" s="12"/>
      <c r="AB855" s="12">
        <f t="shared" si="263"/>
        <v>0</v>
      </c>
      <c r="AC855" s="12">
        <f t="shared" si="264"/>
        <v>0</v>
      </c>
      <c r="AD855" s="34"/>
    </row>
    <row r="856" spans="1:30" ht="16" x14ac:dyDescent="0.2">
      <c r="A856" s="47"/>
      <c r="B856" s="305"/>
      <c r="C856" s="176">
        <f t="shared" si="278"/>
        <v>853</v>
      </c>
      <c r="D856" s="146"/>
      <c r="E856" s="37"/>
      <c r="F856" s="65"/>
      <c r="G856" s="11" t="str">
        <f ca="1">IF(AND(E856&lt;&gt;"",E856&lt;TODAY()),"Disponible",IFERROR(INDEX(Vehiculos[Estado Vehiculo],MATCH(F856,Vehiculos[Placa Vehiculo],0)),""))</f>
        <v/>
      </c>
      <c r="H856" s="34"/>
      <c r="I856" s="34"/>
      <c r="J856" s="34"/>
      <c r="K856" s="39"/>
      <c r="L856" s="39"/>
      <c r="M856" s="15"/>
      <c r="N856" s="15"/>
      <c r="O856" s="39"/>
      <c r="P856" s="36"/>
      <c r="Q856" s="16">
        <f t="shared" si="261"/>
        <v>0</v>
      </c>
      <c r="R856" s="34"/>
      <c r="S856" s="34"/>
      <c r="T856" s="36"/>
      <c r="U856" s="293">
        <f>Rutas[[#This Row],[Precio x Galón ($/gal)]]*Rutas[[#This Row],[Volumen de Combustible (gal)]]</f>
        <v>0</v>
      </c>
      <c r="V856" s="36"/>
      <c r="W856" s="36"/>
      <c r="X856" s="36"/>
      <c r="Y856" s="145">
        <f t="shared" si="262"/>
        <v>0</v>
      </c>
      <c r="Z856" s="567"/>
      <c r="AA856" s="12"/>
      <c r="AB856" s="12">
        <f t="shared" si="263"/>
        <v>0</v>
      </c>
      <c r="AC856" s="12">
        <f t="shared" si="264"/>
        <v>0</v>
      </c>
      <c r="AD856" s="34"/>
    </row>
    <row r="857" spans="1:30" ht="16" x14ac:dyDescent="0.2">
      <c r="A857" s="47"/>
      <c r="B857" s="305"/>
      <c r="C857" s="176">
        <f t="shared" si="278"/>
        <v>854</v>
      </c>
      <c r="D857" s="146"/>
      <c r="E857" s="37"/>
      <c r="F857" s="65"/>
      <c r="G857" s="11" t="str">
        <f ca="1">IF(AND(E857&lt;&gt;"",E857&lt;TODAY()),"Disponible",IFERROR(INDEX(Vehiculos[Estado Vehiculo],MATCH(F857,Vehiculos[Placa Vehiculo],0)),""))</f>
        <v/>
      </c>
      <c r="H857" s="34"/>
      <c r="I857" s="34"/>
      <c r="J857" s="34"/>
      <c r="K857" s="39"/>
      <c r="L857" s="39"/>
      <c r="M857" s="15"/>
      <c r="N857" s="15"/>
      <c r="O857" s="39"/>
      <c r="P857" s="36"/>
      <c r="Q857" s="16">
        <f t="shared" si="261"/>
        <v>0</v>
      </c>
      <c r="R857" s="34"/>
      <c r="S857" s="34"/>
      <c r="T857" s="36"/>
      <c r="U857" s="293">
        <f>Rutas[[#This Row],[Precio x Galón ($/gal)]]*Rutas[[#This Row],[Volumen de Combustible (gal)]]</f>
        <v>0</v>
      </c>
      <c r="V857" s="36"/>
      <c r="W857" s="36"/>
      <c r="X857" s="36"/>
      <c r="Y857" s="145">
        <f t="shared" si="262"/>
        <v>0</v>
      </c>
      <c r="Z857" s="567"/>
      <c r="AA857" s="12"/>
      <c r="AB857" s="12">
        <f t="shared" si="263"/>
        <v>0</v>
      </c>
      <c r="AC857" s="12">
        <f t="shared" si="264"/>
        <v>0</v>
      </c>
      <c r="AD857" s="34"/>
    </row>
    <row r="858" spans="1:30" ht="16" x14ac:dyDescent="0.2">
      <c r="A858" s="47"/>
      <c r="B858" s="305"/>
      <c r="C858" s="176">
        <f t="shared" si="278"/>
        <v>855</v>
      </c>
      <c r="D858" s="90">
        <v>45809</v>
      </c>
      <c r="E858" s="90">
        <v>45811</v>
      </c>
      <c r="F858" s="68" t="s">
        <v>318</v>
      </c>
      <c r="G858" s="379" t="str">
        <f ca="1">IF(AND(E858&lt;&gt;"",E858&lt;TODAY()),"Disponible",IFERROR(INDEX(Vehiculos[Estado Vehiculo],MATCH(F858,Vehiculos[Placa Vehiculo],0)),""))</f>
        <v>Disponible</v>
      </c>
      <c r="H858" s="89" t="s">
        <v>248</v>
      </c>
      <c r="I858" s="89" t="s">
        <v>273</v>
      </c>
      <c r="J858" s="89"/>
      <c r="K858" s="380">
        <v>457</v>
      </c>
      <c r="L858" s="380">
        <v>469</v>
      </c>
      <c r="M858" s="381">
        <f t="shared" ref="M858:M866" si="280">L858-K858</f>
        <v>12</v>
      </c>
      <c r="N858" s="381">
        <f>Rutas[[#This Row],[Kms Recorridos]]</f>
        <v>12</v>
      </c>
      <c r="O858" s="380"/>
      <c r="P858" s="92"/>
      <c r="Q858" s="382">
        <f t="shared" si="261"/>
        <v>0</v>
      </c>
      <c r="R858" s="89" t="s">
        <v>273</v>
      </c>
      <c r="S858" s="89" t="s">
        <v>102</v>
      </c>
      <c r="T858" s="92">
        <v>1.8</v>
      </c>
      <c r="U858" s="266">
        <f>Rutas[[#This Row],[Precio x Galón ($/gal)]]*Rutas[[#This Row],[Volumen de Combustible (gal)]]</f>
        <v>28.367999999999999</v>
      </c>
      <c r="V858" s="92"/>
      <c r="W858" s="92"/>
      <c r="X858" s="92"/>
      <c r="Y858" s="382">
        <f t="shared" si="262"/>
        <v>28.367999999999999</v>
      </c>
      <c r="Z858" s="567"/>
      <c r="AA858" s="382">
        <v>15.76</v>
      </c>
      <c r="AB858" s="382">
        <f t="shared" si="263"/>
        <v>0.76142131979695438</v>
      </c>
      <c r="AC858" s="382">
        <f t="shared" si="264"/>
        <v>0</v>
      </c>
      <c r="AD858" s="89"/>
    </row>
    <row r="859" spans="1:30" ht="16" x14ac:dyDescent="0.2">
      <c r="A859" s="47"/>
      <c r="B859" s="305"/>
      <c r="C859" s="176">
        <f t="shared" si="278"/>
        <v>856</v>
      </c>
      <c r="D859" s="146">
        <v>45811</v>
      </c>
      <c r="E859" s="37">
        <v>45815</v>
      </c>
      <c r="F859" s="65" t="s">
        <v>318</v>
      </c>
      <c r="G859" s="11" t="str">
        <f ca="1">IF(AND(E859&lt;&gt;"",E859&lt;TODAY()),"Disponible",IFERROR(INDEX(Vehiculos[Estado Vehiculo],MATCH(F859,Vehiculos[Placa Vehiculo],0)),""))</f>
        <v>Disponible</v>
      </c>
      <c r="H859" s="34" t="s">
        <v>245</v>
      </c>
      <c r="I859" s="34" t="s">
        <v>273</v>
      </c>
      <c r="J859" s="34"/>
      <c r="K859" s="39">
        <v>469</v>
      </c>
      <c r="L859" s="39">
        <v>480</v>
      </c>
      <c r="M859" s="15">
        <f t="shared" si="280"/>
        <v>11</v>
      </c>
      <c r="N859" s="15">
        <f>Rutas[[#This Row],[Kms Recorridos]]</f>
        <v>11</v>
      </c>
      <c r="O859" s="39"/>
      <c r="P859" s="36"/>
      <c r="Q859" s="16">
        <f t="shared" si="261"/>
        <v>0</v>
      </c>
      <c r="R859" s="34" t="s">
        <v>273</v>
      </c>
      <c r="S859" s="34" t="s">
        <v>102</v>
      </c>
      <c r="T859" s="36">
        <v>1.8</v>
      </c>
      <c r="U859" s="293">
        <f>Rutas[[#This Row],[Precio x Galón ($/gal)]]*Rutas[[#This Row],[Volumen de Combustible (gal)]]</f>
        <v>17.352</v>
      </c>
      <c r="V859" s="36"/>
      <c r="W859" s="36"/>
      <c r="X859" s="36"/>
      <c r="Y859" s="145">
        <f t="shared" si="262"/>
        <v>17.352</v>
      </c>
      <c r="Z859" s="567"/>
      <c r="AA859" s="12">
        <v>9.64</v>
      </c>
      <c r="AB859" s="12">
        <f t="shared" si="263"/>
        <v>1.1410788381742738</v>
      </c>
      <c r="AC859" s="12">
        <f t="shared" si="264"/>
        <v>0</v>
      </c>
      <c r="AD859" s="34"/>
    </row>
    <row r="860" spans="1:30" ht="16" x14ac:dyDescent="0.2">
      <c r="A860" s="47"/>
      <c r="B860" s="305"/>
      <c r="C860" s="176">
        <f t="shared" si="278"/>
        <v>857</v>
      </c>
      <c r="D860" s="146">
        <v>45815</v>
      </c>
      <c r="E860" s="37">
        <v>45820</v>
      </c>
      <c r="F860" s="65" t="s">
        <v>318</v>
      </c>
      <c r="G860" s="11" t="str">
        <f ca="1">IF(AND(E860&lt;&gt;"",E860&lt;TODAY()),"Disponible",IFERROR(INDEX(Vehiculos[Estado Vehiculo],MATCH(F860,Vehiculos[Placa Vehiculo],0)),""))</f>
        <v>Disponible</v>
      </c>
      <c r="H860" s="34" t="s">
        <v>238</v>
      </c>
      <c r="I860" s="34" t="s">
        <v>273</v>
      </c>
      <c r="J860" s="34"/>
      <c r="K860" s="39">
        <v>480</v>
      </c>
      <c r="L860" s="39">
        <v>487</v>
      </c>
      <c r="M860" s="15">
        <f t="shared" si="280"/>
        <v>7</v>
      </c>
      <c r="N860" s="15">
        <f>Rutas[[#This Row],[Kms Recorridos]]</f>
        <v>7</v>
      </c>
      <c r="O860" s="39"/>
      <c r="P860" s="36"/>
      <c r="Q860" s="16">
        <f t="shared" si="261"/>
        <v>0</v>
      </c>
      <c r="R860" s="34" t="s">
        <v>273</v>
      </c>
      <c r="S860" s="34" t="s">
        <v>102</v>
      </c>
      <c r="T860" s="36">
        <v>1.8</v>
      </c>
      <c r="U860" s="293">
        <f>Rutas[[#This Row],[Precio x Galón ($/gal)]]*Rutas[[#This Row],[Volumen de Combustible (gal)]]</f>
        <v>10.061999999999999</v>
      </c>
      <c r="V860" s="36"/>
      <c r="W860" s="36"/>
      <c r="X860" s="36"/>
      <c r="Y860" s="145">
        <f t="shared" si="262"/>
        <v>10.061999999999999</v>
      </c>
      <c r="Z860" s="567"/>
      <c r="AA860" s="12">
        <v>5.59</v>
      </c>
      <c r="AB860" s="12">
        <f t="shared" si="263"/>
        <v>1.2522361359570662</v>
      </c>
      <c r="AC860" s="12">
        <f t="shared" si="264"/>
        <v>0</v>
      </c>
      <c r="AD860" s="34"/>
    </row>
    <row r="861" spans="1:30" ht="16" x14ac:dyDescent="0.2">
      <c r="A861" s="47"/>
      <c r="B861" s="305"/>
      <c r="C861" s="176">
        <f t="shared" si="278"/>
        <v>858</v>
      </c>
      <c r="D861" s="146">
        <v>45820</v>
      </c>
      <c r="E861" s="37">
        <v>45822</v>
      </c>
      <c r="F861" s="65" t="s">
        <v>318</v>
      </c>
      <c r="G861" s="11" t="str">
        <f ca="1">IF(AND(E861&lt;&gt;"",E861&lt;TODAY()),"Disponible",IFERROR(INDEX(Vehiculos[Estado Vehiculo],MATCH(F861,Vehiculos[Placa Vehiculo],0)),""))</f>
        <v>Disponible</v>
      </c>
      <c r="H861" s="34" t="s">
        <v>238</v>
      </c>
      <c r="I861" s="34" t="s">
        <v>273</v>
      </c>
      <c r="J861" s="34"/>
      <c r="K861" s="39">
        <v>487</v>
      </c>
      <c r="L861" s="39">
        <v>505</v>
      </c>
      <c r="M861" s="15">
        <f t="shared" si="280"/>
        <v>18</v>
      </c>
      <c r="N861" s="15">
        <f>Rutas[[#This Row],[Kms Recorridos]]</f>
        <v>18</v>
      </c>
      <c r="O861" s="39"/>
      <c r="P861" s="36"/>
      <c r="Q861" s="16">
        <f>M861*P861</f>
        <v>0</v>
      </c>
      <c r="R861" s="34" t="s">
        <v>273</v>
      </c>
      <c r="S861" s="34" t="s">
        <v>102</v>
      </c>
      <c r="T861" s="36">
        <v>1.8</v>
      </c>
      <c r="U861" s="293">
        <f>Rutas[[#This Row],[Precio x Galón ($/gal)]]*Rutas[[#This Row],[Volumen de Combustible (gal)]]</f>
        <v>25.38</v>
      </c>
      <c r="V861" s="36"/>
      <c r="W861" s="36"/>
      <c r="X861" s="36"/>
      <c r="Y861" s="145">
        <f>U861+SUM(V861:X861)</f>
        <v>25.38</v>
      </c>
      <c r="Z861" s="567"/>
      <c r="AA861" s="12">
        <v>14.1</v>
      </c>
      <c r="AB861" s="12">
        <f>IFERROR(M861/AA861,0)</f>
        <v>1.2765957446808511</v>
      </c>
      <c r="AC861" s="12">
        <f>IFERROR(Q861/M861,0)</f>
        <v>0</v>
      </c>
      <c r="AD861" s="34"/>
    </row>
    <row r="862" spans="1:30" ht="16" x14ac:dyDescent="0.2">
      <c r="A862" s="47"/>
      <c r="B862" s="305"/>
      <c r="C862" s="176">
        <f t="shared" si="278"/>
        <v>859</v>
      </c>
      <c r="D862" s="146">
        <v>45822</v>
      </c>
      <c r="E862" s="37">
        <v>45824</v>
      </c>
      <c r="F862" s="65" t="s">
        <v>318</v>
      </c>
      <c r="G862" s="11" t="str">
        <f ca="1">IF(AND(E862&lt;&gt;"",E862&lt;TODAY()),"Disponible",IFERROR(INDEX(Vehiculos[Estado Vehiculo],MATCH(F862,Vehiculos[Placa Vehiculo],0)),""))</f>
        <v>Disponible</v>
      </c>
      <c r="H862" s="34" t="s">
        <v>238</v>
      </c>
      <c r="I862" s="34" t="s">
        <v>273</v>
      </c>
      <c r="J862" s="34"/>
      <c r="K862" s="39">
        <v>505</v>
      </c>
      <c r="L862" s="39">
        <v>515</v>
      </c>
      <c r="M862" s="15">
        <f t="shared" si="280"/>
        <v>10</v>
      </c>
      <c r="N862" s="15">
        <f>Rutas[[#This Row],[Kms Recorridos]]</f>
        <v>10</v>
      </c>
      <c r="O862" s="39"/>
      <c r="P862" s="36"/>
      <c r="Q862" s="16">
        <f>M862*P862</f>
        <v>0</v>
      </c>
      <c r="R862" s="34" t="s">
        <v>273</v>
      </c>
      <c r="S862" s="34" t="s">
        <v>102</v>
      </c>
      <c r="T862" s="36">
        <v>1.8</v>
      </c>
      <c r="U862" s="293">
        <f>Rutas[[#This Row],[Precio x Galón ($/gal)]]*Rutas[[#This Row],[Volumen de Combustible (gal)]]</f>
        <v>10.566000000000001</v>
      </c>
      <c r="V862" s="36"/>
      <c r="W862" s="36"/>
      <c r="X862" s="36"/>
      <c r="Y862" s="145">
        <f>U862+SUM(V862:X862)</f>
        <v>10.566000000000001</v>
      </c>
      <c r="Z862" s="567"/>
      <c r="AA862" s="12">
        <v>5.87</v>
      </c>
      <c r="AB862" s="12">
        <f>IFERROR(M862/AA862,0)</f>
        <v>1.7035775127768313</v>
      </c>
      <c r="AC862" s="12">
        <f>IFERROR(Q862/M862,0)</f>
        <v>0</v>
      </c>
      <c r="AD862" s="34"/>
    </row>
    <row r="863" spans="1:30" ht="16" x14ac:dyDescent="0.2">
      <c r="A863" s="47"/>
      <c r="B863" s="305"/>
      <c r="C863" s="176">
        <f t="shared" si="278"/>
        <v>860</v>
      </c>
      <c r="D863" s="146">
        <v>45824</v>
      </c>
      <c r="E863" s="37">
        <v>45827</v>
      </c>
      <c r="F863" s="65" t="s">
        <v>318</v>
      </c>
      <c r="G863" s="11" t="str">
        <f ca="1">IF(AND(E863&lt;&gt;"",E863&lt;TODAY()),"Disponible",IFERROR(INDEX(Vehiculos[Estado Vehiculo],MATCH(F863,Vehiculos[Placa Vehiculo],0)),""))</f>
        <v>Disponible</v>
      </c>
      <c r="H863" s="34" t="s">
        <v>238</v>
      </c>
      <c r="I863" s="34" t="s">
        <v>273</v>
      </c>
      <c r="J863" s="34"/>
      <c r="K863" s="39">
        <v>515</v>
      </c>
      <c r="L863" s="39">
        <v>538</v>
      </c>
      <c r="M863" s="15">
        <f t="shared" si="280"/>
        <v>23</v>
      </c>
      <c r="N863" s="15">
        <f>Rutas[[#This Row],[Kms Recorridos]]</f>
        <v>23</v>
      </c>
      <c r="O863" s="39"/>
      <c r="P863" s="36"/>
      <c r="Q863" s="16">
        <f>M863*P863</f>
        <v>0</v>
      </c>
      <c r="R863" s="34" t="s">
        <v>273</v>
      </c>
      <c r="S863" s="34" t="s">
        <v>102</v>
      </c>
      <c r="T863" s="36">
        <v>1.8</v>
      </c>
      <c r="U863" s="293">
        <f>Rutas[[#This Row],[Precio x Galón ($/gal)]]*Rutas[[#This Row],[Volumen de Combustible (gal)]]</f>
        <v>34.056000000000004</v>
      </c>
      <c r="V863" s="36"/>
      <c r="W863" s="36"/>
      <c r="X863" s="36"/>
      <c r="Y863" s="145">
        <f>U863+SUM(V863:X863)</f>
        <v>34.056000000000004</v>
      </c>
      <c r="Z863" s="567"/>
      <c r="AA863" s="12">
        <v>18.920000000000002</v>
      </c>
      <c r="AB863" s="12">
        <f>IFERROR(M863/AA863,0)</f>
        <v>1.2156448202959831</v>
      </c>
      <c r="AC863" s="12">
        <f>IFERROR(Q863/M863,0)</f>
        <v>0</v>
      </c>
      <c r="AD863" s="34"/>
    </row>
    <row r="864" spans="1:30" ht="16" x14ac:dyDescent="0.2">
      <c r="A864" s="47"/>
      <c r="B864" s="305"/>
      <c r="C864" s="176">
        <f t="shared" si="278"/>
        <v>861</v>
      </c>
      <c r="D864" s="146">
        <v>45827</v>
      </c>
      <c r="E864" s="37">
        <v>45830</v>
      </c>
      <c r="F864" s="65" t="s">
        <v>318</v>
      </c>
      <c r="G864" s="11" t="str">
        <f ca="1">IF(AND(E864&lt;&gt;"",E864&lt;TODAY()),"Disponible",IFERROR(INDEX(Vehiculos[Estado Vehiculo],MATCH(F864,Vehiculos[Placa Vehiculo],0)),""))</f>
        <v>Disponible</v>
      </c>
      <c r="H864" s="34" t="s">
        <v>250</v>
      </c>
      <c r="I864" s="34" t="s">
        <v>273</v>
      </c>
      <c r="J864" s="34"/>
      <c r="K864" s="39">
        <v>538</v>
      </c>
      <c r="L864" s="39">
        <v>567</v>
      </c>
      <c r="M864" s="15">
        <f t="shared" si="280"/>
        <v>29</v>
      </c>
      <c r="N864" s="15">
        <f>Rutas[[#This Row],[Kms Recorridos]]</f>
        <v>29</v>
      </c>
      <c r="O864" s="39"/>
      <c r="P864" s="36"/>
      <c r="Q864" s="16">
        <f>M864*P864</f>
        <v>0</v>
      </c>
      <c r="R864" s="34" t="s">
        <v>273</v>
      </c>
      <c r="S864" s="34" t="s">
        <v>102</v>
      </c>
      <c r="T864" s="36">
        <v>1.8</v>
      </c>
      <c r="U864" s="293">
        <f>Rutas[[#This Row],[Precio x Galón ($/gal)]]*Rutas[[#This Row],[Volumen de Combustible (gal)]]</f>
        <v>26.117999999999999</v>
      </c>
      <c r="V864" s="36"/>
      <c r="W864" s="36"/>
      <c r="X864" s="36"/>
      <c r="Y864" s="145">
        <f>U864+SUM(V864:X864)</f>
        <v>26.117999999999999</v>
      </c>
      <c r="Z864" s="567"/>
      <c r="AA864" s="12">
        <v>14.51</v>
      </c>
      <c r="AB864" s="12">
        <f>IFERROR(M864/AA864,0)</f>
        <v>1.9986216402481047</v>
      </c>
      <c r="AC864" s="12">
        <f>IFERROR(Q864/M864,0)</f>
        <v>0</v>
      </c>
      <c r="AD864" s="34"/>
    </row>
    <row r="865" spans="1:30" ht="16" x14ac:dyDescent="0.2">
      <c r="A865" s="47"/>
      <c r="B865" s="305"/>
      <c r="C865" s="176">
        <f t="shared" si="278"/>
        <v>862</v>
      </c>
      <c r="D865" s="146">
        <v>45830</v>
      </c>
      <c r="E865" s="37">
        <v>45836</v>
      </c>
      <c r="F865" s="65" t="s">
        <v>318</v>
      </c>
      <c r="G865" s="11" t="str">
        <f ca="1">IF(AND(E865&lt;&gt;"",E865&lt;TODAY()),"Disponible",IFERROR(INDEX(Vehiculos[Estado Vehiculo],MATCH(F865,Vehiculos[Placa Vehiculo],0)),""))</f>
        <v>Disponible</v>
      </c>
      <c r="H865" s="34" t="s">
        <v>250</v>
      </c>
      <c r="I865" s="34" t="s">
        <v>273</v>
      </c>
      <c r="J865" s="34"/>
      <c r="K865" s="39">
        <v>567</v>
      </c>
      <c r="L865" s="39">
        <v>602</v>
      </c>
      <c r="M865" s="15">
        <f t="shared" si="280"/>
        <v>35</v>
      </c>
      <c r="N865" s="15">
        <f>Rutas[[#This Row],[Kms Recorridos]]</f>
        <v>35</v>
      </c>
      <c r="O865" s="39"/>
      <c r="P865" s="36"/>
      <c r="Q865" s="16">
        <f>M865*P865</f>
        <v>0</v>
      </c>
      <c r="R865" s="34" t="s">
        <v>273</v>
      </c>
      <c r="S865" s="34" t="s">
        <v>102</v>
      </c>
      <c r="T865" s="36">
        <v>1.8</v>
      </c>
      <c r="U865" s="293">
        <f>Rutas[[#This Row],[Precio x Galón ($/gal)]]*Rutas[[#This Row],[Volumen de Combustible (gal)]]</f>
        <v>38.393999999999998</v>
      </c>
      <c r="V865" s="36"/>
      <c r="W865" s="36"/>
      <c r="X865" s="36"/>
      <c r="Y865" s="145">
        <f>U865+SUM(V865:X865)</f>
        <v>38.393999999999998</v>
      </c>
      <c r="Z865" s="567"/>
      <c r="AA865" s="12">
        <v>21.33</v>
      </c>
      <c r="AB865" s="12">
        <f>IFERROR(M865/AA865,0)</f>
        <v>1.6408813877168309</v>
      </c>
      <c r="AC865" s="12">
        <f>IFERROR(Q865/M865,0)</f>
        <v>0</v>
      </c>
      <c r="AD865" s="34"/>
    </row>
    <row r="866" spans="1:30" ht="16" x14ac:dyDescent="0.2">
      <c r="A866" s="47"/>
      <c r="B866" s="305"/>
      <c r="C866" s="176">
        <f t="shared" si="278"/>
        <v>863</v>
      </c>
      <c r="D866" s="146">
        <v>45836</v>
      </c>
      <c r="E866" s="37">
        <v>45838</v>
      </c>
      <c r="F866" s="65" t="s">
        <v>318</v>
      </c>
      <c r="G866" s="11" t="str">
        <f ca="1">IF(AND(E866&lt;&gt;"",E866&lt;TODAY()),"Disponible",IFERROR(INDEX(Vehiculos[Estado Vehiculo],MATCH(F866,Vehiculos[Placa Vehiculo],0)),""))</f>
        <v>Disponible</v>
      </c>
      <c r="H866" s="34"/>
      <c r="I866" s="34" t="s">
        <v>273</v>
      </c>
      <c r="J866" s="34"/>
      <c r="K866" s="39">
        <v>602</v>
      </c>
      <c r="L866" s="39">
        <v>619</v>
      </c>
      <c r="M866" s="15">
        <f t="shared" si="280"/>
        <v>17</v>
      </c>
      <c r="N866" s="15">
        <f>Rutas[[#This Row],[Kms Recorridos]]</f>
        <v>17</v>
      </c>
      <c r="O866" s="39"/>
      <c r="P866" s="36"/>
      <c r="Q866" s="16">
        <f t="shared" si="261"/>
        <v>0</v>
      </c>
      <c r="R866" s="34" t="s">
        <v>273</v>
      </c>
      <c r="S866" s="34" t="s">
        <v>102</v>
      </c>
      <c r="T866" s="36"/>
      <c r="U866" s="293">
        <f>Rutas[[#This Row],[Precio x Galón ($/gal)]]*Rutas[[#This Row],[Volumen de Combustible (gal)]]</f>
        <v>0</v>
      </c>
      <c r="V866" s="36"/>
      <c r="W866" s="36"/>
      <c r="X866" s="36"/>
      <c r="Y866" s="145">
        <f t="shared" si="262"/>
        <v>0</v>
      </c>
      <c r="Z866" s="567"/>
      <c r="AA866" s="12"/>
      <c r="AB866" s="12">
        <f t="shared" si="263"/>
        <v>0</v>
      </c>
      <c r="AC866" s="12">
        <f t="shared" si="264"/>
        <v>0</v>
      </c>
      <c r="AD866" s="34"/>
    </row>
    <row r="867" spans="1:30" ht="16" x14ac:dyDescent="0.2">
      <c r="A867" s="47"/>
      <c r="B867" s="305"/>
      <c r="C867" s="176">
        <f t="shared" si="278"/>
        <v>864</v>
      </c>
      <c r="D867" s="146"/>
      <c r="E867" s="37"/>
      <c r="F867" s="65"/>
      <c r="G867" s="11" t="str">
        <f ca="1">IF(AND(E867&lt;&gt;"",E867&lt;TODAY()),"Disponible",IFERROR(INDEX(Vehiculos[Estado Vehiculo],MATCH(F867,Vehiculos[Placa Vehiculo],0)),""))</f>
        <v/>
      </c>
      <c r="H867" s="34"/>
      <c r="I867" s="34"/>
      <c r="J867" s="34"/>
      <c r="K867" s="39"/>
      <c r="L867" s="39"/>
      <c r="M867" s="15"/>
      <c r="N867" s="15"/>
      <c r="O867" s="39"/>
      <c r="P867" s="36"/>
      <c r="Q867" s="16">
        <f t="shared" ref="Q867:Q948" si="281">M867*P867</f>
        <v>0</v>
      </c>
      <c r="R867" s="34"/>
      <c r="S867" s="34"/>
      <c r="T867" s="36"/>
      <c r="U867" s="293">
        <f>Rutas[[#This Row],[Precio x Galón ($/gal)]]*Rutas[[#This Row],[Volumen de Combustible (gal)]]</f>
        <v>0</v>
      </c>
      <c r="V867" s="36"/>
      <c r="W867" s="36"/>
      <c r="X867" s="36"/>
      <c r="Y867" s="145">
        <f t="shared" ref="Y867:Y948" si="282">U867+SUM(V867:X867)</f>
        <v>0</v>
      </c>
      <c r="Z867" s="567"/>
      <c r="AA867" s="12"/>
      <c r="AB867" s="12">
        <f t="shared" ref="AB867:AB948" si="283">IFERROR(M867/AA867,0)</f>
        <v>0</v>
      </c>
      <c r="AC867" s="12">
        <f t="shared" ref="AC867:AC948" si="284">IFERROR(Q867/M867,0)</f>
        <v>0</v>
      </c>
      <c r="AD867" s="34"/>
    </row>
    <row r="868" spans="1:30" ht="16" x14ac:dyDescent="0.2">
      <c r="A868" s="47"/>
      <c r="B868" s="305"/>
      <c r="C868" s="176">
        <f t="shared" si="278"/>
        <v>865</v>
      </c>
      <c r="D868" s="90">
        <v>45809</v>
      </c>
      <c r="E868" s="90">
        <v>45810</v>
      </c>
      <c r="F868" s="68" t="s">
        <v>320</v>
      </c>
      <c r="G868" s="379" t="str">
        <f ca="1">IF(AND(E868&lt;&gt;"",E868&lt;TODAY()),"Disponible",IFERROR(INDEX(Vehiculos[Estado Vehiculo],MATCH(F868,Vehiculos[Placa Vehiculo],0)),""))</f>
        <v>Disponible</v>
      </c>
      <c r="H868" s="89" t="s">
        <v>241</v>
      </c>
      <c r="I868" s="89" t="s">
        <v>273</v>
      </c>
      <c r="J868" s="89"/>
      <c r="K868" s="380">
        <v>2698</v>
      </c>
      <c r="L868" s="380">
        <v>2713</v>
      </c>
      <c r="M868" s="381">
        <f t="shared" ref="M868:M948" si="285">L868-K868</f>
        <v>15</v>
      </c>
      <c r="N868" s="381">
        <f>Rutas[[#This Row],[Kms Recorridos]]</f>
        <v>15</v>
      </c>
      <c r="O868" s="380"/>
      <c r="P868" s="92"/>
      <c r="Q868" s="382">
        <f t="shared" si="281"/>
        <v>0</v>
      </c>
      <c r="R868" s="89" t="s">
        <v>273</v>
      </c>
      <c r="S868" s="89" t="s">
        <v>102</v>
      </c>
      <c r="T868" s="92">
        <v>1.8</v>
      </c>
      <c r="U868" s="266">
        <f>Rutas[[#This Row],[Precio x Galón ($/gal)]]*Rutas[[#This Row],[Volumen de Combustible (gal)]]</f>
        <v>17.603999999999999</v>
      </c>
      <c r="V868" s="92"/>
      <c r="W868" s="92"/>
      <c r="X868" s="92"/>
      <c r="Y868" s="382">
        <f t="shared" si="282"/>
        <v>17.603999999999999</v>
      </c>
      <c r="Z868" s="567"/>
      <c r="AA868" s="382">
        <v>9.7799999999999994</v>
      </c>
      <c r="AB868" s="382">
        <f t="shared" si="283"/>
        <v>1.5337423312883436</v>
      </c>
      <c r="AC868" s="382">
        <f t="shared" si="284"/>
        <v>0</v>
      </c>
      <c r="AD868" s="89"/>
    </row>
    <row r="869" spans="1:30" ht="16" x14ac:dyDescent="0.2">
      <c r="A869" s="47"/>
      <c r="B869" s="305"/>
      <c r="C869" s="176">
        <f t="shared" si="278"/>
        <v>866</v>
      </c>
      <c r="D869" s="146">
        <v>45810</v>
      </c>
      <c r="E869" s="37">
        <v>45811</v>
      </c>
      <c r="F869" s="65" t="s">
        <v>320</v>
      </c>
      <c r="G869" s="11" t="str">
        <f ca="1">IF(AND(E869&lt;&gt;"",E869&lt;TODAY()),"Disponible",IFERROR(INDEX(Vehiculos[Estado Vehiculo],MATCH(F869,Vehiculos[Placa Vehiculo],0)),""))</f>
        <v>Disponible</v>
      </c>
      <c r="H869" s="34" t="s">
        <v>241</v>
      </c>
      <c r="I869" s="34" t="s">
        <v>273</v>
      </c>
      <c r="J869" s="34"/>
      <c r="K869" s="39">
        <v>2713</v>
      </c>
      <c r="L869" s="39">
        <v>2727</v>
      </c>
      <c r="M869" s="15">
        <f t="shared" si="285"/>
        <v>14</v>
      </c>
      <c r="N869" s="15">
        <f>Rutas[[#This Row],[Kms Recorridos]]</f>
        <v>14</v>
      </c>
      <c r="O869" s="39"/>
      <c r="P869" s="36"/>
      <c r="Q869" s="16">
        <f t="shared" si="281"/>
        <v>0</v>
      </c>
      <c r="R869" s="34" t="s">
        <v>273</v>
      </c>
      <c r="S869" s="34" t="s">
        <v>102</v>
      </c>
      <c r="T869" s="36">
        <v>1.8</v>
      </c>
      <c r="U869" s="293">
        <f>Rutas[[#This Row],[Precio x Galón ($/gal)]]*Rutas[[#This Row],[Volumen de Combustible (gal)]]</f>
        <v>27.612000000000002</v>
      </c>
      <c r="V869" s="36"/>
      <c r="W869" s="36"/>
      <c r="X869" s="36"/>
      <c r="Y869" s="145">
        <f t="shared" si="282"/>
        <v>27.612000000000002</v>
      </c>
      <c r="Z869" s="567"/>
      <c r="AA869" s="12">
        <v>15.34</v>
      </c>
      <c r="AB869" s="12">
        <f t="shared" si="283"/>
        <v>0.91264667535853983</v>
      </c>
      <c r="AC869" s="12">
        <f t="shared" si="284"/>
        <v>0</v>
      </c>
      <c r="AD869" s="34"/>
    </row>
    <row r="870" spans="1:30" ht="16" x14ac:dyDescent="0.2">
      <c r="A870" s="47"/>
      <c r="B870" s="305"/>
      <c r="C870" s="176">
        <f t="shared" si="278"/>
        <v>867</v>
      </c>
      <c r="D870" s="146">
        <v>45811</v>
      </c>
      <c r="E870" s="37">
        <v>45815</v>
      </c>
      <c r="F870" s="65" t="s">
        <v>320</v>
      </c>
      <c r="G870" s="11" t="str">
        <f ca="1">IF(AND(E870&lt;&gt;"",E870&lt;TODAY()),"Disponible",IFERROR(INDEX(Vehiculos[Estado Vehiculo],MATCH(F870,Vehiculos[Placa Vehiculo],0)),""))</f>
        <v>Disponible</v>
      </c>
      <c r="H870" s="34" t="s">
        <v>241</v>
      </c>
      <c r="I870" s="34" t="s">
        <v>273</v>
      </c>
      <c r="J870" s="34"/>
      <c r="K870" s="39">
        <v>2727</v>
      </c>
      <c r="L870" s="39">
        <v>2757</v>
      </c>
      <c r="M870" s="15">
        <f t="shared" si="285"/>
        <v>30</v>
      </c>
      <c r="N870" s="15">
        <f>Rutas[[#This Row],[Kms Recorridos]]</f>
        <v>30</v>
      </c>
      <c r="O870" s="39"/>
      <c r="P870" s="36"/>
      <c r="Q870" s="16">
        <f t="shared" si="281"/>
        <v>0</v>
      </c>
      <c r="R870" s="34" t="s">
        <v>273</v>
      </c>
      <c r="S870" s="34" t="s">
        <v>102</v>
      </c>
      <c r="T870" s="36">
        <v>1.8</v>
      </c>
      <c r="U870" s="293">
        <f>Rutas[[#This Row],[Precio x Galón ($/gal)]]*Rutas[[#This Row],[Volumen de Combustible (gal)]]</f>
        <v>40.590000000000003</v>
      </c>
      <c r="V870" s="36"/>
      <c r="W870" s="36"/>
      <c r="X870" s="36"/>
      <c r="Y870" s="145">
        <f t="shared" si="282"/>
        <v>40.590000000000003</v>
      </c>
      <c r="Z870" s="567"/>
      <c r="AA870" s="12">
        <v>22.55</v>
      </c>
      <c r="AB870" s="12">
        <f t="shared" si="283"/>
        <v>1.3303769401330376</v>
      </c>
      <c r="AC870" s="12">
        <f t="shared" si="284"/>
        <v>0</v>
      </c>
      <c r="AD870" s="34"/>
    </row>
    <row r="871" spans="1:30" ht="16" x14ac:dyDescent="0.2">
      <c r="A871" s="47"/>
      <c r="B871" s="305"/>
      <c r="C871" s="176">
        <f t="shared" si="278"/>
        <v>868</v>
      </c>
      <c r="D871" s="146">
        <v>45815</v>
      </c>
      <c r="E871" s="37">
        <v>45817</v>
      </c>
      <c r="F871" s="65" t="s">
        <v>320</v>
      </c>
      <c r="G871" s="11" t="str">
        <f ca="1">IF(AND(E871&lt;&gt;"",E871&lt;TODAY()),"Disponible",IFERROR(INDEX(Vehiculos[Estado Vehiculo],MATCH(F871,Vehiculos[Placa Vehiculo],0)),""))</f>
        <v>Disponible</v>
      </c>
      <c r="H871" s="34" t="s">
        <v>241</v>
      </c>
      <c r="I871" s="34" t="s">
        <v>273</v>
      </c>
      <c r="J871" s="34"/>
      <c r="K871" s="39">
        <v>2757</v>
      </c>
      <c r="L871" s="39">
        <v>2772</v>
      </c>
      <c r="M871" s="15">
        <f>L871-K871</f>
        <v>15</v>
      </c>
      <c r="N871" s="15">
        <f>Rutas[[#This Row],[Kms Recorridos]]</f>
        <v>15</v>
      </c>
      <c r="O871" s="39"/>
      <c r="P871" s="36"/>
      <c r="Q871" s="16">
        <f>M871*P871</f>
        <v>0</v>
      </c>
      <c r="R871" s="34" t="s">
        <v>273</v>
      </c>
      <c r="S871" s="34" t="s">
        <v>102</v>
      </c>
      <c r="T871" s="36">
        <v>1.8</v>
      </c>
      <c r="U871" s="293">
        <f>Rutas[[#This Row],[Precio x Galón ($/gal)]]*Rutas[[#This Row],[Volumen de Combustible (gal)]]</f>
        <v>21.528000000000002</v>
      </c>
      <c r="V871" s="36"/>
      <c r="W871" s="36"/>
      <c r="X871" s="36"/>
      <c r="Y871" s="145">
        <f>U871+SUM(V871:X871)</f>
        <v>21.528000000000002</v>
      </c>
      <c r="Z871" s="567"/>
      <c r="AA871" s="12">
        <v>11.96</v>
      </c>
      <c r="AB871" s="12">
        <f>IFERROR(M871/AA871,0)</f>
        <v>1.2541806020066888</v>
      </c>
      <c r="AC871" s="12">
        <f>IFERROR(Q871/M871,0)</f>
        <v>0</v>
      </c>
      <c r="AD871" s="34"/>
    </row>
    <row r="872" spans="1:30" ht="16" x14ac:dyDescent="0.2">
      <c r="A872" s="47"/>
      <c r="B872" s="305"/>
      <c r="C872" s="176">
        <f t="shared" si="278"/>
        <v>869</v>
      </c>
      <c r="D872" s="146">
        <v>45817</v>
      </c>
      <c r="E872" s="37">
        <v>45820</v>
      </c>
      <c r="F872" s="65" t="s">
        <v>320</v>
      </c>
      <c r="G872" s="11" t="str">
        <f ca="1">IF(AND(E872&lt;&gt;"",E872&lt;TODAY()),"Disponible",IFERROR(INDEX(Vehiculos[Estado Vehiculo],MATCH(F872,Vehiculos[Placa Vehiculo],0)),""))</f>
        <v>Disponible</v>
      </c>
      <c r="H872" s="34" t="s">
        <v>239</v>
      </c>
      <c r="I872" s="34" t="s">
        <v>273</v>
      </c>
      <c r="J872" s="34"/>
      <c r="K872" s="39">
        <v>2772</v>
      </c>
      <c r="L872" s="39">
        <v>2800</v>
      </c>
      <c r="M872" s="15">
        <f>L872-K872</f>
        <v>28</v>
      </c>
      <c r="N872" s="15">
        <f>Rutas[[#This Row],[Kms Recorridos]]</f>
        <v>28</v>
      </c>
      <c r="O872" s="39"/>
      <c r="P872" s="36"/>
      <c r="Q872" s="16">
        <f>M872*P872</f>
        <v>0</v>
      </c>
      <c r="R872" s="34" t="s">
        <v>273</v>
      </c>
      <c r="S872" s="34" t="s">
        <v>102</v>
      </c>
      <c r="T872" s="36">
        <v>1.8</v>
      </c>
      <c r="U872" s="293">
        <f>Rutas[[#This Row],[Precio x Galón ($/gal)]]*Rutas[[#This Row],[Volumen de Combustible (gal)]]</f>
        <v>29.16</v>
      </c>
      <c r="V872" s="36"/>
      <c r="W872" s="36"/>
      <c r="X872" s="36"/>
      <c r="Y872" s="145">
        <f>U872+SUM(V872:X872)</f>
        <v>29.16</v>
      </c>
      <c r="Z872" s="567"/>
      <c r="AA872" s="12">
        <v>16.2</v>
      </c>
      <c r="AB872" s="12">
        <f>IFERROR(M872/AA872,0)</f>
        <v>1.7283950617283952</v>
      </c>
      <c r="AC872" s="12">
        <f>IFERROR(Q872/M872,0)</f>
        <v>0</v>
      </c>
      <c r="AD872" s="34"/>
    </row>
    <row r="873" spans="1:30" ht="16" x14ac:dyDescent="0.2">
      <c r="A873" s="47"/>
      <c r="B873" s="305"/>
      <c r="C873" s="176">
        <f t="shared" si="278"/>
        <v>870</v>
      </c>
      <c r="D873" s="146">
        <v>45820</v>
      </c>
      <c r="E873" s="37">
        <v>45824</v>
      </c>
      <c r="F873" s="65" t="s">
        <v>320</v>
      </c>
      <c r="G873" s="11" t="str">
        <f ca="1">IF(AND(E873&lt;&gt;"",E873&lt;TODAY()),"Disponible",IFERROR(INDEX(Vehiculos[Estado Vehiculo],MATCH(F873,Vehiculos[Placa Vehiculo],0)),""))</f>
        <v>Disponible</v>
      </c>
      <c r="H873" s="34" t="s">
        <v>239</v>
      </c>
      <c r="I873" s="34" t="s">
        <v>273</v>
      </c>
      <c r="J873" s="34"/>
      <c r="K873" s="39">
        <v>2800</v>
      </c>
      <c r="L873" s="39">
        <v>2821</v>
      </c>
      <c r="M873" s="15">
        <f>L873-K873</f>
        <v>21</v>
      </c>
      <c r="N873" s="15">
        <f>Rutas[[#This Row],[Kms Recorridos]]</f>
        <v>21</v>
      </c>
      <c r="O873" s="39"/>
      <c r="P873" s="36"/>
      <c r="Q873" s="16">
        <f>M873*P873</f>
        <v>0</v>
      </c>
      <c r="R873" s="34" t="s">
        <v>273</v>
      </c>
      <c r="S873" s="34" t="s">
        <v>102</v>
      </c>
      <c r="T873" s="36">
        <v>1.8</v>
      </c>
      <c r="U873" s="293">
        <f>Rutas[[#This Row],[Precio x Galón ($/gal)]]*Rutas[[#This Row],[Volumen de Combustible (gal)]]</f>
        <v>44.1</v>
      </c>
      <c r="V873" s="36"/>
      <c r="W873" s="36"/>
      <c r="X873" s="36"/>
      <c r="Y873" s="145">
        <f>U873+SUM(V873:X873)</f>
        <v>44.1</v>
      </c>
      <c r="Z873" s="567"/>
      <c r="AA873" s="12">
        <v>24.5</v>
      </c>
      <c r="AB873" s="12">
        <f>IFERROR(M873/AA873,0)</f>
        <v>0.8571428571428571</v>
      </c>
      <c r="AC873" s="12">
        <f>IFERROR(Q873/M873,0)</f>
        <v>0</v>
      </c>
      <c r="AD873" s="34"/>
    </row>
    <row r="874" spans="1:30" ht="16" x14ac:dyDescent="0.2">
      <c r="A874" s="47"/>
      <c r="B874" s="305"/>
      <c r="C874" s="176">
        <f t="shared" si="278"/>
        <v>871</v>
      </c>
      <c r="D874" s="146">
        <v>45824</v>
      </c>
      <c r="E874" s="37">
        <v>45827</v>
      </c>
      <c r="F874" s="65" t="s">
        <v>320</v>
      </c>
      <c r="G874" s="11" t="str">
        <f ca="1">IF(AND(E874&lt;&gt;"",E874&lt;TODAY()),"Disponible",IFERROR(INDEX(Vehiculos[Estado Vehiculo],MATCH(F874,Vehiculos[Placa Vehiculo],0)),""))</f>
        <v>Disponible</v>
      </c>
      <c r="H874" s="34" t="s">
        <v>239</v>
      </c>
      <c r="I874" s="34" t="s">
        <v>273</v>
      </c>
      <c r="J874" s="34"/>
      <c r="K874" s="39">
        <v>2821</v>
      </c>
      <c r="L874" s="39">
        <v>2847</v>
      </c>
      <c r="M874" s="15">
        <f t="shared" si="285"/>
        <v>26</v>
      </c>
      <c r="N874" s="15">
        <f>Rutas[[#This Row],[Kms Recorridos]]</f>
        <v>26</v>
      </c>
      <c r="O874" s="39"/>
      <c r="P874" s="36"/>
      <c r="Q874" s="16">
        <f t="shared" si="281"/>
        <v>0</v>
      </c>
      <c r="R874" s="34" t="s">
        <v>273</v>
      </c>
      <c r="S874" s="34" t="s">
        <v>102</v>
      </c>
      <c r="T874" s="36">
        <v>1.8</v>
      </c>
      <c r="U874" s="293">
        <f>Rutas[[#This Row],[Precio x Galón ($/gal)]]*Rutas[[#This Row],[Volumen de Combustible (gal)]]</f>
        <v>20.034000000000002</v>
      </c>
      <c r="V874" s="36"/>
      <c r="W874" s="36"/>
      <c r="X874" s="36"/>
      <c r="Y874" s="145">
        <f t="shared" si="282"/>
        <v>20.034000000000002</v>
      </c>
      <c r="Z874" s="567"/>
      <c r="AA874" s="12">
        <v>11.13</v>
      </c>
      <c r="AB874" s="12">
        <f t="shared" si="283"/>
        <v>2.3360287511230906</v>
      </c>
      <c r="AC874" s="12">
        <f t="shared" si="284"/>
        <v>0</v>
      </c>
      <c r="AD874" s="34"/>
    </row>
    <row r="875" spans="1:30" ht="16" x14ac:dyDescent="0.2">
      <c r="A875" s="47"/>
      <c r="B875" s="305"/>
      <c r="C875" s="176">
        <f t="shared" si="278"/>
        <v>872</v>
      </c>
      <c r="D875" s="146">
        <v>45827</v>
      </c>
      <c r="E875" s="37">
        <v>45829</v>
      </c>
      <c r="F875" s="65" t="s">
        <v>320</v>
      </c>
      <c r="G875" s="11" t="str">
        <f ca="1">IF(AND(E875&lt;&gt;"",E875&lt;TODAY()),"Disponible",IFERROR(INDEX(Vehiculos[Estado Vehiculo],MATCH(F875,Vehiculos[Placa Vehiculo],0)),""))</f>
        <v>Disponible</v>
      </c>
      <c r="H875" s="34" t="s">
        <v>239</v>
      </c>
      <c r="I875" s="34" t="s">
        <v>273</v>
      </c>
      <c r="J875" s="34"/>
      <c r="K875" s="39">
        <v>2847</v>
      </c>
      <c r="L875" s="39">
        <v>2867</v>
      </c>
      <c r="M875" s="15">
        <f>L875-K875</f>
        <v>20</v>
      </c>
      <c r="N875" s="15">
        <f>Rutas[[#This Row],[Kms Recorridos]]</f>
        <v>20</v>
      </c>
      <c r="O875" s="39"/>
      <c r="P875" s="36"/>
      <c r="Q875" s="16">
        <f>M875*P875</f>
        <v>0</v>
      </c>
      <c r="R875" s="34" t="s">
        <v>273</v>
      </c>
      <c r="S875" s="34" t="s">
        <v>102</v>
      </c>
      <c r="T875" s="36">
        <v>1.8</v>
      </c>
      <c r="U875" s="293">
        <f>Rutas[[#This Row],[Precio x Galón ($/gal)]]*Rutas[[#This Row],[Volumen de Combustible (gal)]]</f>
        <v>34.200000000000003</v>
      </c>
      <c r="V875" s="36"/>
      <c r="W875" s="36"/>
      <c r="X875" s="36"/>
      <c r="Y875" s="145">
        <f>U875+SUM(V875:X875)</f>
        <v>34.200000000000003</v>
      </c>
      <c r="Z875" s="567"/>
      <c r="AA875" s="12">
        <v>19</v>
      </c>
      <c r="AB875" s="12">
        <f>IFERROR(M875/AA875,0)</f>
        <v>1.0526315789473684</v>
      </c>
      <c r="AC875" s="12">
        <f>IFERROR(Q875/M875,0)</f>
        <v>0</v>
      </c>
      <c r="AD875" s="34"/>
    </row>
    <row r="876" spans="1:30" ht="16" x14ac:dyDescent="0.2">
      <c r="A876" s="47"/>
      <c r="B876" s="305"/>
      <c r="C876" s="176">
        <f t="shared" si="278"/>
        <v>873</v>
      </c>
      <c r="D876" s="146">
        <v>45829</v>
      </c>
      <c r="E876" s="37">
        <v>45833</v>
      </c>
      <c r="F876" s="65" t="s">
        <v>320</v>
      </c>
      <c r="G876" s="11" t="str">
        <f ca="1">IF(AND(E876&lt;&gt;"",E876&lt;TODAY()),"Disponible",IFERROR(INDEX(Vehiculos[Estado Vehiculo],MATCH(F876,Vehiculos[Placa Vehiculo],0)),""))</f>
        <v>Disponible</v>
      </c>
      <c r="H876" s="34" t="s">
        <v>241</v>
      </c>
      <c r="I876" s="34" t="s">
        <v>273</v>
      </c>
      <c r="J876" s="34"/>
      <c r="K876" s="39">
        <v>2867</v>
      </c>
      <c r="L876" s="39">
        <v>2890</v>
      </c>
      <c r="M876" s="15">
        <f>L876-K876</f>
        <v>23</v>
      </c>
      <c r="N876" s="15">
        <f>Rutas[[#This Row],[Kms Recorridos]]</f>
        <v>23</v>
      </c>
      <c r="O876" s="39"/>
      <c r="P876" s="36"/>
      <c r="Q876" s="16">
        <f>M876*P876</f>
        <v>0</v>
      </c>
      <c r="R876" s="34" t="s">
        <v>273</v>
      </c>
      <c r="S876" s="34" t="s">
        <v>102</v>
      </c>
      <c r="T876" s="36">
        <v>1.8</v>
      </c>
      <c r="U876" s="293">
        <f>Rutas[[#This Row],[Precio x Galón ($/gal)]]*Rutas[[#This Row],[Volumen de Combustible (gal)]]</f>
        <v>29.411999999999999</v>
      </c>
      <c r="V876" s="36"/>
      <c r="W876" s="36"/>
      <c r="X876" s="36"/>
      <c r="Y876" s="145">
        <f>U876+SUM(V876:X876)</f>
        <v>29.411999999999999</v>
      </c>
      <c r="Z876" s="567"/>
      <c r="AA876" s="12">
        <v>16.34</v>
      </c>
      <c r="AB876" s="12">
        <f>IFERROR(M876/AA876,0)</f>
        <v>1.4075887392900857</v>
      </c>
      <c r="AC876" s="12">
        <f>IFERROR(Q876/M876,0)</f>
        <v>0</v>
      </c>
      <c r="AD876" s="34"/>
    </row>
    <row r="877" spans="1:30" ht="16" x14ac:dyDescent="0.2">
      <c r="A877" s="47"/>
      <c r="B877" s="305"/>
      <c r="C877" s="176">
        <f t="shared" si="278"/>
        <v>874</v>
      </c>
      <c r="D877" s="454">
        <v>45833</v>
      </c>
      <c r="E877" s="37">
        <v>45838</v>
      </c>
      <c r="F877" s="65" t="s">
        <v>320</v>
      </c>
      <c r="G877" s="11" t="str">
        <f ca="1">IF(AND(E877&lt;&gt;"",E877&lt;TODAY()),"Disponible",IFERROR(INDEX(Vehiculos[Estado Vehiculo],MATCH(F877,Vehiculos[Placa Vehiculo],0)),""))</f>
        <v>Disponible</v>
      </c>
      <c r="H877" s="34" t="s">
        <v>241</v>
      </c>
      <c r="I877" s="34" t="s">
        <v>273</v>
      </c>
      <c r="J877" s="34"/>
      <c r="K877" s="39">
        <v>2890</v>
      </c>
      <c r="L877" s="39">
        <v>2930</v>
      </c>
      <c r="M877" s="15">
        <f>L877-K877</f>
        <v>40</v>
      </c>
      <c r="N877" s="15">
        <f>Rutas[[#This Row],[Kms Recorridos]]</f>
        <v>40</v>
      </c>
      <c r="O877" s="39"/>
      <c r="P877" s="36"/>
      <c r="Q877" s="16">
        <f>M877*P877</f>
        <v>0</v>
      </c>
      <c r="R877" s="34" t="s">
        <v>273</v>
      </c>
      <c r="S877" s="34" t="s">
        <v>102</v>
      </c>
      <c r="T877" s="36">
        <v>1.8</v>
      </c>
      <c r="U877" s="293">
        <f>Rutas[[#This Row],[Precio x Galón ($/gal)]]*Rutas[[#This Row],[Volumen de Combustible (gal)]]</f>
        <v>45.003599999999999</v>
      </c>
      <c r="V877" s="36"/>
      <c r="W877" s="36"/>
      <c r="X877" s="36"/>
      <c r="Y877" s="145">
        <f>U877+SUM(V877:X877)</f>
        <v>45.003599999999999</v>
      </c>
      <c r="Z877" s="567"/>
      <c r="AA877" s="12">
        <v>25.001999999999999</v>
      </c>
      <c r="AB877" s="12">
        <f>IFERROR(M877/AA877,0)</f>
        <v>1.599872010239181</v>
      </c>
      <c r="AC877" s="12">
        <f>IFERROR(Q877/M877,0)</f>
        <v>0</v>
      </c>
      <c r="AD877" s="34"/>
    </row>
    <row r="878" spans="1:30" ht="16" x14ac:dyDescent="0.2">
      <c r="A878" s="47"/>
      <c r="B878" s="305"/>
      <c r="C878" s="176">
        <f t="shared" si="278"/>
        <v>875</v>
      </c>
      <c r="D878" s="146"/>
      <c r="E878" s="37"/>
      <c r="F878" s="65"/>
      <c r="G878" s="11" t="str">
        <f ca="1">IF(AND(E878&lt;&gt;"",E878&lt;TODAY()),"Disponible",IFERROR(INDEX(Vehiculos[Estado Vehiculo],MATCH(F878,Vehiculos[Placa Vehiculo],0)),""))</f>
        <v/>
      </c>
      <c r="H878" s="34"/>
      <c r="I878" s="34"/>
      <c r="J878" s="34"/>
      <c r="K878" s="39"/>
      <c r="L878" s="39"/>
      <c r="M878" s="15"/>
      <c r="N878" s="15"/>
      <c r="O878" s="39"/>
      <c r="P878" s="36"/>
      <c r="Q878" s="16">
        <f>M878*P878</f>
        <v>0</v>
      </c>
      <c r="R878" s="34"/>
      <c r="S878" s="34"/>
      <c r="T878" s="36"/>
      <c r="U878" s="293"/>
      <c r="V878" s="36"/>
      <c r="W878" s="36"/>
      <c r="X878" s="36"/>
      <c r="Y878" s="145">
        <f>U878+SUM(V878:X878)</f>
        <v>0</v>
      </c>
      <c r="Z878" s="567"/>
      <c r="AA878" s="12"/>
      <c r="AB878" s="12">
        <f>IFERROR(M878/AA878,0)</f>
        <v>0</v>
      </c>
      <c r="AC878" s="12">
        <f>IFERROR(Q878/M878,0)</f>
        <v>0</v>
      </c>
      <c r="AD878" s="34"/>
    </row>
    <row r="879" spans="1:30" ht="16" x14ac:dyDescent="0.2">
      <c r="A879" s="47"/>
      <c r="B879" s="305"/>
      <c r="C879" s="176">
        <f t="shared" si="278"/>
        <v>876</v>
      </c>
      <c r="D879" s="146"/>
      <c r="E879" s="37"/>
      <c r="F879" s="65"/>
      <c r="G879" s="11" t="str">
        <f ca="1">IF(AND(E879&lt;&gt;"",E879&lt;TODAY()),"Disponible",IFERROR(INDEX(Vehiculos[Estado Vehiculo],MATCH(F879,Vehiculos[Placa Vehiculo],0)),""))</f>
        <v/>
      </c>
      <c r="H879" s="34"/>
      <c r="I879" s="34"/>
      <c r="J879" s="34"/>
      <c r="K879" s="39"/>
      <c r="L879" s="39"/>
      <c r="M879" s="15"/>
      <c r="N879" s="15"/>
      <c r="O879" s="39"/>
      <c r="P879" s="36"/>
      <c r="Q879" s="16">
        <f t="shared" si="281"/>
        <v>0</v>
      </c>
      <c r="R879" s="34"/>
      <c r="S879" s="34"/>
      <c r="T879" s="36"/>
      <c r="U879" s="293">
        <f>Rutas[[#This Row],[Precio x Galón ($/gal)]]*Rutas[[#This Row],[Volumen de Combustible (gal)]]</f>
        <v>0</v>
      </c>
      <c r="V879" s="36"/>
      <c r="W879" s="36"/>
      <c r="X879" s="36"/>
      <c r="Y879" s="145">
        <f t="shared" si="282"/>
        <v>0</v>
      </c>
      <c r="Z879" s="567"/>
      <c r="AA879" s="12"/>
      <c r="AB879" s="12">
        <f t="shared" si="283"/>
        <v>0</v>
      </c>
      <c r="AC879" s="12">
        <f t="shared" si="284"/>
        <v>0</v>
      </c>
      <c r="AD879" s="34"/>
    </row>
    <row r="880" spans="1:30" ht="16" x14ac:dyDescent="0.2">
      <c r="A880" s="47"/>
      <c r="B880" s="305"/>
      <c r="C880" s="176">
        <f t="shared" si="278"/>
        <v>877</v>
      </c>
      <c r="D880" s="90">
        <v>45809</v>
      </c>
      <c r="E880" s="90">
        <v>45810</v>
      </c>
      <c r="F880" s="68" t="s">
        <v>352</v>
      </c>
      <c r="G880" s="379" t="str">
        <f ca="1">IF(AND(E880&lt;&gt;"",E880&lt;TODAY()),"Disponible",IFERROR(INDEX(Vehiculos[Estado Vehiculo],MATCH(F880,Vehiculos[Placa Vehiculo],0)),""))</f>
        <v>Disponible</v>
      </c>
      <c r="H880" s="89" t="s">
        <v>269</v>
      </c>
      <c r="I880" s="89" t="s">
        <v>273</v>
      </c>
      <c r="J880" s="89"/>
      <c r="K880" s="380">
        <v>1135</v>
      </c>
      <c r="L880" s="380">
        <v>1136</v>
      </c>
      <c r="M880" s="381">
        <f t="shared" si="285"/>
        <v>1</v>
      </c>
      <c r="N880" s="381">
        <f>Rutas[[#This Row],[Kms Recorridos]]</f>
        <v>1</v>
      </c>
      <c r="O880" s="380"/>
      <c r="P880" s="92"/>
      <c r="Q880" s="382">
        <f t="shared" si="281"/>
        <v>0</v>
      </c>
      <c r="R880" s="89" t="s">
        <v>273</v>
      </c>
      <c r="S880" s="89" t="s">
        <v>102</v>
      </c>
      <c r="T880" s="92">
        <v>1.8</v>
      </c>
      <c r="U880" s="266">
        <f>Rutas[[#This Row],[Precio x Galón ($/gal)]]*Rutas[[#This Row],[Volumen de Combustible (gal)]]</f>
        <v>27.396000000000001</v>
      </c>
      <c r="V880" s="92"/>
      <c r="W880" s="92"/>
      <c r="X880" s="92"/>
      <c r="Y880" s="382">
        <f t="shared" si="282"/>
        <v>27.396000000000001</v>
      </c>
      <c r="Z880" s="567"/>
      <c r="AA880" s="382">
        <v>15.22</v>
      </c>
      <c r="AB880" s="382">
        <f t="shared" si="283"/>
        <v>6.5703022339027597E-2</v>
      </c>
      <c r="AC880" s="382">
        <f t="shared" si="284"/>
        <v>0</v>
      </c>
      <c r="AD880" s="89"/>
    </row>
    <row r="881" spans="1:30" ht="16" x14ac:dyDescent="0.2">
      <c r="A881" s="47"/>
      <c r="B881" s="305"/>
      <c r="C881" s="176">
        <f t="shared" si="278"/>
        <v>878</v>
      </c>
      <c r="D881" s="146">
        <v>45810</v>
      </c>
      <c r="E881" s="37">
        <v>45812</v>
      </c>
      <c r="F881" s="65" t="s">
        <v>352</v>
      </c>
      <c r="G881" s="11" t="str">
        <f ca="1">IF(AND(E881&lt;&gt;"",E881&lt;TODAY()),"Disponible",IFERROR(INDEX(Vehiculos[Estado Vehiculo],MATCH(F881,Vehiculos[Placa Vehiculo],0)),""))</f>
        <v>Disponible</v>
      </c>
      <c r="H881" s="34" t="s">
        <v>269</v>
      </c>
      <c r="I881" s="34" t="s">
        <v>273</v>
      </c>
      <c r="J881" s="34"/>
      <c r="K881" s="39">
        <v>1136</v>
      </c>
      <c r="L881" s="39">
        <v>1142</v>
      </c>
      <c r="M881" s="15">
        <f t="shared" si="285"/>
        <v>6</v>
      </c>
      <c r="N881" s="15">
        <f>Rutas[[#This Row],[Kms Recorridos]]</f>
        <v>6</v>
      </c>
      <c r="O881" s="39"/>
      <c r="P881" s="36"/>
      <c r="Q881" s="16">
        <f t="shared" si="281"/>
        <v>0</v>
      </c>
      <c r="R881" s="34" t="s">
        <v>273</v>
      </c>
      <c r="S881" s="34" t="s">
        <v>102</v>
      </c>
      <c r="T881" s="36">
        <v>1.8</v>
      </c>
      <c r="U881" s="293">
        <f>Rutas[[#This Row],[Precio x Galón ($/gal)]]*Rutas[[#This Row],[Volumen de Combustible (gal)]]</f>
        <v>22.968</v>
      </c>
      <c r="V881" s="36"/>
      <c r="W881" s="36"/>
      <c r="X881" s="36"/>
      <c r="Y881" s="145">
        <f t="shared" si="282"/>
        <v>22.968</v>
      </c>
      <c r="Z881" s="567"/>
      <c r="AA881" s="12">
        <v>12.76</v>
      </c>
      <c r="AB881" s="12">
        <f t="shared" si="283"/>
        <v>0.47021943573667713</v>
      </c>
      <c r="AC881" s="12">
        <f t="shared" si="284"/>
        <v>0</v>
      </c>
      <c r="AD881" s="34"/>
    </row>
    <row r="882" spans="1:30" ht="16" x14ac:dyDescent="0.2">
      <c r="A882" s="47"/>
      <c r="B882" s="305"/>
      <c r="C882" s="176">
        <f t="shared" si="278"/>
        <v>879</v>
      </c>
      <c r="D882" s="146">
        <v>45812</v>
      </c>
      <c r="E882" s="37">
        <v>45815</v>
      </c>
      <c r="F882" s="65" t="s">
        <v>352</v>
      </c>
      <c r="G882" s="11" t="str">
        <f ca="1">IF(AND(E882&lt;&gt;"",E882&lt;TODAY()),"Disponible",IFERROR(INDEX(Vehiculos[Estado Vehiculo],MATCH(F882,Vehiculos[Placa Vehiculo],0)),""))</f>
        <v>Disponible</v>
      </c>
      <c r="H882" s="34" t="s">
        <v>245</v>
      </c>
      <c r="I882" s="34" t="s">
        <v>273</v>
      </c>
      <c r="J882" s="34"/>
      <c r="K882" s="39">
        <v>1142</v>
      </c>
      <c r="L882" s="39">
        <v>1148</v>
      </c>
      <c r="M882" s="15">
        <f t="shared" si="285"/>
        <v>6</v>
      </c>
      <c r="N882" s="15">
        <f>Rutas[[#This Row],[Kms Recorridos]]</f>
        <v>6</v>
      </c>
      <c r="O882" s="39"/>
      <c r="P882" s="36"/>
      <c r="Q882" s="16">
        <f t="shared" si="281"/>
        <v>0</v>
      </c>
      <c r="R882" s="34" t="s">
        <v>273</v>
      </c>
      <c r="S882" s="34" t="s">
        <v>102</v>
      </c>
      <c r="T882" s="36">
        <v>1.8</v>
      </c>
      <c r="U882" s="293">
        <f>Rutas[[#This Row],[Precio x Galón ($/gal)]]*Rutas[[#This Row],[Volumen de Combustible (gal)]]</f>
        <v>23.221800000000002</v>
      </c>
      <c r="V882" s="36"/>
      <c r="W882" s="36"/>
      <c r="X882" s="36"/>
      <c r="Y882" s="145">
        <f t="shared" si="282"/>
        <v>23.221800000000002</v>
      </c>
      <c r="Z882" s="567"/>
      <c r="AA882" s="12">
        <v>12.901</v>
      </c>
      <c r="AB882" s="12">
        <f t="shared" si="283"/>
        <v>0.4650802263390435</v>
      </c>
      <c r="AC882" s="12">
        <f t="shared" si="284"/>
        <v>0</v>
      </c>
      <c r="AD882" s="34"/>
    </row>
    <row r="883" spans="1:30" ht="16" x14ac:dyDescent="0.2">
      <c r="A883" s="47"/>
      <c r="B883" s="305"/>
      <c r="C883" s="176">
        <f t="shared" si="278"/>
        <v>880</v>
      </c>
      <c r="D883" s="146">
        <v>45815</v>
      </c>
      <c r="E883" s="37">
        <v>45817</v>
      </c>
      <c r="F883" s="65" t="s">
        <v>352</v>
      </c>
      <c r="G883" s="11" t="str">
        <f ca="1">IF(AND(E883&lt;&gt;"",E883&lt;TODAY()),"Disponible",IFERROR(INDEX(Vehiculos[Estado Vehiculo],MATCH(F883,Vehiculos[Placa Vehiculo],0)),""))</f>
        <v>Disponible</v>
      </c>
      <c r="H883" s="34" t="s">
        <v>245</v>
      </c>
      <c r="I883" s="34" t="s">
        <v>273</v>
      </c>
      <c r="J883" s="34"/>
      <c r="K883" s="39">
        <v>1148</v>
      </c>
      <c r="L883" s="39">
        <v>1153</v>
      </c>
      <c r="M883" s="15">
        <f t="shared" si="285"/>
        <v>5</v>
      </c>
      <c r="N883" s="15">
        <f>Rutas[[#This Row],[Kms Recorridos]]</f>
        <v>5</v>
      </c>
      <c r="O883" s="39"/>
      <c r="P883" s="36"/>
      <c r="Q883" s="16">
        <f t="shared" si="281"/>
        <v>0</v>
      </c>
      <c r="R883" s="34" t="s">
        <v>273</v>
      </c>
      <c r="S883" s="34" t="s">
        <v>102</v>
      </c>
      <c r="T883" s="36">
        <v>1.8</v>
      </c>
      <c r="U883" s="293">
        <f>Rutas[[#This Row],[Precio x Galón ($/gal)]]*Rutas[[#This Row],[Volumen de Combustible (gal)]]</f>
        <v>11.501999999999999</v>
      </c>
      <c r="V883" s="36"/>
      <c r="W883" s="36"/>
      <c r="X883" s="36"/>
      <c r="Y883" s="145">
        <f t="shared" si="282"/>
        <v>11.501999999999999</v>
      </c>
      <c r="Z883" s="567"/>
      <c r="AA883" s="12">
        <v>6.39</v>
      </c>
      <c r="AB883" s="12">
        <f t="shared" si="283"/>
        <v>0.78247261345852903</v>
      </c>
      <c r="AC883" s="12">
        <f t="shared" si="284"/>
        <v>0</v>
      </c>
      <c r="AD883" s="34"/>
    </row>
    <row r="884" spans="1:30" ht="16" x14ac:dyDescent="0.2">
      <c r="A884" s="47"/>
      <c r="B884" s="305"/>
      <c r="C884" s="176">
        <f t="shared" si="278"/>
        <v>881</v>
      </c>
      <c r="D884" s="146">
        <v>45817</v>
      </c>
      <c r="E884" s="37">
        <v>45830</v>
      </c>
      <c r="F884" s="65" t="s">
        <v>352</v>
      </c>
      <c r="G884" s="11" t="str">
        <f ca="1">IF(AND(E884&lt;&gt;"",E884&lt;TODAY()),"Disponible",IFERROR(INDEX(Vehiculos[Estado Vehiculo],MATCH(F884,Vehiculos[Placa Vehiculo],0)),""))</f>
        <v>Disponible</v>
      </c>
      <c r="H884" s="34" t="s">
        <v>247</v>
      </c>
      <c r="I884" s="34" t="s">
        <v>273</v>
      </c>
      <c r="J884" s="34"/>
      <c r="K884" s="39">
        <v>1153</v>
      </c>
      <c r="L884" s="39">
        <v>1174</v>
      </c>
      <c r="M884" s="15">
        <f t="shared" si="285"/>
        <v>21</v>
      </c>
      <c r="N884" s="15">
        <f>Rutas[[#This Row],[Kms Recorridos]]</f>
        <v>21</v>
      </c>
      <c r="O884" s="39"/>
      <c r="P884" s="36"/>
      <c r="Q884" s="16">
        <f t="shared" si="281"/>
        <v>0</v>
      </c>
      <c r="R884" s="34" t="s">
        <v>273</v>
      </c>
      <c r="S884" s="34" t="s">
        <v>102</v>
      </c>
      <c r="T884" s="36">
        <v>1.8</v>
      </c>
      <c r="U884" s="293">
        <f>Rutas[[#This Row],[Precio x Galón ($/gal)]]*Rutas[[#This Row],[Volumen de Combustible (gal)]]</f>
        <v>28.872</v>
      </c>
      <c r="V884" s="36"/>
      <c r="W884" s="36"/>
      <c r="X884" s="36"/>
      <c r="Y884" s="145">
        <f t="shared" si="282"/>
        <v>28.872</v>
      </c>
      <c r="Z884" s="567"/>
      <c r="AA884" s="12">
        <v>16.04</v>
      </c>
      <c r="AB884" s="12">
        <f t="shared" si="283"/>
        <v>1.3092269326683292</v>
      </c>
      <c r="AC884" s="12">
        <f t="shared" si="284"/>
        <v>0</v>
      </c>
      <c r="AD884" s="34"/>
    </row>
    <row r="885" spans="1:30" ht="16" x14ac:dyDescent="0.2">
      <c r="A885" s="47"/>
      <c r="B885" s="305"/>
      <c r="C885" s="176">
        <f t="shared" si="278"/>
        <v>882</v>
      </c>
      <c r="D885" s="146">
        <v>45830</v>
      </c>
      <c r="E885" s="37">
        <v>45838</v>
      </c>
      <c r="F885" s="65" t="s">
        <v>352</v>
      </c>
      <c r="G885" s="11" t="str">
        <f ca="1">IF(AND(E885&lt;&gt;"",E885&lt;TODAY()),"Disponible",IFERROR(INDEX(Vehiculos[Estado Vehiculo],MATCH(F885,Vehiculos[Placa Vehiculo],0)),""))</f>
        <v>Disponible</v>
      </c>
      <c r="H885" s="34" t="s">
        <v>247</v>
      </c>
      <c r="I885" s="34" t="s">
        <v>273</v>
      </c>
      <c r="J885" s="34"/>
      <c r="K885" s="39">
        <v>1174</v>
      </c>
      <c r="L885" s="39">
        <v>1179</v>
      </c>
      <c r="M885" s="15">
        <f t="shared" si="285"/>
        <v>5</v>
      </c>
      <c r="N885" s="15">
        <f>Rutas[[#This Row],[Kms Recorridos]]</f>
        <v>5</v>
      </c>
      <c r="O885" s="39"/>
      <c r="P885" s="36"/>
      <c r="Q885" s="16">
        <f t="shared" si="281"/>
        <v>0</v>
      </c>
      <c r="R885" s="34"/>
      <c r="S885" s="34"/>
      <c r="T885" s="36"/>
      <c r="U885" s="293">
        <f>Rutas[[#This Row],[Precio x Galón ($/gal)]]*Rutas[[#This Row],[Volumen de Combustible (gal)]]</f>
        <v>0</v>
      </c>
      <c r="V885" s="36"/>
      <c r="W885" s="36"/>
      <c r="X885" s="36"/>
      <c r="Y885" s="145">
        <f t="shared" si="282"/>
        <v>0</v>
      </c>
      <c r="Z885" s="567"/>
      <c r="AA885" s="12"/>
      <c r="AB885" s="12">
        <f t="shared" si="283"/>
        <v>0</v>
      </c>
      <c r="AC885" s="12">
        <f t="shared" si="284"/>
        <v>0</v>
      </c>
      <c r="AD885" s="34"/>
    </row>
    <row r="886" spans="1:30" ht="16" x14ac:dyDescent="0.2">
      <c r="A886" s="47"/>
      <c r="B886" s="305"/>
      <c r="C886" s="176">
        <f t="shared" si="278"/>
        <v>883</v>
      </c>
      <c r="D886" s="146"/>
      <c r="E886" s="37"/>
      <c r="F886" s="65"/>
      <c r="G886" s="11" t="str">
        <f ca="1">IF(AND(E886&lt;&gt;"",E886&lt;TODAY()),"Disponible",IFERROR(INDEX(Vehiculos[Estado Vehiculo],MATCH(F886,Vehiculos[Placa Vehiculo],0)),""))</f>
        <v/>
      </c>
      <c r="H886" s="34"/>
      <c r="I886" s="34"/>
      <c r="J886" s="34"/>
      <c r="K886" s="39"/>
      <c r="L886" s="39"/>
      <c r="M886" s="15"/>
      <c r="N886" s="15"/>
      <c r="O886" s="39"/>
      <c r="P886" s="36"/>
      <c r="Q886" s="16">
        <f t="shared" si="281"/>
        <v>0</v>
      </c>
      <c r="R886" s="34"/>
      <c r="S886" s="34"/>
      <c r="T886" s="36"/>
      <c r="U886" s="293">
        <f>Rutas[[#This Row],[Precio x Galón ($/gal)]]*Rutas[[#This Row],[Volumen de Combustible (gal)]]</f>
        <v>0</v>
      </c>
      <c r="V886" s="36"/>
      <c r="W886" s="36"/>
      <c r="X886" s="36"/>
      <c r="Y886" s="145">
        <f t="shared" si="282"/>
        <v>0</v>
      </c>
      <c r="Z886" s="567"/>
      <c r="AA886" s="12"/>
      <c r="AB886" s="12">
        <f t="shared" si="283"/>
        <v>0</v>
      </c>
      <c r="AC886" s="12">
        <f t="shared" si="284"/>
        <v>0</v>
      </c>
      <c r="AD886" s="34"/>
    </row>
    <row r="887" spans="1:30" x14ac:dyDescent="0.2">
      <c r="A887" s="47"/>
      <c r="B887" s="305"/>
      <c r="C887" s="176">
        <f t="shared" si="278"/>
        <v>884</v>
      </c>
      <c r="D887" s="146"/>
      <c r="E887" s="37"/>
      <c r="F887" s="377"/>
      <c r="G887" s="11" t="str">
        <f ca="1">IF(AND(E887&lt;&gt;"",E887&lt;TODAY()),"Disponible",IFERROR(INDEX(Vehiculos[Estado Vehiculo],MATCH(F887,Vehiculos[Placa Vehiculo],0)),""))</f>
        <v/>
      </c>
      <c r="H887" s="34"/>
      <c r="I887" s="34"/>
      <c r="J887" s="34"/>
      <c r="K887" s="39"/>
      <c r="L887" s="39"/>
      <c r="M887" s="15"/>
      <c r="N887" s="15"/>
      <c r="O887" s="39"/>
      <c r="P887" s="36"/>
      <c r="Q887" s="16">
        <f t="shared" si="281"/>
        <v>0</v>
      </c>
      <c r="R887" s="34"/>
      <c r="S887" s="34"/>
      <c r="T887" s="36"/>
      <c r="U887" s="293">
        <f>Rutas[[#This Row],[Precio x Galón ($/gal)]]*Rutas[[#This Row],[Volumen de Combustible (gal)]]</f>
        <v>0</v>
      </c>
      <c r="V887" s="36"/>
      <c r="W887" s="36"/>
      <c r="X887" s="36"/>
      <c r="Y887" s="145">
        <f t="shared" si="282"/>
        <v>0</v>
      </c>
      <c r="Z887" s="567"/>
      <c r="AA887" s="12"/>
      <c r="AB887" s="12">
        <f t="shared" si="283"/>
        <v>0</v>
      </c>
      <c r="AC887" s="12">
        <f t="shared" si="284"/>
        <v>0</v>
      </c>
      <c r="AD887" s="34"/>
    </row>
    <row r="888" spans="1:30" ht="16" x14ac:dyDescent="0.2">
      <c r="A888" s="47"/>
      <c r="B888" s="305"/>
      <c r="C888" s="176">
        <f t="shared" si="278"/>
        <v>885</v>
      </c>
      <c r="D888" s="90">
        <v>45818</v>
      </c>
      <c r="E888" s="90">
        <v>45828</v>
      </c>
      <c r="F888" s="68" t="s">
        <v>414</v>
      </c>
      <c r="G888" s="379" t="str">
        <f ca="1">IF(AND(E888&lt;&gt;"",E888&lt;TODAY()),"Disponible",IFERROR(INDEX(Vehiculos[Estado Vehiculo],MATCH(F888,Vehiculos[Placa Vehiculo],0)),""))</f>
        <v>Disponible</v>
      </c>
      <c r="H888" s="89" t="s">
        <v>411</v>
      </c>
      <c r="I888" s="89" t="s">
        <v>273</v>
      </c>
      <c r="J888" s="89" t="s">
        <v>282</v>
      </c>
      <c r="K888" s="380">
        <v>1</v>
      </c>
      <c r="L888" s="380">
        <v>9</v>
      </c>
      <c r="M888" s="381">
        <f t="shared" si="285"/>
        <v>8</v>
      </c>
      <c r="N888" s="381">
        <f>Rutas[[#This Row],[Kms Recorridos]]</f>
        <v>8</v>
      </c>
      <c r="O888" s="380"/>
      <c r="P888" s="92"/>
      <c r="Q888" s="382">
        <f t="shared" si="281"/>
        <v>0</v>
      </c>
      <c r="R888" s="89" t="s">
        <v>273</v>
      </c>
      <c r="S888" s="89" t="s">
        <v>102</v>
      </c>
      <c r="T888" s="92">
        <v>1.8</v>
      </c>
      <c r="U888" s="266">
        <f>Rutas[[#This Row],[Precio x Galón ($/gal)]]*Rutas[[#This Row],[Volumen de Combustible (gal)]]</f>
        <v>0</v>
      </c>
      <c r="V888" s="92"/>
      <c r="W888" s="92"/>
      <c r="X888" s="92"/>
      <c r="Y888" s="382">
        <f t="shared" si="282"/>
        <v>0</v>
      </c>
      <c r="Z888" s="567"/>
      <c r="AA888" s="382"/>
      <c r="AB888" s="382">
        <f t="shared" si="283"/>
        <v>0</v>
      </c>
      <c r="AC888" s="382">
        <f t="shared" si="284"/>
        <v>0</v>
      </c>
      <c r="AD888" s="89"/>
    </row>
    <row r="889" spans="1:30" ht="16" x14ac:dyDescent="0.2">
      <c r="A889" s="47"/>
      <c r="B889" s="305"/>
      <c r="C889" s="176">
        <f t="shared" si="278"/>
        <v>886</v>
      </c>
      <c r="D889" s="146">
        <v>45828</v>
      </c>
      <c r="E889" s="37">
        <v>45838</v>
      </c>
      <c r="F889" s="65" t="s">
        <v>414</v>
      </c>
      <c r="G889" s="11" t="str">
        <f ca="1">IF(AND(E889&lt;&gt;"",E889&lt;TODAY()),"Disponible",IFERROR(INDEX(Vehiculos[Estado Vehiculo],MATCH(F889,Vehiculos[Placa Vehiculo],0)),""))</f>
        <v>Disponible</v>
      </c>
      <c r="H889" s="34" t="s">
        <v>411</v>
      </c>
      <c r="I889" s="34" t="s">
        <v>273</v>
      </c>
      <c r="J889" s="34" t="s">
        <v>282</v>
      </c>
      <c r="K889" s="39">
        <v>9</v>
      </c>
      <c r="L889" s="39">
        <v>34</v>
      </c>
      <c r="M889" s="15">
        <f t="shared" si="285"/>
        <v>25</v>
      </c>
      <c r="N889" s="15">
        <f>Rutas[[#This Row],[Kms Recorridos]]</f>
        <v>25</v>
      </c>
      <c r="O889" s="39"/>
      <c r="P889" s="36"/>
      <c r="Q889" s="16">
        <f t="shared" si="281"/>
        <v>0</v>
      </c>
      <c r="R889" s="34" t="s">
        <v>273</v>
      </c>
      <c r="S889" s="34" t="s">
        <v>102</v>
      </c>
      <c r="T889" s="36">
        <v>1.8</v>
      </c>
      <c r="U889" s="293">
        <f>Rutas[[#This Row],[Precio x Galón ($/gal)]]*Rutas[[#This Row],[Volumen de Combustible (gal)]]</f>
        <v>0</v>
      </c>
      <c r="V889" s="36"/>
      <c r="W889" s="36"/>
      <c r="X889" s="36"/>
      <c r="Y889" s="145">
        <f t="shared" si="282"/>
        <v>0</v>
      </c>
      <c r="Z889" s="567"/>
      <c r="AA889" s="12"/>
      <c r="AB889" s="12">
        <f t="shared" si="283"/>
        <v>0</v>
      </c>
      <c r="AC889" s="12">
        <f t="shared" si="284"/>
        <v>0</v>
      </c>
      <c r="AD889" s="34"/>
    </row>
    <row r="890" spans="1:30" x14ac:dyDescent="0.2">
      <c r="A890" s="47"/>
      <c r="B890" s="305"/>
      <c r="C890" s="176">
        <f t="shared" si="278"/>
        <v>887</v>
      </c>
      <c r="D890" s="146"/>
      <c r="E890" s="37"/>
      <c r="F890" s="377"/>
      <c r="G890" s="11" t="str">
        <f ca="1">IF(AND(E890&lt;&gt;"",E890&lt;TODAY()),"Disponible",IFERROR(INDEX(Vehiculos[Estado Vehiculo],MATCH(F890,Vehiculos[Placa Vehiculo],0)),""))</f>
        <v/>
      </c>
      <c r="H890" s="34"/>
      <c r="I890" s="34"/>
      <c r="J890" s="34"/>
      <c r="K890" s="39"/>
      <c r="L890" s="39"/>
      <c r="M890" s="15"/>
      <c r="N890" s="15"/>
      <c r="O890" s="39"/>
      <c r="P890" s="36"/>
      <c r="Q890" s="16">
        <f t="shared" si="281"/>
        <v>0</v>
      </c>
      <c r="R890" s="34"/>
      <c r="S890" s="34"/>
      <c r="T890" s="36"/>
      <c r="U890" s="293">
        <f>Rutas[[#This Row],[Precio x Galón ($/gal)]]*Rutas[[#This Row],[Volumen de Combustible (gal)]]</f>
        <v>0</v>
      </c>
      <c r="V890" s="36"/>
      <c r="W890" s="36"/>
      <c r="X890" s="36"/>
      <c r="Y890" s="145">
        <f t="shared" si="282"/>
        <v>0</v>
      </c>
      <c r="Z890" s="567"/>
      <c r="AA890" s="12"/>
      <c r="AB890" s="12">
        <f t="shared" si="283"/>
        <v>0</v>
      </c>
      <c r="AC890" s="12">
        <f t="shared" si="284"/>
        <v>0</v>
      </c>
      <c r="AD890" s="34"/>
    </row>
    <row r="891" spans="1:30" ht="16" x14ac:dyDescent="0.2">
      <c r="A891" s="47"/>
      <c r="B891" s="305"/>
      <c r="C891" s="176">
        <f t="shared" si="278"/>
        <v>888</v>
      </c>
      <c r="D891" s="90">
        <v>45809</v>
      </c>
      <c r="E891" s="90">
        <v>45815</v>
      </c>
      <c r="F891" s="68" t="s">
        <v>406</v>
      </c>
      <c r="G891" s="379" t="str">
        <f ca="1">IF(AND(E891&lt;&gt;"",E891&lt;TODAY()),"Disponible",IFERROR(INDEX(Vehiculos[Estado Vehiculo],MATCH(F891,Vehiculos[Placa Vehiculo],0)),""))</f>
        <v>Disponible</v>
      </c>
      <c r="H891" s="89" t="s">
        <v>269</v>
      </c>
      <c r="I891" s="89" t="s">
        <v>273</v>
      </c>
      <c r="J891" s="89"/>
      <c r="K891" s="380">
        <v>6588</v>
      </c>
      <c r="L891" s="380">
        <v>6605</v>
      </c>
      <c r="M891" s="381">
        <f t="shared" si="285"/>
        <v>17</v>
      </c>
      <c r="N891" s="381">
        <f>Rutas[[#This Row],[Kms Recorridos]]</f>
        <v>17</v>
      </c>
      <c r="O891" s="380"/>
      <c r="P891" s="92"/>
      <c r="Q891" s="382">
        <f t="shared" si="281"/>
        <v>0</v>
      </c>
      <c r="R891" s="89" t="s">
        <v>273</v>
      </c>
      <c r="S891" s="89" t="s">
        <v>102</v>
      </c>
      <c r="T891" s="92">
        <v>1.8</v>
      </c>
      <c r="U891" s="266">
        <f>Rutas[[#This Row],[Precio x Galón ($/gal)]]*Rutas[[#This Row],[Volumen de Combustible (gal)]]</f>
        <v>25.056000000000001</v>
      </c>
      <c r="V891" s="92"/>
      <c r="W891" s="92"/>
      <c r="X891" s="92"/>
      <c r="Y891" s="382">
        <f t="shared" si="282"/>
        <v>25.056000000000001</v>
      </c>
      <c r="Z891" s="567"/>
      <c r="AA891" s="382">
        <v>13.92</v>
      </c>
      <c r="AB891" s="382">
        <f t="shared" si="283"/>
        <v>1.2212643678160919</v>
      </c>
      <c r="AC891" s="382">
        <f t="shared" si="284"/>
        <v>0</v>
      </c>
      <c r="AD891" s="89"/>
    </row>
    <row r="892" spans="1:30" ht="16" x14ac:dyDescent="0.2">
      <c r="A892" s="47"/>
      <c r="B892" s="305"/>
      <c r="C892" s="176">
        <f t="shared" si="278"/>
        <v>889</v>
      </c>
      <c r="D892" s="146">
        <v>45815</v>
      </c>
      <c r="E892" s="146">
        <v>45821</v>
      </c>
      <c r="F892" s="168" t="s">
        <v>406</v>
      </c>
      <c r="G892" s="11" t="str">
        <f ca="1">IF(AND(E892&lt;&gt;"",E892&lt;TODAY()),"Disponible",IFERROR(INDEX(Vehiculos[Estado Vehiculo],MATCH(F892,Vehiculos[Placa Vehiculo],0)),""))</f>
        <v>Disponible</v>
      </c>
      <c r="H892" s="169" t="s">
        <v>409</v>
      </c>
      <c r="I892" s="169" t="s">
        <v>273</v>
      </c>
      <c r="J892" s="169"/>
      <c r="K892" s="375">
        <v>6605</v>
      </c>
      <c r="L892" s="375">
        <v>6650</v>
      </c>
      <c r="M892" s="15">
        <f>L892-K892</f>
        <v>45</v>
      </c>
      <c r="N892" s="15">
        <f>Rutas[[#This Row],[Kms Recorridos]]</f>
        <v>45</v>
      </c>
      <c r="O892" s="375"/>
      <c r="P892" s="171"/>
      <c r="Q892" s="16">
        <f>M892*P892</f>
        <v>0</v>
      </c>
      <c r="R892" s="89" t="s">
        <v>273</v>
      </c>
      <c r="S892" s="89" t="s">
        <v>102</v>
      </c>
      <c r="T892" s="92">
        <v>1.8</v>
      </c>
      <c r="U892" s="266">
        <f>Rutas[[#This Row],[Precio x Galón ($/gal)]]*Rutas[[#This Row],[Volumen de Combustible (gal)]]</f>
        <v>36.648000000000003</v>
      </c>
      <c r="V892" s="92"/>
      <c r="W892" s="92"/>
      <c r="X892" s="92"/>
      <c r="Y892" s="145">
        <f>U892+SUM(V892:X892)</f>
        <v>36.648000000000003</v>
      </c>
      <c r="Z892" s="567"/>
      <c r="AA892" s="12">
        <v>20.36</v>
      </c>
      <c r="AB892" s="12">
        <f>IFERROR(M892/AA892,0)</f>
        <v>2.2102161100196462</v>
      </c>
      <c r="AC892" s="12">
        <f>IFERROR(Q892/M892,0)</f>
        <v>0</v>
      </c>
      <c r="AD892" s="89"/>
    </row>
    <row r="893" spans="1:30" ht="16" x14ac:dyDescent="0.2">
      <c r="A893" s="47"/>
      <c r="B893" s="305"/>
      <c r="C893" s="176">
        <f t="shared" si="278"/>
        <v>890</v>
      </c>
      <c r="D893" s="146">
        <v>45821</v>
      </c>
      <c r="E893" s="37">
        <v>45824</v>
      </c>
      <c r="F893" s="65" t="s">
        <v>406</v>
      </c>
      <c r="G893" s="11" t="str">
        <f ca="1">IF(AND(E893&lt;&gt;"",E893&lt;TODAY()),"Disponible",IFERROR(INDEX(Vehiculos[Estado Vehiculo],MATCH(F893,Vehiculos[Placa Vehiculo],0)),""))</f>
        <v>Disponible</v>
      </c>
      <c r="H893" s="34" t="s">
        <v>237</v>
      </c>
      <c r="I893" s="34" t="s">
        <v>273</v>
      </c>
      <c r="J893" s="34"/>
      <c r="K893" s="39">
        <v>6650</v>
      </c>
      <c r="L893" s="39">
        <v>6676</v>
      </c>
      <c r="M893" s="15">
        <f t="shared" si="285"/>
        <v>26</v>
      </c>
      <c r="N893" s="15">
        <f>Rutas[[#This Row],[Kms Recorridos]]</f>
        <v>26</v>
      </c>
      <c r="O893" s="39"/>
      <c r="P893" s="36"/>
      <c r="Q893" s="16">
        <f t="shared" si="281"/>
        <v>0</v>
      </c>
      <c r="R893" s="34" t="s">
        <v>273</v>
      </c>
      <c r="S893" s="34" t="s">
        <v>102</v>
      </c>
      <c r="T893" s="36">
        <v>1.8</v>
      </c>
      <c r="U893" s="293">
        <f>Rutas[[#This Row],[Precio x Galón ($/gal)]]*Rutas[[#This Row],[Volumen de Combustible (gal)]]</f>
        <v>27.864000000000001</v>
      </c>
      <c r="V893" s="36"/>
      <c r="W893" s="36"/>
      <c r="X893" s="36"/>
      <c r="Y893" s="145">
        <f t="shared" si="282"/>
        <v>27.864000000000001</v>
      </c>
      <c r="Z893" s="567"/>
      <c r="AA893" s="12">
        <v>15.48</v>
      </c>
      <c r="AB893" s="12">
        <f t="shared" si="283"/>
        <v>1.6795865633074936</v>
      </c>
      <c r="AC893" s="12">
        <f t="shared" si="284"/>
        <v>0</v>
      </c>
      <c r="AD893" s="34"/>
    </row>
    <row r="894" spans="1:30" ht="16" x14ac:dyDescent="0.2">
      <c r="A894" s="47"/>
      <c r="B894" s="305"/>
      <c r="C894" s="176">
        <f t="shared" si="278"/>
        <v>891</v>
      </c>
      <c r="D894" s="146">
        <v>45824</v>
      </c>
      <c r="E894" s="37">
        <v>45827</v>
      </c>
      <c r="F894" s="65" t="s">
        <v>406</v>
      </c>
      <c r="G894" s="11" t="str">
        <f ca="1">IF(AND(E894&lt;&gt;"",E894&lt;TODAY()),"Disponible",IFERROR(INDEX(Vehiculos[Estado Vehiculo],MATCH(F894,Vehiculos[Placa Vehiculo],0)),""))</f>
        <v>Disponible</v>
      </c>
      <c r="H894" s="34" t="s">
        <v>237</v>
      </c>
      <c r="I894" s="34" t="s">
        <v>273</v>
      </c>
      <c r="J894" s="34"/>
      <c r="K894" s="39">
        <v>6676</v>
      </c>
      <c r="L894" s="39">
        <v>6702</v>
      </c>
      <c r="M894" s="15">
        <f t="shared" si="285"/>
        <v>26</v>
      </c>
      <c r="N894" s="15">
        <f>Rutas[[#This Row],[Kms Recorridos]]</f>
        <v>26</v>
      </c>
      <c r="O894" s="39"/>
      <c r="P894" s="36"/>
      <c r="Q894" s="16">
        <f t="shared" si="281"/>
        <v>0</v>
      </c>
      <c r="R894" s="34" t="s">
        <v>273</v>
      </c>
      <c r="S894" s="34" t="s">
        <v>102</v>
      </c>
      <c r="T894" s="36">
        <v>1.8</v>
      </c>
      <c r="U894" s="293">
        <f>Rutas[[#This Row],[Precio x Galón ($/gal)]]*Rutas[[#This Row],[Volumen de Combustible (gal)]]</f>
        <v>18</v>
      </c>
      <c r="V894" s="36"/>
      <c r="W894" s="36"/>
      <c r="X894" s="36"/>
      <c r="Y894" s="145">
        <f t="shared" si="282"/>
        <v>18</v>
      </c>
      <c r="Z894" s="567"/>
      <c r="AA894" s="12">
        <v>10</v>
      </c>
      <c r="AB894" s="12">
        <f t="shared" si="283"/>
        <v>2.6</v>
      </c>
      <c r="AC894" s="12">
        <f t="shared" si="284"/>
        <v>0</v>
      </c>
      <c r="AD894" s="34"/>
    </row>
    <row r="895" spans="1:30" ht="16" x14ac:dyDescent="0.2">
      <c r="A895" s="47"/>
      <c r="B895" s="305"/>
      <c r="C895" s="176">
        <f t="shared" si="278"/>
        <v>892</v>
      </c>
      <c r="D895" s="146">
        <v>45827</v>
      </c>
      <c r="E895" s="37">
        <v>45830</v>
      </c>
      <c r="F895" s="65" t="s">
        <v>406</v>
      </c>
      <c r="G895" s="11" t="str">
        <f ca="1">IF(AND(E895&lt;&gt;"",E895&lt;TODAY()),"Disponible",IFERROR(INDEX(Vehiculos[Estado Vehiculo],MATCH(F895,Vehiculos[Placa Vehiculo],0)),""))</f>
        <v>Disponible</v>
      </c>
      <c r="H895" s="34" t="s">
        <v>237</v>
      </c>
      <c r="I895" s="34" t="s">
        <v>273</v>
      </c>
      <c r="J895" s="34"/>
      <c r="K895" s="39">
        <v>6702</v>
      </c>
      <c r="L895" s="39">
        <v>6720</v>
      </c>
      <c r="M895" s="15">
        <f t="shared" si="285"/>
        <v>18</v>
      </c>
      <c r="N895" s="15">
        <f>Rutas[[#This Row],[Kms Recorridos]]</f>
        <v>18</v>
      </c>
      <c r="O895" s="39"/>
      <c r="P895" s="36"/>
      <c r="Q895" s="16">
        <f t="shared" si="281"/>
        <v>0</v>
      </c>
      <c r="R895" s="34" t="s">
        <v>273</v>
      </c>
      <c r="S895" s="34" t="s">
        <v>102</v>
      </c>
      <c r="T895" s="36">
        <v>1.8</v>
      </c>
      <c r="U895" s="293">
        <f>Rutas[[#This Row],[Precio x Galón ($/gal)]]*Rutas[[#This Row],[Volumen de Combustible (gal)]]</f>
        <v>18</v>
      </c>
      <c r="V895" s="36"/>
      <c r="W895" s="36"/>
      <c r="X895" s="36"/>
      <c r="Y895" s="145">
        <f t="shared" si="282"/>
        <v>18</v>
      </c>
      <c r="Z895" s="567"/>
      <c r="AA895" s="12">
        <v>10</v>
      </c>
      <c r="AB895" s="12">
        <f t="shared" si="283"/>
        <v>1.8</v>
      </c>
      <c r="AC895" s="12">
        <f t="shared" si="284"/>
        <v>0</v>
      </c>
      <c r="AD895" s="34"/>
    </row>
    <row r="896" spans="1:30" ht="16" x14ac:dyDescent="0.2">
      <c r="A896" s="47"/>
      <c r="B896" s="305"/>
      <c r="C896" s="176">
        <f t="shared" si="278"/>
        <v>893</v>
      </c>
      <c r="D896" s="146">
        <v>45830</v>
      </c>
      <c r="E896" s="37">
        <v>45833</v>
      </c>
      <c r="F896" s="65" t="s">
        <v>406</v>
      </c>
      <c r="G896" s="11" t="str">
        <f ca="1">IF(AND(E896&lt;&gt;"",E896&lt;TODAY()),"Disponible",IFERROR(INDEX(Vehiculos[Estado Vehiculo],MATCH(F896,Vehiculos[Placa Vehiculo],0)),""))</f>
        <v>Disponible</v>
      </c>
      <c r="H896" s="34" t="s">
        <v>237</v>
      </c>
      <c r="I896" s="34" t="s">
        <v>273</v>
      </c>
      <c r="J896" s="34"/>
      <c r="K896" s="39">
        <v>6720</v>
      </c>
      <c r="L896" s="39">
        <v>6740</v>
      </c>
      <c r="M896" s="15">
        <f t="shared" si="285"/>
        <v>20</v>
      </c>
      <c r="N896" s="15">
        <f>Rutas[[#This Row],[Kms Recorridos]]</f>
        <v>20</v>
      </c>
      <c r="O896" s="39"/>
      <c r="P896" s="36"/>
      <c r="Q896" s="16">
        <f t="shared" si="281"/>
        <v>0</v>
      </c>
      <c r="R896" s="34" t="s">
        <v>273</v>
      </c>
      <c r="S896" s="34" t="s">
        <v>102</v>
      </c>
      <c r="T896" s="36">
        <v>1.8</v>
      </c>
      <c r="U896" s="293">
        <f>Rutas[[#This Row],[Precio x Galón ($/gal)]]*Rutas[[#This Row],[Volumen de Combustible (gal)]]</f>
        <v>25.2</v>
      </c>
      <c r="V896" s="36"/>
      <c r="W896" s="36"/>
      <c r="X896" s="36"/>
      <c r="Y896" s="145">
        <f t="shared" si="282"/>
        <v>25.2</v>
      </c>
      <c r="Z896" s="567"/>
      <c r="AA896" s="12">
        <v>14</v>
      </c>
      <c r="AB896" s="12">
        <f t="shared" si="283"/>
        <v>1.4285714285714286</v>
      </c>
      <c r="AC896" s="12">
        <f t="shared" si="284"/>
        <v>0</v>
      </c>
      <c r="AD896" s="34"/>
    </row>
    <row r="897" spans="1:30" ht="16" x14ac:dyDescent="0.2">
      <c r="A897" s="47"/>
      <c r="B897" s="305"/>
      <c r="C897" s="176">
        <f t="shared" si="278"/>
        <v>894</v>
      </c>
      <c r="D897" s="146">
        <v>45833</v>
      </c>
      <c r="E897" s="37">
        <v>45836</v>
      </c>
      <c r="F897" s="65" t="s">
        <v>406</v>
      </c>
      <c r="G897" s="11" t="str">
        <f ca="1">IF(AND(E897&lt;&gt;"",E897&lt;TODAY()),"Disponible",IFERROR(INDEX(Vehiculos[Estado Vehiculo],MATCH(F897,Vehiculos[Placa Vehiculo],0)),""))</f>
        <v>Disponible</v>
      </c>
      <c r="H897" s="34" t="s">
        <v>237</v>
      </c>
      <c r="I897" s="34" t="s">
        <v>273</v>
      </c>
      <c r="J897" s="34"/>
      <c r="K897" s="39">
        <v>6740</v>
      </c>
      <c r="L897" s="39">
        <v>6761</v>
      </c>
      <c r="M897" s="15">
        <f t="shared" si="285"/>
        <v>21</v>
      </c>
      <c r="N897" s="15">
        <f>Rutas[[#This Row],[Kms Recorridos]]</f>
        <v>21</v>
      </c>
      <c r="O897" s="39"/>
      <c r="P897" s="36"/>
      <c r="Q897" s="16">
        <f t="shared" si="281"/>
        <v>0</v>
      </c>
      <c r="R897" s="34" t="s">
        <v>273</v>
      </c>
      <c r="S897" s="34" t="s">
        <v>102</v>
      </c>
      <c r="T897" s="36">
        <v>1.8</v>
      </c>
      <c r="U897" s="293">
        <f>Rutas[[#This Row],[Precio x Galón ($/gal)]]*Rutas[[#This Row],[Volumen de Combustible (gal)]]</f>
        <v>23.400000000000002</v>
      </c>
      <c r="V897" s="36"/>
      <c r="W897" s="36"/>
      <c r="X897" s="36"/>
      <c r="Y897" s="145">
        <f t="shared" si="282"/>
        <v>23.400000000000002</v>
      </c>
      <c r="Z897" s="567"/>
      <c r="AA897" s="12">
        <v>13</v>
      </c>
      <c r="AB897" s="12">
        <f t="shared" si="283"/>
        <v>1.6153846153846154</v>
      </c>
      <c r="AC897" s="12">
        <f t="shared" si="284"/>
        <v>0</v>
      </c>
      <c r="AD897" s="34"/>
    </row>
    <row r="898" spans="1:30" ht="16" x14ac:dyDescent="0.2">
      <c r="A898" s="47"/>
      <c r="B898" s="305"/>
      <c r="C898" s="176">
        <f t="shared" si="278"/>
        <v>895</v>
      </c>
      <c r="D898" s="146">
        <v>45836</v>
      </c>
      <c r="E898" s="37">
        <v>45838</v>
      </c>
      <c r="F898" s="65" t="s">
        <v>406</v>
      </c>
      <c r="G898" s="11" t="str">
        <f ca="1">IF(AND(E898&lt;&gt;"",E898&lt;TODAY()),"Disponible",IFERROR(INDEX(Vehiculos[Estado Vehiculo],MATCH(F898,Vehiculos[Placa Vehiculo],0)),""))</f>
        <v>Disponible</v>
      </c>
      <c r="H898" s="34" t="s">
        <v>269</v>
      </c>
      <c r="I898" s="34" t="s">
        <v>273</v>
      </c>
      <c r="J898" s="34"/>
      <c r="K898" s="39">
        <v>6761</v>
      </c>
      <c r="L898" s="39">
        <v>6783</v>
      </c>
      <c r="M898" s="15">
        <f t="shared" si="285"/>
        <v>22</v>
      </c>
      <c r="N898" s="15">
        <f>Rutas[[#This Row],[Kms Recorridos]]</f>
        <v>22</v>
      </c>
      <c r="O898" s="39"/>
      <c r="P898" s="36"/>
      <c r="Q898" s="16">
        <f t="shared" si="281"/>
        <v>0</v>
      </c>
      <c r="R898" s="34" t="s">
        <v>273</v>
      </c>
      <c r="S898" s="34" t="s">
        <v>102</v>
      </c>
      <c r="T898" s="36">
        <v>1.8</v>
      </c>
      <c r="U898" s="293">
        <f>Rutas[[#This Row],[Precio x Galón ($/gal)]]*Rutas[[#This Row],[Volumen de Combustible (gal)]]</f>
        <v>23.562000000000001</v>
      </c>
      <c r="V898" s="36"/>
      <c r="W898" s="36"/>
      <c r="X898" s="36"/>
      <c r="Y898" s="145">
        <f t="shared" si="282"/>
        <v>23.562000000000001</v>
      </c>
      <c r="Z898" s="567"/>
      <c r="AA898" s="12">
        <v>13.09</v>
      </c>
      <c r="AB898" s="12">
        <f t="shared" si="283"/>
        <v>1.680672268907563</v>
      </c>
      <c r="AC898" s="12">
        <f t="shared" si="284"/>
        <v>0</v>
      </c>
      <c r="AD898" s="34"/>
    </row>
    <row r="899" spans="1:30" ht="16" thickBot="1" x14ac:dyDescent="0.25">
      <c r="A899" s="174"/>
      <c r="B899" s="306"/>
      <c r="C899" s="176">
        <f t="shared" si="278"/>
        <v>896</v>
      </c>
      <c r="D899" s="156"/>
      <c r="E899" s="157"/>
      <c r="F899" s="520"/>
      <c r="G899" s="159" t="str">
        <f ca="1">IF(AND(E899&lt;&gt;"",E899&lt;TODAY()),"Disponible",IFERROR(INDEX(Vehiculos[Estado Vehiculo],MATCH(F899,Vehiculos[Placa Vehiculo],0)),""))</f>
        <v/>
      </c>
      <c r="H899" s="160"/>
      <c r="I899" s="160"/>
      <c r="J899" s="160"/>
      <c r="K899" s="161"/>
      <c r="L899" s="161"/>
      <c r="M899" s="162"/>
      <c r="N899" s="162"/>
      <c r="O899" s="161"/>
      <c r="P899" s="163"/>
      <c r="Q899" s="164">
        <f t="shared" si="281"/>
        <v>0</v>
      </c>
      <c r="R899" s="160"/>
      <c r="S899" s="160"/>
      <c r="T899" s="163"/>
      <c r="U899" s="407">
        <f>Rutas[[#This Row],[Precio x Galón ($/gal)]]*Rutas[[#This Row],[Volumen de Combustible (gal)]]</f>
        <v>0</v>
      </c>
      <c r="V899" s="163"/>
      <c r="W899" s="163"/>
      <c r="X899" s="163"/>
      <c r="Y899" s="165">
        <f t="shared" si="282"/>
        <v>0</v>
      </c>
      <c r="Z899" s="568"/>
      <c r="AA899" s="166"/>
      <c r="AB899" s="166">
        <f t="shared" si="283"/>
        <v>0</v>
      </c>
      <c r="AC899" s="166">
        <f t="shared" si="284"/>
        <v>0</v>
      </c>
      <c r="AD899" s="160"/>
    </row>
    <row r="900" spans="1:30" ht="16" thickTop="1" x14ac:dyDescent="0.2">
      <c r="A900" s="47"/>
      <c r="B900" s="521"/>
      <c r="C900" s="176">
        <f t="shared" ref="C900:C963" si="286">ROW(A897)</f>
        <v>897</v>
      </c>
      <c r="D900" s="146"/>
      <c r="E900" s="37"/>
      <c r="F900" s="377"/>
      <c r="G900" s="11" t="str">
        <f ca="1">IF(AND(E900&lt;&gt;"",E900&lt;TODAY()),"Disponible",IFERROR(INDEX(Vehiculos[Estado Vehiculo],MATCH(F900,Vehiculos[Placa Vehiculo],0)),""))</f>
        <v/>
      </c>
      <c r="H900" s="34"/>
      <c r="I900" s="34"/>
      <c r="J900" s="34"/>
      <c r="K900" s="39"/>
      <c r="L900" s="39"/>
      <c r="M900" s="15"/>
      <c r="N900" s="15"/>
      <c r="O900" s="39"/>
      <c r="P900" s="36"/>
      <c r="Q900" s="16">
        <f t="shared" si="281"/>
        <v>0</v>
      </c>
      <c r="R900" s="34"/>
      <c r="S900" s="34"/>
      <c r="T900" s="36"/>
      <c r="U900" s="293">
        <f>Rutas[[#This Row],[Precio x Galón ($/gal)]]*Rutas[[#This Row],[Volumen de Combustible (gal)]]</f>
        <v>0</v>
      </c>
      <c r="V900" s="36"/>
      <c r="W900" s="36"/>
      <c r="X900" s="36"/>
      <c r="Y900" s="145">
        <f t="shared" si="282"/>
        <v>0</v>
      </c>
      <c r="Z900" s="567"/>
      <c r="AA900" s="12"/>
      <c r="AB900" s="12">
        <f t="shared" si="283"/>
        <v>0</v>
      </c>
      <c r="AC900" s="12">
        <f t="shared" si="284"/>
        <v>0</v>
      </c>
      <c r="AD900" s="34"/>
    </row>
    <row r="901" spans="1:30" ht="16" x14ac:dyDescent="0.2">
      <c r="A901" s="47"/>
      <c r="B901" s="521"/>
      <c r="C901" s="176">
        <f t="shared" si="286"/>
        <v>898</v>
      </c>
      <c r="D901" s="90">
        <v>45839</v>
      </c>
      <c r="E901" s="90">
        <v>45848</v>
      </c>
      <c r="F901" s="68" t="s">
        <v>204</v>
      </c>
      <c r="G901" s="379" t="str">
        <f ca="1">IF(AND(E901&lt;&gt;"",E901&lt;TODAY()),"Disponible",IFERROR(INDEX(Vehiculos[Estado Vehiculo],MATCH(F901,Vehiculos[Placa Vehiculo],0)),""))</f>
        <v>Disponible</v>
      </c>
      <c r="H901" s="89"/>
      <c r="I901" s="89" t="s">
        <v>273</v>
      </c>
      <c r="J901" s="89" t="s">
        <v>282</v>
      </c>
      <c r="K901" s="380">
        <v>31660</v>
      </c>
      <c r="L901" s="380">
        <v>32135</v>
      </c>
      <c r="M901" s="381">
        <f t="shared" si="285"/>
        <v>475</v>
      </c>
      <c r="N901" s="381"/>
      <c r="O901" s="380"/>
      <c r="P901" s="92"/>
      <c r="Q901" s="382">
        <f t="shared" si="281"/>
        <v>0</v>
      </c>
      <c r="R901" s="89" t="s">
        <v>273</v>
      </c>
      <c r="S901" s="89" t="s">
        <v>102</v>
      </c>
      <c r="T901" s="92">
        <v>1.8</v>
      </c>
      <c r="U901" s="266">
        <f>Rutas[[#This Row],[Precio x Galón ($/gal)]]*Rutas[[#This Row],[Volumen de Combustible (gal)]]</f>
        <v>153.66600000000003</v>
      </c>
      <c r="V901" s="92"/>
      <c r="W901" s="92"/>
      <c r="X901" s="92"/>
      <c r="Y901" s="382">
        <f t="shared" si="282"/>
        <v>153.66600000000003</v>
      </c>
      <c r="Z901" s="567"/>
      <c r="AA901" s="382">
        <v>85.37</v>
      </c>
      <c r="AB901" s="382">
        <f t="shared" si="283"/>
        <v>5.5640154621061262</v>
      </c>
      <c r="AC901" s="382">
        <f t="shared" si="284"/>
        <v>0</v>
      </c>
      <c r="AD901" s="89"/>
    </row>
    <row r="902" spans="1:30" ht="16" x14ac:dyDescent="0.2">
      <c r="A902" s="47"/>
      <c r="B902" s="521"/>
      <c r="C902" s="176">
        <f t="shared" si="286"/>
        <v>899</v>
      </c>
      <c r="D902" s="146">
        <v>45848</v>
      </c>
      <c r="E902" s="37">
        <v>45853</v>
      </c>
      <c r="F902" s="65" t="s">
        <v>204</v>
      </c>
      <c r="G902" s="11" t="str">
        <f ca="1">IF(AND(E902&lt;&gt;"",E902&lt;TODAY()),"Disponible",IFERROR(INDEX(Vehiculos[Estado Vehiculo],MATCH(F902,Vehiculos[Placa Vehiculo],0)),""))</f>
        <v>Disponible</v>
      </c>
      <c r="H902" s="34" t="s">
        <v>237</v>
      </c>
      <c r="I902" s="34" t="s">
        <v>273</v>
      </c>
      <c r="J902" s="34" t="s">
        <v>282</v>
      </c>
      <c r="K902" s="39">
        <v>32135</v>
      </c>
      <c r="L902" s="39">
        <v>32497</v>
      </c>
      <c r="M902" s="15">
        <f t="shared" si="285"/>
        <v>362</v>
      </c>
      <c r="N902" s="15"/>
      <c r="O902" s="39"/>
      <c r="P902" s="36"/>
      <c r="Q902" s="16">
        <f t="shared" si="281"/>
        <v>0</v>
      </c>
      <c r="R902" s="34" t="s">
        <v>273</v>
      </c>
      <c r="S902" s="34" t="s">
        <v>102</v>
      </c>
      <c r="T902" s="36">
        <v>1.8</v>
      </c>
      <c r="U902" s="293">
        <f>Rutas[[#This Row],[Precio x Galón ($/gal)]]*Rutas[[#This Row],[Volumen de Combustible (gal)]]</f>
        <v>177.696</v>
      </c>
      <c r="V902" s="36"/>
      <c r="W902" s="36"/>
      <c r="X902" s="36"/>
      <c r="Y902" s="145">
        <f t="shared" si="282"/>
        <v>177.696</v>
      </c>
      <c r="Z902" s="567"/>
      <c r="AA902" s="12">
        <v>98.72</v>
      </c>
      <c r="AB902" s="12">
        <f t="shared" si="283"/>
        <v>3.6669367909238249</v>
      </c>
      <c r="AC902" s="12">
        <f t="shared" si="284"/>
        <v>0</v>
      </c>
      <c r="AD902" s="34"/>
    </row>
    <row r="903" spans="1:30" ht="16" x14ac:dyDescent="0.2">
      <c r="A903" s="47"/>
      <c r="B903" s="521"/>
      <c r="C903" s="176">
        <f t="shared" si="286"/>
        <v>900</v>
      </c>
      <c r="D903" s="146">
        <v>45853</v>
      </c>
      <c r="E903" s="37">
        <v>45859</v>
      </c>
      <c r="F903" s="65" t="s">
        <v>204</v>
      </c>
      <c r="G903" s="11" t="str">
        <f ca="1">IF(AND(E903&lt;&gt;"",E903&lt;TODAY()),"Disponible",IFERROR(INDEX(Vehiculos[Estado Vehiculo],MATCH(F903,Vehiculos[Placa Vehiculo],0)),""))</f>
        <v>Disponible</v>
      </c>
      <c r="H903" s="34" t="s">
        <v>237</v>
      </c>
      <c r="I903" s="34" t="s">
        <v>273</v>
      </c>
      <c r="J903" s="34" t="s">
        <v>282</v>
      </c>
      <c r="K903" s="39">
        <v>32497</v>
      </c>
      <c r="L903" s="39">
        <v>33189</v>
      </c>
      <c r="M903" s="15">
        <f t="shared" si="285"/>
        <v>692</v>
      </c>
      <c r="N903" s="15"/>
      <c r="O903" s="39"/>
      <c r="P903" s="36"/>
      <c r="Q903" s="16">
        <f t="shared" si="281"/>
        <v>0</v>
      </c>
      <c r="R903" s="34" t="s">
        <v>273</v>
      </c>
      <c r="S903" s="34" t="s">
        <v>102</v>
      </c>
      <c r="T903" s="36">
        <v>1.8</v>
      </c>
      <c r="U903" s="293">
        <f>Rutas[[#This Row],[Precio x Galón ($/gal)]]*Rutas[[#This Row],[Volumen de Combustible (gal)]]</f>
        <v>190.78199999999998</v>
      </c>
      <c r="V903" s="36"/>
      <c r="W903" s="36"/>
      <c r="X903" s="36"/>
      <c r="Y903" s="145">
        <f t="shared" si="282"/>
        <v>190.78199999999998</v>
      </c>
      <c r="Z903" s="567"/>
      <c r="AA903" s="12">
        <v>105.99</v>
      </c>
      <c r="AB903" s="12">
        <f t="shared" si="283"/>
        <v>6.5289178224360791</v>
      </c>
      <c r="AC903" s="12">
        <f t="shared" si="284"/>
        <v>0</v>
      </c>
      <c r="AD903" s="34"/>
    </row>
    <row r="904" spans="1:30" ht="16" x14ac:dyDescent="0.2">
      <c r="A904" s="47"/>
      <c r="B904" s="521"/>
      <c r="C904" s="176">
        <f t="shared" si="286"/>
        <v>901</v>
      </c>
      <c r="D904" s="146">
        <v>45859</v>
      </c>
      <c r="E904" s="37">
        <v>45868</v>
      </c>
      <c r="F904" s="65" t="s">
        <v>204</v>
      </c>
      <c r="G904" s="11" t="str">
        <f ca="1">IF(AND(E904&lt;&gt;"",E904&lt;TODAY()),"Disponible",IFERROR(INDEX(Vehiculos[Estado Vehiculo],MATCH(F904,Vehiculos[Placa Vehiculo],0)),""))</f>
        <v>Disponible</v>
      </c>
      <c r="H904" s="34" t="s">
        <v>237</v>
      </c>
      <c r="I904" s="34" t="s">
        <v>273</v>
      </c>
      <c r="J904" s="34" t="s">
        <v>282</v>
      </c>
      <c r="K904" s="39">
        <v>33189</v>
      </c>
      <c r="L904" s="39">
        <v>33994</v>
      </c>
      <c r="M904" s="15">
        <f>L904-K904</f>
        <v>805</v>
      </c>
      <c r="N904" s="452">
        <v>220</v>
      </c>
      <c r="O904" s="39"/>
      <c r="P904" s="36"/>
      <c r="Q904" s="16">
        <f>M904*P904</f>
        <v>0</v>
      </c>
      <c r="R904" s="34" t="s">
        <v>273</v>
      </c>
      <c r="S904" s="34" t="s">
        <v>102</v>
      </c>
      <c r="T904" s="36">
        <v>1.8</v>
      </c>
      <c r="U904" s="293">
        <f>Rutas[[#This Row],[Precio x Galón ($/gal)]]*Rutas[[#This Row],[Volumen de Combustible (gal)]]</f>
        <v>90.360000000000014</v>
      </c>
      <c r="V904" s="36"/>
      <c r="W904" s="36"/>
      <c r="X904" s="36"/>
      <c r="Y904" s="145">
        <f>U904+SUM(V904:X904)</f>
        <v>90.360000000000014</v>
      </c>
      <c r="Z904" s="567"/>
      <c r="AA904" s="12">
        <v>50.2</v>
      </c>
      <c r="AB904" s="12">
        <f>IFERROR(M904/AA904,0)</f>
        <v>16.035856573705178</v>
      </c>
      <c r="AC904" s="12">
        <f>IFERROR(Q904/M904,0)</f>
        <v>0</v>
      </c>
      <c r="AD904" s="34"/>
    </row>
    <row r="905" spans="1:30" ht="16" x14ac:dyDescent="0.2">
      <c r="A905" s="47"/>
      <c r="B905" s="521"/>
      <c r="C905" s="176">
        <f t="shared" si="286"/>
        <v>902</v>
      </c>
      <c r="D905" s="454"/>
      <c r="E905" s="37"/>
      <c r="F905" s="65"/>
      <c r="G905" s="11" t="str">
        <f ca="1">IF(AND(E905&lt;&gt;"",E905&lt;TODAY()),"Disponible",IFERROR(INDEX(Vehiculos[Estado Vehiculo],MATCH(F905,Vehiculos[Placa Vehiculo],0)),""))</f>
        <v/>
      </c>
      <c r="H905" s="34"/>
      <c r="I905" s="34"/>
      <c r="J905" s="34"/>
      <c r="K905" s="39"/>
      <c r="L905" s="39"/>
      <c r="M905" s="15">
        <f>L905-K905</f>
        <v>0</v>
      </c>
      <c r="N905" s="15"/>
      <c r="O905" s="39"/>
      <c r="P905" s="36"/>
      <c r="Q905" s="16">
        <f>M905*P905</f>
        <v>0</v>
      </c>
      <c r="R905" s="34"/>
      <c r="S905" s="34"/>
      <c r="T905" s="36"/>
      <c r="U905" s="293"/>
      <c r="V905" s="36"/>
      <c r="W905" s="36"/>
      <c r="X905" s="36"/>
      <c r="Y905" s="145">
        <f>U905+SUM(V905:X905)</f>
        <v>0</v>
      </c>
      <c r="Z905" s="567"/>
      <c r="AA905" s="12"/>
      <c r="AB905" s="12">
        <f>IFERROR(M905/AA905,0)</f>
        <v>0</v>
      </c>
      <c r="AC905" s="12">
        <f>IFERROR(Q905/M905,0)</f>
        <v>0</v>
      </c>
      <c r="AD905" s="34"/>
    </row>
    <row r="906" spans="1:30" ht="16" x14ac:dyDescent="0.2">
      <c r="A906" s="47"/>
      <c r="B906" s="521"/>
      <c r="C906" s="176">
        <f t="shared" si="286"/>
        <v>903</v>
      </c>
      <c r="D906" s="146"/>
      <c r="E906" s="37"/>
      <c r="F906" s="65"/>
      <c r="G906" s="11" t="str">
        <f ca="1">IF(AND(E906&lt;&gt;"",E906&lt;TODAY()),"Disponible",IFERROR(INDEX(Vehiculos[Estado Vehiculo],MATCH(F906,Vehiculos[Placa Vehiculo],0)),""))</f>
        <v/>
      </c>
      <c r="H906" s="34"/>
      <c r="I906" s="34"/>
      <c r="J906" s="34"/>
      <c r="K906" s="39"/>
      <c r="L906" s="39"/>
      <c r="M906" s="15">
        <f t="shared" si="285"/>
        <v>0</v>
      </c>
      <c r="N906" s="15"/>
      <c r="O906" s="39"/>
      <c r="P906" s="36"/>
      <c r="Q906" s="16">
        <f t="shared" si="281"/>
        <v>0</v>
      </c>
      <c r="R906" s="34"/>
      <c r="S906" s="34"/>
      <c r="T906" s="36"/>
      <c r="U906" s="293">
        <f>Rutas[[#This Row],[Precio x Galón ($/gal)]]*Rutas[[#This Row],[Volumen de Combustible (gal)]]</f>
        <v>0</v>
      </c>
      <c r="V906" s="36"/>
      <c r="W906" s="36"/>
      <c r="X906" s="36"/>
      <c r="Y906" s="145">
        <f t="shared" si="282"/>
        <v>0</v>
      </c>
      <c r="Z906" s="567"/>
      <c r="AA906" s="12"/>
      <c r="AB906" s="12">
        <f t="shared" si="283"/>
        <v>0</v>
      </c>
      <c r="AC906" s="12">
        <f t="shared" si="284"/>
        <v>0</v>
      </c>
      <c r="AD906" s="34"/>
    </row>
    <row r="907" spans="1:30" ht="16" x14ac:dyDescent="0.2">
      <c r="A907" s="47"/>
      <c r="B907" s="521"/>
      <c r="C907" s="176">
        <f t="shared" si="286"/>
        <v>904</v>
      </c>
      <c r="D907" s="90">
        <v>45839</v>
      </c>
      <c r="E907" s="90">
        <v>45841</v>
      </c>
      <c r="F907" s="68" t="s">
        <v>211</v>
      </c>
      <c r="G907" s="379" t="str">
        <f ca="1">IF(AND(E907&lt;&gt;"",E907&lt;TODAY()),"Disponible",IFERROR(INDEX(Vehiculos[Estado Vehiculo],MATCH(F907,Vehiculos[Placa Vehiculo],0)),""))</f>
        <v>Disponible</v>
      </c>
      <c r="H907" s="89" t="s">
        <v>239</v>
      </c>
      <c r="I907" s="89" t="s">
        <v>273</v>
      </c>
      <c r="J907" s="89" t="s">
        <v>274</v>
      </c>
      <c r="K907" s="380">
        <v>42619</v>
      </c>
      <c r="L907" s="380">
        <v>43203</v>
      </c>
      <c r="M907" s="381">
        <f t="shared" si="285"/>
        <v>584</v>
      </c>
      <c r="N907" s="381"/>
      <c r="O907" s="92"/>
      <c r="P907" s="92"/>
      <c r="Q907" s="382">
        <f t="shared" si="281"/>
        <v>0</v>
      </c>
      <c r="R907" s="89" t="s">
        <v>273</v>
      </c>
      <c r="S907" s="89" t="s">
        <v>102</v>
      </c>
      <c r="T907" s="92">
        <v>1.8</v>
      </c>
      <c r="U907" s="266">
        <f>Rutas[[#This Row],[Precio x Galón ($/gal)]]*Rutas[[#This Row],[Volumen de Combustible (gal)]]</f>
        <v>216.9</v>
      </c>
      <c r="V907" s="92"/>
      <c r="W907" s="92"/>
      <c r="X907" s="92"/>
      <c r="Y907" s="382">
        <f t="shared" si="282"/>
        <v>216.9</v>
      </c>
      <c r="Z907" s="567"/>
      <c r="AA907" s="382">
        <v>120.5</v>
      </c>
      <c r="AB907" s="382">
        <f t="shared" si="283"/>
        <v>4.8464730290456428</v>
      </c>
      <c r="AC907" s="382">
        <f t="shared" si="284"/>
        <v>0</v>
      </c>
      <c r="AD907" s="89"/>
    </row>
    <row r="908" spans="1:30" ht="16" x14ac:dyDescent="0.2">
      <c r="A908" s="47"/>
      <c r="B908" s="521"/>
      <c r="C908" s="176">
        <f t="shared" si="286"/>
        <v>905</v>
      </c>
      <c r="D908" s="37">
        <v>45841</v>
      </c>
      <c r="E908" s="37">
        <v>45848</v>
      </c>
      <c r="F908" s="65" t="s">
        <v>211</v>
      </c>
      <c r="G908" s="11" t="str">
        <f ca="1">IF(AND(E908&lt;&gt;"",E908&lt;TODAY()),"Disponible",IFERROR(INDEX(Vehiculos[Estado Vehiculo],MATCH(F908,Vehiculos[Placa Vehiculo],0)),""))</f>
        <v>Disponible</v>
      </c>
      <c r="H908" s="34" t="s">
        <v>305</v>
      </c>
      <c r="I908" s="34" t="s">
        <v>273</v>
      </c>
      <c r="J908" s="34" t="s">
        <v>274</v>
      </c>
      <c r="K908" s="39">
        <v>43203</v>
      </c>
      <c r="L908" s="39">
        <v>43813</v>
      </c>
      <c r="M908" s="15">
        <f>L908-K908</f>
        <v>610</v>
      </c>
      <c r="N908" s="452">
        <v>71</v>
      </c>
      <c r="O908" s="39"/>
      <c r="P908" s="36"/>
      <c r="Q908" s="16">
        <f>M908*P908</f>
        <v>0</v>
      </c>
      <c r="R908" s="34" t="s">
        <v>273</v>
      </c>
      <c r="S908" s="34" t="s">
        <v>102</v>
      </c>
      <c r="T908" s="92">
        <v>1.8</v>
      </c>
      <c r="U908" s="266">
        <f>Rutas[[#This Row],[Precio x Galón ($/gal)]]*Rutas[[#This Row],[Volumen de Combustible (gal)]]</f>
        <v>210.02400000000003</v>
      </c>
      <c r="V908" s="92"/>
      <c r="W908" s="92"/>
      <c r="X908" s="92"/>
      <c r="Y908" s="145">
        <f>U908+SUM(V908:X908)</f>
        <v>210.02400000000003</v>
      </c>
      <c r="Z908" s="567"/>
      <c r="AA908" s="12">
        <v>116.68</v>
      </c>
      <c r="AB908" s="12">
        <f>IFERROR(M908/AA908,0)</f>
        <v>5.2279739458347612</v>
      </c>
      <c r="AC908" s="12">
        <f>IFERROR(Q908/M908,0)</f>
        <v>0</v>
      </c>
      <c r="AD908" s="89"/>
    </row>
    <row r="909" spans="1:30" ht="16" x14ac:dyDescent="0.2">
      <c r="A909" s="47"/>
      <c r="B909" s="521"/>
      <c r="C909" s="176">
        <f t="shared" si="286"/>
        <v>906</v>
      </c>
      <c r="D909" s="146"/>
      <c r="E909" s="37"/>
      <c r="F909" s="65"/>
      <c r="G909" s="11" t="str">
        <f ca="1">IF(AND(E909&lt;&gt;"",E909&lt;TODAY()),"Disponible",IFERROR(INDEX(Vehiculos[Estado Vehiculo],MATCH(F909,Vehiculos[Placa Vehiculo],0)),""))</f>
        <v/>
      </c>
      <c r="H909" s="34"/>
      <c r="I909" s="34"/>
      <c r="J909" s="34"/>
      <c r="K909" s="39"/>
      <c r="L909" s="39"/>
      <c r="M909" s="15">
        <f t="shared" si="285"/>
        <v>0</v>
      </c>
      <c r="N909" s="15"/>
      <c r="O909" s="39"/>
      <c r="P909" s="36"/>
      <c r="Q909" s="16">
        <f t="shared" si="281"/>
        <v>0</v>
      </c>
      <c r="R909" s="34" t="s">
        <v>273</v>
      </c>
      <c r="S909" s="34" t="s">
        <v>102</v>
      </c>
      <c r="T909" s="36"/>
      <c r="U909" s="293">
        <f>Rutas[[#This Row],[Precio x Galón ($/gal)]]*Rutas[[#This Row],[Volumen de Combustible (gal)]]</f>
        <v>0</v>
      </c>
      <c r="V909" s="36"/>
      <c r="W909" s="36"/>
      <c r="X909" s="36"/>
      <c r="Y909" s="145">
        <f t="shared" si="282"/>
        <v>0</v>
      </c>
      <c r="Z909" s="567"/>
      <c r="AA909" s="12"/>
      <c r="AB909" s="12">
        <f t="shared" si="283"/>
        <v>0</v>
      </c>
      <c r="AC909" s="12">
        <f t="shared" si="284"/>
        <v>0</v>
      </c>
      <c r="AD909" s="34"/>
    </row>
    <row r="910" spans="1:30" ht="16" x14ac:dyDescent="0.2">
      <c r="A910" s="47"/>
      <c r="B910" s="521"/>
      <c r="C910" s="176">
        <f t="shared" si="286"/>
        <v>907</v>
      </c>
      <c r="D910" s="146"/>
      <c r="E910" s="37"/>
      <c r="F910" s="65"/>
      <c r="G910" s="11" t="str">
        <f ca="1">IF(AND(E910&lt;&gt;"",E910&lt;TODAY()),"Disponible",IFERROR(INDEX(Vehiculos[Estado Vehiculo],MATCH(F910,Vehiculos[Placa Vehiculo],0)),""))</f>
        <v/>
      </c>
      <c r="H910" s="34"/>
      <c r="I910" s="34"/>
      <c r="J910" s="34"/>
      <c r="K910" s="39"/>
      <c r="L910" s="39"/>
      <c r="M910" s="15">
        <f t="shared" si="285"/>
        <v>0</v>
      </c>
      <c r="N910" s="15"/>
      <c r="O910" s="39"/>
      <c r="P910" s="36"/>
      <c r="Q910" s="16">
        <f t="shared" si="281"/>
        <v>0</v>
      </c>
      <c r="R910" s="34"/>
      <c r="S910" s="34"/>
      <c r="T910" s="36"/>
      <c r="U910" s="293">
        <f>Rutas[[#This Row],[Precio x Galón ($/gal)]]*Rutas[[#This Row],[Volumen de Combustible (gal)]]</f>
        <v>0</v>
      </c>
      <c r="V910" s="36"/>
      <c r="W910" s="36"/>
      <c r="X910" s="36"/>
      <c r="Y910" s="145">
        <f t="shared" si="282"/>
        <v>0</v>
      </c>
      <c r="Z910" s="567"/>
      <c r="AA910" s="12"/>
      <c r="AB910" s="12">
        <f t="shared" si="283"/>
        <v>0</v>
      </c>
      <c r="AC910" s="12">
        <f t="shared" si="284"/>
        <v>0</v>
      </c>
      <c r="AD910" s="34"/>
    </row>
    <row r="911" spans="1:30" ht="16" x14ac:dyDescent="0.2">
      <c r="A911" s="47"/>
      <c r="B911" s="521"/>
      <c r="C911" s="176">
        <f t="shared" si="286"/>
        <v>908</v>
      </c>
      <c r="D911" s="90">
        <v>45839</v>
      </c>
      <c r="E911" s="90">
        <v>45845</v>
      </c>
      <c r="F911" s="68" t="s">
        <v>207</v>
      </c>
      <c r="G911" s="379" t="str">
        <f ca="1">IF(AND(E911&lt;&gt;"",E911&lt;TODAY()),"Disponible",IFERROR(INDEX(Vehiculos[Estado Vehiculo],MATCH(F911,Vehiculos[Placa Vehiculo],0)),""))</f>
        <v>Disponible</v>
      </c>
      <c r="H911" s="89" t="s">
        <v>242</v>
      </c>
      <c r="I911" s="89" t="s">
        <v>273</v>
      </c>
      <c r="J911" s="89" t="s">
        <v>274</v>
      </c>
      <c r="K911" s="380">
        <v>55255</v>
      </c>
      <c r="L911" s="380">
        <v>55846</v>
      </c>
      <c r="M911" s="381">
        <f t="shared" si="285"/>
        <v>591</v>
      </c>
      <c r="N911" s="381"/>
      <c r="O911" s="380"/>
      <c r="P911" s="92"/>
      <c r="Q911" s="382">
        <f t="shared" si="281"/>
        <v>0</v>
      </c>
      <c r="R911" s="89" t="s">
        <v>273</v>
      </c>
      <c r="S911" s="89" t="s">
        <v>102</v>
      </c>
      <c r="T911" s="92">
        <v>1.8</v>
      </c>
      <c r="U911" s="266">
        <f>Rutas[[#This Row],[Precio x Galón ($/gal)]]*Rutas[[#This Row],[Volumen de Combustible (gal)]]</f>
        <v>205.21800000000002</v>
      </c>
      <c r="V911" s="92"/>
      <c r="W911" s="92"/>
      <c r="X911" s="92"/>
      <c r="Y911" s="382">
        <f t="shared" si="282"/>
        <v>205.21800000000002</v>
      </c>
      <c r="Z911" s="567"/>
      <c r="AA911" s="382">
        <v>114.01</v>
      </c>
      <c r="AB911" s="382">
        <f t="shared" si="283"/>
        <v>5.1837558108937811</v>
      </c>
      <c r="AC911" s="382">
        <f t="shared" si="284"/>
        <v>0</v>
      </c>
      <c r="AD911" s="89"/>
    </row>
    <row r="912" spans="1:30" ht="16" x14ac:dyDescent="0.2">
      <c r="A912" s="47"/>
      <c r="B912" s="521"/>
      <c r="C912" s="176">
        <f t="shared" si="286"/>
        <v>909</v>
      </c>
      <c r="D912" s="146">
        <v>45845</v>
      </c>
      <c r="E912" s="37">
        <v>45848</v>
      </c>
      <c r="F912" s="65" t="s">
        <v>207</v>
      </c>
      <c r="G912" s="11" t="str">
        <f ca="1">IF(AND(E912&lt;&gt;"",E912&lt;TODAY()),"Disponible",IFERROR(INDEX(Vehiculos[Estado Vehiculo],MATCH(F912,Vehiculos[Placa Vehiculo],0)),""))</f>
        <v>Disponible</v>
      </c>
      <c r="H912" s="34" t="s">
        <v>242</v>
      </c>
      <c r="I912" s="34" t="s">
        <v>273</v>
      </c>
      <c r="J912" s="34" t="s">
        <v>274</v>
      </c>
      <c r="K912" s="39">
        <v>55846</v>
      </c>
      <c r="L912" s="39">
        <v>55942</v>
      </c>
      <c r="M912" s="15">
        <f t="shared" si="285"/>
        <v>96</v>
      </c>
      <c r="N912" s="15"/>
      <c r="O912" s="39"/>
      <c r="P912" s="36"/>
      <c r="Q912" s="16">
        <f t="shared" si="281"/>
        <v>0</v>
      </c>
      <c r="R912" s="34" t="s">
        <v>273</v>
      </c>
      <c r="S912" s="34" t="s">
        <v>102</v>
      </c>
      <c r="T912" s="36">
        <v>1.8</v>
      </c>
      <c r="U912" s="293">
        <f>Rutas[[#This Row],[Precio x Galón ($/gal)]]*Rutas[[#This Row],[Volumen de Combustible (gal)]]</f>
        <v>203.364</v>
      </c>
      <c r="V912" s="36"/>
      <c r="W912" s="36"/>
      <c r="X912" s="36"/>
      <c r="Y912" s="145">
        <f t="shared" si="282"/>
        <v>203.364</v>
      </c>
      <c r="Z912" s="567"/>
      <c r="AA912" s="12">
        <v>112.98</v>
      </c>
      <c r="AB912" s="12">
        <f t="shared" si="283"/>
        <v>0.84970791290493886</v>
      </c>
      <c r="AC912" s="12">
        <f t="shared" si="284"/>
        <v>0</v>
      </c>
      <c r="AD912" s="34"/>
    </row>
    <row r="913" spans="1:30" ht="16" x14ac:dyDescent="0.2">
      <c r="A913" s="47"/>
      <c r="B913" s="521"/>
      <c r="C913" s="176">
        <f t="shared" si="286"/>
        <v>910</v>
      </c>
      <c r="D913" s="146">
        <v>45848</v>
      </c>
      <c r="E913" s="37">
        <v>45851</v>
      </c>
      <c r="F913" s="65" t="s">
        <v>207</v>
      </c>
      <c r="G913" s="11" t="str">
        <f ca="1">IF(AND(E913&lt;&gt;"",E913&lt;TODAY()),"Disponible",IFERROR(INDEX(Vehiculos[Estado Vehiculo],MATCH(F913,Vehiculos[Placa Vehiculo],0)),""))</f>
        <v>Disponible</v>
      </c>
      <c r="H913" s="34" t="s">
        <v>237</v>
      </c>
      <c r="I913" s="34" t="s">
        <v>273</v>
      </c>
      <c r="J913" s="34" t="s">
        <v>274</v>
      </c>
      <c r="K913" s="39">
        <v>55942</v>
      </c>
      <c r="L913" s="39">
        <v>56458</v>
      </c>
      <c r="M913" s="15">
        <f t="shared" si="285"/>
        <v>516</v>
      </c>
      <c r="N913" s="15"/>
      <c r="O913" s="39"/>
      <c r="P913" s="36"/>
      <c r="Q913" s="16">
        <f t="shared" si="281"/>
        <v>0</v>
      </c>
      <c r="R913" s="34" t="s">
        <v>273</v>
      </c>
      <c r="S913" s="34" t="s">
        <v>102</v>
      </c>
      <c r="T913" s="36">
        <v>1.8</v>
      </c>
      <c r="U913" s="293">
        <f>Rutas[[#This Row],[Precio x Galón ($/gal)]]*Rutas[[#This Row],[Volumen de Combustible (gal)]]</f>
        <v>179.982</v>
      </c>
      <c r="V913" s="36"/>
      <c r="W913" s="36"/>
      <c r="X913" s="36"/>
      <c r="Y913" s="145">
        <f t="shared" si="282"/>
        <v>179.982</v>
      </c>
      <c r="Z913" s="567"/>
      <c r="AA913" s="12">
        <v>99.99</v>
      </c>
      <c r="AB913" s="12">
        <f t="shared" si="283"/>
        <v>5.1605160516051605</v>
      </c>
      <c r="AC913" s="12">
        <f t="shared" si="284"/>
        <v>0</v>
      </c>
      <c r="AD913" s="34"/>
    </row>
    <row r="914" spans="1:30" ht="16" x14ac:dyDescent="0.2">
      <c r="A914" s="47"/>
      <c r="B914" s="521"/>
      <c r="C914" s="176">
        <f t="shared" si="286"/>
        <v>911</v>
      </c>
      <c r="D914" s="146">
        <v>45851</v>
      </c>
      <c r="E914" s="37">
        <v>45868</v>
      </c>
      <c r="F914" s="65" t="s">
        <v>207</v>
      </c>
      <c r="G914" s="11" t="str">
        <f ca="1">IF(AND(E914&lt;&gt;"",E914&lt;TODAY()),"Disponible",IFERROR(INDEX(Vehiculos[Estado Vehiculo],MATCH(F914,Vehiculos[Placa Vehiculo],0)),""))</f>
        <v>Disponible</v>
      </c>
      <c r="H914" s="34" t="s">
        <v>245</v>
      </c>
      <c r="I914" s="34" t="s">
        <v>273</v>
      </c>
      <c r="J914" s="34" t="s">
        <v>274</v>
      </c>
      <c r="K914" s="39">
        <v>56458</v>
      </c>
      <c r="L914" s="39">
        <v>57307</v>
      </c>
      <c r="M914" s="15">
        <f>L914-K914</f>
        <v>849</v>
      </c>
      <c r="N914" s="452">
        <v>61</v>
      </c>
      <c r="O914" s="39"/>
      <c r="P914" s="36"/>
      <c r="Q914" s="16">
        <f>M914*P914</f>
        <v>0</v>
      </c>
      <c r="R914" s="34" t="s">
        <v>273</v>
      </c>
      <c r="S914" s="34" t="s">
        <v>102</v>
      </c>
      <c r="T914" s="36">
        <v>1.8</v>
      </c>
      <c r="U914" s="293">
        <f>Rutas[[#This Row],[Precio x Galón ($/gal)]]*Rutas[[#This Row],[Volumen de Combustible (gal)]]</f>
        <v>90.306000000000012</v>
      </c>
      <c r="V914" s="36"/>
      <c r="W914" s="36"/>
      <c r="X914" s="36"/>
      <c r="Y914" s="145">
        <f>U914+SUM(V914:X914)</f>
        <v>90.306000000000012</v>
      </c>
      <c r="Z914" s="567"/>
      <c r="AA914" s="12">
        <v>50.17</v>
      </c>
      <c r="AB914" s="12">
        <f>IFERROR(M914/AA914,0)</f>
        <v>16.922463623679491</v>
      </c>
      <c r="AC914" s="12">
        <f>IFERROR(Q914/M914,0)</f>
        <v>0</v>
      </c>
      <c r="AD914" s="34"/>
    </row>
    <row r="915" spans="1:30" ht="16" x14ac:dyDescent="0.2">
      <c r="A915" s="47"/>
      <c r="B915" s="521"/>
      <c r="C915" s="176">
        <f t="shared" si="286"/>
        <v>912</v>
      </c>
      <c r="D915" s="146"/>
      <c r="E915" s="37"/>
      <c r="F915" s="65"/>
      <c r="G915" s="11" t="str">
        <f ca="1">IF(AND(E915&lt;&gt;"",E915&lt;TODAY()),"Disponible",IFERROR(INDEX(Vehiculos[Estado Vehiculo],MATCH(F915,Vehiculos[Placa Vehiculo],0)),""))</f>
        <v/>
      </c>
      <c r="H915" s="34"/>
      <c r="I915" s="34"/>
      <c r="J915" s="34"/>
      <c r="K915" s="39"/>
      <c r="L915" s="39"/>
      <c r="M915" s="15">
        <f t="shared" si="285"/>
        <v>0</v>
      </c>
      <c r="N915" s="15"/>
      <c r="O915" s="39"/>
      <c r="P915" s="36"/>
      <c r="Q915" s="16">
        <f t="shared" si="281"/>
        <v>0</v>
      </c>
      <c r="R915" s="34"/>
      <c r="S915" s="34"/>
      <c r="T915" s="36"/>
      <c r="U915" s="293"/>
      <c r="V915" s="36"/>
      <c r="W915" s="36"/>
      <c r="X915" s="36"/>
      <c r="Y915" s="145">
        <f t="shared" si="282"/>
        <v>0</v>
      </c>
      <c r="Z915" s="567"/>
      <c r="AA915" s="12"/>
      <c r="AB915" s="12">
        <f t="shared" si="283"/>
        <v>0</v>
      </c>
      <c r="AC915" s="12">
        <f t="shared" si="284"/>
        <v>0</v>
      </c>
      <c r="AD915" s="34"/>
    </row>
    <row r="916" spans="1:30" ht="16" x14ac:dyDescent="0.2">
      <c r="A916" s="47"/>
      <c r="B916" s="521"/>
      <c r="C916" s="176">
        <f t="shared" si="286"/>
        <v>913</v>
      </c>
      <c r="D916" s="90">
        <v>45839</v>
      </c>
      <c r="E916" s="90">
        <v>45840</v>
      </c>
      <c r="F916" s="68" t="s">
        <v>208</v>
      </c>
      <c r="G916" s="379" t="str">
        <f ca="1">IF(AND(E916&lt;&gt;"",E916&lt;TODAY()),"Disponible",IFERROR(INDEX(Vehiculos[Estado Vehiculo],MATCH(F916,Vehiculos[Placa Vehiculo],0)),""))</f>
        <v>Disponible</v>
      </c>
      <c r="H916" s="89" t="s">
        <v>236</v>
      </c>
      <c r="I916" s="89" t="s">
        <v>273</v>
      </c>
      <c r="J916" s="89" t="s">
        <v>274</v>
      </c>
      <c r="K916" s="380">
        <v>103678</v>
      </c>
      <c r="L916" s="380">
        <v>103905</v>
      </c>
      <c r="M916" s="381">
        <f t="shared" si="285"/>
        <v>227</v>
      </c>
      <c r="N916" s="381"/>
      <c r="O916" s="380"/>
      <c r="P916" s="92"/>
      <c r="Q916" s="382">
        <f t="shared" si="281"/>
        <v>0</v>
      </c>
      <c r="R916" s="89" t="s">
        <v>273</v>
      </c>
      <c r="S916" s="89" t="s">
        <v>102</v>
      </c>
      <c r="T916" s="92">
        <v>1.8</v>
      </c>
      <c r="U916" s="266">
        <f>Rutas[[#This Row],[Precio x Galón ($/gal)]]*Rutas[[#This Row],[Volumen de Combustible (gal)]]</f>
        <v>206.262</v>
      </c>
      <c r="V916" s="92"/>
      <c r="W916" s="92"/>
      <c r="X916" s="92"/>
      <c r="Y916" s="382">
        <f t="shared" si="282"/>
        <v>206.262</v>
      </c>
      <c r="Z916" s="567"/>
      <c r="AA916" s="382">
        <v>114.59</v>
      </c>
      <c r="AB916" s="382">
        <f t="shared" si="283"/>
        <v>1.9809756523256827</v>
      </c>
      <c r="AC916" s="382">
        <f t="shared" si="284"/>
        <v>0</v>
      </c>
      <c r="AD916" s="89"/>
    </row>
    <row r="917" spans="1:30" ht="16" x14ac:dyDescent="0.2">
      <c r="A917" s="47"/>
      <c r="B917" s="521"/>
      <c r="C917" s="176">
        <f t="shared" si="286"/>
        <v>914</v>
      </c>
      <c r="D917" s="146">
        <v>45840</v>
      </c>
      <c r="E917" s="37">
        <v>45843</v>
      </c>
      <c r="F917" s="65" t="s">
        <v>208</v>
      </c>
      <c r="G917" s="11" t="str">
        <f ca="1">IF(AND(E917&lt;&gt;"",E917&lt;TODAY()),"Disponible",IFERROR(INDEX(Vehiculos[Estado Vehiculo],MATCH(F917,Vehiculos[Placa Vehiculo],0)),""))</f>
        <v>Disponible</v>
      </c>
      <c r="H917" s="34" t="s">
        <v>236</v>
      </c>
      <c r="I917" s="34" t="s">
        <v>273</v>
      </c>
      <c r="J917" s="34" t="s">
        <v>274</v>
      </c>
      <c r="K917" s="39">
        <v>103905</v>
      </c>
      <c r="L917" s="39">
        <v>104218</v>
      </c>
      <c r="M917" s="15">
        <f t="shared" si="285"/>
        <v>313</v>
      </c>
      <c r="N917" s="15"/>
      <c r="O917" s="39"/>
      <c r="P917" s="36"/>
      <c r="Q917" s="16">
        <f t="shared" si="281"/>
        <v>0</v>
      </c>
      <c r="R917" s="34" t="s">
        <v>273</v>
      </c>
      <c r="S917" s="34" t="s">
        <v>102</v>
      </c>
      <c r="T917" s="36">
        <v>1.8</v>
      </c>
      <c r="U917" s="293">
        <f>Rutas[[#This Row],[Precio x Galón ($/gal)]]*Rutas[[#This Row],[Volumen de Combustible (gal)]]</f>
        <v>127.47599999999998</v>
      </c>
      <c r="V917" s="36"/>
      <c r="W917" s="36"/>
      <c r="X917" s="36"/>
      <c r="Y917" s="145">
        <f t="shared" si="282"/>
        <v>127.47599999999998</v>
      </c>
      <c r="Z917" s="567"/>
      <c r="AA917" s="12">
        <v>70.819999999999993</v>
      </c>
      <c r="AB917" s="12">
        <f t="shared" si="283"/>
        <v>4.4196554645580353</v>
      </c>
      <c r="AC917" s="12">
        <f t="shared" si="284"/>
        <v>0</v>
      </c>
      <c r="AD917" s="34"/>
    </row>
    <row r="918" spans="1:30" ht="16" x14ac:dyDescent="0.2">
      <c r="A918" s="47"/>
      <c r="B918" s="521"/>
      <c r="C918" s="176">
        <f t="shared" si="286"/>
        <v>915</v>
      </c>
      <c r="D918" s="146">
        <v>45843</v>
      </c>
      <c r="E918" s="37">
        <v>45848</v>
      </c>
      <c r="F918" s="65" t="s">
        <v>208</v>
      </c>
      <c r="G918" s="11" t="str">
        <f ca="1">IF(AND(E918&lt;&gt;"",E918&lt;TODAY()),"Disponible",IFERROR(INDEX(Vehiculos[Estado Vehiculo],MATCH(F918,Vehiculos[Placa Vehiculo],0)),""))</f>
        <v>Disponible</v>
      </c>
      <c r="H918" s="34" t="s">
        <v>236</v>
      </c>
      <c r="I918" s="34" t="s">
        <v>273</v>
      </c>
      <c r="J918" s="34" t="s">
        <v>274</v>
      </c>
      <c r="K918" s="39">
        <v>104218</v>
      </c>
      <c r="L918" s="39">
        <v>104636</v>
      </c>
      <c r="M918" s="15">
        <f>L918-K918</f>
        <v>418</v>
      </c>
      <c r="N918" s="15"/>
      <c r="O918" s="39"/>
      <c r="P918" s="36"/>
      <c r="Q918" s="16">
        <f>M918*P918</f>
        <v>0</v>
      </c>
      <c r="R918" s="34" t="s">
        <v>273</v>
      </c>
      <c r="S918" s="34" t="s">
        <v>102</v>
      </c>
      <c r="T918" s="36">
        <v>1.8</v>
      </c>
      <c r="U918" s="293">
        <f>Rutas[[#This Row],[Precio x Galón ($/gal)]]*Rutas[[#This Row],[Volumen de Combustible (gal)]]</f>
        <v>0</v>
      </c>
      <c r="V918" s="36"/>
      <c r="W918" s="36"/>
      <c r="X918" s="36"/>
      <c r="Y918" s="145">
        <f>U918+SUM(V918:X918)</f>
        <v>0</v>
      </c>
      <c r="Z918" s="567"/>
      <c r="AA918" s="12"/>
      <c r="AB918" s="12">
        <f>IFERROR(M918/AA918,0)</f>
        <v>0</v>
      </c>
      <c r="AC918" s="12">
        <f>IFERROR(Q918/M918,0)</f>
        <v>0</v>
      </c>
      <c r="AD918" s="34"/>
    </row>
    <row r="919" spans="1:30" ht="16" x14ac:dyDescent="0.2">
      <c r="A919" s="47"/>
      <c r="B919" s="521"/>
      <c r="C919" s="176">
        <f t="shared" si="286"/>
        <v>916</v>
      </c>
      <c r="D919" s="146">
        <v>45848</v>
      </c>
      <c r="E919" s="37">
        <v>45853</v>
      </c>
      <c r="F919" s="65" t="s">
        <v>208</v>
      </c>
      <c r="G919" s="11" t="str">
        <f ca="1">IF(AND(E919&lt;&gt;"",E919&lt;TODAY()),"Disponible",IFERROR(INDEX(Vehiculos[Estado Vehiculo],MATCH(F919,Vehiculos[Placa Vehiculo],0)),""))</f>
        <v>Disponible</v>
      </c>
      <c r="H919" s="34" t="s">
        <v>238</v>
      </c>
      <c r="I919" s="34" t="s">
        <v>273</v>
      </c>
      <c r="J919" s="34" t="s">
        <v>274</v>
      </c>
      <c r="K919" s="39">
        <v>104636</v>
      </c>
      <c r="L919" s="39">
        <v>104701</v>
      </c>
      <c r="M919" s="15">
        <f>L919-K919</f>
        <v>65</v>
      </c>
      <c r="N919" s="15"/>
      <c r="O919" s="39"/>
      <c r="P919" s="36"/>
      <c r="Q919" s="16">
        <f>M919*P919</f>
        <v>0</v>
      </c>
      <c r="R919" s="34" t="s">
        <v>273</v>
      </c>
      <c r="S919" s="34" t="s">
        <v>102</v>
      </c>
      <c r="T919" s="36">
        <v>1.8</v>
      </c>
      <c r="U919" s="293">
        <f>Rutas[[#This Row],[Precio x Galón ($/gal)]]*Rutas[[#This Row],[Volumen de Combustible (gal)]]</f>
        <v>161.982</v>
      </c>
      <c r="V919" s="36"/>
      <c r="W919" s="36"/>
      <c r="X919" s="36"/>
      <c r="Y919" s="145">
        <f>U919+SUM(V919:X919)</f>
        <v>161.982</v>
      </c>
      <c r="Z919" s="567"/>
      <c r="AA919" s="12">
        <v>89.99</v>
      </c>
      <c r="AB919" s="12">
        <f>IFERROR(M919/AA919,0)</f>
        <v>0.72230247805311709</v>
      </c>
      <c r="AC919" s="12">
        <f>IFERROR(Q919/M919,0)</f>
        <v>0</v>
      </c>
      <c r="AD919" s="34"/>
    </row>
    <row r="920" spans="1:30" ht="16" x14ac:dyDescent="0.2">
      <c r="A920" s="47"/>
      <c r="B920" s="521"/>
      <c r="C920" s="176">
        <f t="shared" si="286"/>
        <v>917</v>
      </c>
      <c r="D920" s="146">
        <v>45853</v>
      </c>
      <c r="E920" s="37">
        <v>45868</v>
      </c>
      <c r="F920" s="65" t="s">
        <v>208</v>
      </c>
      <c r="G920" s="11" t="str">
        <f ca="1">IF(AND(E920&lt;&gt;"",E920&lt;TODAY()),"Disponible",IFERROR(INDEX(Vehiculos[Estado Vehiculo],MATCH(F920,Vehiculos[Placa Vehiculo],0)),""))</f>
        <v>Disponible</v>
      </c>
      <c r="H920" s="34" t="s">
        <v>305</v>
      </c>
      <c r="I920" s="34" t="s">
        <v>273</v>
      </c>
      <c r="J920" s="34" t="s">
        <v>274</v>
      </c>
      <c r="K920" s="39">
        <v>104701</v>
      </c>
      <c r="L920" s="39">
        <v>105203</v>
      </c>
      <c r="M920" s="15">
        <f t="shared" si="285"/>
        <v>502</v>
      </c>
      <c r="N920" s="15"/>
      <c r="O920" s="39"/>
      <c r="P920" s="36"/>
      <c r="Q920" s="16">
        <f t="shared" si="281"/>
        <v>0</v>
      </c>
      <c r="R920" s="34" t="s">
        <v>273</v>
      </c>
      <c r="S920" s="34" t="s">
        <v>102</v>
      </c>
      <c r="T920" s="36">
        <v>1.8</v>
      </c>
      <c r="U920" s="293">
        <f>Rutas[[#This Row],[Precio x Galón ($/gal)]]*Rutas[[#This Row],[Volumen de Combustible (gal)]]</f>
        <v>0</v>
      </c>
      <c r="V920" s="36"/>
      <c r="W920" s="36"/>
      <c r="X920" s="36"/>
      <c r="Y920" s="145">
        <f t="shared" si="282"/>
        <v>0</v>
      </c>
      <c r="Z920" s="567"/>
      <c r="AA920" s="12"/>
      <c r="AB920" s="12">
        <f t="shared" si="283"/>
        <v>0</v>
      </c>
      <c r="AC920" s="12">
        <f t="shared" si="284"/>
        <v>0</v>
      </c>
      <c r="AD920" s="34"/>
    </row>
    <row r="921" spans="1:30" ht="16" x14ac:dyDescent="0.2">
      <c r="A921" s="47"/>
      <c r="B921" s="521"/>
      <c r="C921" s="176">
        <f t="shared" si="286"/>
        <v>918</v>
      </c>
      <c r="D921" s="146">
        <v>45868</v>
      </c>
      <c r="E921" s="37">
        <v>45869</v>
      </c>
      <c r="F921" s="65" t="s">
        <v>208</v>
      </c>
      <c r="G921" s="11" t="str">
        <f ca="1">IF(AND(E921&lt;&gt;"",E921&lt;TODAY()),"Disponible",IFERROR(INDEX(Vehiculos[Estado Vehiculo],MATCH(F921,Vehiculos[Placa Vehiculo],0)),""))</f>
        <v>Disponible</v>
      </c>
      <c r="H921" s="34" t="s">
        <v>305</v>
      </c>
      <c r="I921" s="34" t="s">
        <v>273</v>
      </c>
      <c r="J921" s="34" t="s">
        <v>274</v>
      </c>
      <c r="K921" s="39">
        <v>105203</v>
      </c>
      <c r="L921" s="39">
        <v>105267</v>
      </c>
      <c r="M921" s="15">
        <f>L921-K921</f>
        <v>64</v>
      </c>
      <c r="N921" s="452">
        <v>190</v>
      </c>
      <c r="O921" s="39"/>
      <c r="P921" s="36"/>
      <c r="Q921" s="16">
        <f>M921*P921</f>
        <v>0</v>
      </c>
      <c r="R921" s="34" t="s">
        <v>273</v>
      </c>
      <c r="S921" s="34" t="s">
        <v>102</v>
      </c>
      <c r="T921" s="36">
        <v>1.8</v>
      </c>
      <c r="U921" s="293">
        <f>Rutas[[#This Row],[Precio x Galón ($/gal)]]*Rutas[[#This Row],[Volumen de Combustible (gal)]]</f>
        <v>79.38000000000001</v>
      </c>
      <c r="V921" s="36"/>
      <c r="W921" s="36"/>
      <c r="X921" s="36"/>
      <c r="Y921" s="145">
        <f>U921+SUM(V921:X921)</f>
        <v>79.38000000000001</v>
      </c>
      <c r="Z921" s="567"/>
      <c r="AA921" s="12">
        <v>44.1</v>
      </c>
      <c r="AB921" s="12">
        <f>IFERROR(M921/AA921,0)</f>
        <v>1.4512471655328798</v>
      </c>
      <c r="AC921" s="12">
        <f>IFERROR(Q921/M921,0)</f>
        <v>0</v>
      </c>
      <c r="AD921" s="34"/>
    </row>
    <row r="922" spans="1:30" ht="16" x14ac:dyDescent="0.2">
      <c r="A922" s="47"/>
      <c r="B922" s="521"/>
      <c r="C922" s="176">
        <f t="shared" si="286"/>
        <v>919</v>
      </c>
      <c r="D922" s="146"/>
      <c r="E922" s="37"/>
      <c r="F922" s="65"/>
      <c r="G922" s="11" t="str">
        <f ca="1">IF(AND(E922&lt;&gt;"",E922&lt;TODAY()),"Disponible",IFERROR(INDEX(Vehiculos[Estado Vehiculo],MATCH(F922,Vehiculos[Placa Vehiculo],0)),""))</f>
        <v/>
      </c>
      <c r="H922" s="34"/>
      <c r="I922" s="34"/>
      <c r="J922" s="34"/>
      <c r="K922" s="39"/>
      <c r="L922" s="39"/>
      <c r="M922" s="15">
        <f t="shared" si="285"/>
        <v>0</v>
      </c>
      <c r="N922" s="15"/>
      <c r="O922" s="39"/>
      <c r="P922" s="36"/>
      <c r="Q922" s="16">
        <f t="shared" si="281"/>
        <v>0</v>
      </c>
      <c r="R922" s="34"/>
      <c r="S922" s="34"/>
      <c r="T922" s="36"/>
      <c r="U922" s="293"/>
      <c r="V922" s="36"/>
      <c r="W922" s="36"/>
      <c r="X922" s="36"/>
      <c r="Y922" s="145">
        <f t="shared" si="282"/>
        <v>0</v>
      </c>
      <c r="Z922" s="567"/>
      <c r="AA922" s="12"/>
      <c r="AB922" s="12">
        <f t="shared" si="283"/>
        <v>0</v>
      </c>
      <c r="AC922" s="12">
        <f t="shared" si="284"/>
        <v>0</v>
      </c>
      <c r="AD922" s="34"/>
    </row>
    <row r="923" spans="1:30" ht="16" x14ac:dyDescent="0.2">
      <c r="A923" s="47"/>
      <c r="B923" s="521"/>
      <c r="C923" s="176">
        <f t="shared" si="286"/>
        <v>920</v>
      </c>
      <c r="D923" s="90">
        <v>45839</v>
      </c>
      <c r="E923" s="90">
        <v>45843</v>
      </c>
      <c r="F923" s="68" t="s">
        <v>209</v>
      </c>
      <c r="G923" s="379" t="str">
        <f ca="1">IF(AND(E923&lt;&gt;"",E923&lt;TODAY()),"Disponible",IFERROR(INDEX(Vehiculos[Estado Vehiculo],MATCH(F923,Vehiculos[Placa Vehiculo],0)),""))</f>
        <v>Disponible</v>
      </c>
      <c r="H923" s="89" t="s">
        <v>241</v>
      </c>
      <c r="I923" s="89" t="s">
        <v>273</v>
      </c>
      <c r="J923" s="89" t="s">
        <v>274</v>
      </c>
      <c r="K923" s="380">
        <v>106101</v>
      </c>
      <c r="L923" s="380">
        <v>106723</v>
      </c>
      <c r="M923" s="381">
        <f t="shared" si="285"/>
        <v>622</v>
      </c>
      <c r="N923" s="381"/>
      <c r="O923" s="380"/>
      <c r="P923" s="92"/>
      <c r="Q923" s="382">
        <f t="shared" si="281"/>
        <v>0</v>
      </c>
      <c r="R923" s="89" t="s">
        <v>273</v>
      </c>
      <c r="S923" s="89" t="s">
        <v>102</v>
      </c>
      <c r="T923" s="92">
        <v>1.8</v>
      </c>
      <c r="U923" s="266">
        <f>Rutas[[#This Row],[Precio x Galón ($/gal)]]*Rutas[[#This Row],[Volumen de Combustible (gal)]]</f>
        <v>203.346</v>
      </c>
      <c r="V923" s="92"/>
      <c r="W923" s="92"/>
      <c r="X923" s="92"/>
      <c r="Y923" s="382">
        <f t="shared" si="282"/>
        <v>203.346</v>
      </c>
      <c r="Z923" s="567"/>
      <c r="AA923" s="382">
        <v>112.97</v>
      </c>
      <c r="AB923" s="382">
        <f t="shared" si="283"/>
        <v>5.5058865185447461</v>
      </c>
      <c r="AC923" s="382">
        <f t="shared" si="284"/>
        <v>0</v>
      </c>
      <c r="AD923" s="89"/>
    </row>
    <row r="924" spans="1:30" ht="16" x14ac:dyDescent="0.2">
      <c r="A924" s="47"/>
      <c r="B924" s="521"/>
      <c r="C924" s="176">
        <f t="shared" si="286"/>
        <v>921</v>
      </c>
      <c r="D924" s="146">
        <v>45843</v>
      </c>
      <c r="E924" s="37">
        <v>45848</v>
      </c>
      <c r="F924" s="65" t="s">
        <v>209</v>
      </c>
      <c r="G924" s="11" t="str">
        <f ca="1">IF(AND(E924&lt;&gt;"",E924&lt;TODAY()),"Disponible",IFERROR(INDEX(Vehiculos[Estado Vehiculo],MATCH(F924,Vehiculos[Placa Vehiculo],0)),""))</f>
        <v>Disponible</v>
      </c>
      <c r="H924" s="34"/>
      <c r="I924" s="34" t="s">
        <v>273</v>
      </c>
      <c r="J924" s="34" t="s">
        <v>274</v>
      </c>
      <c r="K924" s="39">
        <v>106723</v>
      </c>
      <c r="L924" s="39">
        <v>106877</v>
      </c>
      <c r="M924" s="15">
        <f t="shared" si="285"/>
        <v>154</v>
      </c>
      <c r="N924" s="15"/>
      <c r="O924" s="39"/>
      <c r="P924" s="36"/>
      <c r="Q924" s="16">
        <f t="shared" si="281"/>
        <v>0</v>
      </c>
      <c r="R924" s="34" t="s">
        <v>273</v>
      </c>
      <c r="S924" s="34"/>
      <c r="T924" s="36"/>
      <c r="U924" s="293">
        <f>Rutas[[#This Row],[Precio x Galón ($/gal)]]*Rutas[[#This Row],[Volumen de Combustible (gal)]]</f>
        <v>0</v>
      </c>
      <c r="V924" s="36"/>
      <c r="W924" s="36"/>
      <c r="X924" s="36"/>
      <c r="Y924" s="145">
        <f t="shared" si="282"/>
        <v>0</v>
      </c>
      <c r="Z924" s="567"/>
      <c r="AA924" s="12"/>
      <c r="AB924" s="12">
        <f t="shared" si="283"/>
        <v>0</v>
      </c>
      <c r="AC924" s="12">
        <f t="shared" si="284"/>
        <v>0</v>
      </c>
      <c r="AD924" s="34"/>
    </row>
    <row r="925" spans="1:30" ht="16" x14ac:dyDescent="0.2">
      <c r="A925" s="47"/>
      <c r="B925" s="521"/>
      <c r="C925" s="176">
        <f t="shared" si="286"/>
        <v>922</v>
      </c>
      <c r="D925" s="146">
        <v>45848</v>
      </c>
      <c r="E925" s="37">
        <v>45857</v>
      </c>
      <c r="F925" s="65" t="s">
        <v>209</v>
      </c>
      <c r="G925" s="11" t="str">
        <f ca="1">IF(AND(E925&lt;&gt;"",E925&lt;TODAY()),"Disponible",IFERROR(INDEX(Vehiculos[Estado Vehiculo],MATCH(F925,Vehiculos[Placa Vehiculo],0)),""))</f>
        <v>Disponible</v>
      </c>
      <c r="H925" s="34" t="s">
        <v>241</v>
      </c>
      <c r="I925" s="34" t="s">
        <v>273</v>
      </c>
      <c r="J925" s="34" t="s">
        <v>274</v>
      </c>
      <c r="K925" s="39">
        <v>106877</v>
      </c>
      <c r="L925" s="39">
        <v>107225</v>
      </c>
      <c r="M925" s="15">
        <f>L925-K925</f>
        <v>348</v>
      </c>
      <c r="N925" s="15"/>
      <c r="O925" s="39"/>
      <c r="P925" s="36"/>
      <c r="Q925" s="16">
        <f>M925*P925</f>
        <v>0</v>
      </c>
      <c r="R925" s="34" t="s">
        <v>273</v>
      </c>
      <c r="S925" s="34" t="s">
        <v>102</v>
      </c>
      <c r="T925" s="36">
        <v>1.8</v>
      </c>
      <c r="U925" s="293">
        <f>Rutas[[#This Row],[Precio x Galón ($/gal)]]*Rutas[[#This Row],[Volumen de Combustible (gal)]]</f>
        <v>176.4</v>
      </c>
      <c r="V925" s="36"/>
      <c r="W925" s="36"/>
      <c r="X925" s="36"/>
      <c r="Y925" s="145">
        <f>U925+SUM(V925:X925)</f>
        <v>176.4</v>
      </c>
      <c r="Z925" s="567"/>
      <c r="AA925" s="12">
        <v>98</v>
      </c>
      <c r="AB925" s="12">
        <f>IFERROR(M925/AA925,0)</f>
        <v>3.5510204081632653</v>
      </c>
      <c r="AC925" s="12">
        <f>IFERROR(Q925/M925,0)</f>
        <v>0</v>
      </c>
      <c r="AD925" s="34"/>
    </row>
    <row r="926" spans="1:30" ht="16" x14ac:dyDescent="0.2">
      <c r="A926" s="47"/>
      <c r="B926" s="521"/>
      <c r="C926" s="176">
        <f t="shared" si="286"/>
        <v>923</v>
      </c>
      <c r="D926" s="146">
        <v>45857</v>
      </c>
      <c r="E926" s="37">
        <v>45868</v>
      </c>
      <c r="F926" s="65" t="s">
        <v>209</v>
      </c>
      <c r="G926" s="11" t="str">
        <f ca="1">IF(AND(E926&lt;&gt;"",E926&lt;TODAY()),"Disponible",IFERROR(INDEX(Vehiculos[Estado Vehiculo],MATCH(F926,Vehiculos[Placa Vehiculo],0)),""))</f>
        <v>Disponible</v>
      </c>
      <c r="H926" s="34" t="s">
        <v>241</v>
      </c>
      <c r="I926" s="34" t="s">
        <v>273</v>
      </c>
      <c r="J926" s="34" t="s">
        <v>274</v>
      </c>
      <c r="K926" s="39">
        <v>107225</v>
      </c>
      <c r="L926" s="39">
        <v>107521</v>
      </c>
      <c r="M926" s="15">
        <f t="shared" si="285"/>
        <v>296</v>
      </c>
      <c r="N926" s="452">
        <v>150</v>
      </c>
      <c r="O926" s="39"/>
      <c r="P926" s="36"/>
      <c r="Q926" s="16">
        <f t="shared" si="281"/>
        <v>0</v>
      </c>
      <c r="R926" s="34" t="s">
        <v>273</v>
      </c>
      <c r="S926" s="34" t="s">
        <v>102</v>
      </c>
      <c r="T926" s="36">
        <v>1.8</v>
      </c>
      <c r="U926" s="293">
        <f>Rutas[[#This Row],[Precio x Galón ($/gal)]]*Rutas[[#This Row],[Volumen de Combustible (gal)]]</f>
        <v>57.276000000000003</v>
      </c>
      <c r="V926" s="36"/>
      <c r="W926" s="36"/>
      <c r="X926" s="36"/>
      <c r="Y926" s="145">
        <f t="shared" si="282"/>
        <v>57.276000000000003</v>
      </c>
      <c r="Z926" s="567"/>
      <c r="AA926" s="12">
        <v>31.82</v>
      </c>
      <c r="AB926" s="12">
        <f t="shared" si="283"/>
        <v>9.3023255813953494</v>
      </c>
      <c r="AC926" s="12">
        <f t="shared" si="284"/>
        <v>0</v>
      </c>
      <c r="AD926" s="34"/>
    </row>
    <row r="927" spans="1:30" ht="16" x14ac:dyDescent="0.2">
      <c r="A927" s="47"/>
      <c r="B927" s="521"/>
      <c r="C927" s="176">
        <f t="shared" si="286"/>
        <v>924</v>
      </c>
      <c r="D927" s="146"/>
      <c r="E927" s="37"/>
      <c r="F927" s="65"/>
      <c r="G927" s="11" t="str">
        <f ca="1">IF(AND(E927&lt;&gt;"",E927&lt;TODAY()),"Disponible",IFERROR(INDEX(Vehiculos[Estado Vehiculo],MATCH(F927,Vehiculos[Placa Vehiculo],0)),""))</f>
        <v/>
      </c>
      <c r="H927" s="34"/>
      <c r="I927" s="34"/>
      <c r="J927" s="34"/>
      <c r="K927" s="39"/>
      <c r="L927" s="39"/>
      <c r="M927" s="15">
        <f t="shared" si="285"/>
        <v>0</v>
      </c>
      <c r="N927" s="15"/>
      <c r="O927" s="39"/>
      <c r="P927" s="36"/>
      <c r="Q927" s="16">
        <f t="shared" si="281"/>
        <v>0</v>
      </c>
      <c r="R927" s="34"/>
      <c r="S927" s="34"/>
      <c r="T927" s="36"/>
      <c r="U927" s="293">
        <f>Rutas[[#This Row],[Precio x Galón ($/gal)]]*Rutas[[#This Row],[Volumen de Combustible (gal)]]</f>
        <v>0</v>
      </c>
      <c r="V927" s="36"/>
      <c r="W927" s="36"/>
      <c r="X927" s="36"/>
      <c r="Y927" s="145">
        <f t="shared" si="282"/>
        <v>0</v>
      </c>
      <c r="Z927" s="567"/>
      <c r="AA927" s="12"/>
      <c r="AB927" s="12">
        <f t="shared" si="283"/>
        <v>0</v>
      </c>
      <c r="AC927" s="12">
        <f t="shared" si="284"/>
        <v>0</v>
      </c>
      <c r="AD927" s="34"/>
    </row>
    <row r="928" spans="1:30" ht="16" x14ac:dyDescent="0.2">
      <c r="A928" s="47"/>
      <c r="B928" s="521"/>
      <c r="C928" s="176">
        <f t="shared" si="286"/>
        <v>925</v>
      </c>
      <c r="D928" s="90">
        <v>45839</v>
      </c>
      <c r="E928" s="90">
        <v>45840</v>
      </c>
      <c r="F928" s="68" t="s">
        <v>210</v>
      </c>
      <c r="G928" s="379" t="str">
        <f ca="1">IF(AND(E928&lt;&gt;"",E928&lt;TODAY()),"Disponible",IFERROR(INDEX(Vehiculos[Estado Vehiculo],MATCH(F928,Vehiculos[Placa Vehiculo],0)),""))</f>
        <v>Disponible</v>
      </c>
      <c r="H928" s="89" t="s">
        <v>245</v>
      </c>
      <c r="I928" s="89" t="s">
        <v>273</v>
      </c>
      <c r="J928" s="89" t="s">
        <v>274</v>
      </c>
      <c r="K928" s="380">
        <v>90682</v>
      </c>
      <c r="L928" s="380">
        <v>90908</v>
      </c>
      <c r="M928" s="381">
        <f t="shared" si="285"/>
        <v>226</v>
      </c>
      <c r="N928" s="381"/>
      <c r="O928" s="380"/>
      <c r="P928" s="92"/>
      <c r="Q928" s="382">
        <f t="shared" si="281"/>
        <v>0</v>
      </c>
      <c r="R928" s="89" t="s">
        <v>273</v>
      </c>
      <c r="S928" s="89" t="s">
        <v>102</v>
      </c>
      <c r="T928" s="92">
        <v>1.8</v>
      </c>
      <c r="U928" s="266">
        <f>Rutas[[#This Row],[Precio x Galón ($/gal)]]*Rutas[[#This Row],[Volumen de Combustible (gal)]]</f>
        <v>186.714</v>
      </c>
      <c r="V928" s="92"/>
      <c r="W928" s="92"/>
      <c r="X928" s="92"/>
      <c r="Y928" s="382">
        <f t="shared" si="282"/>
        <v>186.714</v>
      </c>
      <c r="Z928" s="567"/>
      <c r="AA928" s="382">
        <v>103.73</v>
      </c>
      <c r="AB928" s="382">
        <f t="shared" si="283"/>
        <v>2.1787332497830905</v>
      </c>
      <c r="AC928" s="382">
        <f t="shared" si="284"/>
        <v>0</v>
      </c>
      <c r="AD928" s="89"/>
    </row>
    <row r="929" spans="1:30" ht="16" x14ac:dyDescent="0.2">
      <c r="A929" s="47"/>
      <c r="B929" s="521"/>
      <c r="C929" s="176">
        <f t="shared" si="286"/>
        <v>926</v>
      </c>
      <c r="D929" s="146">
        <v>45840</v>
      </c>
      <c r="E929" s="37">
        <v>45844</v>
      </c>
      <c r="F929" s="65" t="s">
        <v>210</v>
      </c>
      <c r="G929" s="11" t="str">
        <f ca="1">IF(AND(E929&lt;&gt;"",E929&lt;TODAY()),"Disponible",IFERROR(INDEX(Vehiculos[Estado Vehiculo],MATCH(F929,Vehiculos[Placa Vehiculo],0)),""))</f>
        <v>Disponible</v>
      </c>
      <c r="H929" s="34" t="s">
        <v>245</v>
      </c>
      <c r="I929" s="34" t="s">
        <v>273</v>
      </c>
      <c r="J929" s="34" t="s">
        <v>274</v>
      </c>
      <c r="K929" s="39">
        <v>90908</v>
      </c>
      <c r="L929" s="39">
        <v>91328</v>
      </c>
      <c r="M929" s="15">
        <f t="shared" si="285"/>
        <v>420</v>
      </c>
      <c r="N929" s="15"/>
      <c r="O929" s="39"/>
      <c r="P929" s="36"/>
      <c r="Q929" s="16">
        <f t="shared" si="281"/>
        <v>0</v>
      </c>
      <c r="R929" s="34" t="s">
        <v>273</v>
      </c>
      <c r="S929" s="34" t="s">
        <v>102</v>
      </c>
      <c r="T929" s="36">
        <v>1.8</v>
      </c>
      <c r="U929" s="293">
        <f>Rutas[[#This Row],[Precio x Galón ($/gal)]]*Rutas[[#This Row],[Volumen de Combustible (gal)]]</f>
        <v>160.34399999999999</v>
      </c>
      <c r="V929" s="36"/>
      <c r="W929" s="36"/>
      <c r="X929" s="36"/>
      <c r="Y929" s="145">
        <f t="shared" si="282"/>
        <v>160.34399999999999</v>
      </c>
      <c r="Z929" s="567"/>
      <c r="AA929" s="12">
        <v>89.08</v>
      </c>
      <c r="AB929" s="12">
        <f t="shared" si="283"/>
        <v>4.7148630444544235</v>
      </c>
      <c r="AC929" s="12">
        <f t="shared" si="284"/>
        <v>0</v>
      </c>
      <c r="AD929" s="34"/>
    </row>
    <row r="930" spans="1:30" ht="16" x14ac:dyDescent="0.2">
      <c r="A930" s="47"/>
      <c r="B930" s="521"/>
      <c r="C930" s="176">
        <f t="shared" si="286"/>
        <v>927</v>
      </c>
      <c r="D930" s="146">
        <v>45844</v>
      </c>
      <c r="E930" s="37">
        <v>45848</v>
      </c>
      <c r="F930" s="65" t="s">
        <v>210</v>
      </c>
      <c r="G930" s="11" t="str">
        <f ca="1">IF(AND(E930&lt;&gt;"",E930&lt;TODAY()),"Disponible",IFERROR(INDEX(Vehiculos[Estado Vehiculo],MATCH(F930,Vehiculos[Placa Vehiculo],0)),""))</f>
        <v>Disponible</v>
      </c>
      <c r="H930" s="34" t="s">
        <v>245</v>
      </c>
      <c r="I930" s="34" t="s">
        <v>273</v>
      </c>
      <c r="J930" s="34" t="s">
        <v>274</v>
      </c>
      <c r="K930" s="39">
        <v>91328</v>
      </c>
      <c r="L930" s="39">
        <v>91620</v>
      </c>
      <c r="M930" s="15">
        <f t="shared" si="285"/>
        <v>292</v>
      </c>
      <c r="N930" s="15"/>
      <c r="O930" s="39"/>
      <c r="P930" s="36"/>
      <c r="Q930" s="16">
        <f t="shared" si="281"/>
        <v>0</v>
      </c>
      <c r="R930" s="34" t="s">
        <v>273</v>
      </c>
      <c r="S930" s="34" t="s">
        <v>102</v>
      </c>
      <c r="T930" s="36">
        <v>1.8</v>
      </c>
      <c r="U930" s="293">
        <f>Rutas[[#This Row],[Precio x Galón ($/gal)]]*Rutas[[#This Row],[Volumen de Combustible (gal)]]</f>
        <v>0</v>
      </c>
      <c r="V930" s="36"/>
      <c r="W930" s="36"/>
      <c r="X930" s="36"/>
      <c r="Y930" s="145">
        <f t="shared" si="282"/>
        <v>0</v>
      </c>
      <c r="Z930" s="567"/>
      <c r="AA930" s="12"/>
      <c r="AB930" s="12">
        <f t="shared" si="283"/>
        <v>0</v>
      </c>
      <c r="AC930" s="12">
        <f t="shared" si="284"/>
        <v>0</v>
      </c>
      <c r="AD930" s="34"/>
    </row>
    <row r="931" spans="1:30" ht="16" x14ac:dyDescent="0.2">
      <c r="A931" s="47"/>
      <c r="B931" s="521"/>
      <c r="C931" s="176">
        <f t="shared" si="286"/>
        <v>928</v>
      </c>
      <c r="D931" s="146">
        <v>45848</v>
      </c>
      <c r="E931" s="37">
        <v>45851</v>
      </c>
      <c r="F931" s="65" t="s">
        <v>210</v>
      </c>
      <c r="G931" s="11" t="str">
        <f ca="1">IF(AND(E931&lt;&gt;"",E931&lt;TODAY()),"Disponible",IFERROR(INDEX(Vehiculos[Estado Vehiculo],MATCH(F931,Vehiculos[Placa Vehiculo],0)),""))</f>
        <v>Disponible</v>
      </c>
      <c r="H931" s="34" t="s">
        <v>238</v>
      </c>
      <c r="I931" s="34" t="s">
        <v>273</v>
      </c>
      <c r="J931" s="34" t="s">
        <v>274</v>
      </c>
      <c r="K931" s="39">
        <v>91620</v>
      </c>
      <c r="L931" s="39">
        <v>91850</v>
      </c>
      <c r="M931" s="15">
        <f t="shared" si="285"/>
        <v>230</v>
      </c>
      <c r="N931" s="15"/>
      <c r="O931" s="39"/>
      <c r="P931" s="36"/>
      <c r="Q931" s="16">
        <f t="shared" si="281"/>
        <v>0</v>
      </c>
      <c r="R931" s="34" t="s">
        <v>273</v>
      </c>
      <c r="S931" s="34" t="s">
        <v>102</v>
      </c>
      <c r="T931" s="36">
        <v>1.8</v>
      </c>
      <c r="U931" s="293">
        <f>Rutas[[#This Row],[Precio x Galón ($/gal)]]*Rutas[[#This Row],[Volumen de Combustible (gal)]]</f>
        <v>173.46600000000001</v>
      </c>
      <c r="V931" s="36"/>
      <c r="W931" s="36"/>
      <c r="X931" s="36"/>
      <c r="Y931" s="145">
        <f t="shared" si="282"/>
        <v>173.46600000000001</v>
      </c>
      <c r="Z931" s="567"/>
      <c r="AA931" s="12">
        <v>96.37</v>
      </c>
      <c r="AB931" s="12">
        <f t="shared" si="283"/>
        <v>2.3866348448687349</v>
      </c>
      <c r="AC931" s="12">
        <f t="shared" si="284"/>
        <v>0</v>
      </c>
      <c r="AD931" s="34"/>
    </row>
    <row r="932" spans="1:30" ht="16" x14ac:dyDescent="0.2">
      <c r="A932" s="47"/>
      <c r="B932" s="521"/>
      <c r="C932" s="176">
        <f t="shared" si="286"/>
        <v>929</v>
      </c>
      <c r="D932" s="146">
        <v>45851</v>
      </c>
      <c r="E932" s="37">
        <v>45865</v>
      </c>
      <c r="F932" s="65" t="s">
        <v>210</v>
      </c>
      <c r="G932" s="11" t="str">
        <f ca="1">IF(AND(E932&lt;&gt;"",E932&lt;TODAY()),"Disponible",IFERROR(INDEX(Vehiculos[Estado Vehiculo],MATCH(F932,Vehiculos[Placa Vehiculo],0)),""))</f>
        <v>Disponible</v>
      </c>
      <c r="H932" s="34" t="s">
        <v>250</v>
      </c>
      <c r="I932" s="34" t="s">
        <v>273</v>
      </c>
      <c r="J932" s="34" t="s">
        <v>274</v>
      </c>
      <c r="K932" s="39">
        <v>91850</v>
      </c>
      <c r="L932" s="39">
        <v>92641</v>
      </c>
      <c r="M932" s="15">
        <f>L932-K932</f>
        <v>791</v>
      </c>
      <c r="N932" s="15"/>
      <c r="O932" s="39"/>
      <c r="P932" s="36"/>
      <c r="Q932" s="16">
        <f>M932*P932</f>
        <v>0</v>
      </c>
      <c r="R932" s="34" t="s">
        <v>273</v>
      </c>
      <c r="S932" s="34" t="s">
        <v>102</v>
      </c>
      <c r="T932" s="36">
        <v>1.8</v>
      </c>
      <c r="U932" s="293">
        <f>Rutas[[#This Row],[Precio x Galón ($/gal)]]*Rutas[[#This Row],[Volumen de Combustible (gal)]]</f>
        <v>205.18199999999999</v>
      </c>
      <c r="V932" s="36"/>
      <c r="W932" s="36"/>
      <c r="X932" s="36"/>
      <c r="Y932" s="145">
        <f>U932+SUM(V932:X932)</f>
        <v>205.18199999999999</v>
      </c>
      <c r="Z932" s="567"/>
      <c r="AA932" s="12">
        <v>113.99</v>
      </c>
      <c r="AB932" s="12">
        <f>IFERROR(M932/AA932,0)</f>
        <v>6.9392051934380214</v>
      </c>
      <c r="AC932" s="12">
        <f>IFERROR(Q932/M932,0)</f>
        <v>0</v>
      </c>
      <c r="AD932" s="34"/>
    </row>
    <row r="933" spans="1:30" ht="16" x14ac:dyDescent="0.2">
      <c r="A933" s="47"/>
      <c r="B933" s="521"/>
      <c r="C933" s="176">
        <f t="shared" si="286"/>
        <v>930</v>
      </c>
      <c r="D933" s="146">
        <v>45865</v>
      </c>
      <c r="E933" s="37">
        <v>45868</v>
      </c>
      <c r="F933" s="65" t="s">
        <v>210</v>
      </c>
      <c r="G933" s="11" t="str">
        <f ca="1">IF(AND(E933&lt;&gt;"",E933&lt;TODAY()),"Disponible",IFERROR(INDEX(Vehiculos[Estado Vehiculo],MATCH(F933,Vehiculos[Placa Vehiculo],0)),""))</f>
        <v>Disponible</v>
      </c>
      <c r="H933" s="34" t="s">
        <v>238</v>
      </c>
      <c r="I933" s="34" t="s">
        <v>273</v>
      </c>
      <c r="J933" s="34" t="s">
        <v>274</v>
      </c>
      <c r="K933" s="39">
        <v>92641</v>
      </c>
      <c r="L933" s="39">
        <v>93112</v>
      </c>
      <c r="M933" s="15">
        <f>L933-K933</f>
        <v>471</v>
      </c>
      <c r="N933" s="452">
        <v>223</v>
      </c>
      <c r="O933" s="39"/>
      <c r="P933" s="36"/>
      <c r="Q933" s="16">
        <f>M933*P933</f>
        <v>0</v>
      </c>
      <c r="R933" s="34" t="s">
        <v>273</v>
      </c>
      <c r="S933" s="34" t="s">
        <v>102</v>
      </c>
      <c r="T933" s="36">
        <v>1.8</v>
      </c>
      <c r="U933" s="293"/>
      <c r="V933" s="36"/>
      <c r="W933" s="36"/>
      <c r="X933" s="36"/>
      <c r="Y933" s="145">
        <f>U933+SUM(V933:X933)</f>
        <v>0</v>
      </c>
      <c r="Z933" s="567"/>
      <c r="AA933" s="12"/>
      <c r="AB933" s="12">
        <f>IFERROR(M933/AA933,0)</f>
        <v>0</v>
      </c>
      <c r="AC933" s="12">
        <f>IFERROR(Q933/M933,0)</f>
        <v>0</v>
      </c>
      <c r="AD933" s="34"/>
    </row>
    <row r="934" spans="1:30" ht="16" x14ac:dyDescent="0.2">
      <c r="A934" s="47"/>
      <c r="B934" s="521"/>
      <c r="C934" s="176">
        <f t="shared" si="286"/>
        <v>931</v>
      </c>
      <c r="D934" s="454"/>
      <c r="E934" s="37"/>
      <c r="F934" s="65"/>
      <c r="G934" s="11" t="str">
        <f ca="1">IF(AND(E934&lt;&gt;"",E934&lt;TODAY()),"Disponible",IFERROR(INDEX(Vehiculos[Estado Vehiculo],MATCH(F934,Vehiculos[Placa Vehiculo],0)),""))</f>
        <v/>
      </c>
      <c r="H934" s="34"/>
      <c r="I934" s="34"/>
      <c r="J934" s="34"/>
      <c r="K934" s="39"/>
      <c r="L934" s="39"/>
      <c r="M934" s="15">
        <f>L934-K934</f>
        <v>0</v>
      </c>
      <c r="N934" s="15"/>
      <c r="O934" s="39"/>
      <c r="P934" s="36"/>
      <c r="Q934" s="16">
        <f>M934*P934</f>
        <v>0</v>
      </c>
      <c r="R934" s="34"/>
      <c r="S934" s="34"/>
      <c r="T934" s="36"/>
      <c r="U934" s="293"/>
      <c r="V934" s="36"/>
      <c r="W934" s="36"/>
      <c r="X934" s="36"/>
      <c r="Y934" s="145">
        <f>U934+SUM(V934:X934)</f>
        <v>0</v>
      </c>
      <c r="Z934" s="567"/>
      <c r="AA934" s="12"/>
      <c r="AB934" s="12">
        <f>IFERROR(M934/AA934,0)</f>
        <v>0</v>
      </c>
      <c r="AC934" s="12">
        <f>IFERROR(Q934/M934,0)</f>
        <v>0</v>
      </c>
      <c r="AD934" s="34"/>
    </row>
    <row r="935" spans="1:30" ht="16" x14ac:dyDescent="0.2">
      <c r="A935" s="47"/>
      <c r="B935" s="521"/>
      <c r="C935" s="176">
        <f t="shared" si="286"/>
        <v>932</v>
      </c>
      <c r="D935" s="146"/>
      <c r="E935" s="37"/>
      <c r="F935" s="65"/>
      <c r="G935" s="11" t="str">
        <f ca="1">IF(AND(E935&lt;&gt;"",E935&lt;TODAY()),"Disponible",IFERROR(INDEX(Vehiculos[Estado Vehiculo],MATCH(F935,Vehiculos[Placa Vehiculo],0)),""))</f>
        <v/>
      </c>
      <c r="H935" s="34"/>
      <c r="I935" s="34"/>
      <c r="J935" s="34"/>
      <c r="K935" s="39"/>
      <c r="L935" s="39"/>
      <c r="M935" s="15">
        <f t="shared" si="285"/>
        <v>0</v>
      </c>
      <c r="N935" s="15"/>
      <c r="O935" s="39"/>
      <c r="P935" s="36"/>
      <c r="Q935" s="16">
        <f t="shared" si="281"/>
        <v>0</v>
      </c>
      <c r="R935" s="34"/>
      <c r="S935" s="34"/>
      <c r="T935" s="36"/>
      <c r="U935" s="293">
        <f>Rutas[[#This Row],[Precio x Galón ($/gal)]]*Rutas[[#This Row],[Volumen de Combustible (gal)]]</f>
        <v>0</v>
      </c>
      <c r="V935" s="36"/>
      <c r="W935" s="36"/>
      <c r="X935" s="36"/>
      <c r="Y935" s="145">
        <f t="shared" si="282"/>
        <v>0</v>
      </c>
      <c r="Z935" s="567"/>
      <c r="AA935" s="12"/>
      <c r="AB935" s="12">
        <f t="shared" si="283"/>
        <v>0</v>
      </c>
      <c r="AC935" s="12">
        <f t="shared" si="284"/>
        <v>0</v>
      </c>
      <c r="AD935" s="34"/>
    </row>
    <row r="936" spans="1:30" ht="16" x14ac:dyDescent="0.2">
      <c r="A936" s="47"/>
      <c r="B936" s="521"/>
      <c r="C936" s="176">
        <f t="shared" si="286"/>
        <v>933</v>
      </c>
      <c r="D936" s="90">
        <v>45839</v>
      </c>
      <c r="E936" s="90">
        <v>45845</v>
      </c>
      <c r="F936" s="68" t="s">
        <v>212</v>
      </c>
      <c r="G936" s="379" t="str">
        <f ca="1">IF(AND(E936&lt;&gt;"",E936&lt;TODAY()),"Disponible",IFERROR(INDEX(Vehiculos[Estado Vehiculo],MATCH(F936,Vehiculos[Placa Vehiculo],0)),""))</f>
        <v>Disponible</v>
      </c>
      <c r="H936" s="89" t="s">
        <v>269</v>
      </c>
      <c r="I936" s="89" t="s">
        <v>273</v>
      </c>
      <c r="J936" s="89" t="s">
        <v>274</v>
      </c>
      <c r="K936" s="380">
        <v>269666</v>
      </c>
      <c r="L936" s="380">
        <v>270026</v>
      </c>
      <c r="M936" s="381">
        <f t="shared" si="285"/>
        <v>360</v>
      </c>
      <c r="N936" s="381"/>
      <c r="O936" s="380"/>
      <c r="P936" s="92"/>
      <c r="Q936" s="382">
        <f t="shared" si="281"/>
        <v>0</v>
      </c>
      <c r="R936" s="89" t="s">
        <v>273</v>
      </c>
      <c r="S936" s="89" t="s">
        <v>102</v>
      </c>
      <c r="T936" s="92">
        <v>1.8</v>
      </c>
      <c r="U936" s="266">
        <f>Rutas[[#This Row],[Precio x Galón ($/gal)]]*Rutas[[#This Row],[Volumen de Combustible (gal)]]</f>
        <v>157.89600000000002</v>
      </c>
      <c r="V936" s="92"/>
      <c r="W936" s="92"/>
      <c r="X936" s="92"/>
      <c r="Y936" s="382">
        <f t="shared" si="282"/>
        <v>157.89600000000002</v>
      </c>
      <c r="Z936" s="567"/>
      <c r="AA936" s="382">
        <v>87.72</v>
      </c>
      <c r="AB936" s="382">
        <f t="shared" si="283"/>
        <v>4.1039671682626535</v>
      </c>
      <c r="AC936" s="382">
        <f t="shared" si="284"/>
        <v>0</v>
      </c>
      <c r="AD936" s="89"/>
    </row>
    <row r="937" spans="1:30" ht="16" x14ac:dyDescent="0.2">
      <c r="A937" s="47"/>
      <c r="B937" s="521"/>
      <c r="C937" s="176">
        <f t="shared" si="286"/>
        <v>934</v>
      </c>
      <c r="D937" s="146">
        <v>45845</v>
      </c>
      <c r="E937" s="37">
        <v>45849</v>
      </c>
      <c r="F937" s="65" t="s">
        <v>212</v>
      </c>
      <c r="G937" s="11" t="str">
        <f ca="1">IF(AND(E937&lt;&gt;"",E937&lt;TODAY()),"Disponible",IFERROR(INDEX(Vehiculos[Estado Vehiculo],MATCH(F937,Vehiculos[Placa Vehiculo],0)),""))</f>
        <v>Disponible</v>
      </c>
      <c r="H937" s="34" t="s">
        <v>269</v>
      </c>
      <c r="I937" s="34" t="s">
        <v>273</v>
      </c>
      <c r="J937" s="34" t="s">
        <v>274</v>
      </c>
      <c r="K937" s="39">
        <v>270026</v>
      </c>
      <c r="L937" s="39">
        <v>270033</v>
      </c>
      <c r="M937" s="15">
        <f t="shared" si="285"/>
        <v>7</v>
      </c>
      <c r="N937" s="15"/>
      <c r="O937" s="39"/>
      <c r="P937" s="36"/>
      <c r="Q937" s="16">
        <f t="shared" si="281"/>
        <v>0</v>
      </c>
      <c r="R937" s="34" t="s">
        <v>273</v>
      </c>
      <c r="S937" s="34" t="s">
        <v>102</v>
      </c>
      <c r="T937" s="36">
        <v>1.8</v>
      </c>
      <c r="U937" s="293">
        <f>Rutas[[#This Row],[Precio x Galón ($/gal)]]*Rutas[[#This Row],[Volumen de Combustible (gal)]]</f>
        <v>0</v>
      </c>
      <c r="V937" s="36"/>
      <c r="W937" s="36"/>
      <c r="X937" s="36"/>
      <c r="Y937" s="145">
        <f t="shared" si="282"/>
        <v>0</v>
      </c>
      <c r="Z937" s="567"/>
      <c r="AA937" s="12"/>
      <c r="AB937" s="12">
        <f t="shared" si="283"/>
        <v>0</v>
      </c>
      <c r="AC937" s="12">
        <f t="shared" si="284"/>
        <v>0</v>
      </c>
      <c r="AD937" s="34"/>
    </row>
    <row r="938" spans="1:30" ht="16" x14ac:dyDescent="0.2">
      <c r="A938" s="47"/>
      <c r="B938" s="521"/>
      <c r="C938" s="176">
        <f t="shared" si="286"/>
        <v>935</v>
      </c>
      <c r="D938" s="146">
        <v>45849</v>
      </c>
      <c r="E938" s="37">
        <v>45866</v>
      </c>
      <c r="F938" s="65" t="s">
        <v>212</v>
      </c>
      <c r="G938" s="11" t="str">
        <f ca="1">IF(AND(E938&lt;&gt;"",E938&lt;TODAY()),"Disponible",IFERROR(INDEX(Vehiculos[Estado Vehiculo],MATCH(F938,Vehiculos[Placa Vehiculo],0)),""))</f>
        <v>Disponible</v>
      </c>
      <c r="H938" s="34" t="s">
        <v>269</v>
      </c>
      <c r="I938" s="34" t="s">
        <v>273</v>
      </c>
      <c r="J938" s="34" t="s">
        <v>274</v>
      </c>
      <c r="K938" s="39">
        <v>270033</v>
      </c>
      <c r="L938" s="39">
        <v>270187</v>
      </c>
      <c r="M938" s="15">
        <f t="shared" si="285"/>
        <v>154</v>
      </c>
      <c r="N938" s="15"/>
      <c r="O938" s="39"/>
      <c r="P938" s="36"/>
      <c r="Q938" s="16">
        <f t="shared" si="281"/>
        <v>0</v>
      </c>
      <c r="R938" s="34" t="s">
        <v>273</v>
      </c>
      <c r="S938" s="34" t="s">
        <v>102</v>
      </c>
      <c r="T938" s="36">
        <v>1.8</v>
      </c>
      <c r="U938" s="293">
        <f>Rutas[[#This Row],[Precio x Galón ($/gal)]]*Rutas[[#This Row],[Volumen de Combustible (gal)]]</f>
        <v>144</v>
      </c>
      <c r="V938" s="36"/>
      <c r="W938" s="36"/>
      <c r="X938" s="36"/>
      <c r="Y938" s="145">
        <f t="shared" si="282"/>
        <v>144</v>
      </c>
      <c r="Z938" s="567"/>
      <c r="AA938" s="12">
        <v>80</v>
      </c>
      <c r="AB938" s="12">
        <f t="shared" si="283"/>
        <v>1.925</v>
      </c>
      <c r="AC938" s="12">
        <f t="shared" si="284"/>
        <v>0</v>
      </c>
      <c r="AD938" s="34"/>
    </row>
    <row r="939" spans="1:30" ht="16" x14ac:dyDescent="0.2">
      <c r="A939" s="47"/>
      <c r="B939" s="521"/>
      <c r="C939" s="176">
        <f t="shared" si="286"/>
        <v>936</v>
      </c>
      <c r="D939" s="146">
        <v>45866</v>
      </c>
      <c r="E939" s="37">
        <v>45868</v>
      </c>
      <c r="F939" s="65" t="s">
        <v>212</v>
      </c>
      <c r="G939" s="11" t="str">
        <f ca="1">IF(AND(E939&lt;&gt;"",E939&lt;TODAY()),"Disponible",IFERROR(INDEX(Vehiculos[Estado Vehiculo],MATCH(F939,Vehiculos[Placa Vehiculo],0)),""))</f>
        <v>Disponible</v>
      </c>
      <c r="H939" s="34"/>
      <c r="I939" s="34" t="s">
        <v>273</v>
      </c>
      <c r="J939" s="34" t="s">
        <v>274</v>
      </c>
      <c r="K939" s="39">
        <v>270187</v>
      </c>
      <c r="L939" s="39">
        <v>270382</v>
      </c>
      <c r="M939" s="15">
        <f t="shared" ref="M939:M944" si="287">L939-K939</f>
        <v>195</v>
      </c>
      <c r="N939" s="452">
        <v>90</v>
      </c>
      <c r="O939" s="39"/>
      <c r="P939" s="36"/>
      <c r="Q939" s="16">
        <f t="shared" ref="Q939:Q944" si="288">M939*P939</f>
        <v>0</v>
      </c>
      <c r="R939" s="34" t="s">
        <v>273</v>
      </c>
      <c r="S939" s="34" t="s">
        <v>102</v>
      </c>
      <c r="T939" s="36">
        <v>1.8</v>
      </c>
      <c r="U939" s="293">
        <f>Rutas[[#This Row],[Precio x Galón ($/gal)]]*Rutas[[#This Row],[Volumen de Combustible (gal)]]</f>
        <v>90.323999999999998</v>
      </c>
      <c r="V939" s="36"/>
      <c r="W939" s="36"/>
      <c r="X939" s="36"/>
      <c r="Y939" s="145">
        <f t="shared" ref="Y939:Y944" si="289">U939+SUM(V939:X939)</f>
        <v>90.323999999999998</v>
      </c>
      <c r="Z939" s="567"/>
      <c r="AA939" s="12">
        <v>50.18</v>
      </c>
      <c r="AB939" s="12">
        <f t="shared" ref="AB939:AB944" si="290">IFERROR(M939/AA939,0)</f>
        <v>3.8860103626943006</v>
      </c>
      <c r="AC939" s="12">
        <f t="shared" ref="AC939:AC944" si="291">IFERROR(Q939/M939,0)</f>
        <v>0</v>
      </c>
      <c r="AD939" s="34"/>
    </row>
    <row r="940" spans="1:30" ht="16" x14ac:dyDescent="0.2">
      <c r="A940" s="47"/>
      <c r="B940" s="521"/>
      <c r="C940" s="176">
        <f t="shared" si="286"/>
        <v>937</v>
      </c>
      <c r="D940" s="146"/>
      <c r="E940" s="37"/>
      <c r="F940" s="66"/>
      <c r="G940" s="11" t="str">
        <f ca="1">IF(AND(E940&lt;&gt;"",E940&lt;TODAY()),"Disponible",IFERROR(INDEX(Vehiculos[Estado Vehiculo],MATCH(F940,Vehiculos[Placa Vehiculo],0)),""))</f>
        <v/>
      </c>
      <c r="H940" s="34"/>
      <c r="I940" s="34"/>
      <c r="J940" s="34"/>
      <c r="K940" s="39"/>
      <c r="L940" s="39"/>
      <c r="M940" s="15">
        <f t="shared" si="287"/>
        <v>0</v>
      </c>
      <c r="N940" s="15"/>
      <c r="O940" s="39"/>
      <c r="P940" s="36"/>
      <c r="Q940" s="16">
        <f t="shared" si="288"/>
        <v>0</v>
      </c>
      <c r="R940" s="34"/>
      <c r="S940" s="34"/>
      <c r="T940" s="36"/>
      <c r="U940" s="293"/>
      <c r="V940" s="36"/>
      <c r="W940" s="36"/>
      <c r="X940" s="36"/>
      <c r="Y940" s="145">
        <f t="shared" si="289"/>
        <v>0</v>
      </c>
      <c r="Z940" s="567"/>
      <c r="AA940" s="12"/>
      <c r="AB940" s="12">
        <f t="shared" si="290"/>
        <v>0</v>
      </c>
      <c r="AC940" s="12">
        <f t="shared" si="291"/>
        <v>0</v>
      </c>
      <c r="AD940" s="34"/>
    </row>
    <row r="941" spans="1:30" ht="16" x14ac:dyDescent="0.2">
      <c r="A941" s="47"/>
      <c r="B941" s="521"/>
      <c r="C941" s="176">
        <f t="shared" si="286"/>
        <v>938</v>
      </c>
      <c r="D941" s="146"/>
      <c r="E941" s="37"/>
      <c r="F941" s="66"/>
      <c r="G941" s="11" t="str">
        <f ca="1">IF(AND(E941&lt;&gt;"",E941&lt;TODAY()),"Disponible",IFERROR(INDEX(Vehiculos[Estado Vehiculo],MATCH(F941,Vehiculos[Placa Vehiculo],0)),""))</f>
        <v/>
      </c>
      <c r="H941" s="34"/>
      <c r="I941" s="34"/>
      <c r="J941" s="34"/>
      <c r="K941" s="39"/>
      <c r="L941" s="39"/>
      <c r="M941" s="15">
        <f t="shared" si="287"/>
        <v>0</v>
      </c>
      <c r="N941" s="15"/>
      <c r="O941" s="39"/>
      <c r="P941" s="36"/>
      <c r="Q941" s="16">
        <f t="shared" si="288"/>
        <v>0</v>
      </c>
      <c r="R941" s="34"/>
      <c r="S941" s="34"/>
      <c r="T941" s="36"/>
      <c r="U941" s="293"/>
      <c r="V941" s="36"/>
      <c r="W941" s="36"/>
      <c r="X941" s="36"/>
      <c r="Y941" s="145">
        <f t="shared" si="289"/>
        <v>0</v>
      </c>
      <c r="Z941" s="567"/>
      <c r="AA941" s="12"/>
      <c r="AB941" s="12">
        <f t="shared" si="290"/>
        <v>0</v>
      </c>
      <c r="AC941" s="12">
        <f t="shared" si="291"/>
        <v>0</v>
      </c>
      <c r="AD941" s="34"/>
    </row>
    <row r="942" spans="1:30" ht="16" x14ac:dyDescent="0.2">
      <c r="A942" s="47"/>
      <c r="B942" s="521"/>
      <c r="C942" s="176">
        <f t="shared" si="286"/>
        <v>939</v>
      </c>
      <c r="D942" s="90">
        <v>45839</v>
      </c>
      <c r="E942" s="90"/>
      <c r="F942" s="68" t="s">
        <v>376</v>
      </c>
      <c r="G942" s="379" t="str">
        <f ca="1">IF(AND(E942&lt;&gt;"",E942&lt;TODAY()),"Disponible",IFERROR(INDEX(Vehiculos[Estado Vehiculo],MATCH(F942,Vehiculos[Placa Vehiculo],0)),""))</f>
        <v>Disponible</v>
      </c>
      <c r="H942" s="89"/>
      <c r="I942" s="89" t="s">
        <v>273</v>
      </c>
      <c r="J942" s="89"/>
      <c r="K942" s="380">
        <v>230044</v>
      </c>
      <c r="L942" s="380"/>
      <c r="M942" s="381">
        <f t="shared" si="287"/>
        <v>-230044</v>
      </c>
      <c r="N942" s="381"/>
      <c r="O942" s="380"/>
      <c r="P942" s="92"/>
      <c r="Q942" s="382">
        <f t="shared" si="288"/>
        <v>0</v>
      </c>
      <c r="R942" s="89"/>
      <c r="S942" s="89"/>
      <c r="T942" s="92"/>
      <c r="U942" s="266"/>
      <c r="V942" s="92"/>
      <c r="W942" s="92"/>
      <c r="X942" s="92"/>
      <c r="Y942" s="382">
        <f t="shared" si="289"/>
        <v>0</v>
      </c>
      <c r="Z942" s="567"/>
      <c r="AA942" s="382">
        <f>IFERROR(U942/T942,0)</f>
        <v>0</v>
      </c>
      <c r="AB942" s="382">
        <f t="shared" si="290"/>
        <v>0</v>
      </c>
      <c r="AC942" s="382">
        <f t="shared" si="291"/>
        <v>0</v>
      </c>
      <c r="AD942" s="89"/>
    </row>
    <row r="943" spans="1:30" ht="16" x14ac:dyDescent="0.2">
      <c r="A943" s="47"/>
      <c r="B943" s="521"/>
      <c r="C943" s="176">
        <f t="shared" si="286"/>
        <v>940</v>
      </c>
      <c r="D943" s="146"/>
      <c r="E943" s="37"/>
      <c r="F943" s="66"/>
      <c r="G943" s="11" t="str">
        <f ca="1">IF(AND(E943&lt;&gt;"",E943&lt;TODAY()),"Disponible",IFERROR(INDEX(Vehiculos[Estado Vehiculo],MATCH(F943,Vehiculos[Placa Vehiculo],0)),""))</f>
        <v/>
      </c>
      <c r="H943" s="34"/>
      <c r="I943" s="34"/>
      <c r="J943" s="34"/>
      <c r="K943" s="39"/>
      <c r="L943" s="39"/>
      <c r="M943" s="15">
        <f t="shared" si="287"/>
        <v>0</v>
      </c>
      <c r="N943" s="15"/>
      <c r="O943" s="39"/>
      <c r="P943" s="36"/>
      <c r="Q943" s="16">
        <f t="shared" si="288"/>
        <v>0</v>
      </c>
      <c r="R943" s="34"/>
      <c r="S943" s="34"/>
      <c r="T943" s="36"/>
      <c r="U943" s="293"/>
      <c r="V943" s="36"/>
      <c r="W943" s="36"/>
      <c r="X943" s="36"/>
      <c r="Y943" s="145">
        <f t="shared" si="289"/>
        <v>0</v>
      </c>
      <c r="Z943" s="567"/>
      <c r="AA943" s="12">
        <f>IFERROR(U943/T943,0)</f>
        <v>0</v>
      </c>
      <c r="AB943" s="12">
        <f t="shared" si="290"/>
        <v>0</v>
      </c>
      <c r="AC943" s="12">
        <f t="shared" si="291"/>
        <v>0</v>
      </c>
      <c r="AD943" s="34"/>
    </row>
    <row r="944" spans="1:30" ht="16" x14ac:dyDescent="0.2">
      <c r="A944" s="47"/>
      <c r="B944" s="521"/>
      <c r="C944" s="176">
        <f t="shared" si="286"/>
        <v>941</v>
      </c>
      <c r="D944" s="146"/>
      <c r="E944" s="37"/>
      <c r="F944" s="66"/>
      <c r="G944" s="11" t="str">
        <f ca="1">IF(AND(E944&lt;&gt;"",E944&lt;TODAY()),"Disponible",IFERROR(INDEX(Vehiculos[Estado Vehiculo],MATCH(F944,Vehiculos[Placa Vehiculo],0)),""))</f>
        <v/>
      </c>
      <c r="H944" s="34"/>
      <c r="I944" s="34"/>
      <c r="J944" s="34"/>
      <c r="K944" s="39"/>
      <c r="L944" s="39"/>
      <c r="M944" s="15">
        <f t="shared" si="287"/>
        <v>0</v>
      </c>
      <c r="N944" s="15"/>
      <c r="O944" s="39"/>
      <c r="P944" s="36"/>
      <c r="Q944" s="16">
        <f t="shared" si="288"/>
        <v>0</v>
      </c>
      <c r="R944" s="34"/>
      <c r="S944" s="34"/>
      <c r="T944" s="36"/>
      <c r="U944" s="293"/>
      <c r="V944" s="36"/>
      <c r="W944" s="36"/>
      <c r="X944" s="36"/>
      <c r="Y944" s="145">
        <f t="shared" si="289"/>
        <v>0</v>
      </c>
      <c r="Z944" s="567"/>
      <c r="AA944" s="12">
        <f>IFERROR(U944/T944,0)</f>
        <v>0</v>
      </c>
      <c r="AB944" s="12">
        <f t="shared" si="290"/>
        <v>0</v>
      </c>
      <c r="AC944" s="12">
        <f t="shared" si="291"/>
        <v>0</v>
      </c>
      <c r="AD944" s="34"/>
    </row>
    <row r="945" spans="1:30" ht="16" x14ac:dyDescent="0.2">
      <c r="A945" s="47"/>
      <c r="B945" s="521"/>
      <c r="C945" s="176">
        <f t="shared" si="286"/>
        <v>942</v>
      </c>
      <c r="D945" s="146"/>
      <c r="E945" s="37"/>
      <c r="F945" s="66"/>
      <c r="G945" s="11" t="str">
        <f ca="1">IF(AND(E945&lt;&gt;"",E945&lt;TODAY()),"Disponible",IFERROR(INDEX(Vehiculos[Estado Vehiculo],MATCH(F945,Vehiculos[Placa Vehiculo],0)),""))</f>
        <v/>
      </c>
      <c r="H945" s="34"/>
      <c r="I945" s="34"/>
      <c r="J945" s="34"/>
      <c r="K945" s="39"/>
      <c r="L945" s="39"/>
      <c r="M945" s="15">
        <f t="shared" si="285"/>
        <v>0</v>
      </c>
      <c r="N945" s="15"/>
      <c r="O945" s="39"/>
      <c r="P945" s="36"/>
      <c r="Q945" s="16">
        <f t="shared" si="281"/>
        <v>0</v>
      </c>
      <c r="R945" s="34"/>
      <c r="S945" s="34"/>
      <c r="T945" s="36"/>
      <c r="U945" s="293">
        <f>Rutas[[#This Row],[Precio x Galón ($/gal)]]*Rutas[[#This Row],[Volumen de Combustible (gal)]]</f>
        <v>0</v>
      </c>
      <c r="V945" s="36"/>
      <c r="W945" s="36"/>
      <c r="X945" s="36"/>
      <c r="Y945" s="145">
        <f t="shared" si="282"/>
        <v>0</v>
      </c>
      <c r="Z945" s="567"/>
      <c r="AA945" s="12"/>
      <c r="AB945" s="12">
        <f t="shared" si="283"/>
        <v>0</v>
      </c>
      <c r="AC945" s="12">
        <f t="shared" si="284"/>
        <v>0</v>
      </c>
      <c r="AD945" s="34"/>
    </row>
    <row r="946" spans="1:30" ht="16" x14ac:dyDescent="0.2">
      <c r="A946" s="47"/>
      <c r="B946" s="521"/>
      <c r="C946" s="176">
        <f t="shared" si="286"/>
        <v>943</v>
      </c>
      <c r="D946" s="90">
        <v>45839</v>
      </c>
      <c r="E946" s="90">
        <v>45848</v>
      </c>
      <c r="F946" s="68" t="s">
        <v>365</v>
      </c>
      <c r="G946" s="379" t="str">
        <f ca="1">IF(AND(E946&lt;&gt;"",E946&lt;TODAY()),"Disponible",IFERROR(INDEX(Vehiculos[Estado Vehiculo],MATCH(F946,Vehiculos[Placa Vehiculo],0)),""))</f>
        <v>Disponible</v>
      </c>
      <c r="H946" s="89" t="s">
        <v>240</v>
      </c>
      <c r="I946" s="89" t="s">
        <v>273</v>
      </c>
      <c r="J946" s="89" t="s">
        <v>274</v>
      </c>
      <c r="K946" s="380">
        <v>359110</v>
      </c>
      <c r="L946" s="380">
        <v>359626</v>
      </c>
      <c r="M946" s="381">
        <f t="shared" si="285"/>
        <v>516</v>
      </c>
      <c r="N946" s="381"/>
      <c r="O946" s="380"/>
      <c r="P946" s="92"/>
      <c r="Q946" s="382">
        <f t="shared" si="281"/>
        <v>0</v>
      </c>
      <c r="R946" s="89" t="s">
        <v>273</v>
      </c>
      <c r="S946" s="89" t="s">
        <v>102</v>
      </c>
      <c r="T946" s="92">
        <v>1.8</v>
      </c>
      <c r="U946" s="266">
        <f>Rutas[[#This Row],[Precio x Galón ($/gal)]]*Rutas[[#This Row],[Volumen de Combustible (gal)]]</f>
        <v>234</v>
      </c>
      <c r="V946" s="92"/>
      <c r="W946" s="92"/>
      <c r="X946" s="92"/>
      <c r="Y946" s="382">
        <f t="shared" si="282"/>
        <v>234</v>
      </c>
      <c r="Z946" s="567"/>
      <c r="AA946" s="382">
        <v>130</v>
      </c>
      <c r="AB946" s="382">
        <f t="shared" si="283"/>
        <v>3.9692307692307693</v>
      </c>
      <c r="AC946" s="382">
        <f t="shared" si="284"/>
        <v>0</v>
      </c>
      <c r="AD946" s="89"/>
    </row>
    <row r="947" spans="1:30" ht="16" x14ac:dyDescent="0.2">
      <c r="A947" s="47"/>
      <c r="B947" s="521"/>
      <c r="C947" s="176">
        <f t="shared" si="286"/>
        <v>944</v>
      </c>
      <c r="D947" s="146">
        <v>45848</v>
      </c>
      <c r="E947" s="37">
        <v>45858</v>
      </c>
      <c r="F947" s="65" t="s">
        <v>365</v>
      </c>
      <c r="G947" s="11" t="str">
        <f ca="1">IF(AND(E947&lt;&gt;"",E947&lt;TODAY()),"Disponible",IFERROR(INDEX(Vehiculos[Estado Vehiculo],MATCH(F947,Vehiculos[Placa Vehiculo],0)),""))</f>
        <v>Disponible</v>
      </c>
      <c r="H947" s="34" t="s">
        <v>234</v>
      </c>
      <c r="I947" s="34" t="s">
        <v>273</v>
      </c>
      <c r="J947" s="34" t="s">
        <v>274</v>
      </c>
      <c r="K947" s="39">
        <v>359626</v>
      </c>
      <c r="L947" s="39">
        <v>360155</v>
      </c>
      <c r="M947" s="15">
        <f t="shared" si="285"/>
        <v>529</v>
      </c>
      <c r="N947" s="15"/>
      <c r="O947" s="39"/>
      <c r="P947" s="36"/>
      <c r="Q947" s="16">
        <f t="shared" si="281"/>
        <v>0</v>
      </c>
      <c r="R947" s="34" t="s">
        <v>273</v>
      </c>
      <c r="S947" s="34" t="s">
        <v>102</v>
      </c>
      <c r="T947" s="36">
        <v>1.8</v>
      </c>
      <c r="U947" s="293">
        <f>Rutas[[#This Row],[Precio x Galón ($/gal)]]*Rutas[[#This Row],[Volumen de Combustible (gal)]]</f>
        <v>162</v>
      </c>
      <c r="V947" s="36"/>
      <c r="W947" s="36"/>
      <c r="X947" s="36"/>
      <c r="Y947" s="145">
        <f t="shared" si="282"/>
        <v>162</v>
      </c>
      <c r="Z947" s="567"/>
      <c r="AA947" s="12">
        <v>90</v>
      </c>
      <c r="AB947" s="12">
        <f t="shared" si="283"/>
        <v>5.8777777777777782</v>
      </c>
      <c r="AC947" s="12">
        <f t="shared" si="284"/>
        <v>0</v>
      </c>
      <c r="AD947" s="34"/>
    </row>
    <row r="948" spans="1:30" ht="16" x14ac:dyDescent="0.2">
      <c r="A948" s="47"/>
      <c r="B948" s="521"/>
      <c r="C948" s="176">
        <f t="shared" si="286"/>
        <v>945</v>
      </c>
      <c r="D948" s="146">
        <v>45858</v>
      </c>
      <c r="E948" s="37">
        <v>45868</v>
      </c>
      <c r="F948" s="65" t="s">
        <v>365</v>
      </c>
      <c r="G948" s="11" t="str">
        <f ca="1">IF(AND(E948&lt;&gt;"",E948&lt;TODAY()),"Disponible",IFERROR(INDEX(Vehiculos[Estado Vehiculo],MATCH(F948,Vehiculos[Placa Vehiculo],0)),""))</f>
        <v>Disponible</v>
      </c>
      <c r="H948" s="34" t="s">
        <v>259</v>
      </c>
      <c r="I948" s="34" t="s">
        <v>273</v>
      </c>
      <c r="J948" s="34" t="s">
        <v>274</v>
      </c>
      <c r="K948" s="39">
        <v>360155</v>
      </c>
      <c r="L948" s="39">
        <v>360657</v>
      </c>
      <c r="M948" s="15">
        <f t="shared" si="285"/>
        <v>502</v>
      </c>
      <c r="N948" s="452">
        <v>314</v>
      </c>
      <c r="O948" s="39"/>
      <c r="P948" s="36"/>
      <c r="Q948" s="16">
        <f t="shared" si="281"/>
        <v>0</v>
      </c>
      <c r="R948" s="34" t="s">
        <v>273</v>
      </c>
      <c r="S948" s="34" t="s">
        <v>102</v>
      </c>
      <c r="T948" s="36">
        <v>1.8</v>
      </c>
      <c r="U948" s="293">
        <f>Rutas[[#This Row],[Precio x Galón ($/gal)]]*Rutas[[#This Row],[Volumen de Combustible (gal)]]</f>
        <v>234</v>
      </c>
      <c r="V948" s="36"/>
      <c r="W948" s="36"/>
      <c r="X948" s="36"/>
      <c r="Y948" s="145">
        <f t="shared" si="282"/>
        <v>234</v>
      </c>
      <c r="Z948" s="567"/>
      <c r="AA948" s="12">
        <v>130</v>
      </c>
      <c r="AB948" s="12">
        <f t="shared" si="283"/>
        <v>3.8615384615384616</v>
      </c>
      <c r="AC948" s="12">
        <f t="shared" si="284"/>
        <v>0</v>
      </c>
      <c r="AD948" s="34"/>
    </row>
    <row r="949" spans="1:30" ht="16" x14ac:dyDescent="0.2">
      <c r="A949" s="47"/>
      <c r="B949" s="521"/>
      <c r="C949" s="176">
        <f t="shared" si="286"/>
        <v>946</v>
      </c>
      <c r="D949" s="146"/>
      <c r="E949" s="37"/>
      <c r="F949" s="66"/>
      <c r="G949" s="11" t="str">
        <f ca="1">IF(AND(E949&lt;&gt;"",E949&lt;TODAY()),"Disponible",IFERROR(INDEX(Vehiculos[Estado Vehiculo],MATCH(F949,Vehiculos[Placa Vehiculo],0)),""))</f>
        <v/>
      </c>
      <c r="H949" s="34"/>
      <c r="I949" s="34"/>
      <c r="J949" s="34"/>
      <c r="K949" s="39"/>
      <c r="L949" s="39"/>
      <c r="M949" s="15">
        <f t="shared" ref="M949:M1002" si="292">L949-K949</f>
        <v>0</v>
      </c>
      <c r="N949" s="15"/>
      <c r="O949" s="39"/>
      <c r="P949" s="36"/>
      <c r="Q949" s="16">
        <f t="shared" ref="Q949:Q1002" si="293">M949*P949</f>
        <v>0</v>
      </c>
      <c r="R949" s="34"/>
      <c r="S949" s="34"/>
      <c r="T949" s="36"/>
      <c r="U949" s="293">
        <f>Rutas[[#This Row],[Precio x Galón ($/gal)]]*Rutas[[#This Row],[Volumen de Combustible (gal)]]</f>
        <v>0</v>
      </c>
      <c r="V949" s="36"/>
      <c r="W949" s="36"/>
      <c r="X949" s="36"/>
      <c r="Y949" s="145">
        <f t="shared" ref="Y949:Y1002" si="294">U949+SUM(V949:X949)</f>
        <v>0</v>
      </c>
      <c r="Z949" s="567"/>
      <c r="AA949" s="12"/>
      <c r="AB949" s="12">
        <f t="shared" ref="AB949:AB1002" si="295">IFERROR(M949/AA949,0)</f>
        <v>0</v>
      </c>
      <c r="AC949" s="12">
        <f t="shared" ref="AC949:AC1002" si="296">IFERROR(Q949/M949,0)</f>
        <v>0</v>
      </c>
      <c r="AD949" s="34"/>
    </row>
    <row r="950" spans="1:30" ht="16" x14ac:dyDescent="0.2">
      <c r="A950" s="47"/>
      <c r="B950" s="521"/>
      <c r="C950" s="176">
        <f t="shared" si="286"/>
        <v>947</v>
      </c>
      <c r="D950" s="90">
        <v>45839</v>
      </c>
      <c r="E950" s="90">
        <v>45848</v>
      </c>
      <c r="F950" s="68" t="s">
        <v>213</v>
      </c>
      <c r="G950" s="379" t="str">
        <f ca="1">IF(AND(E950&lt;&gt;"",E950&lt;TODAY()),"Disponible",IFERROR(INDEX(Vehiculos[Estado Vehiculo],MATCH(F950,Vehiculos[Placa Vehiculo],0)),""))</f>
        <v>Disponible</v>
      </c>
      <c r="H950" s="89" t="s">
        <v>232</v>
      </c>
      <c r="I950" s="89" t="s">
        <v>273</v>
      </c>
      <c r="J950" s="89" t="s">
        <v>317</v>
      </c>
      <c r="K950" s="380">
        <v>410288</v>
      </c>
      <c r="L950" s="380">
        <v>411449</v>
      </c>
      <c r="M950" s="381">
        <f t="shared" si="292"/>
        <v>1161</v>
      </c>
      <c r="N950" s="381"/>
      <c r="O950" s="380"/>
      <c r="P950" s="92"/>
      <c r="Q950" s="382">
        <f t="shared" si="293"/>
        <v>0</v>
      </c>
      <c r="R950" s="89" t="s">
        <v>273</v>
      </c>
      <c r="S950" s="89" t="s">
        <v>102</v>
      </c>
      <c r="T950" s="92">
        <v>1.8</v>
      </c>
      <c r="U950" s="266">
        <f>Rutas[[#This Row],[Precio x Galón ($/gal)]]*Rutas[[#This Row],[Volumen de Combustible (gal)]]</f>
        <v>126</v>
      </c>
      <c r="V950" s="92"/>
      <c r="W950" s="92"/>
      <c r="X950" s="92"/>
      <c r="Y950" s="382">
        <f t="shared" si="294"/>
        <v>126</v>
      </c>
      <c r="Z950" s="567"/>
      <c r="AA950" s="382">
        <v>70</v>
      </c>
      <c r="AB950" s="382">
        <f t="shared" si="295"/>
        <v>16.585714285714285</v>
      </c>
      <c r="AC950" s="382">
        <f t="shared" si="296"/>
        <v>0</v>
      </c>
      <c r="AD950" s="89"/>
    </row>
    <row r="951" spans="1:30" ht="16" x14ac:dyDescent="0.2">
      <c r="A951" s="47"/>
      <c r="B951" s="521"/>
      <c r="C951" s="176">
        <f t="shared" si="286"/>
        <v>948</v>
      </c>
      <c r="D951" s="146">
        <v>45848</v>
      </c>
      <c r="E951" s="37">
        <v>45859</v>
      </c>
      <c r="F951" s="65" t="s">
        <v>213</v>
      </c>
      <c r="G951" s="11" t="str">
        <f ca="1">IF(AND(E951&lt;&gt;"",E951&lt;TODAY()),"Disponible",IFERROR(INDEX(Vehiculos[Estado Vehiculo],MATCH(F951,Vehiculos[Placa Vehiculo],0)),""))</f>
        <v>Disponible</v>
      </c>
      <c r="H951" s="34" t="s">
        <v>232</v>
      </c>
      <c r="I951" s="34" t="s">
        <v>273</v>
      </c>
      <c r="J951" s="34" t="s">
        <v>317</v>
      </c>
      <c r="K951" s="39">
        <v>411449</v>
      </c>
      <c r="L951" s="39">
        <v>412556</v>
      </c>
      <c r="M951" s="15">
        <f t="shared" si="292"/>
        <v>1107</v>
      </c>
      <c r="N951" s="15"/>
      <c r="O951" s="39"/>
      <c r="P951" s="36"/>
      <c r="Q951" s="16">
        <f t="shared" si="293"/>
        <v>0</v>
      </c>
      <c r="R951" s="34" t="s">
        <v>273</v>
      </c>
      <c r="S951" s="34" t="s">
        <v>102</v>
      </c>
      <c r="T951" s="36">
        <v>1.8</v>
      </c>
      <c r="U951" s="293">
        <f>Rutas[[#This Row],[Precio x Galón ($/gal)]]*Rutas[[#This Row],[Volumen de Combustible (gal)]]</f>
        <v>198</v>
      </c>
      <c r="V951" s="36"/>
      <c r="W951" s="36"/>
      <c r="X951" s="36"/>
      <c r="Y951" s="145">
        <f t="shared" si="294"/>
        <v>198</v>
      </c>
      <c r="Z951" s="567"/>
      <c r="AA951" s="12">
        <v>110</v>
      </c>
      <c r="AB951" s="12">
        <f t="shared" si="295"/>
        <v>10.063636363636364</v>
      </c>
      <c r="AC951" s="12">
        <f t="shared" si="296"/>
        <v>0</v>
      </c>
      <c r="AD951" s="34"/>
    </row>
    <row r="952" spans="1:30" ht="16" x14ac:dyDescent="0.2">
      <c r="A952" s="47"/>
      <c r="B952" s="521"/>
      <c r="C952" s="176">
        <f t="shared" si="286"/>
        <v>949</v>
      </c>
      <c r="D952" s="146">
        <v>45859</v>
      </c>
      <c r="E952" s="37">
        <v>45868</v>
      </c>
      <c r="F952" s="65" t="s">
        <v>213</v>
      </c>
      <c r="G952" s="11" t="str">
        <f ca="1">IF(AND(E952&lt;&gt;"",E952&lt;TODAY()),"Disponible",IFERROR(INDEX(Vehiculos[Estado Vehiculo],MATCH(F952,Vehiculos[Placa Vehiculo],0)),""))</f>
        <v>Disponible</v>
      </c>
      <c r="H952" s="34" t="s">
        <v>240</v>
      </c>
      <c r="I952" s="34" t="s">
        <v>273</v>
      </c>
      <c r="J952" s="34" t="s">
        <v>317</v>
      </c>
      <c r="K952" s="39">
        <v>412556</v>
      </c>
      <c r="L952" s="39">
        <v>413403</v>
      </c>
      <c r="M952" s="15">
        <f t="shared" si="292"/>
        <v>847</v>
      </c>
      <c r="N952" s="452">
        <v>318</v>
      </c>
      <c r="O952" s="39"/>
      <c r="P952" s="36"/>
      <c r="Q952" s="16">
        <f t="shared" si="293"/>
        <v>0</v>
      </c>
      <c r="R952" s="34" t="s">
        <v>273</v>
      </c>
      <c r="S952" s="34" t="s">
        <v>102</v>
      </c>
      <c r="T952" s="36">
        <v>1.8</v>
      </c>
      <c r="U952" s="293">
        <f>Rutas[[#This Row],[Precio x Galón ($/gal)]]*Rutas[[#This Row],[Volumen de Combustible (gal)]]</f>
        <v>225</v>
      </c>
      <c r="V952" s="36"/>
      <c r="W952" s="36"/>
      <c r="X952" s="36"/>
      <c r="Y952" s="145">
        <f t="shared" si="294"/>
        <v>225</v>
      </c>
      <c r="Z952" s="567"/>
      <c r="AA952" s="12">
        <v>125</v>
      </c>
      <c r="AB952" s="12">
        <f t="shared" si="295"/>
        <v>6.7759999999999998</v>
      </c>
      <c r="AC952" s="12">
        <f t="shared" si="296"/>
        <v>0</v>
      </c>
      <c r="AD952" s="34"/>
    </row>
    <row r="953" spans="1:30" ht="16" x14ac:dyDescent="0.2">
      <c r="A953" s="47"/>
      <c r="B953" s="521"/>
      <c r="C953" s="176">
        <f t="shared" si="286"/>
        <v>950</v>
      </c>
      <c r="D953" s="146"/>
      <c r="E953" s="37"/>
      <c r="F953" s="66"/>
      <c r="G953" s="11" t="str">
        <f ca="1">IF(AND(E953&lt;&gt;"",E953&lt;TODAY()),"Disponible",IFERROR(INDEX(Vehiculos[Estado Vehiculo],MATCH(F953,Vehiculos[Placa Vehiculo],0)),""))</f>
        <v/>
      </c>
      <c r="H953" s="34"/>
      <c r="I953" s="34"/>
      <c r="J953" s="34"/>
      <c r="K953" s="39"/>
      <c r="L953" s="39"/>
      <c r="M953" s="15">
        <f t="shared" si="292"/>
        <v>0</v>
      </c>
      <c r="N953" s="15"/>
      <c r="O953" s="39"/>
      <c r="P953" s="36"/>
      <c r="Q953" s="16">
        <f t="shared" si="293"/>
        <v>0</v>
      </c>
      <c r="R953" s="34"/>
      <c r="S953" s="34"/>
      <c r="T953" s="36"/>
      <c r="U953" s="293">
        <f>Rutas[[#This Row],[Precio x Galón ($/gal)]]*Rutas[[#This Row],[Volumen de Combustible (gal)]]</f>
        <v>0</v>
      </c>
      <c r="V953" s="36"/>
      <c r="W953" s="36"/>
      <c r="X953" s="36"/>
      <c r="Y953" s="145">
        <f t="shared" si="294"/>
        <v>0</v>
      </c>
      <c r="Z953" s="567"/>
      <c r="AA953" s="12"/>
      <c r="AB953" s="12">
        <f t="shared" si="295"/>
        <v>0</v>
      </c>
      <c r="AC953" s="12">
        <f t="shared" si="296"/>
        <v>0</v>
      </c>
      <c r="AD953" s="34"/>
    </row>
    <row r="954" spans="1:30" ht="16" x14ac:dyDescent="0.2">
      <c r="A954" s="47"/>
      <c r="B954" s="521"/>
      <c r="C954" s="176">
        <f t="shared" si="286"/>
        <v>951</v>
      </c>
      <c r="D954" s="90">
        <v>45839</v>
      </c>
      <c r="E954" s="90">
        <v>45841</v>
      </c>
      <c r="F954" s="68" t="s">
        <v>286</v>
      </c>
      <c r="G954" s="379" t="str">
        <f ca="1">IF(AND(E954&lt;&gt;"",E954&lt;TODAY()),"Disponible",IFERROR(INDEX(Vehiculos[Estado Vehiculo],MATCH(F954,Vehiculos[Placa Vehiculo],0)),""))</f>
        <v>Disponible</v>
      </c>
      <c r="H954" s="89" t="s">
        <v>289</v>
      </c>
      <c r="I954" s="89" t="s">
        <v>273</v>
      </c>
      <c r="J954" s="89" t="s">
        <v>290</v>
      </c>
      <c r="K954" s="380">
        <v>93299</v>
      </c>
      <c r="L954" s="380">
        <v>93631</v>
      </c>
      <c r="M954" s="381">
        <f t="shared" si="292"/>
        <v>332</v>
      </c>
      <c r="N954" s="381"/>
      <c r="O954" s="380"/>
      <c r="P954" s="92"/>
      <c r="Q954" s="382">
        <f t="shared" si="293"/>
        <v>0</v>
      </c>
      <c r="R954" s="89" t="s">
        <v>273</v>
      </c>
      <c r="S954" s="89" t="s">
        <v>102</v>
      </c>
      <c r="T954" s="92">
        <v>1.8</v>
      </c>
      <c r="U954" s="266">
        <f>Rutas[[#This Row],[Precio x Galón ($/gal)]]*Rutas[[#This Row],[Volumen de Combustible (gal)]]</f>
        <v>27.306000000000001</v>
      </c>
      <c r="V954" s="92"/>
      <c r="W954" s="92"/>
      <c r="X954" s="92"/>
      <c r="Y954" s="382">
        <f t="shared" si="294"/>
        <v>27.306000000000001</v>
      </c>
      <c r="Z954" s="567"/>
      <c r="AA954" s="382">
        <v>15.17</v>
      </c>
      <c r="AB954" s="382">
        <f t="shared" si="295"/>
        <v>21.885299934080422</v>
      </c>
      <c r="AC954" s="382">
        <f t="shared" si="296"/>
        <v>0</v>
      </c>
      <c r="AD954" s="89"/>
    </row>
    <row r="955" spans="1:30" ht="16" x14ac:dyDescent="0.2">
      <c r="A955" s="47"/>
      <c r="B955" s="521"/>
      <c r="C955" s="176">
        <f t="shared" si="286"/>
        <v>952</v>
      </c>
      <c r="D955" s="146">
        <v>45841</v>
      </c>
      <c r="E955" s="37">
        <v>45847</v>
      </c>
      <c r="F955" s="65" t="s">
        <v>286</v>
      </c>
      <c r="G955" s="11" t="str">
        <f ca="1">IF(AND(E955&lt;&gt;"",E955&lt;TODAY()),"Disponible",IFERROR(INDEX(Vehiculos[Estado Vehiculo],MATCH(F955,Vehiculos[Placa Vehiculo],0)),""))</f>
        <v>Disponible</v>
      </c>
      <c r="H955" s="34" t="s">
        <v>288</v>
      </c>
      <c r="I955" s="34" t="s">
        <v>273</v>
      </c>
      <c r="J955" s="34" t="s">
        <v>290</v>
      </c>
      <c r="K955" s="39">
        <v>93631</v>
      </c>
      <c r="L955" s="39">
        <v>94193</v>
      </c>
      <c r="M955" s="15">
        <f>L955-K955</f>
        <v>562</v>
      </c>
      <c r="N955" s="15"/>
      <c r="O955" s="36"/>
      <c r="P955" s="36"/>
      <c r="Q955" s="16">
        <f>M955*P955</f>
        <v>0</v>
      </c>
      <c r="R955" s="34" t="s">
        <v>273</v>
      </c>
      <c r="S955" s="34" t="s">
        <v>102</v>
      </c>
      <c r="T955" s="92">
        <v>1.8</v>
      </c>
      <c r="U955" s="266">
        <f>Rutas[[#This Row],[Precio x Galón ($/gal)]]*Rutas[[#This Row],[Volumen de Combustible (gal)]]</f>
        <v>30.69</v>
      </c>
      <c r="V955" s="92"/>
      <c r="W955" s="92"/>
      <c r="X955" s="92"/>
      <c r="Y955" s="145">
        <f>U955+SUM(V955:X955)</f>
        <v>30.69</v>
      </c>
      <c r="Z955" s="567"/>
      <c r="AA955" s="12">
        <v>17.05</v>
      </c>
      <c r="AB955" s="12">
        <f>IFERROR(M955/AA955,0)</f>
        <v>32.961876832844574</v>
      </c>
      <c r="AC955" s="12">
        <f>IFERROR(Q955/M955,0)</f>
        <v>0</v>
      </c>
      <c r="AD955" s="89"/>
    </row>
    <row r="956" spans="1:30" ht="16" x14ac:dyDescent="0.2">
      <c r="A956" s="47"/>
      <c r="B956" s="521"/>
      <c r="C956" s="176">
        <f t="shared" si="286"/>
        <v>953</v>
      </c>
      <c r="D956" s="146">
        <v>45847</v>
      </c>
      <c r="E956" s="37">
        <v>45853</v>
      </c>
      <c r="F956" s="65" t="s">
        <v>286</v>
      </c>
      <c r="G956" s="11" t="str">
        <f ca="1">IF(AND(E956&lt;&gt;"",E956&lt;TODAY()),"Disponible",IFERROR(INDEX(Vehiculos[Estado Vehiculo],MATCH(F956,Vehiculos[Placa Vehiculo],0)),""))</f>
        <v>Disponible</v>
      </c>
      <c r="H956" s="34" t="s">
        <v>288</v>
      </c>
      <c r="I956" s="34" t="s">
        <v>273</v>
      </c>
      <c r="J956" s="34" t="s">
        <v>290</v>
      </c>
      <c r="K956" s="39">
        <v>94193</v>
      </c>
      <c r="L956" s="39">
        <v>94848</v>
      </c>
      <c r="M956" s="15">
        <f t="shared" si="292"/>
        <v>655</v>
      </c>
      <c r="N956" s="15"/>
      <c r="O956" s="39"/>
      <c r="P956" s="36"/>
      <c r="Q956" s="16">
        <f t="shared" si="293"/>
        <v>0</v>
      </c>
      <c r="R956" s="34" t="s">
        <v>273</v>
      </c>
      <c r="S956" s="34" t="s">
        <v>102</v>
      </c>
      <c r="T956" s="36">
        <v>1.8</v>
      </c>
      <c r="U956" s="293">
        <f>Rutas[[#This Row],[Precio x Galón ($/gal)]]*Rutas[[#This Row],[Volumen de Combustible (gal)]]</f>
        <v>29.16</v>
      </c>
      <c r="V956" s="36"/>
      <c r="W956" s="36"/>
      <c r="X956" s="36"/>
      <c r="Y956" s="145">
        <f t="shared" si="294"/>
        <v>29.16</v>
      </c>
      <c r="Z956" s="567"/>
      <c r="AA956" s="12">
        <v>16.2</v>
      </c>
      <c r="AB956" s="12">
        <f t="shared" si="295"/>
        <v>40.432098765432102</v>
      </c>
      <c r="AC956" s="12">
        <f t="shared" si="296"/>
        <v>0</v>
      </c>
      <c r="AD956" s="34"/>
    </row>
    <row r="957" spans="1:30" ht="16" x14ac:dyDescent="0.2">
      <c r="A957" s="47"/>
      <c r="B957" s="521"/>
      <c r="C957" s="176">
        <f t="shared" si="286"/>
        <v>954</v>
      </c>
      <c r="D957" s="146">
        <v>45853</v>
      </c>
      <c r="E957" s="37">
        <v>45860</v>
      </c>
      <c r="F957" s="65" t="s">
        <v>286</v>
      </c>
      <c r="G957" s="11" t="str">
        <f ca="1">IF(AND(E957&lt;&gt;"",E957&lt;TODAY()),"Disponible",IFERROR(INDEX(Vehiculos[Estado Vehiculo],MATCH(F957,Vehiculos[Placa Vehiculo],0)),""))</f>
        <v>Disponible</v>
      </c>
      <c r="H957" s="34" t="s">
        <v>289</v>
      </c>
      <c r="I957" s="34" t="s">
        <v>273</v>
      </c>
      <c r="J957" s="34" t="s">
        <v>290</v>
      </c>
      <c r="K957" s="39">
        <v>94848</v>
      </c>
      <c r="L957" s="39">
        <v>95600</v>
      </c>
      <c r="M957" s="15">
        <f t="shared" si="292"/>
        <v>752</v>
      </c>
      <c r="N957" s="15"/>
      <c r="O957" s="39"/>
      <c r="P957" s="36"/>
      <c r="Q957" s="16">
        <f t="shared" si="293"/>
        <v>0</v>
      </c>
      <c r="R957" s="34" t="s">
        <v>273</v>
      </c>
      <c r="S957" s="34" t="s">
        <v>102</v>
      </c>
      <c r="T957" s="36">
        <v>1.8</v>
      </c>
      <c r="U957" s="293">
        <f>Rutas[[#This Row],[Precio x Galón ($/gal)]]*Rutas[[#This Row],[Volumen de Combustible (gal)]]</f>
        <v>33.893999999999998</v>
      </c>
      <c r="V957" s="36"/>
      <c r="W957" s="36"/>
      <c r="X957" s="36"/>
      <c r="Y957" s="145">
        <f t="shared" si="294"/>
        <v>33.893999999999998</v>
      </c>
      <c r="Z957" s="567"/>
      <c r="AA957" s="12">
        <v>18.829999999999998</v>
      </c>
      <c r="AB957" s="12">
        <f t="shared" si="295"/>
        <v>39.936271906532134</v>
      </c>
      <c r="AC957" s="12">
        <f t="shared" si="296"/>
        <v>0</v>
      </c>
      <c r="AD957" s="34"/>
    </row>
    <row r="958" spans="1:30" ht="16" x14ac:dyDescent="0.2">
      <c r="A958" s="47"/>
      <c r="B958" s="521"/>
      <c r="C958" s="176">
        <f t="shared" si="286"/>
        <v>955</v>
      </c>
      <c r="D958" s="454">
        <v>45860</v>
      </c>
      <c r="E958" s="37">
        <v>45868</v>
      </c>
      <c r="F958" s="65" t="s">
        <v>286</v>
      </c>
      <c r="G958" s="11" t="str">
        <f ca="1">IF(AND(E958&lt;&gt;"",E958&lt;TODAY()),"Disponible",IFERROR(INDEX(Vehiculos[Estado Vehiculo],MATCH(F958,Vehiculos[Placa Vehiculo],0)),""))</f>
        <v>Disponible</v>
      </c>
      <c r="H958" s="34" t="s">
        <v>288</v>
      </c>
      <c r="I958" s="34" t="s">
        <v>273</v>
      </c>
      <c r="J958" s="34" t="s">
        <v>290</v>
      </c>
      <c r="K958" s="39">
        <v>95600</v>
      </c>
      <c r="L958" s="39">
        <v>96591</v>
      </c>
      <c r="M958" s="15">
        <f>L958-K958</f>
        <v>991</v>
      </c>
      <c r="N958" s="15"/>
      <c r="O958" s="39"/>
      <c r="P958" s="36"/>
      <c r="Q958" s="16">
        <f>M958*P958</f>
        <v>0</v>
      </c>
      <c r="R958" s="34" t="s">
        <v>273</v>
      </c>
      <c r="S958" s="34" t="s">
        <v>102</v>
      </c>
      <c r="T958" s="36">
        <v>1.8</v>
      </c>
      <c r="U958" s="293">
        <f>Rutas[[#This Row],[Precio x Galón ($/gal)]]*Rutas[[#This Row],[Volumen de Combustible (gal)]]</f>
        <v>27.306000000000001</v>
      </c>
      <c r="V958" s="36"/>
      <c r="W958" s="36"/>
      <c r="X958" s="36"/>
      <c r="Y958" s="145">
        <f>U958+SUM(V958:X958)</f>
        <v>27.306000000000001</v>
      </c>
      <c r="Z958" s="567"/>
      <c r="AA958" s="12">
        <v>15.17</v>
      </c>
      <c r="AB958" s="12">
        <f>IFERROR(M958/AA958,0)</f>
        <v>65.32630191166777</v>
      </c>
      <c r="AC958" s="12">
        <f>IFERROR(Q958/M958,0)</f>
        <v>0</v>
      </c>
      <c r="AD958" s="34"/>
    </row>
    <row r="959" spans="1:30" ht="16" x14ac:dyDescent="0.2">
      <c r="A959" s="47"/>
      <c r="B959" s="521"/>
      <c r="C959" s="176">
        <f t="shared" si="286"/>
        <v>956</v>
      </c>
      <c r="D959" s="146"/>
      <c r="E959" s="37"/>
      <c r="F959" s="66"/>
      <c r="G959" s="11" t="str">
        <f ca="1">IF(AND(E959&lt;&gt;"",E959&lt;TODAY()),"Disponible",IFERROR(INDEX(Vehiculos[Estado Vehiculo],MATCH(F959,Vehiculos[Placa Vehiculo],0)),""))</f>
        <v/>
      </c>
      <c r="H959" s="34"/>
      <c r="I959" s="34"/>
      <c r="J959" s="34"/>
      <c r="K959" s="39"/>
      <c r="L959" s="39"/>
      <c r="M959" s="15">
        <f t="shared" si="292"/>
        <v>0</v>
      </c>
      <c r="N959" s="15"/>
      <c r="O959" s="39"/>
      <c r="P959" s="36"/>
      <c r="Q959" s="16">
        <f t="shared" si="293"/>
        <v>0</v>
      </c>
      <c r="R959" s="34"/>
      <c r="S959" s="34"/>
      <c r="T959" s="36"/>
      <c r="U959" s="293">
        <f>Rutas[[#This Row],[Precio x Galón ($/gal)]]*Rutas[[#This Row],[Volumen de Combustible (gal)]]</f>
        <v>0</v>
      </c>
      <c r="V959" s="36"/>
      <c r="W959" s="36"/>
      <c r="X959" s="36"/>
      <c r="Y959" s="145">
        <f t="shared" si="294"/>
        <v>0</v>
      </c>
      <c r="Z959" s="567"/>
      <c r="AA959" s="12"/>
      <c r="AB959" s="12">
        <f t="shared" si="295"/>
        <v>0</v>
      </c>
      <c r="AC959" s="12">
        <f t="shared" si="296"/>
        <v>0</v>
      </c>
      <c r="AD959" s="34"/>
    </row>
    <row r="960" spans="1:30" ht="16" x14ac:dyDescent="0.2">
      <c r="A960" s="47"/>
      <c r="B960" s="521"/>
      <c r="C960" s="176">
        <f t="shared" si="286"/>
        <v>957</v>
      </c>
      <c r="D960" s="90">
        <v>45839</v>
      </c>
      <c r="E960" s="90">
        <v>45848</v>
      </c>
      <c r="F960" s="68" t="s">
        <v>403</v>
      </c>
      <c r="G960" s="379" t="str">
        <f ca="1">IF(AND(E960&lt;&gt;"",E960&lt;TODAY()),"Disponible",IFERROR(INDEX(Vehiculos[Estado Vehiculo],MATCH(F960,Vehiculos[Placa Vehiculo],0)),""))</f>
        <v>Disponible</v>
      </c>
      <c r="H960" s="89" t="s">
        <v>411</v>
      </c>
      <c r="I960" s="89" t="s">
        <v>273</v>
      </c>
      <c r="J960" s="89" t="s">
        <v>282</v>
      </c>
      <c r="K960" s="380">
        <v>183804</v>
      </c>
      <c r="L960" s="380">
        <v>185022</v>
      </c>
      <c r="M960" s="381">
        <f t="shared" si="292"/>
        <v>1218</v>
      </c>
      <c r="N960" s="381"/>
      <c r="O960" s="380"/>
      <c r="P960" s="92"/>
      <c r="Q960" s="382">
        <f t="shared" si="293"/>
        <v>0</v>
      </c>
      <c r="R960" s="89" t="s">
        <v>273</v>
      </c>
      <c r="S960" s="89" t="s">
        <v>102</v>
      </c>
      <c r="T960" s="92">
        <v>1.8</v>
      </c>
      <c r="U960" s="266">
        <f>Rutas[[#This Row],[Precio x Galón ($/gal)]]*Rutas[[#This Row],[Volumen de Combustible (gal)]]</f>
        <v>576</v>
      </c>
      <c r="V960" s="92"/>
      <c r="W960" s="92"/>
      <c r="X960" s="92"/>
      <c r="Y960" s="382">
        <f t="shared" si="294"/>
        <v>576</v>
      </c>
      <c r="Z960" s="567"/>
      <c r="AA960" s="382">
        <v>320</v>
      </c>
      <c r="AB960" s="382">
        <f t="shared" si="295"/>
        <v>3.8062499999999999</v>
      </c>
      <c r="AC960" s="382">
        <f t="shared" si="296"/>
        <v>0</v>
      </c>
      <c r="AD960" s="89"/>
    </row>
    <row r="961" spans="1:30" ht="16" x14ac:dyDescent="0.2">
      <c r="A961" s="47"/>
      <c r="B961" s="521"/>
      <c r="C961" s="176">
        <f t="shared" si="286"/>
        <v>958</v>
      </c>
      <c r="D961" s="146">
        <v>45848</v>
      </c>
      <c r="E961" s="37">
        <v>45858</v>
      </c>
      <c r="F961" s="65" t="s">
        <v>403</v>
      </c>
      <c r="G961" s="11" t="str">
        <f ca="1">IF(AND(E961&lt;&gt;"",E961&lt;TODAY()),"Disponible",IFERROR(INDEX(Vehiculos[Estado Vehiculo],MATCH(F961,Vehiculos[Placa Vehiculo],0)),""))</f>
        <v>Disponible</v>
      </c>
      <c r="H961" s="34" t="s">
        <v>411</v>
      </c>
      <c r="I961" s="34" t="s">
        <v>273</v>
      </c>
      <c r="J961" s="34" t="s">
        <v>282</v>
      </c>
      <c r="K961" s="39">
        <v>185022</v>
      </c>
      <c r="L961" s="39">
        <v>189264</v>
      </c>
      <c r="M961" s="15">
        <f t="shared" si="292"/>
        <v>4242</v>
      </c>
      <c r="N961" s="15"/>
      <c r="O961" s="39"/>
      <c r="P961" s="36"/>
      <c r="Q961" s="16">
        <f t="shared" si="293"/>
        <v>0</v>
      </c>
      <c r="R961" s="34" t="s">
        <v>273</v>
      </c>
      <c r="S961" s="34" t="s">
        <v>102</v>
      </c>
      <c r="T961" s="36">
        <v>1.8</v>
      </c>
      <c r="U961" s="293">
        <f>Rutas[[#This Row],[Precio x Galón ($/gal)]]*Rutas[[#This Row],[Volumen de Combustible (gal)]]</f>
        <v>180</v>
      </c>
      <c r="V961" s="36"/>
      <c r="W961" s="36"/>
      <c r="X961" s="36"/>
      <c r="Y961" s="145">
        <f t="shared" si="294"/>
        <v>180</v>
      </c>
      <c r="Z961" s="567"/>
      <c r="AA961" s="12">
        <v>100</v>
      </c>
      <c r="AB961" s="12">
        <f t="shared" si="295"/>
        <v>42.42</v>
      </c>
      <c r="AC961" s="12">
        <f t="shared" si="296"/>
        <v>0</v>
      </c>
      <c r="AD961" s="34"/>
    </row>
    <row r="962" spans="1:30" ht="16" x14ac:dyDescent="0.2">
      <c r="A962" s="47"/>
      <c r="B962" s="521"/>
      <c r="C962" s="176">
        <f t="shared" si="286"/>
        <v>959</v>
      </c>
      <c r="D962" s="146">
        <v>45858</v>
      </c>
      <c r="E962" s="37">
        <v>45868</v>
      </c>
      <c r="F962" s="65" t="s">
        <v>403</v>
      </c>
      <c r="G962" s="11" t="str">
        <f ca="1">IF(AND(E962&lt;&gt;"",E962&lt;TODAY()),"Disponible",IFERROR(INDEX(Vehiculos[Estado Vehiculo],MATCH(F962,Vehiculos[Placa Vehiculo],0)),""))</f>
        <v>Disponible</v>
      </c>
      <c r="H962" s="34" t="s">
        <v>411</v>
      </c>
      <c r="I962" s="34" t="s">
        <v>273</v>
      </c>
      <c r="J962" s="34" t="s">
        <v>282</v>
      </c>
      <c r="K962" s="39">
        <v>189264</v>
      </c>
      <c r="L962" s="39">
        <v>190276</v>
      </c>
      <c r="M962" s="15">
        <f t="shared" si="292"/>
        <v>1012</v>
      </c>
      <c r="N962" s="452">
        <v>128</v>
      </c>
      <c r="O962" s="39"/>
      <c r="P962" s="36"/>
      <c r="Q962" s="16">
        <f t="shared" si="293"/>
        <v>0</v>
      </c>
      <c r="R962" s="34" t="s">
        <v>273</v>
      </c>
      <c r="S962" s="34" t="s">
        <v>102</v>
      </c>
      <c r="T962" s="36">
        <v>1.8</v>
      </c>
      <c r="U962" s="293">
        <f>Rutas[[#This Row],[Precio x Galón ($/gal)]]*Rutas[[#This Row],[Volumen de Combustible (gal)]]</f>
        <v>450</v>
      </c>
      <c r="V962" s="36"/>
      <c r="W962" s="36"/>
      <c r="X962" s="36"/>
      <c r="Y962" s="145">
        <f t="shared" si="294"/>
        <v>450</v>
      </c>
      <c r="Z962" s="567"/>
      <c r="AA962" s="12">
        <v>250</v>
      </c>
      <c r="AB962" s="12">
        <f t="shared" si="295"/>
        <v>4.048</v>
      </c>
      <c r="AC962" s="12">
        <f t="shared" si="296"/>
        <v>0</v>
      </c>
      <c r="AD962" s="34"/>
    </row>
    <row r="963" spans="1:30" ht="16" x14ac:dyDescent="0.2">
      <c r="A963" s="47"/>
      <c r="B963" s="521"/>
      <c r="C963" s="176">
        <f t="shared" si="286"/>
        <v>960</v>
      </c>
      <c r="D963" s="146"/>
      <c r="E963" s="37"/>
      <c r="F963" s="66"/>
      <c r="G963" s="11" t="str">
        <f ca="1">IF(AND(E963&lt;&gt;"",E963&lt;TODAY()),"Disponible",IFERROR(INDEX(Vehiculos[Estado Vehiculo],MATCH(F963,Vehiculos[Placa Vehiculo],0)),""))</f>
        <v/>
      </c>
      <c r="H963" s="34"/>
      <c r="I963" s="34"/>
      <c r="J963" s="34"/>
      <c r="K963" s="39"/>
      <c r="L963" s="39"/>
      <c r="M963" s="15">
        <f t="shared" si="292"/>
        <v>0</v>
      </c>
      <c r="N963" s="15"/>
      <c r="O963" s="39"/>
      <c r="P963" s="36"/>
      <c r="Q963" s="16">
        <f t="shared" si="293"/>
        <v>0</v>
      </c>
      <c r="R963" s="34"/>
      <c r="S963" s="34"/>
      <c r="T963" s="36"/>
      <c r="U963" s="293">
        <f>Rutas[[#This Row],[Precio x Galón ($/gal)]]*Rutas[[#This Row],[Volumen de Combustible (gal)]]</f>
        <v>0</v>
      </c>
      <c r="V963" s="36"/>
      <c r="W963" s="36"/>
      <c r="X963" s="36"/>
      <c r="Y963" s="145">
        <f t="shared" si="294"/>
        <v>0</v>
      </c>
      <c r="Z963" s="567"/>
      <c r="AA963" s="12"/>
      <c r="AB963" s="12">
        <f t="shared" si="295"/>
        <v>0</v>
      </c>
      <c r="AC963" s="12">
        <f t="shared" si="296"/>
        <v>0</v>
      </c>
      <c r="AD963" s="34"/>
    </row>
    <row r="964" spans="1:30" ht="16" x14ac:dyDescent="0.2">
      <c r="A964" s="47"/>
      <c r="B964" s="521"/>
      <c r="C964" s="176">
        <f t="shared" ref="C964:C1027" si="297">ROW(A961)</f>
        <v>961</v>
      </c>
      <c r="D964" s="90">
        <v>45839</v>
      </c>
      <c r="E964" s="90">
        <v>45848</v>
      </c>
      <c r="F964" s="68" t="s">
        <v>352</v>
      </c>
      <c r="G964" s="379" t="str">
        <f ca="1">IF(AND(E964&lt;&gt;"",E964&lt;TODAY()),"Disponible",IFERROR(INDEX(Vehiculos[Estado Vehiculo],MATCH(F964,Vehiculos[Placa Vehiculo],0)),""))</f>
        <v>Disponible</v>
      </c>
      <c r="H964" s="89" t="s">
        <v>416</v>
      </c>
      <c r="I964" s="89" t="s">
        <v>273</v>
      </c>
      <c r="J964" s="89"/>
      <c r="K964" s="380">
        <v>1179</v>
      </c>
      <c r="L964" s="380">
        <v>1180</v>
      </c>
      <c r="M964" s="381">
        <f t="shared" si="292"/>
        <v>1</v>
      </c>
      <c r="N964" s="381">
        <f>Rutas[[#This Row],[Kms Recorridos]]</f>
        <v>1</v>
      </c>
      <c r="O964" s="380"/>
      <c r="P964" s="92"/>
      <c r="Q964" s="382">
        <f t="shared" si="293"/>
        <v>0</v>
      </c>
      <c r="R964" s="89" t="s">
        <v>273</v>
      </c>
      <c r="S964" s="89"/>
      <c r="T964" s="92"/>
      <c r="U964" s="266">
        <f>Rutas[[#This Row],[Precio x Galón ($/gal)]]*Rutas[[#This Row],[Volumen de Combustible (gal)]]</f>
        <v>0</v>
      </c>
      <c r="V964" s="92"/>
      <c r="W964" s="92"/>
      <c r="X964" s="92"/>
      <c r="Y964" s="382">
        <f t="shared" si="294"/>
        <v>0</v>
      </c>
      <c r="Z964" s="567"/>
      <c r="AA964" s="382"/>
      <c r="AB964" s="382">
        <f t="shared" si="295"/>
        <v>0</v>
      </c>
      <c r="AC964" s="382">
        <f t="shared" si="296"/>
        <v>0</v>
      </c>
      <c r="AD964" s="89"/>
    </row>
    <row r="965" spans="1:30" ht="16" x14ac:dyDescent="0.2">
      <c r="A965" s="47"/>
      <c r="B965" s="521"/>
      <c r="C965" s="176">
        <f t="shared" si="297"/>
        <v>962</v>
      </c>
      <c r="D965" s="146">
        <v>45848</v>
      </c>
      <c r="E965" s="37">
        <v>45869</v>
      </c>
      <c r="F965" s="65" t="s">
        <v>352</v>
      </c>
      <c r="G965" s="11" t="s">
        <v>349</v>
      </c>
      <c r="H965" s="34" t="s">
        <v>416</v>
      </c>
      <c r="I965" s="34" t="s">
        <v>273</v>
      </c>
      <c r="J965" s="34"/>
      <c r="K965" s="39">
        <v>1180</v>
      </c>
      <c r="L965" s="39">
        <v>1181</v>
      </c>
      <c r="M965" s="15">
        <f t="shared" si="292"/>
        <v>1</v>
      </c>
      <c r="N965" s="15">
        <f>Rutas[[#This Row],[Kms Recorridos]]</f>
        <v>1</v>
      </c>
      <c r="O965" s="39"/>
      <c r="P965" s="36"/>
      <c r="Q965" s="16">
        <f t="shared" si="293"/>
        <v>0</v>
      </c>
      <c r="R965" s="34" t="s">
        <v>273</v>
      </c>
      <c r="S965" s="34"/>
      <c r="T965" s="36"/>
      <c r="U965" s="293">
        <f>Rutas[[#This Row],[Precio x Galón ($/gal)]]*Rutas[[#This Row],[Volumen de Combustible (gal)]]</f>
        <v>0</v>
      </c>
      <c r="V965" s="36"/>
      <c r="W965" s="36"/>
      <c r="X965" s="36"/>
      <c r="Y965" s="145">
        <f t="shared" si="294"/>
        <v>0</v>
      </c>
      <c r="Z965" s="567"/>
      <c r="AA965" s="12"/>
      <c r="AB965" s="12">
        <f t="shared" si="295"/>
        <v>0</v>
      </c>
      <c r="AC965" s="12">
        <f t="shared" si="296"/>
        <v>0</v>
      </c>
      <c r="AD965" s="34"/>
    </row>
    <row r="966" spans="1:30" ht="16" x14ac:dyDescent="0.2">
      <c r="A966" s="47"/>
      <c r="B966" s="521"/>
      <c r="C966" s="176">
        <f t="shared" si="297"/>
        <v>963</v>
      </c>
      <c r="D966" s="146"/>
      <c r="E966" s="37"/>
      <c r="F966" s="66"/>
      <c r="G966" s="11" t="str">
        <f ca="1">IF(AND(E966&lt;&gt;"",E966&lt;TODAY()),"Disponible",IFERROR(INDEX(Vehiculos[Estado Vehiculo],MATCH(F966,Vehiculos[Placa Vehiculo],0)),""))</f>
        <v/>
      </c>
      <c r="H966" s="34"/>
      <c r="I966" s="34"/>
      <c r="J966" s="34"/>
      <c r="K966" s="39"/>
      <c r="L966" s="39"/>
      <c r="M966" s="15">
        <f t="shared" si="292"/>
        <v>0</v>
      </c>
      <c r="N966" s="15">
        <f>Rutas[[#This Row],[Kms Recorridos]]</f>
        <v>0</v>
      </c>
      <c r="O966" s="39"/>
      <c r="P966" s="36"/>
      <c r="Q966" s="16">
        <f t="shared" si="293"/>
        <v>0</v>
      </c>
      <c r="R966" s="34"/>
      <c r="S966" s="34"/>
      <c r="T966" s="36"/>
      <c r="U966" s="293">
        <f>Rutas[[#This Row],[Precio x Galón ($/gal)]]*Rutas[[#This Row],[Volumen de Combustible (gal)]]</f>
        <v>0</v>
      </c>
      <c r="V966" s="36"/>
      <c r="W966" s="36"/>
      <c r="X966" s="36"/>
      <c r="Y966" s="145">
        <f t="shared" si="294"/>
        <v>0</v>
      </c>
      <c r="Z966" s="567"/>
      <c r="AA966" s="12"/>
      <c r="AB966" s="12">
        <f t="shared" si="295"/>
        <v>0</v>
      </c>
      <c r="AC966" s="12">
        <f t="shared" si="296"/>
        <v>0</v>
      </c>
      <c r="AD966" s="34"/>
    </row>
    <row r="967" spans="1:30" ht="16" x14ac:dyDescent="0.2">
      <c r="A967" s="47"/>
      <c r="B967" s="521"/>
      <c r="C967" s="176">
        <f t="shared" si="297"/>
        <v>964</v>
      </c>
      <c r="D967" s="90">
        <v>45839</v>
      </c>
      <c r="E967" s="90">
        <v>45848</v>
      </c>
      <c r="F967" s="68" t="s">
        <v>308</v>
      </c>
      <c r="G967" s="379" t="str">
        <f ca="1">IF(AND(E967&lt;&gt;"",E967&lt;TODAY()),"Disponible",IFERROR(INDEX(Vehiculos[Estado Vehiculo],MATCH(F967,Vehiculos[Placa Vehiculo],0)),""))</f>
        <v>Disponible</v>
      </c>
      <c r="H967" s="89" t="s">
        <v>288</v>
      </c>
      <c r="I967" s="89" t="s">
        <v>273</v>
      </c>
      <c r="J967" s="89"/>
      <c r="K967" s="380">
        <v>807</v>
      </c>
      <c r="L967" s="380">
        <v>832</v>
      </c>
      <c r="M967" s="381">
        <f t="shared" si="292"/>
        <v>25</v>
      </c>
      <c r="N967" s="381">
        <f>Rutas[[#This Row],[Kms Recorridos]]</f>
        <v>25</v>
      </c>
      <c r="O967" s="380"/>
      <c r="P967" s="92"/>
      <c r="Q967" s="382">
        <f t="shared" si="293"/>
        <v>0</v>
      </c>
      <c r="R967" s="89" t="s">
        <v>273</v>
      </c>
      <c r="S967" s="89" t="s">
        <v>102</v>
      </c>
      <c r="T967" s="92">
        <v>1.8</v>
      </c>
      <c r="U967" s="266">
        <f>Rutas[[#This Row],[Precio x Galón ($/gal)]]*Rutas[[#This Row],[Volumen de Combustible (gal)]]</f>
        <v>0</v>
      </c>
      <c r="V967" s="92"/>
      <c r="W967" s="92"/>
      <c r="X967" s="92"/>
      <c r="Y967" s="382">
        <f t="shared" si="294"/>
        <v>0</v>
      </c>
      <c r="Z967" s="567"/>
      <c r="AA967" s="382"/>
      <c r="AB967" s="382">
        <f t="shared" si="295"/>
        <v>0</v>
      </c>
      <c r="AC967" s="382">
        <f t="shared" si="296"/>
        <v>0</v>
      </c>
      <c r="AD967" s="89"/>
    </row>
    <row r="968" spans="1:30" ht="16" x14ac:dyDescent="0.2">
      <c r="A968" s="47"/>
      <c r="B968" s="521"/>
      <c r="C968" s="176">
        <f t="shared" si="297"/>
        <v>965</v>
      </c>
      <c r="D968" s="146">
        <v>45848</v>
      </c>
      <c r="E968" s="37">
        <v>45853</v>
      </c>
      <c r="F968" s="65" t="s">
        <v>308</v>
      </c>
      <c r="G968" s="11" t="str">
        <f ca="1">IF(AND(E968&lt;&gt;"",E968&lt;TODAY()),"Disponible",IFERROR(INDEX(Vehiculos[Estado Vehiculo],MATCH(F968,Vehiculos[Placa Vehiculo],0)),""))</f>
        <v>Disponible</v>
      </c>
      <c r="H968" s="34" t="s">
        <v>237</v>
      </c>
      <c r="I968" s="34" t="s">
        <v>273</v>
      </c>
      <c r="J968" s="34"/>
      <c r="K968" s="39">
        <v>832</v>
      </c>
      <c r="L968" s="39">
        <v>834</v>
      </c>
      <c r="M968" s="15">
        <f t="shared" si="292"/>
        <v>2</v>
      </c>
      <c r="N968" s="15">
        <f>Rutas[[#This Row],[Kms Recorridos]]</f>
        <v>2</v>
      </c>
      <c r="O968" s="39"/>
      <c r="P968" s="36"/>
      <c r="Q968" s="16">
        <f t="shared" si="293"/>
        <v>0</v>
      </c>
      <c r="R968" s="34" t="s">
        <v>273</v>
      </c>
      <c r="S968" s="34" t="s">
        <v>102</v>
      </c>
      <c r="T968" s="36">
        <v>1.8</v>
      </c>
      <c r="U968" s="293">
        <f>Rutas[[#This Row],[Precio x Galón ($/gal)]]*Rutas[[#This Row],[Volumen de Combustible (gal)]]</f>
        <v>13.104000000000001</v>
      </c>
      <c r="V968" s="36"/>
      <c r="W968" s="36"/>
      <c r="X968" s="36"/>
      <c r="Y968" s="145">
        <f t="shared" si="294"/>
        <v>13.104000000000001</v>
      </c>
      <c r="Z968" s="567"/>
      <c r="AA968" s="12">
        <v>7.28</v>
      </c>
      <c r="AB968" s="12">
        <f t="shared" si="295"/>
        <v>0.27472527472527469</v>
      </c>
      <c r="AC968" s="12">
        <f t="shared" si="296"/>
        <v>0</v>
      </c>
      <c r="AD968" s="34"/>
    </row>
    <row r="969" spans="1:30" ht="16" x14ac:dyDescent="0.2">
      <c r="A969" s="47"/>
      <c r="B969" s="521"/>
      <c r="C969" s="176">
        <f t="shared" si="297"/>
        <v>966</v>
      </c>
      <c r="D969" s="146">
        <v>45853</v>
      </c>
      <c r="E969" s="37">
        <v>45859</v>
      </c>
      <c r="F969" s="65" t="s">
        <v>308</v>
      </c>
      <c r="G969" s="11" t="str">
        <f ca="1">IF(AND(E969&lt;&gt;"",E969&lt;TODAY()),"Disponible",IFERROR(INDEX(Vehiculos[Estado Vehiculo],MATCH(F969,Vehiculos[Placa Vehiculo],0)),""))</f>
        <v>Disponible</v>
      </c>
      <c r="H969" s="34" t="s">
        <v>237</v>
      </c>
      <c r="I969" s="34" t="s">
        <v>273</v>
      </c>
      <c r="J969" s="34"/>
      <c r="K969" s="39">
        <v>834</v>
      </c>
      <c r="L969" s="39">
        <v>844</v>
      </c>
      <c r="M969" s="15">
        <f t="shared" si="292"/>
        <v>10</v>
      </c>
      <c r="N969" s="15">
        <f>Rutas[[#This Row],[Kms Recorridos]]</f>
        <v>10</v>
      </c>
      <c r="O969" s="39"/>
      <c r="P969" s="36"/>
      <c r="Q969" s="16">
        <f t="shared" si="293"/>
        <v>0</v>
      </c>
      <c r="R969" s="34" t="s">
        <v>273</v>
      </c>
      <c r="S969" s="34" t="s">
        <v>102</v>
      </c>
      <c r="T969" s="36">
        <v>1.8</v>
      </c>
      <c r="U969" s="293">
        <f>Rutas[[#This Row],[Precio x Galón ($/gal)]]*Rutas[[#This Row],[Volumen de Combustible (gal)]]</f>
        <v>10.638</v>
      </c>
      <c r="V969" s="36"/>
      <c r="W969" s="36"/>
      <c r="X969" s="36"/>
      <c r="Y969" s="145">
        <f t="shared" si="294"/>
        <v>10.638</v>
      </c>
      <c r="Z969" s="567"/>
      <c r="AA969" s="12">
        <v>5.91</v>
      </c>
      <c r="AB969" s="12">
        <f t="shared" si="295"/>
        <v>1.6920473773265652</v>
      </c>
      <c r="AC969" s="12">
        <f t="shared" si="296"/>
        <v>0</v>
      </c>
      <c r="AD969" s="34"/>
    </row>
    <row r="970" spans="1:30" ht="16" x14ac:dyDescent="0.2">
      <c r="A970" s="47"/>
      <c r="B970" s="521"/>
      <c r="C970" s="176">
        <f t="shared" si="297"/>
        <v>967</v>
      </c>
      <c r="D970" s="146">
        <v>45859</v>
      </c>
      <c r="E970" s="37">
        <v>45868</v>
      </c>
      <c r="F970" s="65" t="s">
        <v>308</v>
      </c>
      <c r="G970" s="11" t="str">
        <f ca="1">IF(AND(E970&lt;&gt;"",E970&lt;TODAY()),"Disponible",IFERROR(INDEX(Vehiculos[Estado Vehiculo],MATCH(F970,Vehiculos[Placa Vehiculo],0)),""))</f>
        <v>Disponible</v>
      </c>
      <c r="H970" s="34" t="s">
        <v>245</v>
      </c>
      <c r="I970" s="34" t="s">
        <v>273</v>
      </c>
      <c r="J970" s="34"/>
      <c r="K970" s="39">
        <v>844</v>
      </c>
      <c r="L970" s="39">
        <v>860</v>
      </c>
      <c r="M970" s="15">
        <f t="shared" si="292"/>
        <v>16</v>
      </c>
      <c r="N970" s="15">
        <f>Rutas[[#This Row],[Kms Recorridos]]</f>
        <v>16</v>
      </c>
      <c r="O970" s="39"/>
      <c r="P970" s="36"/>
      <c r="Q970" s="16">
        <f t="shared" si="293"/>
        <v>0</v>
      </c>
      <c r="R970" s="34" t="s">
        <v>273</v>
      </c>
      <c r="S970" s="34" t="s">
        <v>102</v>
      </c>
      <c r="T970" s="36">
        <v>1.8</v>
      </c>
      <c r="U970" s="293">
        <f>Rutas[[#This Row],[Precio x Galón ($/gal)]]*Rutas[[#This Row],[Volumen de Combustible (gal)]]</f>
        <v>18.882000000000001</v>
      </c>
      <c r="V970" s="36"/>
      <c r="W970" s="36"/>
      <c r="X970" s="36"/>
      <c r="Y970" s="145">
        <f t="shared" si="294"/>
        <v>18.882000000000001</v>
      </c>
      <c r="Z970" s="567"/>
      <c r="AA970" s="12">
        <v>10.49</v>
      </c>
      <c r="AB970" s="12">
        <f t="shared" si="295"/>
        <v>1.5252621544327931</v>
      </c>
      <c r="AC970" s="12">
        <f t="shared" si="296"/>
        <v>0</v>
      </c>
      <c r="AD970" s="34"/>
    </row>
    <row r="971" spans="1:30" ht="16" x14ac:dyDescent="0.2">
      <c r="A971" s="47"/>
      <c r="B971" s="521"/>
      <c r="C971" s="176">
        <f t="shared" si="297"/>
        <v>968</v>
      </c>
      <c r="D971" s="146"/>
      <c r="E971" s="37"/>
      <c r="F971" s="66"/>
      <c r="G971" s="11" t="str">
        <f ca="1">IF(AND(E971&lt;&gt;"",E971&lt;TODAY()),"Disponible",IFERROR(INDEX(Vehiculos[Estado Vehiculo],MATCH(F971,Vehiculos[Placa Vehiculo],0)),""))</f>
        <v/>
      </c>
      <c r="H971" s="34"/>
      <c r="I971" s="34"/>
      <c r="J971" s="34"/>
      <c r="K971" s="39"/>
      <c r="L971" s="39"/>
      <c r="M971" s="15">
        <f t="shared" si="292"/>
        <v>0</v>
      </c>
      <c r="N971" s="15">
        <f>Rutas[[#This Row],[Kms Recorridos]]</f>
        <v>0</v>
      </c>
      <c r="O971" s="39"/>
      <c r="P971" s="36"/>
      <c r="Q971" s="16">
        <f t="shared" si="293"/>
        <v>0</v>
      </c>
      <c r="R971" s="34"/>
      <c r="S971" s="34"/>
      <c r="T971" s="36"/>
      <c r="U971" s="293">
        <f>Rutas[[#This Row],[Precio x Galón ($/gal)]]*Rutas[[#This Row],[Volumen de Combustible (gal)]]</f>
        <v>0</v>
      </c>
      <c r="V971" s="36"/>
      <c r="W971" s="36"/>
      <c r="X971" s="36"/>
      <c r="Y971" s="145">
        <f t="shared" si="294"/>
        <v>0</v>
      </c>
      <c r="Z971" s="567"/>
      <c r="AA971" s="12"/>
      <c r="AB971" s="12">
        <f t="shared" si="295"/>
        <v>0</v>
      </c>
      <c r="AC971" s="12">
        <f t="shared" si="296"/>
        <v>0</v>
      </c>
      <c r="AD971" s="34"/>
    </row>
    <row r="972" spans="1:30" ht="16" x14ac:dyDescent="0.2">
      <c r="A972" s="47"/>
      <c r="B972" s="521"/>
      <c r="C972" s="176">
        <f t="shared" si="297"/>
        <v>969</v>
      </c>
      <c r="D972" s="90">
        <v>45839</v>
      </c>
      <c r="E972" s="90">
        <v>45840</v>
      </c>
      <c r="F972" s="68" t="s">
        <v>318</v>
      </c>
      <c r="G972" s="379" t="str">
        <f ca="1">IF(AND(E972&lt;&gt;"",E972&lt;TODAY()),"Disponible",IFERROR(INDEX(Vehiculos[Estado Vehiculo],MATCH(F972,Vehiculos[Placa Vehiculo],0)),""))</f>
        <v>Disponible</v>
      </c>
      <c r="H972" s="89" t="s">
        <v>236</v>
      </c>
      <c r="I972" s="89" t="s">
        <v>273</v>
      </c>
      <c r="J972" s="89"/>
      <c r="K972" s="380">
        <v>619</v>
      </c>
      <c r="L972" s="380">
        <v>628</v>
      </c>
      <c r="M972" s="381">
        <f t="shared" si="292"/>
        <v>9</v>
      </c>
      <c r="N972" s="381">
        <f>Rutas[[#This Row],[Kms Recorridos]]</f>
        <v>9</v>
      </c>
      <c r="O972" s="380"/>
      <c r="P972" s="92"/>
      <c r="Q972" s="382">
        <f t="shared" si="293"/>
        <v>0</v>
      </c>
      <c r="R972" s="89" t="s">
        <v>273</v>
      </c>
      <c r="S972" s="89" t="s">
        <v>102</v>
      </c>
      <c r="T972" s="92">
        <v>1.8</v>
      </c>
      <c r="U972" s="266">
        <f>Rutas[[#This Row],[Precio x Galón ($/gal)]]*Rutas[[#This Row],[Volumen de Combustible (gal)]]</f>
        <v>33.246000000000002</v>
      </c>
      <c r="V972" s="92"/>
      <c r="W972" s="92"/>
      <c r="X972" s="92"/>
      <c r="Y972" s="382">
        <f t="shared" si="294"/>
        <v>33.246000000000002</v>
      </c>
      <c r="Z972" s="567"/>
      <c r="AA972" s="382">
        <v>18.47</v>
      </c>
      <c r="AB972" s="382">
        <f t="shared" si="295"/>
        <v>0.48727666486193832</v>
      </c>
      <c r="AC972" s="382">
        <f t="shared" si="296"/>
        <v>0</v>
      </c>
      <c r="AD972" s="89"/>
    </row>
    <row r="973" spans="1:30" ht="16" x14ac:dyDescent="0.2">
      <c r="A973" s="47"/>
      <c r="B973" s="521"/>
      <c r="C973" s="176">
        <f t="shared" si="297"/>
        <v>970</v>
      </c>
      <c r="D973" s="146">
        <v>45840</v>
      </c>
      <c r="E973" s="37">
        <v>45848</v>
      </c>
      <c r="F973" s="65" t="s">
        <v>318</v>
      </c>
      <c r="G973" s="11" t="str">
        <f ca="1">IF(AND(E973&lt;&gt;"",E973&lt;TODAY()),"Disponible",IFERROR(INDEX(Vehiculos[Estado Vehiculo],MATCH(F973,Vehiculos[Placa Vehiculo],0)),""))</f>
        <v>Disponible</v>
      </c>
      <c r="H973" s="34" t="s">
        <v>269</v>
      </c>
      <c r="I973" s="34" t="s">
        <v>273</v>
      </c>
      <c r="J973" s="34"/>
      <c r="K973" s="39">
        <v>628</v>
      </c>
      <c r="L973" s="39">
        <v>640</v>
      </c>
      <c r="M973" s="15">
        <f t="shared" si="292"/>
        <v>12</v>
      </c>
      <c r="N973" s="15">
        <f>Rutas[[#This Row],[Kms Recorridos]]</f>
        <v>12</v>
      </c>
      <c r="O973" s="39"/>
      <c r="P973" s="36"/>
      <c r="Q973" s="16">
        <f t="shared" si="293"/>
        <v>0</v>
      </c>
      <c r="R973" s="34" t="s">
        <v>273</v>
      </c>
      <c r="S973" s="34" t="s">
        <v>102</v>
      </c>
      <c r="T973" s="36">
        <v>1.8</v>
      </c>
      <c r="U973" s="293">
        <f>Rutas[[#This Row],[Precio x Galón ($/gal)]]*Rutas[[#This Row],[Volumen de Combustible (gal)]]</f>
        <v>0</v>
      </c>
      <c r="V973" s="36"/>
      <c r="W973" s="36"/>
      <c r="X973" s="36"/>
      <c r="Y973" s="145">
        <f t="shared" si="294"/>
        <v>0</v>
      </c>
      <c r="Z973" s="567"/>
      <c r="AA973" s="12"/>
      <c r="AB973" s="12">
        <f t="shared" si="295"/>
        <v>0</v>
      </c>
      <c r="AC973" s="12">
        <f t="shared" si="296"/>
        <v>0</v>
      </c>
      <c r="AD973" s="34"/>
    </row>
    <row r="974" spans="1:30" ht="16" x14ac:dyDescent="0.2">
      <c r="A974" s="47"/>
      <c r="B974" s="521"/>
      <c r="C974" s="176">
        <f t="shared" si="297"/>
        <v>971</v>
      </c>
      <c r="D974" s="146">
        <v>45848</v>
      </c>
      <c r="E974" s="37">
        <v>45868</v>
      </c>
      <c r="F974" s="65" t="s">
        <v>318</v>
      </c>
      <c r="G974" s="11" t="str">
        <f ca="1">IF(AND(E974&lt;&gt;"",E974&lt;TODAY()),"Disponible",IFERROR(INDEX(Vehiculos[Estado Vehiculo],MATCH(F974,Vehiculos[Placa Vehiculo],0)),""))</f>
        <v>Disponible</v>
      </c>
      <c r="H974" s="34" t="s">
        <v>305</v>
      </c>
      <c r="I974" s="34" t="s">
        <v>273</v>
      </c>
      <c r="J974" s="34"/>
      <c r="K974" s="39">
        <v>640</v>
      </c>
      <c r="L974" s="39">
        <v>647</v>
      </c>
      <c r="M974" s="15">
        <f t="shared" si="292"/>
        <v>7</v>
      </c>
      <c r="N974" s="15">
        <f>Rutas[[#This Row],[Kms Recorridos]]</f>
        <v>7</v>
      </c>
      <c r="O974" s="39"/>
      <c r="P974" s="36"/>
      <c r="Q974" s="16">
        <f t="shared" si="293"/>
        <v>0</v>
      </c>
      <c r="R974" s="34" t="s">
        <v>273</v>
      </c>
      <c r="S974" s="34" t="s">
        <v>102</v>
      </c>
      <c r="T974" s="36">
        <v>1.8</v>
      </c>
      <c r="U974" s="293">
        <f>Rutas[[#This Row],[Precio x Galón ($/gal)]]*Rutas[[#This Row],[Volumen de Combustible (gal)]]</f>
        <v>18.324000000000002</v>
      </c>
      <c r="V974" s="36"/>
      <c r="W974" s="36"/>
      <c r="X974" s="36"/>
      <c r="Y974" s="145">
        <f t="shared" si="294"/>
        <v>18.324000000000002</v>
      </c>
      <c r="Z974" s="567"/>
      <c r="AA974" s="12">
        <v>10.18</v>
      </c>
      <c r="AB974" s="12">
        <f t="shared" si="295"/>
        <v>0.68762278978389002</v>
      </c>
      <c r="AC974" s="12">
        <f t="shared" si="296"/>
        <v>0</v>
      </c>
      <c r="AD974" s="34"/>
    </row>
    <row r="975" spans="1:30" ht="16" x14ac:dyDescent="0.2">
      <c r="A975" s="47"/>
      <c r="B975" s="521"/>
      <c r="C975" s="176">
        <f t="shared" si="297"/>
        <v>972</v>
      </c>
      <c r="D975" s="146"/>
      <c r="E975" s="37"/>
      <c r="F975" s="66"/>
      <c r="G975" s="11" t="str">
        <f ca="1">IF(AND(E975&lt;&gt;"",E975&lt;TODAY()),"Disponible",IFERROR(INDEX(Vehiculos[Estado Vehiculo],MATCH(F975,Vehiculos[Placa Vehiculo],0)),""))</f>
        <v/>
      </c>
      <c r="H975" s="34"/>
      <c r="I975" s="34"/>
      <c r="J975" s="34"/>
      <c r="K975" s="39"/>
      <c r="L975" s="39"/>
      <c r="M975" s="15">
        <f t="shared" si="292"/>
        <v>0</v>
      </c>
      <c r="N975" s="15">
        <f>Rutas[[#This Row],[Kms Recorridos]]</f>
        <v>0</v>
      </c>
      <c r="O975" s="39"/>
      <c r="P975" s="36"/>
      <c r="Q975" s="16">
        <f t="shared" si="293"/>
        <v>0</v>
      </c>
      <c r="R975" s="34"/>
      <c r="S975" s="34"/>
      <c r="T975" s="36"/>
      <c r="U975" s="293">
        <f>Rutas[[#This Row],[Precio x Galón ($/gal)]]*Rutas[[#This Row],[Volumen de Combustible (gal)]]</f>
        <v>0</v>
      </c>
      <c r="V975" s="36"/>
      <c r="W975" s="36"/>
      <c r="X975" s="36"/>
      <c r="Y975" s="145">
        <f t="shared" si="294"/>
        <v>0</v>
      </c>
      <c r="Z975" s="567"/>
      <c r="AA975" s="12"/>
      <c r="AB975" s="12">
        <f t="shared" si="295"/>
        <v>0</v>
      </c>
      <c r="AC975" s="12">
        <f t="shared" si="296"/>
        <v>0</v>
      </c>
      <c r="AD975" s="34"/>
    </row>
    <row r="976" spans="1:30" ht="16" x14ac:dyDescent="0.2">
      <c r="A976" s="47"/>
      <c r="B976" s="521"/>
      <c r="C976" s="176">
        <f t="shared" si="297"/>
        <v>973</v>
      </c>
      <c r="D976" s="90">
        <v>45839</v>
      </c>
      <c r="E976" s="90">
        <v>45843</v>
      </c>
      <c r="F976" s="68" t="s">
        <v>320</v>
      </c>
      <c r="G976" s="379" t="str">
        <f ca="1">IF(AND(E976&lt;&gt;"",E976&lt;TODAY()),"Disponible",IFERROR(INDEX(Vehiculos[Estado Vehiculo],MATCH(F976,Vehiculos[Placa Vehiculo],0)),""))</f>
        <v>Disponible</v>
      </c>
      <c r="H976" s="89"/>
      <c r="I976" s="89" t="s">
        <v>273</v>
      </c>
      <c r="J976" s="89"/>
      <c r="K976" s="380">
        <v>2930</v>
      </c>
      <c r="L976" s="380">
        <v>2961</v>
      </c>
      <c r="M976" s="381">
        <f t="shared" si="292"/>
        <v>31</v>
      </c>
      <c r="N976" s="381">
        <f>Rutas[[#This Row],[Kms Recorridos]]</f>
        <v>31</v>
      </c>
      <c r="O976" s="380"/>
      <c r="P976" s="92"/>
      <c r="Q976" s="382">
        <f t="shared" si="293"/>
        <v>0</v>
      </c>
      <c r="R976" s="89" t="s">
        <v>273</v>
      </c>
      <c r="S976" s="89" t="s">
        <v>102</v>
      </c>
      <c r="T976" s="92">
        <v>1.8</v>
      </c>
      <c r="U976" s="266">
        <f>Rutas[[#This Row],[Precio x Galón ($/gal)]]*Rutas[[#This Row],[Volumen de Combustible (gal)]]</f>
        <v>36.018000000000001</v>
      </c>
      <c r="V976" s="92"/>
      <c r="W976" s="92"/>
      <c r="X976" s="92"/>
      <c r="Y976" s="382">
        <f t="shared" si="294"/>
        <v>36.018000000000001</v>
      </c>
      <c r="Z976" s="567"/>
      <c r="AA976" s="382">
        <v>20.010000000000002</v>
      </c>
      <c r="AB976" s="382">
        <f t="shared" si="295"/>
        <v>1.5492253873063466</v>
      </c>
      <c r="AC976" s="382">
        <f t="shared" si="296"/>
        <v>0</v>
      </c>
      <c r="AD976" s="89"/>
    </row>
    <row r="977" spans="1:30" ht="16" x14ac:dyDescent="0.2">
      <c r="A977" s="47"/>
      <c r="B977" s="521"/>
      <c r="C977" s="176">
        <f t="shared" si="297"/>
        <v>974</v>
      </c>
      <c r="D977" s="146">
        <v>45843</v>
      </c>
      <c r="E977" s="37">
        <v>45848</v>
      </c>
      <c r="F977" s="65" t="s">
        <v>320</v>
      </c>
      <c r="G977" s="11" t="str">
        <f ca="1">IF(AND(E977&lt;&gt;"",E977&lt;TODAY()),"Disponible",IFERROR(INDEX(Vehiculos[Estado Vehiculo],MATCH(F977,Vehiculos[Placa Vehiculo],0)),""))</f>
        <v>Disponible</v>
      </c>
      <c r="H977" s="34" t="s">
        <v>269</v>
      </c>
      <c r="I977" s="34" t="s">
        <v>273</v>
      </c>
      <c r="J977" s="34"/>
      <c r="K977" s="39">
        <v>2961</v>
      </c>
      <c r="L977" s="39">
        <v>2965</v>
      </c>
      <c r="M977" s="15">
        <f t="shared" si="292"/>
        <v>4</v>
      </c>
      <c r="N977" s="15">
        <f>Rutas[[#This Row],[Kms Recorridos]]</f>
        <v>4</v>
      </c>
      <c r="O977" s="39"/>
      <c r="P977" s="36"/>
      <c r="Q977" s="16">
        <f t="shared" si="293"/>
        <v>0</v>
      </c>
      <c r="R977" s="34" t="s">
        <v>273</v>
      </c>
      <c r="S977" s="34" t="s">
        <v>102</v>
      </c>
      <c r="T977" s="36"/>
      <c r="U977" s="293">
        <f>Rutas[[#This Row],[Precio x Galón ($/gal)]]*Rutas[[#This Row],[Volumen de Combustible (gal)]]</f>
        <v>0</v>
      </c>
      <c r="V977" s="36"/>
      <c r="W977" s="36"/>
      <c r="X977" s="36"/>
      <c r="Y977" s="145">
        <f t="shared" si="294"/>
        <v>0</v>
      </c>
      <c r="Z977" s="567"/>
      <c r="AA977" s="12"/>
      <c r="AB977" s="12">
        <f t="shared" si="295"/>
        <v>0</v>
      </c>
      <c r="AC977" s="12">
        <f t="shared" si="296"/>
        <v>0</v>
      </c>
      <c r="AD977" s="34"/>
    </row>
    <row r="978" spans="1:30" ht="16" x14ac:dyDescent="0.2">
      <c r="A978" s="47"/>
      <c r="B978" s="521"/>
      <c r="C978" s="176">
        <f t="shared" si="297"/>
        <v>975</v>
      </c>
      <c r="D978" s="146">
        <v>45848</v>
      </c>
      <c r="E978" s="37">
        <v>45868</v>
      </c>
      <c r="F978" s="65" t="s">
        <v>320</v>
      </c>
      <c r="G978" s="11" t="str">
        <f ca="1">IF(AND(E978&lt;&gt;"",E978&lt;TODAY()),"Disponible",IFERROR(INDEX(Vehiculos[Estado Vehiculo],MATCH(F978,Vehiculos[Placa Vehiculo],0)),""))</f>
        <v>Disponible</v>
      </c>
      <c r="H978" s="34" t="s">
        <v>245</v>
      </c>
      <c r="I978" s="34" t="s">
        <v>273</v>
      </c>
      <c r="J978" s="34"/>
      <c r="K978" s="39">
        <v>2965</v>
      </c>
      <c r="L978" s="39">
        <v>2969</v>
      </c>
      <c r="M978" s="15">
        <f t="shared" si="292"/>
        <v>4</v>
      </c>
      <c r="N978" s="15">
        <f>Rutas[[#This Row],[Kms Recorridos]]</f>
        <v>4</v>
      </c>
      <c r="O978" s="39"/>
      <c r="P978" s="36"/>
      <c r="Q978" s="16">
        <f t="shared" si="293"/>
        <v>0</v>
      </c>
      <c r="R978" s="34" t="s">
        <v>273</v>
      </c>
      <c r="S978" s="34" t="s">
        <v>102</v>
      </c>
      <c r="T978" s="36">
        <v>1.8</v>
      </c>
      <c r="U978" s="293">
        <f>Rutas[[#This Row],[Precio x Galón ($/gal)]]*Rutas[[#This Row],[Volumen de Combustible (gal)]]</f>
        <v>13.572000000000001</v>
      </c>
      <c r="V978" s="36"/>
      <c r="W978" s="36"/>
      <c r="X978" s="36"/>
      <c r="Y978" s="145">
        <f t="shared" si="294"/>
        <v>13.572000000000001</v>
      </c>
      <c r="Z978" s="567"/>
      <c r="AA978" s="12">
        <v>7.54</v>
      </c>
      <c r="AB978" s="12">
        <f t="shared" si="295"/>
        <v>0.5305039787798409</v>
      </c>
      <c r="AC978" s="12">
        <f t="shared" si="296"/>
        <v>0</v>
      </c>
      <c r="AD978" s="34"/>
    </row>
    <row r="979" spans="1:30" ht="16" x14ac:dyDescent="0.2">
      <c r="A979" s="47"/>
      <c r="B979" s="521"/>
      <c r="C979" s="176">
        <f t="shared" si="297"/>
        <v>976</v>
      </c>
      <c r="D979" s="146"/>
      <c r="E979" s="37"/>
      <c r="F979" s="66"/>
      <c r="G979" s="11" t="str">
        <f ca="1">IF(AND(E979&lt;&gt;"",E979&lt;TODAY()),"Disponible",IFERROR(INDEX(Vehiculos[Estado Vehiculo],MATCH(F979,Vehiculos[Placa Vehiculo],0)),""))</f>
        <v/>
      </c>
      <c r="H979" s="34"/>
      <c r="I979" s="34"/>
      <c r="J979" s="34"/>
      <c r="K979" s="39"/>
      <c r="L979" s="39"/>
      <c r="M979" s="15">
        <f t="shared" si="292"/>
        <v>0</v>
      </c>
      <c r="N979" s="15">
        <f>Rutas[[#This Row],[Kms Recorridos]]</f>
        <v>0</v>
      </c>
      <c r="O979" s="39"/>
      <c r="P979" s="36"/>
      <c r="Q979" s="16">
        <f t="shared" si="293"/>
        <v>0</v>
      </c>
      <c r="R979" s="34"/>
      <c r="S979" s="34"/>
      <c r="T979" s="36"/>
      <c r="U979" s="293">
        <f>Rutas[[#This Row],[Precio x Galón ($/gal)]]*Rutas[[#This Row],[Volumen de Combustible (gal)]]</f>
        <v>0</v>
      </c>
      <c r="V979" s="36"/>
      <c r="W979" s="36"/>
      <c r="X979" s="36"/>
      <c r="Y979" s="145">
        <f t="shared" si="294"/>
        <v>0</v>
      </c>
      <c r="Z979" s="567"/>
      <c r="AA979" s="12"/>
      <c r="AB979" s="12">
        <f t="shared" si="295"/>
        <v>0</v>
      </c>
      <c r="AC979" s="12">
        <f t="shared" si="296"/>
        <v>0</v>
      </c>
      <c r="AD979" s="34"/>
    </row>
    <row r="980" spans="1:30" ht="16" x14ac:dyDescent="0.2">
      <c r="A980" s="47"/>
      <c r="B980" s="521"/>
      <c r="C980" s="176">
        <f t="shared" si="297"/>
        <v>977</v>
      </c>
      <c r="D980" s="90">
        <v>45839</v>
      </c>
      <c r="E980" s="90">
        <v>45848</v>
      </c>
      <c r="F980" s="68" t="s">
        <v>307</v>
      </c>
      <c r="G980" s="379" t="str">
        <f ca="1">IF(AND(E980&lt;&gt;"",E980&lt;TODAY()),"Disponible",IFERROR(INDEX(Vehiculos[Estado Vehiculo],MATCH(F980,Vehiculos[Placa Vehiculo],0)),""))</f>
        <v>Disponible</v>
      </c>
      <c r="H980" s="89" t="s">
        <v>269</v>
      </c>
      <c r="I980" s="89" t="s">
        <v>273</v>
      </c>
      <c r="J980" s="89"/>
      <c r="K980" s="380">
        <v>4517</v>
      </c>
      <c r="L980" s="380">
        <v>4532</v>
      </c>
      <c r="M980" s="381">
        <f t="shared" si="292"/>
        <v>15</v>
      </c>
      <c r="N980" s="381">
        <f>Rutas[[#This Row],[Kms Recorridos]]</f>
        <v>15</v>
      </c>
      <c r="O980" s="380"/>
      <c r="P980" s="92"/>
      <c r="Q980" s="382">
        <f t="shared" si="293"/>
        <v>0</v>
      </c>
      <c r="R980" s="89" t="s">
        <v>273</v>
      </c>
      <c r="S980" s="89" t="s">
        <v>102</v>
      </c>
      <c r="T980" s="92">
        <v>1.8</v>
      </c>
      <c r="U980" s="266">
        <f>Rutas[[#This Row],[Precio x Galón ($/gal)]]*Rutas[[#This Row],[Volumen de Combustible (gal)]]</f>
        <v>0</v>
      </c>
      <c r="V980" s="92"/>
      <c r="W980" s="92"/>
      <c r="X980" s="92"/>
      <c r="Y980" s="382">
        <f t="shared" si="294"/>
        <v>0</v>
      </c>
      <c r="Z980" s="567"/>
      <c r="AA980" s="382"/>
      <c r="AB980" s="382">
        <f t="shared" si="295"/>
        <v>0</v>
      </c>
      <c r="AC980" s="382">
        <f t="shared" si="296"/>
        <v>0</v>
      </c>
      <c r="AD980" s="89"/>
    </row>
    <row r="981" spans="1:30" ht="16" x14ac:dyDescent="0.2">
      <c r="A981" s="47"/>
      <c r="B981" s="521"/>
      <c r="C981" s="176">
        <f t="shared" si="297"/>
        <v>978</v>
      </c>
      <c r="D981" s="146">
        <v>45848</v>
      </c>
      <c r="E981" s="37">
        <v>45869</v>
      </c>
      <c r="F981" s="65" t="s">
        <v>307</v>
      </c>
      <c r="G981" s="11" t="str">
        <f ca="1">IF(AND(E981&lt;&gt;"",E981&lt;TODAY()),"Disponible",IFERROR(INDEX(Vehiculos[Estado Vehiculo],MATCH(F981,Vehiculos[Placa Vehiculo],0)),""))</f>
        <v>Disponible</v>
      </c>
      <c r="H981" s="34"/>
      <c r="I981" s="34" t="s">
        <v>273</v>
      </c>
      <c r="J981" s="34"/>
      <c r="K981" s="39">
        <v>4532</v>
      </c>
      <c r="L981" s="39">
        <v>4545</v>
      </c>
      <c r="M981" s="15">
        <f t="shared" si="292"/>
        <v>13</v>
      </c>
      <c r="N981" s="15">
        <f>Rutas[[#This Row],[Kms Recorridos]]</f>
        <v>13</v>
      </c>
      <c r="O981" s="39"/>
      <c r="P981" s="36"/>
      <c r="Q981" s="16">
        <f t="shared" si="293"/>
        <v>0</v>
      </c>
      <c r="R981" s="34" t="s">
        <v>273</v>
      </c>
      <c r="S981" s="34" t="s">
        <v>102</v>
      </c>
      <c r="T981" s="36">
        <v>1.8</v>
      </c>
      <c r="U981" s="293">
        <f>Rutas[[#This Row],[Precio x Galón ($/gal)]]*Rutas[[#This Row],[Volumen de Combustible (gal)]]</f>
        <v>18.612000000000002</v>
      </c>
      <c r="V981" s="36"/>
      <c r="W981" s="36"/>
      <c r="X981" s="36"/>
      <c r="Y981" s="145">
        <f t="shared" si="294"/>
        <v>18.612000000000002</v>
      </c>
      <c r="Z981" s="567"/>
      <c r="AA981" s="12">
        <v>10.34</v>
      </c>
      <c r="AB981" s="12">
        <f t="shared" si="295"/>
        <v>1.2572533849129595</v>
      </c>
      <c r="AC981" s="12">
        <f t="shared" si="296"/>
        <v>0</v>
      </c>
      <c r="AD981" s="34"/>
    </row>
    <row r="982" spans="1:30" ht="16" x14ac:dyDescent="0.2">
      <c r="A982" s="47"/>
      <c r="B982" s="521"/>
      <c r="C982" s="176">
        <f t="shared" si="297"/>
        <v>979</v>
      </c>
      <c r="D982" s="146"/>
      <c r="E982" s="37"/>
      <c r="F982" s="66"/>
      <c r="G982" s="11" t="str">
        <f ca="1">IF(AND(E982&lt;&gt;"",E982&lt;TODAY()),"Disponible",IFERROR(INDEX(Vehiculos[Estado Vehiculo],MATCH(F982,Vehiculos[Placa Vehiculo],0)),""))</f>
        <v/>
      </c>
      <c r="H982" s="34"/>
      <c r="I982" s="34"/>
      <c r="J982" s="34"/>
      <c r="K982" s="39"/>
      <c r="L982" s="39"/>
      <c r="M982" s="15">
        <f t="shared" si="292"/>
        <v>0</v>
      </c>
      <c r="N982" s="15">
        <f>Rutas[[#This Row],[Kms Recorridos]]</f>
        <v>0</v>
      </c>
      <c r="O982" s="39"/>
      <c r="P982" s="36"/>
      <c r="Q982" s="16">
        <f t="shared" si="293"/>
        <v>0</v>
      </c>
      <c r="R982" s="34"/>
      <c r="S982" s="34"/>
      <c r="T982" s="36"/>
      <c r="U982" s="293">
        <f>Rutas[[#This Row],[Precio x Galón ($/gal)]]*Rutas[[#This Row],[Volumen de Combustible (gal)]]</f>
        <v>0</v>
      </c>
      <c r="V982" s="36"/>
      <c r="W982" s="36"/>
      <c r="X982" s="36"/>
      <c r="Y982" s="145">
        <f t="shared" si="294"/>
        <v>0</v>
      </c>
      <c r="Z982" s="567"/>
      <c r="AA982" s="12"/>
      <c r="AB982" s="12">
        <f t="shared" si="295"/>
        <v>0</v>
      </c>
      <c r="AC982" s="12">
        <f t="shared" si="296"/>
        <v>0</v>
      </c>
      <c r="AD982" s="34"/>
    </row>
    <row r="983" spans="1:30" ht="16" x14ac:dyDescent="0.2">
      <c r="A983" s="47"/>
      <c r="B983" s="521"/>
      <c r="C983" s="176">
        <f t="shared" si="297"/>
        <v>980</v>
      </c>
      <c r="D983" s="146"/>
      <c r="E983" s="37"/>
      <c r="F983" s="66"/>
      <c r="G983" s="11" t="str">
        <f ca="1">IF(AND(E983&lt;&gt;"",E983&lt;TODAY()),"Disponible",IFERROR(INDEX(Vehiculos[Estado Vehiculo],MATCH(F983,Vehiculos[Placa Vehiculo],0)),""))</f>
        <v/>
      </c>
      <c r="H983" s="34"/>
      <c r="I983" s="34"/>
      <c r="J983" s="34"/>
      <c r="K983" s="39"/>
      <c r="L983" s="39"/>
      <c r="M983" s="15">
        <f t="shared" si="292"/>
        <v>0</v>
      </c>
      <c r="N983" s="15">
        <f>Rutas[[#This Row],[Kms Recorridos]]</f>
        <v>0</v>
      </c>
      <c r="O983" s="39"/>
      <c r="P983" s="36"/>
      <c r="Q983" s="16">
        <f t="shared" si="293"/>
        <v>0</v>
      </c>
      <c r="R983" s="34"/>
      <c r="S983" s="34"/>
      <c r="T983" s="36"/>
      <c r="U983" s="293">
        <f>Rutas[[#This Row],[Precio x Galón ($/gal)]]*Rutas[[#This Row],[Volumen de Combustible (gal)]]</f>
        <v>0</v>
      </c>
      <c r="V983" s="36"/>
      <c r="W983" s="36"/>
      <c r="X983" s="36"/>
      <c r="Y983" s="145">
        <f t="shared" si="294"/>
        <v>0</v>
      </c>
      <c r="Z983" s="567"/>
      <c r="AA983" s="12"/>
      <c r="AB983" s="12">
        <f t="shared" si="295"/>
        <v>0</v>
      </c>
      <c r="AC983" s="12">
        <f t="shared" si="296"/>
        <v>0</v>
      </c>
      <c r="AD983" s="34"/>
    </row>
    <row r="984" spans="1:30" ht="16" x14ac:dyDescent="0.2">
      <c r="A984" s="47"/>
      <c r="B984" s="521"/>
      <c r="C984" s="176">
        <f t="shared" si="297"/>
        <v>981</v>
      </c>
      <c r="D984" s="90">
        <v>45839</v>
      </c>
      <c r="E984" s="90">
        <v>45840</v>
      </c>
      <c r="F984" s="68" t="s">
        <v>312</v>
      </c>
      <c r="G984" s="379" t="str">
        <f ca="1">IF(AND(E984&lt;&gt;"",E984&lt;TODAY()),"Disponible",IFERROR(INDEX(Vehiculos[Estado Vehiculo],MATCH(F984,Vehiculos[Placa Vehiculo],0)),""))</f>
        <v>Disponible</v>
      </c>
      <c r="H984" s="89" t="s">
        <v>245</v>
      </c>
      <c r="I984" s="89" t="s">
        <v>273</v>
      </c>
      <c r="J984" s="89"/>
      <c r="K984" s="380">
        <v>3356</v>
      </c>
      <c r="L984" s="380">
        <v>3357</v>
      </c>
      <c r="M984" s="381">
        <f t="shared" si="292"/>
        <v>1</v>
      </c>
      <c r="N984" s="381">
        <f>Rutas[[#This Row],[Kms Recorridos]]</f>
        <v>1</v>
      </c>
      <c r="O984" s="380"/>
      <c r="P984" s="92"/>
      <c r="Q984" s="382">
        <f t="shared" si="293"/>
        <v>0</v>
      </c>
      <c r="R984" s="89" t="s">
        <v>273</v>
      </c>
      <c r="S984" s="89" t="s">
        <v>102</v>
      </c>
      <c r="T984" s="92">
        <v>1.8</v>
      </c>
      <c r="U984" s="266">
        <f>Rutas[[#This Row],[Precio x Galón ($/gal)]]*Rutas[[#This Row],[Volumen de Combustible (gal)]]</f>
        <v>27.971999999999998</v>
      </c>
      <c r="V984" s="92"/>
      <c r="W984" s="92"/>
      <c r="X984" s="92"/>
      <c r="Y984" s="382">
        <f t="shared" si="294"/>
        <v>27.971999999999998</v>
      </c>
      <c r="Z984" s="567"/>
      <c r="AA984" s="382">
        <v>15.54</v>
      </c>
      <c r="AB984" s="382">
        <f t="shared" si="295"/>
        <v>6.4350064350064351E-2</v>
      </c>
      <c r="AC984" s="382">
        <f t="shared" si="296"/>
        <v>0</v>
      </c>
      <c r="AD984" s="89"/>
    </row>
    <row r="985" spans="1:30" ht="16" x14ac:dyDescent="0.2">
      <c r="A985" s="47"/>
      <c r="B985" s="521"/>
      <c r="C985" s="176">
        <f t="shared" si="297"/>
        <v>982</v>
      </c>
      <c r="D985" s="146">
        <v>45840</v>
      </c>
      <c r="E985" s="37">
        <v>45845</v>
      </c>
      <c r="F985" s="65" t="s">
        <v>312</v>
      </c>
      <c r="G985" s="11" t="str">
        <f ca="1">IF(AND(E985&lt;&gt;"",E985&lt;TODAY()),"Disponible",IFERROR(INDEX(Vehiculos[Estado Vehiculo],MATCH(F985,Vehiculos[Placa Vehiculo],0)),""))</f>
        <v>Disponible</v>
      </c>
      <c r="H985" s="34" t="s">
        <v>245</v>
      </c>
      <c r="I985" s="34" t="s">
        <v>273</v>
      </c>
      <c r="J985" s="34"/>
      <c r="K985" s="39">
        <v>3357</v>
      </c>
      <c r="L985" s="39">
        <v>3358</v>
      </c>
      <c r="M985" s="15">
        <f t="shared" si="292"/>
        <v>1</v>
      </c>
      <c r="N985" s="15">
        <f>Rutas[[#This Row],[Kms Recorridos]]</f>
        <v>1</v>
      </c>
      <c r="O985" s="39"/>
      <c r="P985" s="36"/>
      <c r="Q985" s="16">
        <f t="shared" si="293"/>
        <v>0</v>
      </c>
      <c r="R985" s="34" t="s">
        <v>273</v>
      </c>
      <c r="S985" s="34" t="s">
        <v>102</v>
      </c>
      <c r="T985" s="36">
        <v>1.8</v>
      </c>
      <c r="U985" s="293">
        <f>Rutas[[#This Row],[Precio x Galón ($/gal)]]*Rutas[[#This Row],[Volumen de Combustible (gal)]]</f>
        <v>14.670000000000002</v>
      </c>
      <c r="V985" s="36"/>
      <c r="W985" s="36"/>
      <c r="X985" s="36"/>
      <c r="Y985" s="145">
        <f t="shared" si="294"/>
        <v>14.670000000000002</v>
      </c>
      <c r="Z985" s="567"/>
      <c r="AA985" s="12">
        <v>8.15</v>
      </c>
      <c r="AB985" s="12">
        <f t="shared" si="295"/>
        <v>0.12269938650306748</v>
      </c>
      <c r="AC985" s="12">
        <f t="shared" si="296"/>
        <v>0</v>
      </c>
      <c r="AD985" s="34"/>
    </row>
    <row r="986" spans="1:30" ht="16" x14ac:dyDescent="0.2">
      <c r="A986" s="47"/>
      <c r="B986" s="521"/>
      <c r="C986" s="176">
        <f t="shared" si="297"/>
        <v>983</v>
      </c>
      <c r="D986" s="146">
        <v>45845</v>
      </c>
      <c r="E986" s="37">
        <v>45851</v>
      </c>
      <c r="F986" s="65" t="s">
        <v>312</v>
      </c>
      <c r="G986" s="11" t="str">
        <f ca="1">IF(AND(E986&lt;&gt;"",E986&lt;TODAY()),"Disponible",IFERROR(INDEX(Vehiculos[Estado Vehiculo],MATCH(F986,Vehiculos[Placa Vehiculo],0)),""))</f>
        <v>Disponible</v>
      </c>
      <c r="H986" s="34" t="s">
        <v>245</v>
      </c>
      <c r="I986" s="34" t="s">
        <v>273</v>
      </c>
      <c r="J986" s="34"/>
      <c r="K986" s="39">
        <v>2</v>
      </c>
      <c r="L986" s="39">
        <v>9</v>
      </c>
      <c r="M986" s="15">
        <f t="shared" si="292"/>
        <v>7</v>
      </c>
      <c r="N986" s="15">
        <f>Rutas[[#This Row],[Kms Recorridos]]</f>
        <v>7</v>
      </c>
      <c r="O986" s="39"/>
      <c r="P986" s="36"/>
      <c r="Q986" s="16">
        <f t="shared" si="293"/>
        <v>0</v>
      </c>
      <c r="R986" s="34" t="s">
        <v>273</v>
      </c>
      <c r="S986" s="34" t="s">
        <v>102</v>
      </c>
      <c r="T986" s="36">
        <v>1.8</v>
      </c>
      <c r="U986" s="293">
        <f>Rutas[[#This Row],[Precio x Galón ($/gal)]]*Rutas[[#This Row],[Volumen de Combustible (gal)]]</f>
        <v>18.521999999999998</v>
      </c>
      <c r="V986" s="36"/>
      <c r="W986" s="36"/>
      <c r="X986" s="36"/>
      <c r="Y986" s="145">
        <f t="shared" si="294"/>
        <v>18.521999999999998</v>
      </c>
      <c r="Z986" s="567"/>
      <c r="AA986" s="12">
        <v>10.29</v>
      </c>
      <c r="AB986" s="12">
        <f t="shared" si="295"/>
        <v>0.6802721088435375</v>
      </c>
      <c r="AC986" s="12">
        <f t="shared" si="296"/>
        <v>0</v>
      </c>
      <c r="AD986" s="34"/>
    </row>
    <row r="987" spans="1:30" ht="16" x14ac:dyDescent="0.2">
      <c r="A987" s="47"/>
      <c r="B987" s="521"/>
      <c r="C987" s="176">
        <f t="shared" si="297"/>
        <v>984</v>
      </c>
      <c r="D987" s="146">
        <v>45851</v>
      </c>
      <c r="E987" s="37">
        <v>45869</v>
      </c>
      <c r="F987" s="65" t="s">
        <v>312</v>
      </c>
      <c r="G987" s="11" t="str">
        <f ca="1">IF(AND(E987&lt;&gt;"",E987&lt;TODAY()),"Disponible",IFERROR(INDEX(Vehiculos[Estado Vehiculo],MATCH(F987,Vehiculos[Placa Vehiculo],0)),""))</f>
        <v>Disponible</v>
      </c>
      <c r="H987" s="34" t="s">
        <v>238</v>
      </c>
      <c r="I987" s="34" t="s">
        <v>273</v>
      </c>
      <c r="J987" s="34"/>
      <c r="K987" s="39">
        <v>9</v>
      </c>
      <c r="L987" s="39">
        <v>37</v>
      </c>
      <c r="M987" s="15">
        <f t="shared" si="292"/>
        <v>28</v>
      </c>
      <c r="N987" s="15">
        <f>Rutas[[#This Row],[Kms Recorridos]]</f>
        <v>28</v>
      </c>
      <c r="O987" s="39"/>
      <c r="P987" s="36"/>
      <c r="Q987" s="16">
        <f t="shared" si="293"/>
        <v>0</v>
      </c>
      <c r="R987" s="34" t="s">
        <v>273</v>
      </c>
      <c r="S987" s="34" t="s">
        <v>102</v>
      </c>
      <c r="T987" s="36"/>
      <c r="U987" s="293">
        <f>Rutas[[#This Row],[Precio x Galón ($/gal)]]*Rutas[[#This Row],[Volumen de Combustible (gal)]]</f>
        <v>0</v>
      </c>
      <c r="V987" s="36"/>
      <c r="W987" s="36"/>
      <c r="X987" s="36"/>
      <c r="Y987" s="145">
        <f t="shared" si="294"/>
        <v>0</v>
      </c>
      <c r="Z987" s="567"/>
      <c r="AA987" s="12"/>
      <c r="AB987" s="12">
        <f t="shared" si="295"/>
        <v>0</v>
      </c>
      <c r="AC987" s="12">
        <f t="shared" si="296"/>
        <v>0</v>
      </c>
      <c r="AD987" s="34"/>
    </row>
    <row r="988" spans="1:30" ht="16" x14ac:dyDescent="0.2">
      <c r="A988" s="47"/>
      <c r="B988" s="521"/>
      <c r="C988" s="176">
        <f t="shared" si="297"/>
        <v>985</v>
      </c>
      <c r="D988" s="146"/>
      <c r="E988" s="37"/>
      <c r="F988" s="66"/>
      <c r="G988" s="11" t="str">
        <f ca="1">IF(AND(E988&lt;&gt;"",E988&lt;TODAY()),"Disponible",IFERROR(INDEX(Vehiculos[Estado Vehiculo],MATCH(F988,Vehiculos[Placa Vehiculo],0)),""))</f>
        <v/>
      </c>
      <c r="H988" s="34"/>
      <c r="I988" s="34"/>
      <c r="J988" s="34"/>
      <c r="K988" s="39"/>
      <c r="L988" s="39"/>
      <c r="M988" s="15">
        <f t="shared" si="292"/>
        <v>0</v>
      </c>
      <c r="N988" s="15">
        <f>Rutas[[#This Row],[Kms Recorridos]]</f>
        <v>0</v>
      </c>
      <c r="O988" s="39"/>
      <c r="P988" s="36"/>
      <c r="Q988" s="16">
        <f t="shared" si="293"/>
        <v>0</v>
      </c>
      <c r="R988" s="34"/>
      <c r="S988" s="34"/>
      <c r="T988" s="36"/>
      <c r="U988" s="293">
        <f>Rutas[[#This Row],[Precio x Galón ($/gal)]]*Rutas[[#This Row],[Volumen de Combustible (gal)]]</f>
        <v>0</v>
      </c>
      <c r="V988" s="36"/>
      <c r="W988" s="36"/>
      <c r="X988" s="36"/>
      <c r="Y988" s="145">
        <f t="shared" si="294"/>
        <v>0</v>
      </c>
      <c r="Z988" s="567"/>
      <c r="AA988" s="12"/>
      <c r="AB988" s="12">
        <f t="shared" si="295"/>
        <v>0</v>
      </c>
      <c r="AC988" s="12">
        <f t="shared" si="296"/>
        <v>0</v>
      </c>
      <c r="AD988" s="34"/>
    </row>
    <row r="989" spans="1:30" ht="16" x14ac:dyDescent="0.2">
      <c r="A989" s="47"/>
      <c r="B989" s="521"/>
      <c r="C989" s="176">
        <f t="shared" si="297"/>
        <v>986</v>
      </c>
      <c r="D989" s="90">
        <v>45839</v>
      </c>
      <c r="E989" s="90">
        <v>45847</v>
      </c>
      <c r="F989" s="68" t="s">
        <v>406</v>
      </c>
      <c r="G989" s="379" t="str">
        <f ca="1">IF(AND(E989&lt;&gt;"",E989&lt;TODAY()),"Disponible",IFERROR(INDEX(Vehiculos[Estado Vehiculo],MATCH(F989,Vehiculos[Placa Vehiculo],0)),""))</f>
        <v>Disponible</v>
      </c>
      <c r="H989" s="89" t="s">
        <v>242</v>
      </c>
      <c r="I989" s="89" t="s">
        <v>273</v>
      </c>
      <c r="J989" s="89"/>
      <c r="K989" s="380">
        <v>6783</v>
      </c>
      <c r="L989" s="380">
        <v>6817</v>
      </c>
      <c r="M989" s="381">
        <f t="shared" si="292"/>
        <v>34</v>
      </c>
      <c r="N989" s="381">
        <f>Rutas[[#This Row],[Kms Recorridos]]</f>
        <v>34</v>
      </c>
      <c r="O989" s="380"/>
      <c r="P989" s="92"/>
      <c r="Q989" s="382">
        <f t="shared" si="293"/>
        <v>0</v>
      </c>
      <c r="R989" s="89" t="s">
        <v>273</v>
      </c>
      <c r="S989" s="89" t="s">
        <v>102</v>
      </c>
      <c r="T989" s="92">
        <v>1.8</v>
      </c>
      <c r="U989" s="266">
        <f>Rutas[[#This Row],[Precio x Galón ($/gal)]]*Rutas[[#This Row],[Volumen de Combustible (gal)]]</f>
        <v>39.078000000000003</v>
      </c>
      <c r="V989" s="92"/>
      <c r="W989" s="92"/>
      <c r="X989" s="92"/>
      <c r="Y989" s="382">
        <f t="shared" si="294"/>
        <v>39.078000000000003</v>
      </c>
      <c r="Z989" s="567"/>
      <c r="AA989" s="382">
        <v>21.71</v>
      </c>
      <c r="AB989" s="382">
        <f t="shared" si="295"/>
        <v>1.5660985720865961</v>
      </c>
      <c r="AC989" s="382">
        <f t="shared" si="296"/>
        <v>0</v>
      </c>
      <c r="AD989" s="89"/>
    </row>
    <row r="990" spans="1:30" ht="16" x14ac:dyDescent="0.2">
      <c r="A990" s="47"/>
      <c r="B990" s="521"/>
      <c r="C990" s="176">
        <f t="shared" si="297"/>
        <v>987</v>
      </c>
      <c r="D990" s="146">
        <v>45847</v>
      </c>
      <c r="E990" s="37">
        <v>45851</v>
      </c>
      <c r="F990" s="65" t="s">
        <v>406</v>
      </c>
      <c r="G990" s="11" t="str">
        <f ca="1">IF(AND(E990&lt;&gt;"",E990&lt;TODAY()),"Disponible",IFERROR(INDEX(Vehiculos[Estado Vehiculo],MATCH(F990,Vehiculos[Placa Vehiculo],0)),""))</f>
        <v>Disponible</v>
      </c>
      <c r="H990" s="34" t="s">
        <v>237</v>
      </c>
      <c r="I990" s="34" t="s">
        <v>273</v>
      </c>
      <c r="J990" s="34"/>
      <c r="K990" s="39">
        <v>6817</v>
      </c>
      <c r="L990" s="39">
        <v>6832</v>
      </c>
      <c r="M990" s="15">
        <f t="shared" si="292"/>
        <v>15</v>
      </c>
      <c r="N990" s="15">
        <f>Rutas[[#This Row],[Kms Recorridos]]</f>
        <v>15</v>
      </c>
      <c r="O990" s="39"/>
      <c r="P990" s="36"/>
      <c r="Q990" s="16">
        <f t="shared" si="293"/>
        <v>0</v>
      </c>
      <c r="R990" s="34" t="s">
        <v>273</v>
      </c>
      <c r="S990" s="34" t="s">
        <v>102</v>
      </c>
      <c r="T990" s="36">
        <v>1.8</v>
      </c>
      <c r="U990" s="293">
        <f>Rutas[[#This Row],[Precio x Galón ($/gal)]]*Rutas[[#This Row],[Volumen de Combustible (gal)]]</f>
        <v>15.138</v>
      </c>
      <c r="V990" s="36"/>
      <c r="W990" s="36"/>
      <c r="X990" s="36"/>
      <c r="Y990" s="145">
        <f t="shared" si="294"/>
        <v>15.138</v>
      </c>
      <c r="Z990" s="567"/>
      <c r="AA990" s="12">
        <v>8.41</v>
      </c>
      <c r="AB990" s="12">
        <f t="shared" si="295"/>
        <v>1.78359096313912</v>
      </c>
      <c r="AC990" s="12">
        <f t="shared" si="296"/>
        <v>0</v>
      </c>
      <c r="AD990" s="34"/>
    </row>
    <row r="991" spans="1:30" ht="16" x14ac:dyDescent="0.2">
      <c r="A991" s="47"/>
      <c r="B991" s="521"/>
      <c r="C991" s="176">
        <f t="shared" si="297"/>
        <v>988</v>
      </c>
      <c r="D991" s="146">
        <v>45851</v>
      </c>
      <c r="E991" s="37">
        <v>45868</v>
      </c>
      <c r="F991" s="65" t="s">
        <v>406</v>
      </c>
      <c r="G991" s="11" t="str">
        <f ca="1">IF(AND(E991&lt;&gt;"",E991&lt;TODAY()),"Disponible",IFERROR(INDEX(Vehiculos[Estado Vehiculo],MATCH(F991,Vehiculos[Placa Vehiculo],0)),""))</f>
        <v>Disponible</v>
      </c>
      <c r="H991" s="34"/>
      <c r="I991" s="34" t="s">
        <v>273</v>
      </c>
      <c r="J991" s="34"/>
      <c r="K991" s="39">
        <v>6832</v>
      </c>
      <c r="L991" s="39">
        <v>6844</v>
      </c>
      <c r="M991" s="15">
        <f t="shared" si="292"/>
        <v>12</v>
      </c>
      <c r="N991" s="15">
        <f>Rutas[[#This Row],[Kms Recorridos]]</f>
        <v>12</v>
      </c>
      <c r="O991" s="39"/>
      <c r="P991" s="36"/>
      <c r="Q991" s="16">
        <f t="shared" si="293"/>
        <v>0</v>
      </c>
      <c r="R991" s="34" t="s">
        <v>273</v>
      </c>
      <c r="S991" s="34" t="s">
        <v>102</v>
      </c>
      <c r="T991" s="36">
        <v>1.8</v>
      </c>
      <c r="U991" s="293">
        <f>Rutas[[#This Row],[Precio x Galón ($/gal)]]*Rutas[[#This Row],[Volumen de Combustible (gal)]]</f>
        <v>17.873999999999999</v>
      </c>
      <c r="V991" s="36"/>
      <c r="W991" s="36"/>
      <c r="X991" s="36"/>
      <c r="Y991" s="145">
        <f t="shared" si="294"/>
        <v>17.873999999999999</v>
      </c>
      <c r="Z991" s="567"/>
      <c r="AA991" s="12">
        <v>9.93</v>
      </c>
      <c r="AB991" s="12">
        <f t="shared" si="295"/>
        <v>1.2084592145015105</v>
      </c>
      <c r="AC991" s="12">
        <f t="shared" si="296"/>
        <v>0</v>
      </c>
      <c r="AD991" s="34"/>
    </row>
    <row r="992" spans="1:30" ht="16" x14ac:dyDescent="0.2">
      <c r="A992" s="47"/>
      <c r="B992" s="521"/>
      <c r="C992" s="176">
        <f t="shared" si="297"/>
        <v>989</v>
      </c>
      <c r="D992" s="146"/>
      <c r="E992" s="37"/>
      <c r="F992" s="66"/>
      <c r="G992" s="11" t="str">
        <f ca="1">IF(AND(E992&lt;&gt;"",E992&lt;TODAY()),"Disponible",IFERROR(INDEX(Vehiculos[Estado Vehiculo],MATCH(F992,Vehiculos[Placa Vehiculo],0)),""))</f>
        <v/>
      </c>
      <c r="H992" s="34"/>
      <c r="I992" s="34"/>
      <c r="J992" s="34"/>
      <c r="K992" s="39"/>
      <c r="L992" s="39"/>
      <c r="M992" s="15">
        <f t="shared" si="292"/>
        <v>0</v>
      </c>
      <c r="N992" s="15">
        <f>Rutas[[#This Row],[Kms Recorridos]]</f>
        <v>0</v>
      </c>
      <c r="O992" s="39"/>
      <c r="P992" s="36"/>
      <c r="Q992" s="16">
        <f t="shared" si="293"/>
        <v>0</v>
      </c>
      <c r="R992" s="34"/>
      <c r="S992" s="34"/>
      <c r="T992" s="36"/>
      <c r="U992" s="293">
        <f>Rutas[[#This Row],[Precio x Galón ($/gal)]]*Rutas[[#This Row],[Volumen de Combustible (gal)]]</f>
        <v>0</v>
      </c>
      <c r="V992" s="36"/>
      <c r="W992" s="36"/>
      <c r="X992" s="36"/>
      <c r="Y992" s="145">
        <f t="shared" si="294"/>
        <v>0</v>
      </c>
      <c r="Z992" s="567"/>
      <c r="AA992" s="12"/>
      <c r="AB992" s="12">
        <f t="shared" si="295"/>
        <v>0</v>
      </c>
      <c r="AC992" s="12">
        <f t="shared" si="296"/>
        <v>0</v>
      </c>
      <c r="AD992" s="34"/>
    </row>
    <row r="993" spans="1:30" ht="16" x14ac:dyDescent="0.2">
      <c r="A993" s="47"/>
      <c r="B993" s="521"/>
      <c r="C993" s="176">
        <f t="shared" si="297"/>
        <v>990</v>
      </c>
      <c r="D993" s="90">
        <v>45839</v>
      </c>
      <c r="E993" s="90">
        <v>45848</v>
      </c>
      <c r="F993" s="68" t="s">
        <v>414</v>
      </c>
      <c r="G993" s="379" t="str">
        <f ca="1">IF(AND(E993&lt;&gt;"",E993&lt;TODAY()),"Disponible",IFERROR(INDEX(Vehiculos[Estado Vehiculo],MATCH(F993,Vehiculos[Placa Vehiculo],0)),""))</f>
        <v>Disponible</v>
      </c>
      <c r="H993" s="89" t="s">
        <v>411</v>
      </c>
      <c r="I993" s="89" t="s">
        <v>273</v>
      </c>
      <c r="J993" s="89"/>
      <c r="K993" s="380">
        <v>34</v>
      </c>
      <c r="L993" s="380">
        <v>51</v>
      </c>
      <c r="M993" s="381">
        <f t="shared" si="292"/>
        <v>17</v>
      </c>
      <c r="N993" s="381">
        <f>Rutas[[#This Row],[Kms Recorridos]]</f>
        <v>17</v>
      </c>
      <c r="O993" s="380"/>
      <c r="P993" s="92"/>
      <c r="Q993" s="382">
        <f t="shared" si="293"/>
        <v>0</v>
      </c>
      <c r="R993" s="89" t="s">
        <v>273</v>
      </c>
      <c r="S993" s="89" t="s">
        <v>102</v>
      </c>
      <c r="T993" s="92"/>
      <c r="U993" s="266">
        <f>Rutas[[#This Row],[Precio x Galón ($/gal)]]*Rutas[[#This Row],[Volumen de Combustible (gal)]]</f>
        <v>0</v>
      </c>
      <c r="V993" s="92"/>
      <c r="W993" s="92"/>
      <c r="X993" s="92"/>
      <c r="Y993" s="382">
        <f t="shared" si="294"/>
        <v>0</v>
      </c>
      <c r="Z993" s="567"/>
      <c r="AA993" s="382"/>
      <c r="AB993" s="382">
        <f t="shared" si="295"/>
        <v>0</v>
      </c>
      <c r="AC993" s="382">
        <f t="shared" si="296"/>
        <v>0</v>
      </c>
      <c r="AD993" s="89"/>
    </row>
    <row r="994" spans="1:30" ht="16" x14ac:dyDescent="0.2">
      <c r="A994" s="47"/>
      <c r="B994" s="521"/>
      <c r="C994" s="176">
        <f t="shared" si="297"/>
        <v>991</v>
      </c>
      <c r="D994" s="146">
        <v>45848</v>
      </c>
      <c r="E994" s="37">
        <v>45858</v>
      </c>
      <c r="F994" s="65" t="s">
        <v>414</v>
      </c>
      <c r="G994" s="11" t="str">
        <f ca="1">IF(AND(E994&lt;&gt;"",E994&lt;TODAY()),"Disponible",IFERROR(INDEX(Vehiculos[Estado Vehiculo],MATCH(F994,Vehiculos[Placa Vehiculo],0)),""))</f>
        <v>Disponible</v>
      </c>
      <c r="H994" s="34" t="s">
        <v>411</v>
      </c>
      <c r="I994" s="34" t="s">
        <v>273</v>
      </c>
      <c r="J994" s="34"/>
      <c r="K994" s="39">
        <v>51</v>
      </c>
      <c r="L994" s="39">
        <v>52</v>
      </c>
      <c r="M994" s="15">
        <f t="shared" si="292"/>
        <v>1</v>
      </c>
      <c r="N994" s="381">
        <f>Rutas[[#This Row],[Kms Recorridos]]</f>
        <v>1</v>
      </c>
      <c r="O994" s="39"/>
      <c r="P994" s="36"/>
      <c r="Q994" s="16">
        <f t="shared" si="293"/>
        <v>0</v>
      </c>
      <c r="R994" s="34" t="s">
        <v>273</v>
      </c>
      <c r="S994" s="34" t="s">
        <v>102</v>
      </c>
      <c r="T994" s="36"/>
      <c r="U994" s="293">
        <f>Rutas[[#This Row],[Precio x Galón ($/gal)]]*Rutas[[#This Row],[Volumen de Combustible (gal)]]</f>
        <v>0</v>
      </c>
      <c r="V994" s="36"/>
      <c r="W994" s="36"/>
      <c r="X994" s="36"/>
      <c r="Y994" s="145">
        <f t="shared" si="294"/>
        <v>0</v>
      </c>
      <c r="Z994" s="567"/>
      <c r="AA994" s="12"/>
      <c r="AB994" s="12">
        <f t="shared" si="295"/>
        <v>0</v>
      </c>
      <c r="AC994" s="12">
        <f t="shared" si="296"/>
        <v>0</v>
      </c>
      <c r="AD994" s="34"/>
    </row>
    <row r="995" spans="1:30" ht="16" x14ac:dyDescent="0.2">
      <c r="A995" s="47"/>
      <c r="B995" s="521"/>
      <c r="C995" s="176">
        <f t="shared" si="297"/>
        <v>992</v>
      </c>
      <c r="D995" s="146">
        <v>45858</v>
      </c>
      <c r="E995" s="37">
        <v>45868</v>
      </c>
      <c r="F995" s="65" t="s">
        <v>414</v>
      </c>
      <c r="G995" s="11" t="str">
        <f ca="1">IF(AND(E995&lt;&gt;"",E995&lt;TODAY()),"Disponible",IFERROR(INDEX(Vehiculos[Estado Vehiculo],MATCH(F995,Vehiculos[Placa Vehiculo],0)),""))</f>
        <v>Disponible</v>
      </c>
      <c r="H995" s="34" t="s">
        <v>411</v>
      </c>
      <c r="I995" s="34" t="s">
        <v>273</v>
      </c>
      <c r="J995" s="34"/>
      <c r="K995" s="39">
        <v>52</v>
      </c>
      <c r="L995" s="39">
        <v>56</v>
      </c>
      <c r="M995" s="15">
        <f t="shared" si="292"/>
        <v>4</v>
      </c>
      <c r="N995" s="381">
        <f>Rutas[[#This Row],[Kms Recorridos]]</f>
        <v>4</v>
      </c>
      <c r="O995" s="39"/>
      <c r="P995" s="36"/>
      <c r="Q995" s="16">
        <f t="shared" si="293"/>
        <v>0</v>
      </c>
      <c r="R995" s="34" t="s">
        <v>273</v>
      </c>
      <c r="S995" s="34" t="s">
        <v>102</v>
      </c>
      <c r="T995" s="36"/>
      <c r="U995" s="293">
        <f>Rutas[[#This Row],[Precio x Galón ($/gal)]]*Rutas[[#This Row],[Volumen de Combustible (gal)]]</f>
        <v>0</v>
      </c>
      <c r="V995" s="36"/>
      <c r="W995" s="36"/>
      <c r="X995" s="36"/>
      <c r="Y995" s="145">
        <f t="shared" si="294"/>
        <v>0</v>
      </c>
      <c r="Z995" s="567"/>
      <c r="AA995" s="12"/>
      <c r="AB995" s="12">
        <f t="shared" si="295"/>
        <v>0</v>
      </c>
      <c r="AC995" s="12">
        <f t="shared" si="296"/>
        <v>0</v>
      </c>
      <c r="AD995" s="34"/>
    </row>
    <row r="996" spans="1:30" ht="17" thickBot="1" x14ac:dyDescent="0.25">
      <c r="A996" s="174"/>
      <c r="B996" s="525"/>
      <c r="C996" s="176">
        <f t="shared" si="297"/>
        <v>993</v>
      </c>
      <c r="D996" s="156"/>
      <c r="E996" s="157"/>
      <c r="F996" s="436"/>
      <c r="G996" s="159" t="str">
        <f ca="1">IF(AND(E996&lt;&gt;"",E996&lt;TODAY()),"Disponible",IFERROR(INDEX(Vehiculos[Estado Vehiculo],MATCH(F996,Vehiculos[Placa Vehiculo],0)),""))</f>
        <v/>
      </c>
      <c r="H996" s="160"/>
      <c r="I996" s="160"/>
      <c r="J996" s="160"/>
      <c r="K996" s="161"/>
      <c r="L996" s="161"/>
      <c r="M996" s="162">
        <f t="shared" si="292"/>
        <v>0</v>
      </c>
      <c r="N996" s="162"/>
      <c r="O996" s="161"/>
      <c r="P996" s="163"/>
      <c r="Q996" s="164">
        <f t="shared" si="293"/>
        <v>0</v>
      </c>
      <c r="R996" s="160"/>
      <c r="S996" s="160"/>
      <c r="T996" s="163"/>
      <c r="U996" s="407">
        <f>Rutas[[#This Row],[Precio x Galón ($/gal)]]*Rutas[[#This Row],[Volumen de Combustible (gal)]]</f>
        <v>0</v>
      </c>
      <c r="V996" s="163"/>
      <c r="W996" s="163"/>
      <c r="X996" s="163"/>
      <c r="Y996" s="165">
        <f t="shared" si="294"/>
        <v>0</v>
      </c>
      <c r="Z996" s="568"/>
      <c r="AA996" s="166"/>
      <c r="AB996" s="166">
        <f t="shared" si="295"/>
        <v>0</v>
      </c>
      <c r="AC996" s="166">
        <f t="shared" si="296"/>
        <v>0</v>
      </c>
      <c r="AD996" s="160"/>
    </row>
    <row r="997" spans="1:30" ht="17" thickTop="1" x14ac:dyDescent="0.2">
      <c r="A997" s="47"/>
      <c r="B997" s="383"/>
      <c r="C997" s="176">
        <f t="shared" si="297"/>
        <v>994</v>
      </c>
      <c r="D997" s="146"/>
      <c r="E997" s="37"/>
      <c r="F997" s="65"/>
      <c r="G997" s="11" t="str">
        <f ca="1">IF(AND(E997&lt;&gt;"",E997&lt;TODAY()),"Disponible",IFERROR(INDEX(Vehiculos[Estado Vehiculo],MATCH(F997,Vehiculos[Placa Vehiculo],0)),""))</f>
        <v/>
      </c>
      <c r="H997" s="34"/>
      <c r="I997" s="34"/>
      <c r="J997" s="34"/>
      <c r="K997" s="39"/>
      <c r="L997" s="39"/>
      <c r="M997" s="15">
        <f t="shared" si="292"/>
        <v>0</v>
      </c>
      <c r="N997" s="15"/>
      <c r="O997" s="39"/>
      <c r="P997" s="36"/>
      <c r="Q997" s="16">
        <f t="shared" si="293"/>
        <v>0</v>
      </c>
      <c r="R997" s="34"/>
      <c r="S997" s="34"/>
      <c r="T997" s="36"/>
      <c r="U997" s="293">
        <f>Rutas[[#This Row],[Precio x Galón ($/gal)]]*Rutas[[#This Row],[Volumen de Combustible (gal)]]</f>
        <v>0</v>
      </c>
      <c r="V997" s="36"/>
      <c r="W997" s="36"/>
      <c r="X997" s="36"/>
      <c r="Y997" s="145">
        <f t="shared" si="294"/>
        <v>0</v>
      </c>
      <c r="Z997" s="567"/>
      <c r="AA997" s="12"/>
      <c r="AB997" s="12">
        <f t="shared" si="295"/>
        <v>0</v>
      </c>
      <c r="AC997" s="12">
        <f t="shared" si="296"/>
        <v>0</v>
      </c>
      <c r="AD997" s="34"/>
    </row>
    <row r="998" spans="1:30" ht="16" x14ac:dyDescent="0.2">
      <c r="A998" s="47"/>
      <c r="B998" s="383"/>
      <c r="C998" s="176">
        <f t="shared" si="297"/>
        <v>995</v>
      </c>
      <c r="D998" s="90">
        <v>45870</v>
      </c>
      <c r="E998" s="90">
        <v>45871</v>
      </c>
      <c r="F998" s="68" t="s">
        <v>204</v>
      </c>
      <c r="G998" s="379" t="str">
        <f ca="1">IF(AND(E998&lt;&gt;"",E998&lt;TODAY()),"Disponible",IFERROR(INDEX(Vehiculos[Estado Vehiculo],MATCH(F998,Vehiculos[Placa Vehiculo],0)),""))</f>
        <v>Disponible</v>
      </c>
      <c r="H998" s="89" t="s">
        <v>242</v>
      </c>
      <c r="I998" s="89" t="s">
        <v>273</v>
      </c>
      <c r="J998" s="89" t="s">
        <v>282</v>
      </c>
      <c r="K998" s="380">
        <v>33994</v>
      </c>
      <c r="L998" s="380">
        <v>34170</v>
      </c>
      <c r="M998" s="381">
        <f t="shared" si="292"/>
        <v>176</v>
      </c>
      <c r="N998" s="381"/>
      <c r="O998" s="380"/>
      <c r="P998" s="92"/>
      <c r="Q998" s="382">
        <f t="shared" si="293"/>
        <v>0</v>
      </c>
      <c r="R998" s="89" t="s">
        <v>339</v>
      </c>
      <c r="S998" s="89" t="s">
        <v>102</v>
      </c>
      <c r="T998" s="92">
        <v>1.8</v>
      </c>
      <c r="U998" s="266">
        <f>Rutas[[#This Row],[Precio x Galón ($/gal)]]*Rutas[[#This Row],[Volumen de Combustible (gal)]]</f>
        <v>217.92599999999999</v>
      </c>
      <c r="V998" s="92"/>
      <c r="W998" s="92"/>
      <c r="X998" s="92"/>
      <c r="Y998" s="382">
        <f t="shared" si="294"/>
        <v>217.92599999999999</v>
      </c>
      <c r="Z998" s="567"/>
      <c r="AA998" s="382">
        <v>121.07</v>
      </c>
      <c r="AB998" s="382">
        <f t="shared" si="295"/>
        <v>1.4537044684893037</v>
      </c>
      <c r="AC998" s="382">
        <f t="shared" si="296"/>
        <v>0</v>
      </c>
      <c r="AD998" s="89"/>
    </row>
    <row r="999" spans="1:30" ht="16" x14ac:dyDescent="0.2">
      <c r="A999" s="47"/>
      <c r="B999" s="383"/>
      <c r="C999" s="176">
        <f t="shared" si="297"/>
        <v>996</v>
      </c>
      <c r="D999" s="146">
        <v>45506</v>
      </c>
      <c r="E999" s="37">
        <v>45878</v>
      </c>
      <c r="F999" s="65" t="s">
        <v>204</v>
      </c>
      <c r="G999" s="11" t="str">
        <f ca="1">IF(AND(E999&lt;&gt;"",E999&lt;TODAY()),"Disponible",IFERROR(INDEX(Vehiculos[Estado Vehiculo],MATCH(F999,Vehiculos[Placa Vehiculo],0)),""))</f>
        <v>Disponible</v>
      </c>
      <c r="H999" s="34" t="s">
        <v>242</v>
      </c>
      <c r="I999" s="34" t="s">
        <v>273</v>
      </c>
      <c r="J999" s="34" t="s">
        <v>282</v>
      </c>
      <c r="K999" s="39">
        <v>34170</v>
      </c>
      <c r="L999" s="39">
        <v>34680</v>
      </c>
      <c r="M999" s="15">
        <f t="shared" si="292"/>
        <v>510</v>
      </c>
      <c r="N999" s="15"/>
      <c r="O999" s="39"/>
      <c r="P999" s="36"/>
      <c r="Q999" s="16">
        <f t="shared" si="293"/>
        <v>0</v>
      </c>
      <c r="R999" s="34" t="s">
        <v>339</v>
      </c>
      <c r="S999" s="34" t="s">
        <v>102</v>
      </c>
      <c r="T999" s="36">
        <v>1.8</v>
      </c>
      <c r="U999" s="293">
        <f>Rutas[[#This Row],[Precio x Galón ($/gal)]]*Rutas[[#This Row],[Volumen de Combustible (gal)]]</f>
        <v>160.29</v>
      </c>
      <c r="V999" s="36"/>
      <c r="W999" s="36"/>
      <c r="X999" s="36"/>
      <c r="Y999" s="145">
        <f t="shared" si="294"/>
        <v>160.29</v>
      </c>
      <c r="Z999" s="567"/>
      <c r="AA999" s="12">
        <v>89.05</v>
      </c>
      <c r="AB999" s="12">
        <f t="shared" si="295"/>
        <v>5.7271195957327343</v>
      </c>
      <c r="AC999" s="12">
        <f t="shared" si="296"/>
        <v>0</v>
      </c>
      <c r="AD999" s="34"/>
    </row>
    <row r="1000" spans="1:30" ht="16" x14ac:dyDescent="0.2">
      <c r="A1000" s="47"/>
      <c r="B1000" s="383"/>
      <c r="C1000" s="176">
        <f t="shared" si="297"/>
        <v>997</v>
      </c>
      <c r="D1000" s="454">
        <v>45878</v>
      </c>
      <c r="E1000" s="37">
        <v>45886</v>
      </c>
      <c r="F1000" s="65" t="s">
        <v>204</v>
      </c>
      <c r="G1000" s="11" t="str">
        <f ca="1">IF(AND(E1000&lt;&gt;"",E1000&lt;TODAY()),"Disponible",IFERROR(INDEX(Vehiculos[Estado Vehiculo],MATCH(F1000,Vehiculos[Placa Vehiculo],0)),""))</f>
        <v>Disponible</v>
      </c>
      <c r="H1000" s="34" t="s">
        <v>242</v>
      </c>
      <c r="I1000" s="34" t="s">
        <v>273</v>
      </c>
      <c r="J1000" s="34" t="s">
        <v>282</v>
      </c>
      <c r="K1000" s="39">
        <v>34680</v>
      </c>
      <c r="L1000" s="39">
        <v>35290</v>
      </c>
      <c r="M1000" s="15">
        <f>L1000-K1000</f>
        <v>610</v>
      </c>
      <c r="N1000" s="15"/>
      <c r="O1000" s="39"/>
      <c r="P1000" s="36"/>
      <c r="Q1000" s="16">
        <f>M1000*P1000</f>
        <v>0</v>
      </c>
      <c r="R1000" s="34" t="s">
        <v>339</v>
      </c>
      <c r="S1000" s="34" t="s">
        <v>102</v>
      </c>
      <c r="T1000" s="36">
        <v>1.8</v>
      </c>
      <c r="U1000" s="293">
        <f>Rutas[[#This Row],[Precio x Galón ($/gal)]]*Rutas[[#This Row],[Volumen de Combustible (gal)]]</f>
        <v>180.32400000000001</v>
      </c>
      <c r="V1000" s="36"/>
      <c r="W1000" s="36"/>
      <c r="X1000" s="36"/>
      <c r="Y1000" s="145">
        <f>U1000+SUM(V1000:X1000)</f>
        <v>180.32400000000001</v>
      </c>
      <c r="Z1000" s="567"/>
      <c r="AA1000" s="12">
        <v>100.18</v>
      </c>
      <c r="AB1000" s="12">
        <f>IFERROR(M1000/AA1000,0)</f>
        <v>6.0890397284887197</v>
      </c>
      <c r="AC1000" s="12">
        <f>IFERROR(Q1000/M1000,0)</f>
        <v>0</v>
      </c>
      <c r="AD1000" s="34"/>
    </row>
    <row r="1001" spans="1:30" ht="16" x14ac:dyDescent="0.2">
      <c r="A1001" s="47"/>
      <c r="B1001" s="383"/>
      <c r="C1001" s="176">
        <f t="shared" si="297"/>
        <v>998</v>
      </c>
      <c r="D1001" s="454">
        <v>45886</v>
      </c>
      <c r="E1001" s="37">
        <v>45893</v>
      </c>
      <c r="F1001" s="65" t="s">
        <v>204</v>
      </c>
      <c r="G1001" s="11" t="str">
        <f ca="1">IF(AND(E1001&lt;&gt;"",E1001&lt;TODAY()),"Disponible",IFERROR(INDEX(Vehiculos[Estado Vehiculo],MATCH(F1001,Vehiculos[Placa Vehiculo],0)),""))</f>
        <v>Disponible</v>
      </c>
      <c r="H1001" s="34" t="s">
        <v>242</v>
      </c>
      <c r="I1001" s="34" t="s">
        <v>273</v>
      </c>
      <c r="J1001" s="34" t="s">
        <v>282</v>
      </c>
      <c r="K1001" s="39">
        <v>35290</v>
      </c>
      <c r="L1001" s="39">
        <v>35769</v>
      </c>
      <c r="M1001" s="15">
        <f>L1001-K1001</f>
        <v>479</v>
      </c>
      <c r="N1001" s="15"/>
      <c r="O1001" s="39"/>
      <c r="P1001" s="36"/>
      <c r="Q1001" s="16">
        <f>M1001*P1001</f>
        <v>0</v>
      </c>
      <c r="R1001" s="34" t="s">
        <v>339</v>
      </c>
      <c r="S1001" s="34" t="s">
        <v>102</v>
      </c>
      <c r="T1001" s="36">
        <v>1.8</v>
      </c>
      <c r="U1001" s="293">
        <f>Rutas[[#This Row],[Precio x Galón ($/gal)]]*Rutas[[#This Row],[Volumen de Combustible (gal)]]</f>
        <v>144.30600000000001</v>
      </c>
      <c r="V1001" s="36"/>
      <c r="W1001" s="36"/>
      <c r="X1001" s="36"/>
      <c r="Y1001" s="145">
        <f>U1001+SUM(V1001:X1001)</f>
        <v>144.30600000000001</v>
      </c>
      <c r="Z1001" s="567"/>
      <c r="AA1001" s="12">
        <v>80.17</v>
      </c>
      <c r="AB1001" s="12">
        <f>IFERROR(M1001/AA1001,0)</f>
        <v>5.9748035424722463</v>
      </c>
      <c r="AC1001" s="12">
        <f>IFERROR(Q1001/M1001,0)</f>
        <v>0</v>
      </c>
      <c r="AD1001" s="34"/>
    </row>
    <row r="1002" spans="1:30" ht="16" x14ac:dyDescent="0.2">
      <c r="A1002" s="47"/>
      <c r="B1002" s="383"/>
      <c r="C1002" s="176">
        <f t="shared" si="297"/>
        <v>999</v>
      </c>
      <c r="D1002" s="146">
        <v>45893</v>
      </c>
      <c r="E1002" s="37">
        <v>45898</v>
      </c>
      <c r="F1002" s="65" t="s">
        <v>204</v>
      </c>
      <c r="G1002" s="11" t="str">
        <f ca="1">IF(AND(E1002&lt;&gt;"",E1002&lt;TODAY()),"Disponible",IFERROR(INDEX(Vehiculos[Estado Vehiculo],MATCH(F1002,Vehiculos[Placa Vehiculo],0)),""))</f>
        <v>Disponible</v>
      </c>
      <c r="H1002" s="34" t="s">
        <v>242</v>
      </c>
      <c r="I1002" s="34" t="s">
        <v>273</v>
      </c>
      <c r="J1002" s="34" t="s">
        <v>282</v>
      </c>
      <c r="K1002" s="39">
        <v>35769</v>
      </c>
      <c r="L1002" s="39">
        <v>36202</v>
      </c>
      <c r="M1002" s="15">
        <f t="shared" si="292"/>
        <v>433</v>
      </c>
      <c r="N1002" s="15"/>
      <c r="O1002" s="39"/>
      <c r="P1002" s="36"/>
      <c r="Q1002" s="16">
        <f t="shared" si="293"/>
        <v>0</v>
      </c>
      <c r="R1002" s="34" t="s">
        <v>339</v>
      </c>
      <c r="S1002" s="34" t="s">
        <v>102</v>
      </c>
      <c r="T1002" s="36">
        <v>1.8</v>
      </c>
      <c r="U1002" s="293">
        <f>Rutas[[#This Row],[Precio x Galón ($/gal)]]*Rutas[[#This Row],[Volumen de Combustible (gal)]]</f>
        <v>150.26400000000001</v>
      </c>
      <c r="V1002" s="36"/>
      <c r="W1002" s="36"/>
      <c r="X1002" s="36"/>
      <c r="Y1002" s="145">
        <f t="shared" si="294"/>
        <v>150.26400000000001</v>
      </c>
      <c r="Z1002" s="567"/>
      <c r="AA1002" s="12">
        <v>83.48</v>
      </c>
      <c r="AB1002" s="12">
        <f t="shared" si="295"/>
        <v>5.1868711068519406</v>
      </c>
      <c r="AC1002" s="12">
        <f t="shared" si="296"/>
        <v>0</v>
      </c>
      <c r="AD1002" s="34"/>
    </row>
    <row r="1003" spans="1:30" ht="16" x14ac:dyDescent="0.2">
      <c r="A1003" s="47"/>
      <c r="B1003" s="383"/>
      <c r="C1003" s="176">
        <f t="shared" si="297"/>
        <v>1000</v>
      </c>
      <c r="D1003" s="454">
        <v>45898</v>
      </c>
      <c r="E1003" s="37">
        <v>45900</v>
      </c>
      <c r="F1003" s="65" t="s">
        <v>204</v>
      </c>
      <c r="G1003" s="11" t="str">
        <f ca="1">IF(AND(E1003&lt;&gt;"",E1003&lt;TODAY()),"Disponible",IFERROR(INDEX(Vehiculos[Estado Vehiculo],MATCH(F1003,Vehiculos[Placa Vehiculo],0)),""))</f>
        <v>Disponible</v>
      </c>
      <c r="H1003" s="34"/>
      <c r="I1003" s="34" t="s">
        <v>273</v>
      </c>
      <c r="J1003" s="34" t="s">
        <v>282</v>
      </c>
      <c r="K1003" s="39">
        <v>36202</v>
      </c>
      <c r="L1003" s="39">
        <v>36327</v>
      </c>
      <c r="M1003" s="15">
        <f>L1003-K1003</f>
        <v>125</v>
      </c>
      <c r="N1003" s="452">
        <v>310</v>
      </c>
      <c r="O1003" s="39"/>
      <c r="P1003" s="36"/>
      <c r="Q1003" s="16">
        <f>M1003*P1003</f>
        <v>0</v>
      </c>
      <c r="R1003" s="34"/>
      <c r="S1003" s="34"/>
      <c r="T1003" s="36"/>
      <c r="U1003" s="293"/>
      <c r="V1003" s="36"/>
      <c r="W1003" s="36"/>
      <c r="X1003" s="36"/>
      <c r="Y1003" s="145">
        <f>U1003+SUM(V1003:X1003)</f>
        <v>0</v>
      </c>
      <c r="Z1003" s="567"/>
      <c r="AA1003" s="12"/>
      <c r="AB1003" s="12">
        <f>IFERROR(M1003/AA1003,0)</f>
        <v>0</v>
      </c>
      <c r="AC1003" s="12">
        <f>IFERROR(Q1003/M1003,0)</f>
        <v>0</v>
      </c>
      <c r="AD1003" s="34"/>
    </row>
    <row r="1004" spans="1:30" ht="16" x14ac:dyDescent="0.2">
      <c r="A1004" s="47"/>
      <c r="B1004" s="383"/>
      <c r="C1004" s="176">
        <f t="shared" si="297"/>
        <v>1001</v>
      </c>
      <c r="D1004" s="146"/>
      <c r="E1004" s="37"/>
      <c r="F1004" s="65"/>
      <c r="G1004" s="11" t="str">
        <f ca="1">IF(AND(E1004&lt;&gt;"",E1004&lt;TODAY()),"Disponible",IFERROR(INDEX(Vehiculos[Estado Vehiculo],MATCH(F1004,Vehiculos[Placa Vehiculo],0)),""))</f>
        <v/>
      </c>
      <c r="H1004" s="34"/>
      <c r="I1004" s="34"/>
      <c r="J1004" s="34"/>
      <c r="K1004" s="39"/>
      <c r="L1004" s="39"/>
      <c r="M1004" s="15">
        <f t="shared" ref="M1004:M1116" si="298">L1004-K1004</f>
        <v>0</v>
      </c>
      <c r="N1004" s="15"/>
      <c r="O1004" s="39"/>
      <c r="P1004" s="36"/>
      <c r="Q1004" s="16">
        <f t="shared" ref="Q1004:Q1116" si="299">M1004*P1004</f>
        <v>0</v>
      </c>
      <c r="R1004" s="34"/>
      <c r="S1004" s="34"/>
      <c r="T1004" s="36"/>
      <c r="U1004" s="293">
        <f>Rutas[[#This Row],[Precio x Galón ($/gal)]]*Rutas[[#This Row],[Volumen de Combustible (gal)]]</f>
        <v>0</v>
      </c>
      <c r="V1004" s="36"/>
      <c r="W1004" s="36"/>
      <c r="X1004" s="36"/>
      <c r="Y1004" s="145">
        <f t="shared" ref="Y1004:Y1116" si="300">U1004+SUM(V1004:X1004)</f>
        <v>0</v>
      </c>
      <c r="Z1004" s="567"/>
      <c r="AA1004" s="12"/>
      <c r="AB1004" s="12">
        <f t="shared" ref="AB1004:AB1116" si="301">IFERROR(M1004/AA1004,0)</f>
        <v>0</v>
      </c>
      <c r="AC1004" s="12">
        <f t="shared" ref="AC1004:AC1116" si="302">IFERROR(Q1004/M1004,0)</f>
        <v>0</v>
      </c>
      <c r="AD1004" s="34"/>
    </row>
    <row r="1005" spans="1:30" ht="16" x14ac:dyDescent="0.2">
      <c r="A1005" s="47"/>
      <c r="B1005" s="383"/>
      <c r="C1005" s="176">
        <f t="shared" si="297"/>
        <v>1002</v>
      </c>
      <c r="D1005" s="90">
        <v>45870</v>
      </c>
      <c r="E1005" s="90">
        <v>45871</v>
      </c>
      <c r="F1005" s="68" t="s">
        <v>207</v>
      </c>
      <c r="G1005" s="379" t="str">
        <f ca="1">IF(AND(E1005&lt;&gt;"",E1005&lt;TODAY()),"Disponible",IFERROR(INDEX(Vehiculos[Estado Vehiculo],MATCH(F1005,Vehiculos[Placa Vehiculo],0)),""))</f>
        <v>Disponible</v>
      </c>
      <c r="H1005" s="89" t="s">
        <v>236</v>
      </c>
      <c r="I1005" s="89" t="s">
        <v>273</v>
      </c>
      <c r="J1005" s="89" t="s">
        <v>274</v>
      </c>
      <c r="K1005" s="380">
        <v>57307</v>
      </c>
      <c r="L1005" s="380">
        <v>57639</v>
      </c>
      <c r="M1005" s="381">
        <f t="shared" si="298"/>
        <v>332</v>
      </c>
      <c r="N1005" s="381"/>
      <c r="O1005" s="380"/>
      <c r="P1005" s="92"/>
      <c r="Q1005" s="382">
        <f t="shared" si="299"/>
        <v>0</v>
      </c>
      <c r="R1005" s="89" t="s">
        <v>273</v>
      </c>
      <c r="S1005" s="89" t="s">
        <v>102</v>
      </c>
      <c r="T1005" s="92">
        <v>1.8</v>
      </c>
      <c r="U1005" s="266">
        <f>Rutas[[#This Row],[Precio x Galón ($/gal)]]*Rutas[[#This Row],[Volumen de Combustible (gal)]]</f>
        <v>186.28199999999998</v>
      </c>
      <c r="V1005" s="92"/>
      <c r="W1005" s="92"/>
      <c r="X1005" s="92"/>
      <c r="Y1005" s="382">
        <f t="shared" si="300"/>
        <v>186.28199999999998</v>
      </c>
      <c r="Z1005" s="567"/>
      <c r="AA1005" s="382">
        <v>103.49</v>
      </c>
      <c r="AB1005" s="382">
        <f t="shared" si="301"/>
        <v>3.2080394240989469</v>
      </c>
      <c r="AC1005" s="382">
        <f t="shared" si="302"/>
        <v>0</v>
      </c>
      <c r="AD1005" s="89"/>
    </row>
    <row r="1006" spans="1:30" ht="16" x14ac:dyDescent="0.2">
      <c r="A1006" s="47"/>
      <c r="B1006" s="383"/>
      <c r="C1006" s="176">
        <f t="shared" si="297"/>
        <v>1003</v>
      </c>
      <c r="D1006" s="146">
        <v>45871</v>
      </c>
      <c r="E1006" s="37">
        <v>45873</v>
      </c>
      <c r="F1006" s="65" t="s">
        <v>207</v>
      </c>
      <c r="G1006" s="11" t="str">
        <f ca="1">IF(AND(E1006&lt;&gt;"",E1006&lt;TODAY()),"Disponible",IFERROR(INDEX(Vehiculos[Estado Vehiculo],MATCH(F1006,Vehiculos[Placa Vehiculo],0)),""))</f>
        <v>Disponible</v>
      </c>
      <c r="H1006" s="34"/>
      <c r="I1006" s="34" t="s">
        <v>273</v>
      </c>
      <c r="J1006" s="34" t="s">
        <v>274</v>
      </c>
      <c r="K1006" s="39">
        <v>57639</v>
      </c>
      <c r="L1006" s="39">
        <v>58128</v>
      </c>
      <c r="M1006" s="15">
        <f t="shared" si="298"/>
        <v>489</v>
      </c>
      <c r="N1006" s="15"/>
      <c r="O1006" s="39"/>
      <c r="P1006" s="36"/>
      <c r="Q1006" s="16">
        <f t="shared" si="299"/>
        <v>0</v>
      </c>
      <c r="R1006" s="34" t="s">
        <v>339</v>
      </c>
      <c r="S1006" s="34" t="s">
        <v>102</v>
      </c>
      <c r="T1006" s="36">
        <v>1.8</v>
      </c>
      <c r="U1006" s="293">
        <f>Rutas[[#This Row],[Precio x Galón ($/gal)]]*Rutas[[#This Row],[Volumen de Combustible (gal)]]</f>
        <v>199.8</v>
      </c>
      <c r="V1006" s="36"/>
      <c r="W1006" s="36"/>
      <c r="X1006" s="36"/>
      <c r="Y1006" s="145">
        <f t="shared" si="300"/>
        <v>199.8</v>
      </c>
      <c r="Z1006" s="567"/>
      <c r="AA1006" s="12">
        <v>111</v>
      </c>
      <c r="AB1006" s="12">
        <f t="shared" si="301"/>
        <v>4.4054054054054053</v>
      </c>
      <c r="AC1006" s="12">
        <f t="shared" si="302"/>
        <v>0</v>
      </c>
      <c r="AD1006" s="34"/>
    </row>
    <row r="1007" spans="1:30" ht="16" x14ac:dyDescent="0.2">
      <c r="A1007" s="47"/>
      <c r="B1007" s="383"/>
      <c r="C1007" s="176">
        <f t="shared" si="297"/>
        <v>1004</v>
      </c>
      <c r="D1007" s="454">
        <v>45873</v>
      </c>
      <c r="E1007" s="37">
        <v>45877</v>
      </c>
      <c r="F1007" s="65" t="s">
        <v>207</v>
      </c>
      <c r="G1007" s="11" t="str">
        <f ca="1">IF(AND(E1007&lt;&gt;"",E1007&lt;TODAY()),"Disponible",IFERROR(INDEX(Vehiculos[Estado Vehiculo],MATCH(F1007,Vehiculos[Placa Vehiculo],0)),""))</f>
        <v>Disponible</v>
      </c>
      <c r="H1007" s="34" t="s">
        <v>245</v>
      </c>
      <c r="I1007" s="34" t="s">
        <v>273</v>
      </c>
      <c r="J1007" s="34" t="s">
        <v>274</v>
      </c>
      <c r="K1007" s="39">
        <v>58128</v>
      </c>
      <c r="L1007" s="39">
        <v>58865</v>
      </c>
      <c r="M1007" s="15">
        <f>L1007-K1007</f>
        <v>737</v>
      </c>
      <c r="N1007" s="15"/>
      <c r="O1007" s="39"/>
      <c r="P1007" s="36"/>
      <c r="Q1007" s="16">
        <f>M1007*P1007</f>
        <v>0</v>
      </c>
      <c r="R1007" s="34" t="s">
        <v>339</v>
      </c>
      <c r="S1007" s="34" t="s">
        <v>102</v>
      </c>
      <c r="T1007" s="36">
        <v>1.8</v>
      </c>
      <c r="U1007" s="293">
        <f>Rutas[[#This Row],[Precio x Galón ($/gal)]]*Rutas[[#This Row],[Volumen de Combustible (gal)]]</f>
        <v>287.11799999999999</v>
      </c>
      <c r="V1007" s="36"/>
      <c r="W1007" s="36"/>
      <c r="X1007" s="36"/>
      <c r="Y1007" s="145">
        <f>U1007+SUM(V1007:X1007)</f>
        <v>287.11799999999999</v>
      </c>
      <c r="Z1007" s="567"/>
      <c r="AA1007" s="12">
        <v>159.51</v>
      </c>
      <c r="AB1007" s="12">
        <f>IFERROR(M1007/AA1007,0)</f>
        <v>4.6203999749232025</v>
      </c>
      <c r="AC1007" s="12">
        <f>IFERROR(Q1007/M1007,0)</f>
        <v>0</v>
      </c>
      <c r="AD1007" s="34"/>
    </row>
    <row r="1008" spans="1:30" ht="16" x14ac:dyDescent="0.2">
      <c r="A1008" s="47"/>
      <c r="B1008" s="383"/>
      <c r="C1008" s="176">
        <f t="shared" si="297"/>
        <v>1005</v>
      </c>
      <c r="D1008" s="146">
        <v>45877</v>
      </c>
      <c r="E1008" s="37">
        <v>45881</v>
      </c>
      <c r="F1008" s="65" t="s">
        <v>207</v>
      </c>
      <c r="G1008" s="11" t="str">
        <f ca="1">IF(AND(E1008&lt;&gt;"",E1008&lt;TODAY()),"Disponible",IFERROR(INDEX(Vehiculos[Estado Vehiculo],MATCH(F1008,Vehiculos[Placa Vehiculo],0)),""))</f>
        <v>Disponible</v>
      </c>
      <c r="H1008" s="34" t="s">
        <v>305</v>
      </c>
      <c r="I1008" s="34" t="s">
        <v>273</v>
      </c>
      <c r="J1008" s="34" t="s">
        <v>274</v>
      </c>
      <c r="K1008" s="39">
        <v>58865</v>
      </c>
      <c r="L1008" s="39">
        <v>59247</v>
      </c>
      <c r="M1008" s="15">
        <f t="shared" si="298"/>
        <v>382</v>
      </c>
      <c r="N1008" s="452">
        <v>504</v>
      </c>
      <c r="O1008" s="39"/>
      <c r="P1008" s="36"/>
      <c r="Q1008" s="16">
        <f t="shared" si="299"/>
        <v>0</v>
      </c>
      <c r="R1008" s="34" t="s">
        <v>339</v>
      </c>
      <c r="S1008" s="34" t="s">
        <v>102</v>
      </c>
      <c r="T1008" s="36">
        <v>1.8</v>
      </c>
      <c r="U1008" s="293">
        <f>Rutas[[#This Row],[Precio x Galón ($/gal)]]*Rutas[[#This Row],[Volumen de Combustible (gal)]]</f>
        <v>183.16800000000001</v>
      </c>
      <c r="V1008" s="36"/>
      <c r="W1008" s="36"/>
      <c r="X1008" s="36"/>
      <c r="Y1008" s="145">
        <f t="shared" si="300"/>
        <v>183.16800000000001</v>
      </c>
      <c r="Z1008" s="567"/>
      <c r="AA1008" s="12">
        <v>101.76</v>
      </c>
      <c r="AB1008" s="12">
        <f t="shared" si="301"/>
        <v>3.7539308176100628</v>
      </c>
      <c r="AC1008" s="12">
        <f t="shared" si="302"/>
        <v>0</v>
      </c>
      <c r="AD1008" s="34"/>
    </row>
    <row r="1009" spans="1:30" ht="16" x14ac:dyDescent="0.2">
      <c r="A1009" s="47"/>
      <c r="B1009" s="383"/>
      <c r="C1009" s="176">
        <f t="shared" si="297"/>
        <v>1006</v>
      </c>
      <c r="D1009" s="454"/>
      <c r="E1009" s="37"/>
      <c r="F1009" s="65"/>
      <c r="G1009" s="11" t="str">
        <f ca="1">IF(AND(E1009&lt;&gt;"",E1009&lt;TODAY()),"Disponible",IFERROR(INDEX(Vehiculos[Estado Vehiculo],MATCH(F1009,Vehiculos[Placa Vehiculo],0)),""))</f>
        <v/>
      </c>
      <c r="H1009" s="34"/>
      <c r="I1009" s="34"/>
      <c r="J1009" s="34"/>
      <c r="K1009" s="39"/>
      <c r="L1009" s="39"/>
      <c r="M1009" s="15">
        <f>L1009-K1009</f>
        <v>0</v>
      </c>
      <c r="N1009" s="15"/>
      <c r="O1009" s="39"/>
      <c r="P1009" s="36"/>
      <c r="Q1009" s="16">
        <f>M1009*P1009</f>
        <v>0</v>
      </c>
      <c r="R1009" s="34"/>
      <c r="S1009" s="34"/>
      <c r="T1009" s="36"/>
      <c r="U1009" s="293"/>
      <c r="V1009" s="36"/>
      <c r="W1009" s="36"/>
      <c r="X1009" s="36"/>
      <c r="Y1009" s="145">
        <f>U1009+SUM(V1009:X1009)</f>
        <v>0</v>
      </c>
      <c r="Z1009" s="567"/>
      <c r="AA1009" s="12"/>
      <c r="AB1009" s="12">
        <f>IFERROR(M1009/AA1009,0)</f>
        <v>0</v>
      </c>
      <c r="AC1009" s="12">
        <f>IFERROR(Q1009/M1009,0)</f>
        <v>0</v>
      </c>
      <c r="AD1009" s="34"/>
    </row>
    <row r="1010" spans="1:30" ht="16" x14ac:dyDescent="0.2">
      <c r="A1010" s="47"/>
      <c r="B1010" s="383"/>
      <c r="C1010" s="176">
        <f t="shared" si="297"/>
        <v>1007</v>
      </c>
      <c r="D1010" s="146"/>
      <c r="E1010" s="37"/>
      <c r="F1010" s="65"/>
      <c r="G1010" s="11" t="str">
        <f ca="1">IF(AND(E1010&lt;&gt;"",E1010&lt;TODAY()),"Disponible",IFERROR(INDEX(Vehiculos[Estado Vehiculo],MATCH(F1010,Vehiculos[Placa Vehiculo],0)),""))</f>
        <v/>
      </c>
      <c r="H1010" s="34"/>
      <c r="I1010" s="34"/>
      <c r="J1010" s="34"/>
      <c r="K1010" s="39"/>
      <c r="L1010" s="39"/>
      <c r="M1010" s="15">
        <f t="shared" si="298"/>
        <v>0</v>
      </c>
      <c r="N1010" s="15"/>
      <c r="O1010" s="39"/>
      <c r="P1010" s="36"/>
      <c r="Q1010" s="16">
        <f t="shared" si="299"/>
        <v>0</v>
      </c>
      <c r="R1010" s="34"/>
      <c r="S1010" s="34"/>
      <c r="T1010" s="36"/>
      <c r="U1010" s="293">
        <f>Rutas[[#This Row],[Precio x Galón ($/gal)]]*Rutas[[#This Row],[Volumen de Combustible (gal)]]</f>
        <v>0</v>
      </c>
      <c r="V1010" s="36"/>
      <c r="W1010" s="36"/>
      <c r="X1010" s="36"/>
      <c r="Y1010" s="145">
        <f t="shared" si="300"/>
        <v>0</v>
      </c>
      <c r="Z1010" s="567"/>
      <c r="AA1010" s="12"/>
      <c r="AB1010" s="12">
        <f t="shared" si="301"/>
        <v>0</v>
      </c>
      <c r="AC1010" s="12">
        <f t="shared" si="302"/>
        <v>0</v>
      </c>
      <c r="AD1010" s="34"/>
    </row>
    <row r="1011" spans="1:30" ht="16" x14ac:dyDescent="0.2">
      <c r="A1011" s="47"/>
      <c r="B1011" s="383"/>
      <c r="C1011" s="176">
        <f t="shared" si="297"/>
        <v>1008</v>
      </c>
      <c r="D1011" s="90">
        <v>45883</v>
      </c>
      <c r="E1011" s="90">
        <v>45887</v>
      </c>
      <c r="F1011" s="68" t="s">
        <v>350</v>
      </c>
      <c r="G1011" s="379" t="str">
        <f ca="1">IF(AND(E1011&lt;&gt;"",E1011&lt;TODAY()),"Disponible",IFERROR(INDEX(Vehiculos[Estado Vehiculo],MATCH(F1011,Vehiculos[Placa Vehiculo],0)),""))</f>
        <v>Disponible</v>
      </c>
      <c r="H1011" s="89" t="s">
        <v>231</v>
      </c>
      <c r="I1011" s="89" t="s">
        <v>273</v>
      </c>
      <c r="J1011" s="89" t="s">
        <v>274</v>
      </c>
      <c r="K1011" s="380">
        <v>36821</v>
      </c>
      <c r="L1011" s="380">
        <v>37176</v>
      </c>
      <c r="M1011" s="381">
        <f t="shared" si="298"/>
        <v>355</v>
      </c>
      <c r="N1011" s="381"/>
      <c r="O1011" s="380"/>
      <c r="P1011" s="92"/>
      <c r="Q1011" s="382">
        <f t="shared" si="299"/>
        <v>0</v>
      </c>
      <c r="R1011" s="89" t="s">
        <v>339</v>
      </c>
      <c r="S1011" s="89" t="s">
        <v>102</v>
      </c>
      <c r="T1011" s="92">
        <v>1.8</v>
      </c>
      <c r="U1011" s="266">
        <f>Rutas[[#This Row],[Precio x Galón ($/gal)]]*Rutas[[#This Row],[Volumen de Combustible (gal)]]</f>
        <v>181.29599999999999</v>
      </c>
      <c r="V1011" s="92"/>
      <c r="W1011" s="92"/>
      <c r="X1011" s="92"/>
      <c r="Y1011" s="382">
        <f t="shared" si="300"/>
        <v>181.29599999999999</v>
      </c>
      <c r="Z1011" s="567"/>
      <c r="AA1011" s="382">
        <v>100.72</v>
      </c>
      <c r="AB1011" s="382">
        <f t="shared" si="301"/>
        <v>3.5246227164416202</v>
      </c>
      <c r="AC1011" s="382">
        <f t="shared" si="302"/>
        <v>0</v>
      </c>
      <c r="AD1011" s="89"/>
    </row>
    <row r="1012" spans="1:30" ht="16" x14ac:dyDescent="0.2">
      <c r="A1012" s="47"/>
      <c r="B1012" s="383"/>
      <c r="C1012" s="176">
        <f t="shared" si="297"/>
        <v>1009</v>
      </c>
      <c r="D1012" s="146">
        <v>45887</v>
      </c>
      <c r="E1012" s="37">
        <v>45889</v>
      </c>
      <c r="F1012" s="65" t="s">
        <v>350</v>
      </c>
      <c r="G1012" s="11" t="str">
        <f ca="1">IF(AND(E1012&lt;&gt;"",E1012&lt;TODAY()),"Disponible",IFERROR(INDEX(Vehiculos[Estado Vehiculo],MATCH(F1012,Vehiculos[Placa Vehiculo],0)),""))</f>
        <v>Disponible</v>
      </c>
      <c r="H1012" s="34" t="s">
        <v>237</v>
      </c>
      <c r="I1012" s="34" t="s">
        <v>273</v>
      </c>
      <c r="J1012" s="34" t="s">
        <v>274</v>
      </c>
      <c r="K1012" s="39">
        <v>37176</v>
      </c>
      <c r="L1012" s="39">
        <v>37631</v>
      </c>
      <c r="M1012" s="15">
        <f t="shared" si="298"/>
        <v>455</v>
      </c>
      <c r="N1012" s="15"/>
      <c r="O1012" s="39"/>
      <c r="P1012" s="36"/>
      <c r="Q1012" s="16">
        <f t="shared" si="299"/>
        <v>0</v>
      </c>
      <c r="R1012" s="34" t="s">
        <v>339</v>
      </c>
      <c r="S1012" s="34" t="s">
        <v>102</v>
      </c>
      <c r="T1012" s="36">
        <v>1.8</v>
      </c>
      <c r="U1012" s="293">
        <f>Rutas[[#This Row],[Precio x Galón ($/gal)]]*Rutas[[#This Row],[Volumen de Combustible (gal)]]</f>
        <v>136.62</v>
      </c>
      <c r="V1012" s="36"/>
      <c r="W1012" s="36"/>
      <c r="X1012" s="36"/>
      <c r="Y1012" s="145">
        <f t="shared" si="300"/>
        <v>136.62</v>
      </c>
      <c r="Z1012" s="567"/>
      <c r="AA1012" s="12">
        <v>75.900000000000006</v>
      </c>
      <c r="AB1012" s="12">
        <f t="shared" si="301"/>
        <v>5.9947299077733858</v>
      </c>
      <c r="AC1012" s="12">
        <f t="shared" si="302"/>
        <v>0</v>
      </c>
      <c r="AD1012" s="34"/>
    </row>
    <row r="1013" spans="1:30" ht="16" x14ac:dyDescent="0.2">
      <c r="A1013" s="47"/>
      <c r="B1013" s="383"/>
      <c r="C1013" s="176">
        <f t="shared" si="297"/>
        <v>1010</v>
      </c>
      <c r="D1013" s="454">
        <v>45889</v>
      </c>
      <c r="E1013" s="37">
        <v>45893</v>
      </c>
      <c r="F1013" s="65" t="s">
        <v>350</v>
      </c>
      <c r="G1013" s="11" t="str">
        <f ca="1">IF(AND(E1013&lt;&gt;"",E1013&lt;TODAY()),"Disponible",IFERROR(INDEX(Vehiculos[Estado Vehiculo],MATCH(F1013,Vehiculos[Placa Vehiculo],0)),""))</f>
        <v>Disponible</v>
      </c>
      <c r="H1013" s="34" t="s">
        <v>237</v>
      </c>
      <c r="I1013" s="34" t="s">
        <v>273</v>
      </c>
      <c r="J1013" s="34" t="s">
        <v>274</v>
      </c>
      <c r="K1013" s="39">
        <v>37631</v>
      </c>
      <c r="L1013" s="39">
        <v>38133</v>
      </c>
      <c r="M1013" s="15">
        <f>L1013-K1013</f>
        <v>502</v>
      </c>
      <c r="N1013" s="15"/>
      <c r="O1013" s="39"/>
      <c r="P1013" s="36"/>
      <c r="Q1013" s="16">
        <f>M1013*P1013</f>
        <v>0</v>
      </c>
      <c r="R1013" s="34" t="s">
        <v>339</v>
      </c>
      <c r="S1013" s="34" t="s">
        <v>102</v>
      </c>
      <c r="T1013" s="36">
        <v>1.8</v>
      </c>
      <c r="U1013" s="293">
        <f>Rutas[[#This Row],[Precio x Galón ($/gal)]]*Rutas[[#This Row],[Volumen de Combustible (gal)]]</f>
        <v>150.93</v>
      </c>
      <c r="V1013" s="36"/>
      <c r="W1013" s="36"/>
      <c r="X1013" s="36"/>
      <c r="Y1013" s="145">
        <f>U1013+SUM(V1013:X1013)</f>
        <v>150.93</v>
      </c>
      <c r="Z1013" s="567"/>
      <c r="AA1013" s="12">
        <v>83.85</v>
      </c>
      <c r="AB1013" s="12">
        <f>IFERROR(M1013/AA1013,0)</f>
        <v>5.9868813357185457</v>
      </c>
      <c r="AC1013" s="12">
        <f>IFERROR(Q1013/M1013,0)</f>
        <v>0</v>
      </c>
      <c r="AD1013" s="34"/>
    </row>
    <row r="1014" spans="1:30" ht="16" x14ac:dyDescent="0.2">
      <c r="A1014" s="47"/>
      <c r="B1014" s="383"/>
      <c r="C1014" s="176">
        <f t="shared" si="297"/>
        <v>1011</v>
      </c>
      <c r="D1014" s="146">
        <v>45893</v>
      </c>
      <c r="E1014" s="37">
        <v>45896</v>
      </c>
      <c r="F1014" s="65" t="s">
        <v>350</v>
      </c>
      <c r="G1014" s="11" t="str">
        <f ca="1">IF(AND(E1014&lt;&gt;"",E1014&lt;TODAY()),"Disponible",IFERROR(INDEX(Vehiculos[Estado Vehiculo],MATCH(F1014,Vehiculos[Placa Vehiculo],0)),""))</f>
        <v>Disponible</v>
      </c>
      <c r="H1014" s="34" t="s">
        <v>237</v>
      </c>
      <c r="I1014" s="34" t="s">
        <v>273</v>
      </c>
      <c r="J1014" s="34" t="s">
        <v>274</v>
      </c>
      <c r="K1014" s="39">
        <v>38133</v>
      </c>
      <c r="L1014" s="39">
        <v>38606</v>
      </c>
      <c r="M1014" s="15">
        <f t="shared" si="298"/>
        <v>473</v>
      </c>
      <c r="N1014" s="15"/>
      <c r="O1014" s="39"/>
      <c r="P1014" s="36"/>
      <c r="Q1014" s="16">
        <f t="shared" si="299"/>
        <v>0</v>
      </c>
      <c r="R1014" s="34" t="s">
        <v>339</v>
      </c>
      <c r="S1014" s="34" t="s">
        <v>102</v>
      </c>
      <c r="T1014" s="36">
        <v>1.8</v>
      </c>
      <c r="U1014" s="293">
        <f>Rutas[[#This Row],[Precio x Galón ($/gal)]]*Rutas[[#This Row],[Volumen de Combustible (gal)]]</f>
        <v>136.99799999999999</v>
      </c>
      <c r="V1014" s="36"/>
      <c r="W1014" s="36"/>
      <c r="X1014" s="36"/>
      <c r="Y1014" s="145">
        <f t="shared" si="300"/>
        <v>136.99799999999999</v>
      </c>
      <c r="Z1014" s="567"/>
      <c r="AA1014" s="12">
        <v>76.11</v>
      </c>
      <c r="AB1014" s="12">
        <f t="shared" si="301"/>
        <v>6.2146892655367232</v>
      </c>
      <c r="AC1014" s="12">
        <f t="shared" si="302"/>
        <v>0</v>
      </c>
      <c r="AD1014" s="34"/>
    </row>
    <row r="1015" spans="1:30" ht="16" x14ac:dyDescent="0.2">
      <c r="A1015" s="47"/>
      <c r="B1015" s="383"/>
      <c r="C1015" s="176">
        <f t="shared" si="297"/>
        <v>1012</v>
      </c>
      <c r="D1015" s="454">
        <v>45896</v>
      </c>
      <c r="E1015" s="37">
        <v>45900</v>
      </c>
      <c r="F1015" s="65" t="s">
        <v>350</v>
      </c>
      <c r="G1015" s="11" t="str">
        <f ca="1">IF(AND(E1015&lt;&gt;"",E1015&lt;TODAY()),"Disponible",IFERROR(INDEX(Vehiculos[Estado Vehiculo],MATCH(F1015,Vehiculos[Placa Vehiculo],0)),""))</f>
        <v>Disponible</v>
      </c>
      <c r="H1015" s="34"/>
      <c r="I1015" s="34" t="s">
        <v>273</v>
      </c>
      <c r="J1015" s="34" t="s">
        <v>274</v>
      </c>
      <c r="K1015" s="39">
        <v>38606</v>
      </c>
      <c r="L1015" s="39">
        <v>39270</v>
      </c>
      <c r="M1015" s="15">
        <f>L1015-K1015</f>
        <v>664</v>
      </c>
      <c r="N1015" s="452">
        <v>120</v>
      </c>
      <c r="O1015" s="39"/>
      <c r="P1015" s="36"/>
      <c r="Q1015" s="16">
        <f>M1015*P1015</f>
        <v>0</v>
      </c>
      <c r="R1015" s="34" t="s">
        <v>339</v>
      </c>
      <c r="S1015" s="34" t="s">
        <v>102</v>
      </c>
      <c r="T1015" s="36">
        <v>1.8</v>
      </c>
      <c r="U1015" s="293">
        <f>Rutas[[#This Row],[Precio x Galón ($/gal)]]*Rutas[[#This Row],[Volumen de Combustible (gal)]]</f>
        <v>178.20000000000002</v>
      </c>
      <c r="V1015" s="36"/>
      <c r="W1015" s="36"/>
      <c r="X1015" s="36"/>
      <c r="Y1015" s="145">
        <f>U1015+SUM(V1015:X1015)</f>
        <v>178.20000000000002</v>
      </c>
      <c r="Z1015" s="567"/>
      <c r="AA1015" s="12">
        <v>99</v>
      </c>
      <c r="AB1015" s="12">
        <f>IFERROR(M1015/AA1015,0)</f>
        <v>6.7070707070707067</v>
      </c>
      <c r="AC1015" s="12">
        <f>IFERROR(Q1015/M1015,0)</f>
        <v>0</v>
      </c>
      <c r="AD1015" s="34"/>
    </row>
    <row r="1016" spans="1:30" ht="16" x14ac:dyDescent="0.2">
      <c r="A1016" s="47"/>
      <c r="B1016" s="383"/>
      <c r="C1016" s="176">
        <f t="shared" si="297"/>
        <v>1013</v>
      </c>
      <c r="D1016" s="454"/>
      <c r="E1016" s="37"/>
      <c r="F1016" s="65"/>
      <c r="G1016" s="11" t="str">
        <f ca="1">IF(AND(E1016&lt;&gt;"",E1016&lt;TODAY()),"Disponible",IFERROR(INDEX(Vehiculos[Estado Vehiculo],MATCH(F1016,Vehiculos[Placa Vehiculo],0)),""))</f>
        <v/>
      </c>
      <c r="H1016" s="34"/>
      <c r="I1016" s="34"/>
      <c r="J1016" s="34"/>
      <c r="K1016" s="39"/>
      <c r="L1016" s="39"/>
      <c r="M1016" s="15">
        <f>L1016-K1016</f>
        <v>0</v>
      </c>
      <c r="N1016" s="15"/>
      <c r="O1016" s="39"/>
      <c r="P1016" s="36"/>
      <c r="Q1016" s="16">
        <f>M1016*P1016</f>
        <v>0</v>
      </c>
      <c r="R1016" s="34"/>
      <c r="S1016" s="34"/>
      <c r="T1016" s="36"/>
      <c r="U1016" s="293"/>
      <c r="V1016" s="36"/>
      <c r="W1016" s="36"/>
      <c r="X1016" s="36"/>
      <c r="Y1016" s="145">
        <f>U1016+SUM(V1016:X1016)</f>
        <v>0</v>
      </c>
      <c r="Z1016" s="567"/>
      <c r="AA1016" s="12"/>
      <c r="AB1016" s="12">
        <f>IFERROR(M1016/AA1016,0)</f>
        <v>0</v>
      </c>
      <c r="AC1016" s="12">
        <f>IFERROR(Q1016/M1016,0)</f>
        <v>0</v>
      </c>
      <c r="AD1016" s="34"/>
    </row>
    <row r="1017" spans="1:30" ht="16" x14ac:dyDescent="0.2">
      <c r="A1017" s="47"/>
      <c r="B1017" s="383"/>
      <c r="C1017" s="176">
        <f t="shared" si="297"/>
        <v>1014</v>
      </c>
      <c r="D1017" s="146"/>
      <c r="E1017" s="37"/>
      <c r="F1017" s="65"/>
      <c r="G1017" s="11" t="str">
        <f ca="1">IF(AND(E1017&lt;&gt;"",E1017&lt;TODAY()),"Disponible",IFERROR(INDEX(Vehiculos[Estado Vehiculo],MATCH(F1017,Vehiculos[Placa Vehiculo],0)),""))</f>
        <v/>
      </c>
      <c r="H1017" s="34"/>
      <c r="I1017" s="34"/>
      <c r="J1017" s="34"/>
      <c r="K1017" s="39"/>
      <c r="L1017" s="39"/>
      <c r="M1017" s="15">
        <f t="shared" si="298"/>
        <v>0</v>
      </c>
      <c r="N1017" s="15"/>
      <c r="O1017" s="39"/>
      <c r="P1017" s="36"/>
      <c r="Q1017" s="16">
        <f t="shared" si="299"/>
        <v>0</v>
      </c>
      <c r="R1017" s="34"/>
      <c r="S1017" s="34"/>
      <c r="T1017" s="36"/>
      <c r="U1017" s="293">
        <f>Rutas[[#This Row],[Precio x Galón ($/gal)]]*Rutas[[#This Row],[Volumen de Combustible (gal)]]</f>
        <v>0</v>
      </c>
      <c r="V1017" s="36"/>
      <c r="W1017" s="36"/>
      <c r="X1017" s="36"/>
      <c r="Y1017" s="145">
        <f t="shared" si="300"/>
        <v>0</v>
      </c>
      <c r="Z1017" s="567"/>
      <c r="AA1017" s="12"/>
      <c r="AB1017" s="12">
        <f t="shared" si="301"/>
        <v>0</v>
      </c>
      <c r="AC1017" s="12">
        <f t="shared" si="302"/>
        <v>0</v>
      </c>
      <c r="AD1017" s="34"/>
    </row>
    <row r="1018" spans="1:30" ht="16" x14ac:dyDescent="0.2">
      <c r="A1018" s="47"/>
      <c r="B1018" s="383"/>
      <c r="C1018" s="176">
        <f t="shared" si="297"/>
        <v>1015</v>
      </c>
      <c r="D1018" s="90">
        <v>45870</v>
      </c>
      <c r="E1018" s="90">
        <v>45871</v>
      </c>
      <c r="F1018" s="68" t="s">
        <v>208</v>
      </c>
      <c r="G1018" s="379" t="str">
        <f ca="1">IF(AND(E1018&lt;&gt;"",E1018&lt;TODAY()),"Disponible",IFERROR(INDEX(Vehiculos[Estado Vehiculo],MATCH(F1018,Vehiculos[Placa Vehiculo],0)),""))</f>
        <v>Disponible</v>
      </c>
      <c r="H1018" s="89" t="s">
        <v>305</v>
      </c>
      <c r="I1018" s="89" t="s">
        <v>273</v>
      </c>
      <c r="J1018" s="89" t="s">
        <v>274</v>
      </c>
      <c r="K1018" s="380">
        <v>105267</v>
      </c>
      <c r="L1018" s="380">
        <v>105882</v>
      </c>
      <c r="M1018" s="381">
        <f t="shared" si="298"/>
        <v>615</v>
      </c>
      <c r="N1018" s="381"/>
      <c r="O1018" s="380"/>
      <c r="P1018" s="92"/>
      <c r="Q1018" s="382">
        <f t="shared" si="299"/>
        <v>0</v>
      </c>
      <c r="R1018" s="89" t="s">
        <v>339</v>
      </c>
      <c r="S1018" s="89" t="s">
        <v>102</v>
      </c>
      <c r="T1018" s="92">
        <v>1.8</v>
      </c>
      <c r="U1018" s="266">
        <f>Rutas[[#This Row],[Precio x Galón ($/gal)]]*Rutas[[#This Row],[Volumen de Combustible (gal)]]</f>
        <v>196.506</v>
      </c>
      <c r="V1018" s="92"/>
      <c r="W1018" s="92"/>
      <c r="X1018" s="92"/>
      <c r="Y1018" s="382">
        <f t="shared" si="300"/>
        <v>196.506</v>
      </c>
      <c r="Z1018" s="567"/>
      <c r="AA1018" s="382">
        <v>109.17</v>
      </c>
      <c r="AB1018" s="382">
        <f t="shared" si="301"/>
        <v>5.6334157735641659</v>
      </c>
      <c r="AC1018" s="382">
        <f t="shared" si="302"/>
        <v>0</v>
      </c>
      <c r="AD1018" s="89"/>
    </row>
    <row r="1019" spans="1:30" ht="16" x14ac:dyDescent="0.2">
      <c r="A1019" s="47"/>
      <c r="B1019" s="383"/>
      <c r="C1019" s="176">
        <f t="shared" si="297"/>
        <v>1016</v>
      </c>
      <c r="D1019" s="146">
        <v>45871</v>
      </c>
      <c r="E1019" s="37">
        <v>45872</v>
      </c>
      <c r="F1019" s="65" t="s">
        <v>208</v>
      </c>
      <c r="G1019" s="11" t="str">
        <f ca="1">IF(AND(E1019&lt;&gt;"",E1019&lt;TODAY()),"Disponible",IFERROR(INDEX(Vehiculos[Estado Vehiculo],MATCH(F1019,Vehiculos[Placa Vehiculo],0)),""))</f>
        <v>Disponible</v>
      </c>
      <c r="H1019" s="34" t="s">
        <v>305</v>
      </c>
      <c r="I1019" s="34" t="s">
        <v>273</v>
      </c>
      <c r="J1019" s="34" t="s">
        <v>274</v>
      </c>
      <c r="K1019" s="39">
        <v>105882</v>
      </c>
      <c r="L1019" s="39">
        <v>106282</v>
      </c>
      <c r="M1019" s="15">
        <f t="shared" si="298"/>
        <v>400</v>
      </c>
      <c r="N1019" s="15"/>
      <c r="O1019" s="39"/>
      <c r="P1019" s="36"/>
      <c r="Q1019" s="16">
        <f t="shared" si="299"/>
        <v>0</v>
      </c>
      <c r="R1019" s="34" t="s">
        <v>339</v>
      </c>
      <c r="S1019" s="34" t="s">
        <v>102</v>
      </c>
      <c r="T1019" s="36">
        <v>1.8</v>
      </c>
      <c r="U1019" s="293">
        <f>Rutas[[#This Row],[Precio x Galón ($/gal)]]*Rutas[[#This Row],[Volumen de Combustible (gal)]]</f>
        <v>122.83199999999999</v>
      </c>
      <c r="V1019" s="36"/>
      <c r="W1019" s="36"/>
      <c r="X1019" s="36"/>
      <c r="Y1019" s="145">
        <f t="shared" si="300"/>
        <v>122.83199999999999</v>
      </c>
      <c r="Z1019" s="567"/>
      <c r="AA1019" s="12">
        <v>68.239999999999995</v>
      </c>
      <c r="AB1019" s="12">
        <f t="shared" si="301"/>
        <v>5.8616647127784294</v>
      </c>
      <c r="AC1019" s="12">
        <f t="shared" si="302"/>
        <v>0</v>
      </c>
      <c r="AD1019" s="34"/>
    </row>
    <row r="1020" spans="1:30" ht="16" x14ac:dyDescent="0.2">
      <c r="A1020" s="47"/>
      <c r="B1020" s="383"/>
      <c r="C1020" s="176">
        <f t="shared" si="297"/>
        <v>1017</v>
      </c>
      <c r="D1020" s="146">
        <v>45872</v>
      </c>
      <c r="E1020" s="37">
        <v>45875</v>
      </c>
      <c r="F1020" s="65" t="s">
        <v>208</v>
      </c>
      <c r="G1020" s="11" t="str">
        <f ca="1">IF(AND(E1020&lt;&gt;"",E1020&lt;TODAY()),"Disponible",IFERROR(INDEX(Vehiculos[Estado Vehiculo],MATCH(F1020,Vehiculos[Placa Vehiculo],0)),""))</f>
        <v>Disponible</v>
      </c>
      <c r="H1020" s="34" t="s">
        <v>421</v>
      </c>
      <c r="I1020" s="34" t="s">
        <v>273</v>
      </c>
      <c r="J1020" s="34" t="s">
        <v>274</v>
      </c>
      <c r="K1020" s="39">
        <v>106282</v>
      </c>
      <c r="L1020" s="39">
        <v>106656</v>
      </c>
      <c r="M1020" s="15">
        <f t="shared" si="298"/>
        <v>374</v>
      </c>
      <c r="N1020" s="15"/>
      <c r="O1020" s="39"/>
      <c r="P1020" s="36"/>
      <c r="Q1020" s="16">
        <f t="shared" si="299"/>
        <v>0</v>
      </c>
      <c r="R1020" s="34" t="s">
        <v>339</v>
      </c>
      <c r="S1020" s="34" t="s">
        <v>102</v>
      </c>
      <c r="T1020" s="36">
        <v>1.8</v>
      </c>
      <c r="U1020" s="293">
        <f>Rutas[[#This Row],[Precio x Galón ($/gal)]]*Rutas[[#This Row],[Volumen de Combustible (gal)]]</f>
        <v>63</v>
      </c>
      <c r="V1020" s="36"/>
      <c r="W1020" s="36"/>
      <c r="X1020" s="36"/>
      <c r="Y1020" s="145">
        <f t="shared" si="300"/>
        <v>63</v>
      </c>
      <c r="Z1020" s="567"/>
      <c r="AA1020" s="12">
        <v>35</v>
      </c>
      <c r="AB1020" s="12">
        <f t="shared" si="301"/>
        <v>10.685714285714285</v>
      </c>
      <c r="AC1020" s="12">
        <f t="shared" si="302"/>
        <v>0</v>
      </c>
      <c r="AD1020" s="34"/>
    </row>
    <row r="1021" spans="1:30" ht="16" x14ac:dyDescent="0.2">
      <c r="A1021" s="47"/>
      <c r="B1021" s="383"/>
      <c r="C1021" s="176">
        <f t="shared" si="297"/>
        <v>1018</v>
      </c>
      <c r="D1021" s="454">
        <v>45875</v>
      </c>
      <c r="E1021" s="37">
        <v>45877</v>
      </c>
      <c r="F1021" s="65" t="s">
        <v>208</v>
      </c>
      <c r="G1021" s="11" t="str">
        <f ca="1">IF(AND(E1021&lt;&gt;"",E1021&lt;TODAY()),"Disponible",IFERROR(INDEX(Vehiculos[Estado Vehiculo],MATCH(F1021,Vehiculos[Placa Vehiculo],0)),""))</f>
        <v>Disponible</v>
      </c>
      <c r="H1021" s="34" t="s">
        <v>259</v>
      </c>
      <c r="I1021" s="34" t="s">
        <v>273</v>
      </c>
      <c r="J1021" s="34" t="s">
        <v>274</v>
      </c>
      <c r="K1021" s="39">
        <v>106656</v>
      </c>
      <c r="L1021" s="39">
        <v>107018</v>
      </c>
      <c r="M1021" s="15">
        <f t="shared" ref="M1021:M1028" si="303">L1021-K1021</f>
        <v>362</v>
      </c>
      <c r="N1021" s="15"/>
      <c r="O1021" s="39"/>
      <c r="P1021" s="36"/>
      <c r="Q1021" s="16">
        <f t="shared" ref="Q1021:Q1028" si="304">M1021*P1021</f>
        <v>0</v>
      </c>
      <c r="R1021" s="34" t="s">
        <v>339</v>
      </c>
      <c r="S1021" s="34" t="s">
        <v>102</v>
      </c>
      <c r="T1021" s="36">
        <v>1.8</v>
      </c>
      <c r="U1021" s="293">
        <f>Rutas[[#This Row],[Precio x Galón ($/gal)]]*Rutas[[#This Row],[Volumen de Combustible (gal)]]</f>
        <v>198.39600000000002</v>
      </c>
      <c r="V1021" s="36"/>
      <c r="W1021" s="36"/>
      <c r="X1021" s="36"/>
      <c r="Y1021" s="145">
        <f t="shared" ref="Y1021:Y1028" si="305">U1021+SUM(V1021:X1021)</f>
        <v>198.39600000000002</v>
      </c>
      <c r="Z1021" s="567"/>
      <c r="AA1021" s="12">
        <v>110.22</v>
      </c>
      <c r="AB1021" s="12">
        <f t="shared" ref="AB1021:AB1028" si="306">IFERROR(M1021/AA1021,0)</f>
        <v>3.2843404100889133</v>
      </c>
      <c r="AC1021" s="12">
        <f t="shared" ref="AC1021:AC1028" si="307">IFERROR(Q1021/M1021,0)</f>
        <v>0</v>
      </c>
      <c r="AD1021" s="34"/>
    </row>
    <row r="1022" spans="1:30" ht="16" x14ac:dyDescent="0.2">
      <c r="A1022" s="47"/>
      <c r="B1022" s="383"/>
      <c r="C1022" s="176">
        <f t="shared" si="297"/>
        <v>1019</v>
      </c>
      <c r="D1022" s="454">
        <v>45877</v>
      </c>
      <c r="E1022" s="37">
        <v>45879</v>
      </c>
      <c r="F1022" s="65" t="s">
        <v>208</v>
      </c>
      <c r="G1022" s="11" t="str">
        <f ca="1">IF(AND(E1022&lt;&gt;"",E1022&lt;TODAY()),"Disponible",IFERROR(INDEX(Vehiculos[Estado Vehiculo],MATCH(F1022,Vehiculos[Placa Vehiculo],0)),""))</f>
        <v>Disponible</v>
      </c>
      <c r="H1022" s="34" t="s">
        <v>245</v>
      </c>
      <c r="I1022" s="34" t="s">
        <v>273</v>
      </c>
      <c r="J1022" s="34" t="s">
        <v>274</v>
      </c>
      <c r="K1022" s="39">
        <v>107018</v>
      </c>
      <c r="L1022" s="39">
        <v>107407</v>
      </c>
      <c r="M1022" s="15">
        <f t="shared" si="303"/>
        <v>389</v>
      </c>
      <c r="N1022" s="15"/>
      <c r="O1022" s="39"/>
      <c r="P1022" s="36"/>
      <c r="Q1022" s="16">
        <f t="shared" si="304"/>
        <v>0</v>
      </c>
      <c r="R1022" s="34" t="s">
        <v>339</v>
      </c>
      <c r="S1022" s="34" t="s">
        <v>102</v>
      </c>
      <c r="T1022" s="36">
        <v>1.8</v>
      </c>
      <c r="U1022" s="293">
        <f>Rutas[[#This Row],[Precio x Galón ($/gal)]]*Rutas[[#This Row],[Volumen de Combustible (gal)]]</f>
        <v>144.16200000000001</v>
      </c>
      <c r="V1022" s="36"/>
      <c r="W1022" s="36"/>
      <c r="X1022" s="36"/>
      <c r="Y1022" s="145">
        <f t="shared" si="305"/>
        <v>144.16200000000001</v>
      </c>
      <c r="Z1022" s="567"/>
      <c r="AA1022" s="12">
        <v>80.09</v>
      </c>
      <c r="AB1022" s="12">
        <f t="shared" si="306"/>
        <v>4.8570358346859779</v>
      </c>
      <c r="AC1022" s="12">
        <f t="shared" si="307"/>
        <v>0</v>
      </c>
      <c r="AD1022" s="34"/>
    </row>
    <row r="1023" spans="1:30" ht="16" x14ac:dyDescent="0.2">
      <c r="A1023" s="47"/>
      <c r="B1023" s="383"/>
      <c r="C1023" s="176">
        <f t="shared" si="297"/>
        <v>1020</v>
      </c>
      <c r="D1023" s="454">
        <v>45879</v>
      </c>
      <c r="E1023" s="37">
        <v>45883</v>
      </c>
      <c r="F1023" s="65" t="s">
        <v>208</v>
      </c>
      <c r="G1023" s="11" t="str">
        <f ca="1">IF(AND(E1023&lt;&gt;"",E1023&lt;TODAY()),"Disponible",IFERROR(INDEX(Vehiculos[Estado Vehiculo],MATCH(F1023,Vehiculos[Placa Vehiculo],0)),""))</f>
        <v>Disponible</v>
      </c>
      <c r="H1023" s="34" t="s">
        <v>245</v>
      </c>
      <c r="I1023" s="34" t="s">
        <v>273</v>
      </c>
      <c r="J1023" s="34" t="s">
        <v>274</v>
      </c>
      <c r="K1023" s="39">
        <v>107407</v>
      </c>
      <c r="L1023" s="39">
        <v>108103</v>
      </c>
      <c r="M1023" s="15">
        <f t="shared" si="303"/>
        <v>696</v>
      </c>
      <c r="N1023" s="15"/>
      <c r="O1023" s="39"/>
      <c r="P1023" s="36"/>
      <c r="Q1023" s="16">
        <f t="shared" si="304"/>
        <v>0</v>
      </c>
      <c r="R1023" s="34" t="s">
        <v>339</v>
      </c>
      <c r="S1023" s="34" t="s">
        <v>102</v>
      </c>
      <c r="T1023" s="36">
        <v>1.8</v>
      </c>
      <c r="U1023" s="293">
        <f>Rutas[[#This Row],[Precio x Galón ($/gal)]]*Rutas[[#This Row],[Volumen de Combustible (gal)]]</f>
        <v>239.976</v>
      </c>
      <c r="V1023" s="36"/>
      <c r="W1023" s="36"/>
      <c r="X1023" s="36"/>
      <c r="Y1023" s="145">
        <f t="shared" si="305"/>
        <v>239.976</v>
      </c>
      <c r="Z1023" s="567"/>
      <c r="AA1023" s="12">
        <v>133.32</v>
      </c>
      <c r="AB1023" s="12">
        <f t="shared" si="306"/>
        <v>5.2205220522052205</v>
      </c>
      <c r="AC1023" s="12">
        <f t="shared" si="307"/>
        <v>0</v>
      </c>
      <c r="AD1023" s="34"/>
    </row>
    <row r="1024" spans="1:30" ht="16" x14ac:dyDescent="0.2">
      <c r="A1024" s="47"/>
      <c r="B1024" s="383"/>
      <c r="C1024" s="176">
        <f t="shared" si="297"/>
        <v>1021</v>
      </c>
      <c r="D1024" s="454">
        <v>45883</v>
      </c>
      <c r="E1024" s="37">
        <v>45886</v>
      </c>
      <c r="F1024" s="65" t="s">
        <v>208</v>
      </c>
      <c r="G1024" s="11" t="str">
        <f ca="1">IF(AND(E1024&lt;&gt;"",E1024&lt;TODAY()),"Disponible",IFERROR(INDEX(Vehiculos[Estado Vehiculo],MATCH(F1024,Vehiculos[Placa Vehiculo],0)),""))</f>
        <v>Disponible</v>
      </c>
      <c r="H1024" s="34" t="s">
        <v>245</v>
      </c>
      <c r="I1024" s="34" t="s">
        <v>273</v>
      </c>
      <c r="J1024" s="34" t="s">
        <v>274</v>
      </c>
      <c r="K1024" s="39">
        <v>108103</v>
      </c>
      <c r="L1024" s="39">
        <v>108678</v>
      </c>
      <c r="M1024" s="15">
        <f t="shared" si="303"/>
        <v>575</v>
      </c>
      <c r="N1024" s="15"/>
      <c r="O1024" s="39"/>
      <c r="P1024" s="36"/>
      <c r="Q1024" s="16">
        <f t="shared" si="304"/>
        <v>0</v>
      </c>
      <c r="R1024" s="34" t="s">
        <v>339</v>
      </c>
      <c r="S1024" s="34" t="s">
        <v>102</v>
      </c>
      <c r="T1024" s="36">
        <v>1.8</v>
      </c>
      <c r="U1024" s="293">
        <f>Rutas[[#This Row],[Precio x Galón ($/gal)]]*Rutas[[#This Row],[Volumen de Combustible (gal)]]</f>
        <v>195.39</v>
      </c>
      <c r="V1024" s="36"/>
      <c r="W1024" s="36"/>
      <c r="X1024" s="36"/>
      <c r="Y1024" s="145">
        <f t="shared" si="305"/>
        <v>195.39</v>
      </c>
      <c r="Z1024" s="567"/>
      <c r="AA1024" s="12">
        <v>108.55</v>
      </c>
      <c r="AB1024" s="12">
        <f t="shared" si="306"/>
        <v>5.2970981114693689</v>
      </c>
      <c r="AC1024" s="12">
        <f t="shared" si="307"/>
        <v>0</v>
      </c>
      <c r="AD1024" s="34"/>
    </row>
    <row r="1025" spans="1:30" ht="16" x14ac:dyDescent="0.2">
      <c r="A1025" s="47"/>
      <c r="B1025" s="383"/>
      <c r="C1025" s="176">
        <f t="shared" si="297"/>
        <v>1022</v>
      </c>
      <c r="D1025" s="454">
        <v>45886</v>
      </c>
      <c r="E1025" s="37">
        <v>45889</v>
      </c>
      <c r="F1025" s="65" t="s">
        <v>208</v>
      </c>
      <c r="G1025" s="11" t="str">
        <f ca="1">IF(AND(E1025&lt;&gt;"",E1025&lt;TODAY()),"Disponible",IFERROR(INDEX(Vehiculos[Estado Vehiculo],MATCH(F1025,Vehiculos[Placa Vehiculo],0)),""))</f>
        <v>Disponible</v>
      </c>
      <c r="H1025" s="34" t="s">
        <v>231</v>
      </c>
      <c r="I1025" s="34" t="s">
        <v>273</v>
      </c>
      <c r="J1025" s="34" t="s">
        <v>274</v>
      </c>
      <c r="K1025" s="39">
        <v>108678</v>
      </c>
      <c r="L1025" s="39">
        <v>109226</v>
      </c>
      <c r="M1025" s="15">
        <f t="shared" si="303"/>
        <v>548</v>
      </c>
      <c r="N1025" s="15"/>
      <c r="O1025" s="39"/>
      <c r="P1025" s="36"/>
      <c r="Q1025" s="16">
        <f t="shared" si="304"/>
        <v>0</v>
      </c>
      <c r="R1025" s="34" t="s">
        <v>339</v>
      </c>
      <c r="S1025" s="34" t="s">
        <v>102</v>
      </c>
      <c r="T1025" s="36">
        <v>1.8</v>
      </c>
      <c r="U1025" s="293">
        <f>Rutas[[#This Row],[Precio x Galón ($/gal)]]*Rutas[[#This Row],[Volumen de Combustible (gal)]]</f>
        <v>175.01400000000001</v>
      </c>
      <c r="V1025" s="36"/>
      <c r="W1025" s="36"/>
      <c r="X1025" s="36"/>
      <c r="Y1025" s="145">
        <f t="shared" si="305"/>
        <v>175.01400000000001</v>
      </c>
      <c r="Z1025" s="567"/>
      <c r="AA1025" s="12">
        <v>97.23</v>
      </c>
      <c r="AB1025" s="12">
        <f t="shared" si="306"/>
        <v>5.6361205389283144</v>
      </c>
      <c r="AC1025" s="12">
        <f t="shared" si="307"/>
        <v>0</v>
      </c>
      <c r="AD1025" s="34"/>
    </row>
    <row r="1026" spans="1:30" ht="16" x14ac:dyDescent="0.2">
      <c r="A1026" s="47"/>
      <c r="B1026" s="383"/>
      <c r="C1026" s="176">
        <f t="shared" si="297"/>
        <v>1023</v>
      </c>
      <c r="D1026" s="454">
        <v>45889</v>
      </c>
      <c r="E1026" s="37">
        <v>45894</v>
      </c>
      <c r="F1026" s="65" t="s">
        <v>208</v>
      </c>
      <c r="G1026" s="11" t="str">
        <f ca="1">IF(AND(E1026&lt;&gt;"",E1026&lt;TODAY()),"Disponible",IFERROR(INDEX(Vehiculos[Estado Vehiculo],MATCH(F1026,Vehiculos[Placa Vehiculo],0)),""))</f>
        <v>Disponible</v>
      </c>
      <c r="H1026" s="34" t="s">
        <v>231</v>
      </c>
      <c r="I1026" s="34" t="s">
        <v>273</v>
      </c>
      <c r="J1026" s="34" t="s">
        <v>274</v>
      </c>
      <c r="K1026" s="39">
        <v>109226</v>
      </c>
      <c r="L1026" s="39">
        <v>109872</v>
      </c>
      <c r="M1026" s="15">
        <f t="shared" si="303"/>
        <v>646</v>
      </c>
      <c r="N1026" s="15"/>
      <c r="O1026" s="39"/>
      <c r="P1026" s="36"/>
      <c r="Q1026" s="16">
        <f t="shared" si="304"/>
        <v>0</v>
      </c>
      <c r="R1026" s="34" t="s">
        <v>339</v>
      </c>
      <c r="S1026" s="34" t="s">
        <v>102</v>
      </c>
      <c r="T1026" s="36">
        <v>1.8</v>
      </c>
      <c r="U1026" s="293">
        <f>Rutas[[#This Row],[Precio x Galón ($/gal)]]*Rutas[[#This Row],[Volumen de Combustible (gal)]]</f>
        <v>207.25200000000001</v>
      </c>
      <c r="V1026" s="36"/>
      <c r="W1026" s="36"/>
      <c r="X1026" s="36"/>
      <c r="Y1026" s="145">
        <f t="shared" si="305"/>
        <v>207.25200000000001</v>
      </c>
      <c r="Z1026" s="567"/>
      <c r="AA1026" s="12">
        <v>115.14</v>
      </c>
      <c r="AB1026" s="12">
        <f t="shared" si="306"/>
        <v>5.6105610561056105</v>
      </c>
      <c r="AC1026" s="12">
        <f t="shared" si="307"/>
        <v>0</v>
      </c>
      <c r="AD1026" s="34"/>
    </row>
    <row r="1027" spans="1:30" ht="16" x14ac:dyDescent="0.2">
      <c r="A1027" s="47"/>
      <c r="B1027" s="383"/>
      <c r="C1027" s="176">
        <f t="shared" si="297"/>
        <v>1024</v>
      </c>
      <c r="D1027" s="454">
        <v>45894</v>
      </c>
      <c r="E1027" s="37">
        <v>45897</v>
      </c>
      <c r="F1027" s="65" t="s">
        <v>208</v>
      </c>
      <c r="G1027" s="11" t="str">
        <f ca="1">IF(AND(E1027&lt;&gt;"",E1027&lt;TODAY()),"Disponible",IFERROR(INDEX(Vehiculos[Estado Vehiculo],MATCH(F1027,Vehiculos[Placa Vehiculo],0)),""))</f>
        <v>Disponible</v>
      </c>
      <c r="H1027" s="34" t="s">
        <v>231</v>
      </c>
      <c r="I1027" s="34" t="s">
        <v>273</v>
      </c>
      <c r="J1027" s="34" t="s">
        <v>274</v>
      </c>
      <c r="K1027" s="39">
        <v>109872</v>
      </c>
      <c r="L1027" s="39">
        <v>110396</v>
      </c>
      <c r="M1027" s="15">
        <f t="shared" si="303"/>
        <v>524</v>
      </c>
      <c r="N1027" s="15"/>
      <c r="O1027" s="39"/>
      <c r="P1027" s="36"/>
      <c r="Q1027" s="16">
        <f t="shared" si="304"/>
        <v>0</v>
      </c>
      <c r="R1027" s="34" t="s">
        <v>339</v>
      </c>
      <c r="S1027" s="34" t="s">
        <v>102</v>
      </c>
      <c r="T1027" s="36">
        <v>1.8</v>
      </c>
      <c r="U1027" s="293">
        <f>Rutas[[#This Row],[Precio x Galón ($/gal)]]*Rutas[[#This Row],[Volumen de Combustible (gal)]]</f>
        <v>163.06200000000001</v>
      </c>
      <c r="V1027" s="36"/>
      <c r="W1027" s="36"/>
      <c r="X1027" s="36"/>
      <c r="Y1027" s="145">
        <f t="shared" si="305"/>
        <v>163.06200000000001</v>
      </c>
      <c r="Z1027" s="567"/>
      <c r="AA1027" s="12">
        <v>90.59</v>
      </c>
      <c r="AB1027" s="12">
        <f t="shared" si="306"/>
        <v>5.7843029031901976</v>
      </c>
      <c r="AC1027" s="12">
        <f t="shared" si="307"/>
        <v>0</v>
      </c>
      <c r="AD1027" s="34"/>
    </row>
    <row r="1028" spans="1:30" ht="16" x14ac:dyDescent="0.2">
      <c r="A1028" s="47"/>
      <c r="B1028" s="383"/>
      <c r="C1028" s="176">
        <f t="shared" ref="C1028:C1091" si="308">ROW(A1025)</f>
        <v>1025</v>
      </c>
      <c r="D1028" s="454">
        <v>45897</v>
      </c>
      <c r="E1028" s="37">
        <v>45900</v>
      </c>
      <c r="F1028" s="65" t="s">
        <v>208</v>
      </c>
      <c r="G1028" s="11" t="str">
        <f ca="1">IF(AND(E1028&lt;&gt;"",E1028&lt;TODAY()),"Disponible",IFERROR(INDEX(Vehiculos[Estado Vehiculo],MATCH(F1028,Vehiculos[Placa Vehiculo],0)),""))</f>
        <v>Disponible</v>
      </c>
      <c r="H1028" s="34" t="s">
        <v>245</v>
      </c>
      <c r="I1028" s="34" t="s">
        <v>273</v>
      </c>
      <c r="J1028" s="34" t="s">
        <v>274</v>
      </c>
      <c r="K1028" s="39">
        <v>110396</v>
      </c>
      <c r="L1028" s="39">
        <v>111008</v>
      </c>
      <c r="M1028" s="15">
        <f t="shared" si="303"/>
        <v>612</v>
      </c>
      <c r="N1028" s="452">
        <v>620</v>
      </c>
      <c r="O1028" s="39"/>
      <c r="P1028" s="36"/>
      <c r="Q1028" s="16">
        <f t="shared" si="304"/>
        <v>0</v>
      </c>
      <c r="R1028" s="34" t="s">
        <v>339</v>
      </c>
      <c r="S1028" s="34" t="s">
        <v>102</v>
      </c>
      <c r="T1028" s="36">
        <v>1.8</v>
      </c>
      <c r="U1028" s="293">
        <f>Rutas[[#This Row],[Precio x Galón ($/gal)]]*Rutas[[#This Row],[Volumen de Combustible (gal)]]</f>
        <v>233.11799999999999</v>
      </c>
      <c r="V1028" s="36"/>
      <c r="W1028" s="36"/>
      <c r="X1028" s="36"/>
      <c r="Y1028" s="145">
        <f t="shared" si="305"/>
        <v>233.11799999999999</v>
      </c>
      <c r="Z1028" s="567"/>
      <c r="AA1028" s="12">
        <v>129.51</v>
      </c>
      <c r="AB1028" s="12">
        <f t="shared" si="306"/>
        <v>4.7255038220986796</v>
      </c>
      <c r="AC1028" s="12">
        <f t="shared" si="307"/>
        <v>0</v>
      </c>
      <c r="AD1028" s="34"/>
    </row>
    <row r="1029" spans="1:30" ht="16" x14ac:dyDescent="0.2">
      <c r="A1029" s="47"/>
      <c r="B1029" s="383"/>
      <c r="C1029" s="176">
        <f t="shared" si="308"/>
        <v>1026</v>
      </c>
      <c r="D1029" s="146"/>
      <c r="E1029" s="37"/>
      <c r="F1029" s="65"/>
      <c r="G1029" s="11" t="str">
        <f ca="1">IF(AND(E1029&lt;&gt;"",E1029&lt;TODAY()),"Disponible",IFERROR(INDEX(Vehiculos[Estado Vehiculo],MATCH(F1029,Vehiculos[Placa Vehiculo],0)),""))</f>
        <v/>
      </c>
      <c r="H1029" s="34"/>
      <c r="I1029" s="34"/>
      <c r="J1029" s="34"/>
      <c r="K1029" s="39"/>
      <c r="L1029" s="39"/>
      <c r="M1029" s="15">
        <f t="shared" si="298"/>
        <v>0</v>
      </c>
      <c r="N1029" s="15"/>
      <c r="O1029" s="39"/>
      <c r="P1029" s="36"/>
      <c r="Q1029" s="16">
        <f t="shared" si="299"/>
        <v>0</v>
      </c>
      <c r="R1029" s="34"/>
      <c r="S1029" s="34"/>
      <c r="T1029" s="36"/>
      <c r="U1029" s="293">
        <f>Rutas[[#This Row],[Precio x Galón ($/gal)]]*Rutas[[#This Row],[Volumen de Combustible (gal)]]</f>
        <v>0</v>
      </c>
      <c r="V1029" s="36"/>
      <c r="W1029" s="36"/>
      <c r="X1029" s="36"/>
      <c r="Y1029" s="145">
        <f t="shared" si="300"/>
        <v>0</v>
      </c>
      <c r="Z1029" s="567"/>
      <c r="AA1029" s="12"/>
      <c r="AB1029" s="12">
        <f t="shared" si="301"/>
        <v>0</v>
      </c>
      <c r="AC1029" s="12">
        <f t="shared" si="302"/>
        <v>0</v>
      </c>
      <c r="AD1029" s="34"/>
    </row>
    <row r="1030" spans="1:30" ht="16" x14ac:dyDescent="0.2">
      <c r="A1030" s="47"/>
      <c r="B1030" s="383"/>
      <c r="C1030" s="176">
        <f t="shared" si="308"/>
        <v>1027</v>
      </c>
      <c r="D1030" s="90">
        <v>45870</v>
      </c>
      <c r="E1030" s="90">
        <v>45871</v>
      </c>
      <c r="F1030" s="68" t="s">
        <v>209</v>
      </c>
      <c r="G1030" s="379" t="str">
        <f ca="1">IF(AND(E1030&lt;&gt;"",E1030&lt;TODAY()),"Disponible",IFERROR(INDEX(Vehiculos[Estado Vehiculo],MATCH(F1030,Vehiculos[Placa Vehiculo],0)),""))</f>
        <v>Disponible</v>
      </c>
      <c r="H1030" s="89" t="s">
        <v>241</v>
      </c>
      <c r="I1030" s="89" t="s">
        <v>273</v>
      </c>
      <c r="J1030" s="89" t="s">
        <v>274</v>
      </c>
      <c r="K1030" s="380">
        <v>107521</v>
      </c>
      <c r="L1030" s="380">
        <v>108008</v>
      </c>
      <c r="M1030" s="381">
        <f t="shared" si="298"/>
        <v>487</v>
      </c>
      <c r="N1030" s="381"/>
      <c r="O1030" s="380"/>
      <c r="P1030" s="92"/>
      <c r="Q1030" s="382">
        <f t="shared" si="299"/>
        <v>0</v>
      </c>
      <c r="R1030" s="89" t="s">
        <v>339</v>
      </c>
      <c r="S1030" s="89" t="s">
        <v>102</v>
      </c>
      <c r="T1030" s="92">
        <v>1.8</v>
      </c>
      <c r="U1030" s="266">
        <f>Rutas[[#This Row],[Precio x Galón ($/gal)]]*Rutas[[#This Row],[Volumen de Combustible (gal)]]</f>
        <v>167.904</v>
      </c>
      <c r="V1030" s="92"/>
      <c r="W1030" s="92"/>
      <c r="X1030" s="92"/>
      <c r="Y1030" s="382">
        <f t="shared" si="300"/>
        <v>167.904</v>
      </c>
      <c r="Z1030" s="567"/>
      <c r="AA1030" s="382">
        <v>93.28</v>
      </c>
      <c r="AB1030" s="382">
        <f t="shared" si="301"/>
        <v>5.2208404802744424</v>
      </c>
      <c r="AC1030" s="382">
        <f t="shared" si="302"/>
        <v>0</v>
      </c>
      <c r="AD1030" s="89"/>
    </row>
    <row r="1031" spans="1:30" ht="16" x14ac:dyDescent="0.2">
      <c r="A1031" s="47"/>
      <c r="B1031" s="383"/>
      <c r="C1031" s="176">
        <f t="shared" si="308"/>
        <v>1028</v>
      </c>
      <c r="D1031" s="146">
        <v>45871</v>
      </c>
      <c r="E1031" s="37">
        <v>45875</v>
      </c>
      <c r="F1031" s="65" t="s">
        <v>209</v>
      </c>
      <c r="G1031" s="11" t="str">
        <f ca="1">IF(AND(E1031&lt;&gt;"",E1031&lt;TODAY()),"Disponible",IFERROR(INDEX(Vehiculos[Estado Vehiculo],MATCH(F1031,Vehiculos[Placa Vehiculo],0)),""))</f>
        <v>Disponible</v>
      </c>
      <c r="H1031" s="34" t="s">
        <v>241</v>
      </c>
      <c r="I1031" s="34" t="s">
        <v>273</v>
      </c>
      <c r="J1031" s="34" t="s">
        <v>274</v>
      </c>
      <c r="K1031" s="39">
        <v>108008</v>
      </c>
      <c r="L1031" s="39">
        <v>108560</v>
      </c>
      <c r="M1031" s="15">
        <f t="shared" si="298"/>
        <v>552</v>
      </c>
      <c r="N1031" s="15"/>
      <c r="O1031" s="39"/>
      <c r="P1031" s="36"/>
      <c r="Q1031" s="16">
        <f t="shared" si="299"/>
        <v>0</v>
      </c>
      <c r="R1031" s="34" t="s">
        <v>339</v>
      </c>
      <c r="S1031" s="34" t="s">
        <v>102</v>
      </c>
      <c r="T1031" s="36">
        <v>1.8</v>
      </c>
      <c r="U1031" s="293">
        <f>Rutas[[#This Row],[Precio x Galón ($/gal)]]*Rutas[[#This Row],[Volumen de Combustible (gal)]]</f>
        <v>63.917999999999999</v>
      </c>
      <c r="V1031" s="36"/>
      <c r="W1031" s="36"/>
      <c r="X1031" s="36"/>
      <c r="Y1031" s="145">
        <f t="shared" si="300"/>
        <v>63.917999999999999</v>
      </c>
      <c r="Z1031" s="567"/>
      <c r="AA1031" s="12">
        <v>35.51</v>
      </c>
      <c r="AB1031" s="12">
        <f t="shared" si="301"/>
        <v>15.544916924809913</v>
      </c>
      <c r="AC1031" s="12">
        <f t="shared" si="302"/>
        <v>0</v>
      </c>
      <c r="AD1031" s="34"/>
    </row>
    <row r="1032" spans="1:30" ht="16" x14ac:dyDescent="0.2">
      <c r="A1032" s="47"/>
      <c r="B1032" s="383"/>
      <c r="C1032" s="176">
        <f t="shared" si="308"/>
        <v>1029</v>
      </c>
      <c r="D1032" s="454">
        <v>45875</v>
      </c>
      <c r="E1032" s="37">
        <v>45877</v>
      </c>
      <c r="F1032" s="65" t="s">
        <v>209</v>
      </c>
      <c r="G1032" s="11" t="str">
        <f ca="1">IF(AND(E1032&lt;&gt;"",E1032&lt;TODAY()),"Disponible",IFERROR(INDEX(Vehiculos[Estado Vehiculo],MATCH(F1032,Vehiculos[Placa Vehiculo],0)),""))</f>
        <v>Disponible</v>
      </c>
      <c r="H1032" s="34" t="s">
        <v>417</v>
      </c>
      <c r="I1032" s="34" t="s">
        <v>273</v>
      </c>
      <c r="J1032" s="34" t="s">
        <v>274</v>
      </c>
      <c r="K1032" s="39">
        <v>108560</v>
      </c>
      <c r="L1032" s="39">
        <v>108884</v>
      </c>
      <c r="M1032" s="15">
        <f t="shared" ref="M1032:M1038" si="309">L1032-K1032</f>
        <v>324</v>
      </c>
      <c r="N1032" s="15"/>
      <c r="O1032" s="39"/>
      <c r="P1032" s="36"/>
      <c r="Q1032" s="16">
        <f t="shared" ref="Q1032:Q1038" si="310">M1032*P1032</f>
        <v>0</v>
      </c>
      <c r="R1032" s="34" t="s">
        <v>339</v>
      </c>
      <c r="S1032" s="34" t="s">
        <v>102</v>
      </c>
      <c r="T1032" s="36">
        <v>1.8</v>
      </c>
      <c r="U1032" s="293">
        <f>Rutas[[#This Row],[Precio x Galón ($/gal)]]*Rutas[[#This Row],[Volumen de Combustible (gal)]]</f>
        <v>140.50800000000001</v>
      </c>
      <c r="V1032" s="36"/>
      <c r="W1032" s="36"/>
      <c r="X1032" s="36"/>
      <c r="Y1032" s="145">
        <f t="shared" ref="Y1032:Y1038" si="311">U1032+SUM(V1032:X1032)</f>
        <v>140.50800000000001</v>
      </c>
      <c r="Z1032" s="567"/>
      <c r="AA1032" s="12">
        <v>78.06</v>
      </c>
      <c r="AB1032" s="12">
        <f t="shared" ref="AB1032:AB1038" si="312">IFERROR(M1032/AA1032,0)</f>
        <v>4.15065334358186</v>
      </c>
      <c r="AC1032" s="12">
        <f t="shared" ref="AC1032:AC1038" si="313">IFERROR(Q1032/M1032,0)</f>
        <v>0</v>
      </c>
      <c r="AD1032" s="34"/>
    </row>
    <row r="1033" spans="1:30" ht="16" x14ac:dyDescent="0.2">
      <c r="A1033" s="47"/>
      <c r="B1033" s="383"/>
      <c r="C1033" s="176">
        <f t="shared" si="308"/>
        <v>1030</v>
      </c>
      <c r="D1033" s="454">
        <v>45877</v>
      </c>
      <c r="E1033" s="37">
        <v>45879</v>
      </c>
      <c r="F1033" s="65" t="s">
        <v>209</v>
      </c>
      <c r="G1033" s="11" t="str">
        <f ca="1">IF(AND(E1033&lt;&gt;"",E1033&lt;TODAY()),"Disponible",IFERROR(INDEX(Vehiculos[Estado Vehiculo],MATCH(F1033,Vehiculos[Placa Vehiculo],0)),""))</f>
        <v>Disponible</v>
      </c>
      <c r="H1033" s="34" t="s">
        <v>239</v>
      </c>
      <c r="I1033" s="34" t="s">
        <v>273</v>
      </c>
      <c r="J1033" s="34" t="s">
        <v>274</v>
      </c>
      <c r="K1033" s="39">
        <v>108884</v>
      </c>
      <c r="L1033" s="39">
        <v>109147</v>
      </c>
      <c r="M1033" s="15">
        <f t="shared" si="309"/>
        <v>263</v>
      </c>
      <c r="N1033" s="15"/>
      <c r="O1033" s="39"/>
      <c r="P1033" s="36"/>
      <c r="Q1033" s="16">
        <f t="shared" si="310"/>
        <v>0</v>
      </c>
      <c r="R1033" s="34" t="s">
        <v>339</v>
      </c>
      <c r="S1033" s="34" t="s">
        <v>102</v>
      </c>
      <c r="T1033" s="36">
        <v>1.8</v>
      </c>
      <c r="U1033" s="293">
        <f>Rutas[[#This Row],[Precio x Galón ($/gal)]]*Rutas[[#This Row],[Volumen de Combustible (gal)]]</f>
        <v>198</v>
      </c>
      <c r="V1033" s="36"/>
      <c r="W1033" s="36"/>
      <c r="X1033" s="36"/>
      <c r="Y1033" s="145">
        <f t="shared" si="311"/>
        <v>198</v>
      </c>
      <c r="Z1033" s="567"/>
      <c r="AA1033" s="12">
        <v>110</v>
      </c>
      <c r="AB1033" s="12">
        <f t="shared" si="312"/>
        <v>2.3909090909090911</v>
      </c>
      <c r="AC1033" s="12">
        <f t="shared" si="313"/>
        <v>0</v>
      </c>
      <c r="AD1033" s="34"/>
    </row>
    <row r="1034" spans="1:30" ht="16" x14ac:dyDescent="0.2">
      <c r="A1034" s="47"/>
      <c r="B1034" s="383"/>
      <c r="C1034" s="176">
        <f t="shared" si="308"/>
        <v>1031</v>
      </c>
      <c r="D1034" s="454">
        <v>45879</v>
      </c>
      <c r="E1034" s="37">
        <v>45883</v>
      </c>
      <c r="F1034" s="65" t="s">
        <v>209</v>
      </c>
      <c r="G1034" s="11" t="str">
        <f ca="1">IF(AND(E1034&lt;&gt;"",E1034&lt;TODAY()),"Disponible",IFERROR(INDEX(Vehiculos[Estado Vehiculo],MATCH(F1034,Vehiculos[Placa Vehiculo],0)),""))</f>
        <v>Disponible</v>
      </c>
      <c r="H1034" s="34" t="s">
        <v>239</v>
      </c>
      <c r="I1034" s="34" t="s">
        <v>273</v>
      </c>
      <c r="J1034" s="34" t="s">
        <v>274</v>
      </c>
      <c r="K1034" s="39">
        <v>109147</v>
      </c>
      <c r="L1034" s="39">
        <v>109679</v>
      </c>
      <c r="M1034" s="15">
        <f t="shared" si="309"/>
        <v>532</v>
      </c>
      <c r="N1034" s="15"/>
      <c r="O1034" s="39"/>
      <c r="P1034" s="36"/>
      <c r="Q1034" s="16">
        <f t="shared" si="310"/>
        <v>0</v>
      </c>
      <c r="R1034" s="34" t="s">
        <v>339</v>
      </c>
      <c r="S1034" s="34" t="s">
        <v>102</v>
      </c>
      <c r="T1034" s="36">
        <v>1.8</v>
      </c>
      <c r="U1034" s="293">
        <f>Rutas[[#This Row],[Precio x Galón ($/gal)]]*Rutas[[#This Row],[Volumen de Combustible (gal)]]</f>
        <v>169.95600000000002</v>
      </c>
      <c r="V1034" s="36"/>
      <c r="W1034" s="36"/>
      <c r="X1034" s="36"/>
      <c r="Y1034" s="145">
        <f t="shared" si="311"/>
        <v>169.95600000000002</v>
      </c>
      <c r="Z1034" s="567"/>
      <c r="AA1034" s="12">
        <v>94.42</v>
      </c>
      <c r="AB1034" s="12">
        <f t="shared" si="312"/>
        <v>5.6343994916331281</v>
      </c>
      <c r="AC1034" s="12">
        <f t="shared" si="313"/>
        <v>0</v>
      </c>
      <c r="AD1034" s="34"/>
    </row>
    <row r="1035" spans="1:30" ht="16" x14ac:dyDescent="0.2">
      <c r="A1035" s="47"/>
      <c r="B1035" s="383"/>
      <c r="C1035" s="176">
        <f t="shared" si="308"/>
        <v>1032</v>
      </c>
      <c r="D1035" s="454">
        <v>45883</v>
      </c>
      <c r="E1035" s="37">
        <v>45887</v>
      </c>
      <c r="F1035" s="65" t="s">
        <v>209</v>
      </c>
      <c r="G1035" s="11" t="str">
        <f ca="1">IF(AND(E1035&lt;&gt;"",E1035&lt;TODAY()),"Disponible",IFERROR(INDEX(Vehiculos[Estado Vehiculo],MATCH(F1035,Vehiculos[Placa Vehiculo],0)),""))</f>
        <v>Disponible</v>
      </c>
      <c r="H1035" s="34" t="s">
        <v>239</v>
      </c>
      <c r="I1035" s="34" t="s">
        <v>273</v>
      </c>
      <c r="J1035" s="34" t="s">
        <v>274</v>
      </c>
      <c r="K1035" s="39">
        <v>109679</v>
      </c>
      <c r="L1035" s="39">
        <v>110300</v>
      </c>
      <c r="M1035" s="15">
        <f t="shared" si="309"/>
        <v>621</v>
      </c>
      <c r="N1035" s="15"/>
      <c r="O1035" s="39"/>
      <c r="P1035" s="36"/>
      <c r="Q1035" s="16">
        <f t="shared" si="310"/>
        <v>0</v>
      </c>
      <c r="R1035" s="34" t="s">
        <v>339</v>
      </c>
      <c r="S1035" s="34" t="s">
        <v>102</v>
      </c>
      <c r="T1035" s="36">
        <v>1.8</v>
      </c>
      <c r="U1035" s="293">
        <f>Rutas[[#This Row],[Precio x Galón ($/gal)]]*Rutas[[#This Row],[Volumen de Combustible (gal)]]</f>
        <v>200.53800000000001</v>
      </c>
      <c r="V1035" s="36"/>
      <c r="W1035" s="36"/>
      <c r="X1035" s="36"/>
      <c r="Y1035" s="145">
        <f t="shared" si="311"/>
        <v>200.53800000000001</v>
      </c>
      <c r="Z1035" s="567"/>
      <c r="AA1035" s="12">
        <v>111.41</v>
      </c>
      <c r="AB1035" s="12">
        <f t="shared" si="312"/>
        <v>5.5740059240642674</v>
      </c>
      <c r="AC1035" s="12">
        <f t="shared" si="313"/>
        <v>0</v>
      </c>
      <c r="AD1035" s="34"/>
    </row>
    <row r="1036" spans="1:30" ht="16" x14ac:dyDescent="0.2">
      <c r="A1036" s="47"/>
      <c r="B1036" s="383"/>
      <c r="C1036" s="176">
        <f t="shared" si="308"/>
        <v>1033</v>
      </c>
      <c r="D1036" s="454">
        <v>45887</v>
      </c>
      <c r="E1036" s="37">
        <v>45892</v>
      </c>
      <c r="F1036" s="65" t="s">
        <v>209</v>
      </c>
      <c r="G1036" s="11" t="str">
        <f ca="1">IF(AND(E1036&lt;&gt;"",E1036&lt;TODAY()),"Disponible",IFERROR(INDEX(Vehiculos[Estado Vehiculo],MATCH(F1036,Vehiculos[Placa Vehiculo],0)),""))</f>
        <v>Disponible</v>
      </c>
      <c r="H1036" s="34" t="s">
        <v>241</v>
      </c>
      <c r="I1036" s="34" t="s">
        <v>273</v>
      </c>
      <c r="J1036" s="34" t="s">
        <v>274</v>
      </c>
      <c r="K1036" s="39">
        <v>110300</v>
      </c>
      <c r="L1036" s="39">
        <v>111042</v>
      </c>
      <c r="M1036" s="15">
        <f t="shared" si="309"/>
        <v>742</v>
      </c>
      <c r="N1036" s="15"/>
      <c r="O1036" s="39"/>
      <c r="P1036" s="36"/>
      <c r="Q1036" s="16">
        <f t="shared" si="310"/>
        <v>0</v>
      </c>
      <c r="R1036" s="34" t="s">
        <v>339</v>
      </c>
      <c r="S1036" s="34" t="s">
        <v>102</v>
      </c>
      <c r="T1036" s="36">
        <v>1.8</v>
      </c>
      <c r="U1036" s="293">
        <f>Rutas[[#This Row],[Precio x Galón ($/gal)]]*Rutas[[#This Row],[Volumen de Combustible (gal)]]</f>
        <v>212.4</v>
      </c>
      <c r="V1036" s="36"/>
      <c r="W1036" s="36"/>
      <c r="X1036" s="36"/>
      <c r="Y1036" s="145">
        <f t="shared" si="311"/>
        <v>212.4</v>
      </c>
      <c r="Z1036" s="567"/>
      <c r="AA1036" s="12">
        <v>118</v>
      </c>
      <c r="AB1036" s="12">
        <f t="shared" si="312"/>
        <v>6.2881355932203391</v>
      </c>
      <c r="AC1036" s="12">
        <f t="shared" si="313"/>
        <v>0</v>
      </c>
      <c r="AD1036" s="34"/>
    </row>
    <row r="1037" spans="1:30" ht="16" x14ac:dyDescent="0.2">
      <c r="A1037" s="47"/>
      <c r="B1037" s="383"/>
      <c r="C1037" s="176">
        <f t="shared" si="308"/>
        <v>1034</v>
      </c>
      <c r="D1037" s="454">
        <v>45892</v>
      </c>
      <c r="E1037" s="37">
        <v>45896</v>
      </c>
      <c r="F1037" s="65" t="s">
        <v>209</v>
      </c>
      <c r="G1037" s="11" t="str">
        <f ca="1">IF(AND(E1037&lt;&gt;"",E1037&lt;TODAY()),"Disponible",IFERROR(INDEX(Vehiculos[Estado Vehiculo],MATCH(F1037,Vehiculos[Placa Vehiculo],0)),""))</f>
        <v>Disponible</v>
      </c>
      <c r="H1037" s="34" t="s">
        <v>241</v>
      </c>
      <c r="I1037" s="34" t="s">
        <v>273</v>
      </c>
      <c r="J1037" s="34" t="s">
        <v>274</v>
      </c>
      <c r="K1037" s="39">
        <v>111042</v>
      </c>
      <c r="L1037" s="39">
        <v>111701</v>
      </c>
      <c r="M1037" s="15">
        <f t="shared" si="309"/>
        <v>659</v>
      </c>
      <c r="N1037" s="15"/>
      <c r="O1037" s="39"/>
      <c r="P1037" s="36"/>
      <c r="Q1037" s="16">
        <f t="shared" si="310"/>
        <v>0</v>
      </c>
      <c r="R1037" s="34" t="s">
        <v>339</v>
      </c>
      <c r="S1037" s="34" t="s">
        <v>102</v>
      </c>
      <c r="T1037" s="36">
        <v>1.8</v>
      </c>
      <c r="U1037" s="293">
        <f>Rutas[[#This Row],[Precio x Galón ($/gal)]]*Rutas[[#This Row],[Volumen de Combustible (gal)]]</f>
        <v>200.70000000000002</v>
      </c>
      <c r="V1037" s="36"/>
      <c r="W1037" s="36"/>
      <c r="X1037" s="36"/>
      <c r="Y1037" s="145">
        <f t="shared" si="311"/>
        <v>200.70000000000002</v>
      </c>
      <c r="Z1037" s="567"/>
      <c r="AA1037" s="12">
        <v>111.5</v>
      </c>
      <c r="AB1037" s="12">
        <f t="shared" si="312"/>
        <v>5.9103139013452912</v>
      </c>
      <c r="AC1037" s="12">
        <f t="shared" si="313"/>
        <v>0</v>
      </c>
      <c r="AD1037" s="34"/>
    </row>
    <row r="1038" spans="1:30" ht="16" x14ac:dyDescent="0.2">
      <c r="A1038" s="47"/>
      <c r="B1038" s="383"/>
      <c r="C1038" s="176">
        <f t="shared" si="308"/>
        <v>1035</v>
      </c>
      <c r="D1038" s="454">
        <v>45896</v>
      </c>
      <c r="E1038" s="37">
        <v>45900</v>
      </c>
      <c r="F1038" s="65" t="s">
        <v>209</v>
      </c>
      <c r="G1038" s="11" t="str">
        <f ca="1">IF(AND(E1038&lt;&gt;"",E1038&lt;TODAY()),"Disponible",IFERROR(INDEX(Vehiculos[Estado Vehiculo],MATCH(F1038,Vehiculos[Placa Vehiculo],0)),""))</f>
        <v>Disponible</v>
      </c>
      <c r="H1038" s="34" t="s">
        <v>241</v>
      </c>
      <c r="I1038" s="34" t="s">
        <v>273</v>
      </c>
      <c r="J1038" s="34" t="s">
        <v>274</v>
      </c>
      <c r="K1038" s="39">
        <v>111701</v>
      </c>
      <c r="L1038" s="39">
        <v>112484</v>
      </c>
      <c r="M1038" s="15">
        <f t="shared" si="309"/>
        <v>783</v>
      </c>
      <c r="N1038" s="452">
        <v>620</v>
      </c>
      <c r="O1038" s="39"/>
      <c r="P1038" s="36"/>
      <c r="Q1038" s="16">
        <f t="shared" si="310"/>
        <v>0</v>
      </c>
      <c r="R1038" s="34" t="s">
        <v>339</v>
      </c>
      <c r="S1038" s="34" t="s">
        <v>102</v>
      </c>
      <c r="T1038" s="36">
        <v>1.8</v>
      </c>
      <c r="U1038" s="293">
        <f>Rutas[[#This Row],[Precio x Galón ($/gal)]]*Rutas[[#This Row],[Volumen de Combustible (gal)]]</f>
        <v>221.4</v>
      </c>
      <c r="V1038" s="36"/>
      <c r="W1038" s="36"/>
      <c r="X1038" s="36"/>
      <c r="Y1038" s="145">
        <f t="shared" si="311"/>
        <v>221.4</v>
      </c>
      <c r="Z1038" s="567"/>
      <c r="AA1038" s="12">
        <v>123</v>
      </c>
      <c r="AB1038" s="12">
        <f t="shared" si="312"/>
        <v>6.3658536585365857</v>
      </c>
      <c r="AC1038" s="12">
        <f t="shared" si="313"/>
        <v>0</v>
      </c>
      <c r="AD1038" s="34"/>
    </row>
    <row r="1039" spans="1:30" ht="16" x14ac:dyDescent="0.2">
      <c r="A1039" s="47"/>
      <c r="B1039" s="383"/>
      <c r="C1039" s="176">
        <f t="shared" si="308"/>
        <v>1036</v>
      </c>
      <c r="D1039" s="454"/>
      <c r="E1039" s="37"/>
      <c r="F1039" s="65"/>
      <c r="G1039" s="11" t="str">
        <f ca="1">IF(AND(E1039&lt;&gt;"",E1039&lt;TODAY()),"Disponible",IFERROR(INDEX(Vehiculos[Estado Vehiculo],MATCH(F1039,Vehiculos[Placa Vehiculo],0)),""))</f>
        <v/>
      </c>
      <c r="H1039" s="34"/>
      <c r="I1039" s="34"/>
      <c r="J1039" s="34"/>
      <c r="K1039" s="39"/>
      <c r="L1039" s="39"/>
      <c r="M1039" s="15">
        <f>L1039-K1039</f>
        <v>0</v>
      </c>
      <c r="N1039" s="15"/>
      <c r="O1039" s="39"/>
      <c r="P1039" s="36"/>
      <c r="Q1039" s="16">
        <f>M1039*P1039</f>
        <v>0</v>
      </c>
      <c r="R1039" s="34"/>
      <c r="S1039" s="34"/>
      <c r="T1039" s="36"/>
      <c r="U1039" s="293"/>
      <c r="V1039" s="36"/>
      <c r="W1039" s="36"/>
      <c r="X1039" s="36"/>
      <c r="Y1039" s="145">
        <f>U1039+SUM(V1039:X1039)</f>
        <v>0</v>
      </c>
      <c r="Z1039" s="567"/>
      <c r="AA1039" s="12"/>
      <c r="AB1039" s="12">
        <f>IFERROR(M1039/AA1039,0)</f>
        <v>0</v>
      </c>
      <c r="AC1039" s="12">
        <f>IFERROR(Q1039/M1039,0)</f>
        <v>0</v>
      </c>
      <c r="AD1039" s="34"/>
    </row>
    <row r="1040" spans="1:30" ht="16" x14ac:dyDescent="0.2">
      <c r="A1040" s="47"/>
      <c r="B1040" s="383"/>
      <c r="C1040" s="176">
        <f t="shared" si="308"/>
        <v>1037</v>
      </c>
      <c r="D1040" s="146"/>
      <c r="E1040" s="37"/>
      <c r="F1040" s="65"/>
      <c r="G1040" s="11" t="str">
        <f ca="1">IF(AND(E1040&lt;&gt;"",E1040&lt;TODAY()),"Disponible",IFERROR(INDEX(Vehiculos[Estado Vehiculo],MATCH(F1040,Vehiculos[Placa Vehiculo],0)),""))</f>
        <v/>
      </c>
      <c r="H1040" s="34"/>
      <c r="I1040" s="34"/>
      <c r="J1040" s="34"/>
      <c r="K1040" s="39"/>
      <c r="L1040" s="39"/>
      <c r="M1040" s="15">
        <f t="shared" si="298"/>
        <v>0</v>
      </c>
      <c r="N1040" s="15"/>
      <c r="O1040" s="39"/>
      <c r="P1040" s="36"/>
      <c r="Q1040" s="16">
        <f t="shared" si="299"/>
        <v>0</v>
      </c>
      <c r="R1040" s="34"/>
      <c r="S1040" s="34"/>
      <c r="T1040" s="36"/>
      <c r="U1040" s="293">
        <f>Rutas[[#This Row],[Precio x Galón ($/gal)]]*Rutas[[#This Row],[Volumen de Combustible (gal)]]</f>
        <v>0</v>
      </c>
      <c r="V1040" s="36"/>
      <c r="W1040" s="36"/>
      <c r="X1040" s="36"/>
      <c r="Y1040" s="145">
        <f t="shared" si="300"/>
        <v>0</v>
      </c>
      <c r="Z1040" s="567"/>
      <c r="AA1040" s="12"/>
      <c r="AB1040" s="12">
        <f t="shared" si="301"/>
        <v>0</v>
      </c>
      <c r="AC1040" s="12">
        <f t="shared" si="302"/>
        <v>0</v>
      </c>
      <c r="AD1040" s="34"/>
    </row>
    <row r="1041" spans="1:30" ht="16" x14ac:dyDescent="0.2">
      <c r="A1041" s="47"/>
      <c r="B1041" s="383"/>
      <c r="C1041" s="176">
        <f t="shared" si="308"/>
        <v>1038</v>
      </c>
      <c r="D1041" s="90">
        <v>45870</v>
      </c>
      <c r="E1041" s="90">
        <v>45871</v>
      </c>
      <c r="F1041" s="68" t="s">
        <v>210</v>
      </c>
      <c r="G1041" s="379" t="str">
        <f ca="1">IF(AND(E1041&lt;&gt;"",E1041&lt;TODAY()),"Disponible",IFERROR(INDEX(Vehiculos[Estado Vehiculo],MATCH(F1041,Vehiculos[Placa Vehiculo],0)),""))</f>
        <v>Disponible</v>
      </c>
      <c r="H1041" s="89" t="s">
        <v>250</v>
      </c>
      <c r="I1041" s="89" t="s">
        <v>273</v>
      </c>
      <c r="J1041" s="89" t="s">
        <v>274</v>
      </c>
      <c r="K1041" s="380">
        <v>93112</v>
      </c>
      <c r="L1041" s="380">
        <v>93180</v>
      </c>
      <c r="M1041" s="381">
        <f t="shared" si="298"/>
        <v>68</v>
      </c>
      <c r="N1041" s="381"/>
      <c r="O1041" s="380"/>
      <c r="P1041" s="92"/>
      <c r="Q1041" s="382">
        <f t="shared" si="299"/>
        <v>0</v>
      </c>
      <c r="R1041" s="89" t="s">
        <v>273</v>
      </c>
      <c r="S1041" s="89" t="s">
        <v>102</v>
      </c>
      <c r="T1041" s="92">
        <v>1.8</v>
      </c>
      <c r="U1041" s="266">
        <f>Rutas[[#This Row],[Precio x Galón ($/gal)]]*Rutas[[#This Row],[Volumen de Combustible (gal)]]</f>
        <v>183.24</v>
      </c>
      <c r="V1041" s="92"/>
      <c r="W1041" s="92"/>
      <c r="X1041" s="92"/>
      <c r="Y1041" s="382">
        <f t="shared" si="300"/>
        <v>183.24</v>
      </c>
      <c r="Z1041" s="567"/>
      <c r="AA1041" s="382">
        <v>101.8</v>
      </c>
      <c r="AB1041" s="382">
        <f t="shared" si="301"/>
        <v>0.66797642436149318</v>
      </c>
      <c r="AC1041" s="382">
        <f t="shared" si="302"/>
        <v>0</v>
      </c>
      <c r="AD1041" s="89"/>
    </row>
    <row r="1042" spans="1:30" ht="16" x14ac:dyDescent="0.2">
      <c r="A1042" s="47"/>
      <c r="B1042" s="383"/>
      <c r="C1042" s="176">
        <f t="shared" si="308"/>
        <v>1039</v>
      </c>
      <c r="D1042" s="146">
        <v>45871</v>
      </c>
      <c r="E1042" s="37">
        <v>45872</v>
      </c>
      <c r="F1042" s="65" t="s">
        <v>210</v>
      </c>
      <c r="G1042" s="11" t="str">
        <f ca="1">IF(AND(E1042&lt;&gt;"",E1042&lt;TODAY()),"Disponible",IFERROR(INDEX(Vehiculos[Estado Vehiculo],MATCH(F1042,Vehiculos[Placa Vehiculo],0)),""))</f>
        <v>Disponible</v>
      </c>
      <c r="H1042" s="34" t="s">
        <v>238</v>
      </c>
      <c r="I1042" s="34" t="s">
        <v>273</v>
      </c>
      <c r="J1042" s="34" t="s">
        <v>274</v>
      </c>
      <c r="K1042" s="39">
        <v>93180</v>
      </c>
      <c r="L1042" s="39">
        <v>93622</v>
      </c>
      <c r="M1042" s="15">
        <f t="shared" si="298"/>
        <v>442</v>
      </c>
      <c r="N1042" s="15"/>
      <c r="O1042" s="39"/>
      <c r="P1042" s="36"/>
      <c r="Q1042" s="16">
        <f t="shared" si="299"/>
        <v>0</v>
      </c>
      <c r="R1042" s="34" t="s">
        <v>273</v>
      </c>
      <c r="S1042" s="34" t="s">
        <v>102</v>
      </c>
      <c r="T1042" s="36">
        <v>1.8</v>
      </c>
      <c r="U1042" s="293">
        <f>Rutas[[#This Row],[Precio x Galón ($/gal)]]*Rutas[[#This Row],[Volumen de Combustible (gal)]]</f>
        <v>146.73599999999999</v>
      </c>
      <c r="V1042" s="36"/>
      <c r="W1042" s="36"/>
      <c r="X1042" s="36"/>
      <c r="Y1042" s="145">
        <f t="shared" si="300"/>
        <v>146.73599999999999</v>
      </c>
      <c r="Z1042" s="567"/>
      <c r="AA1042" s="12">
        <v>81.52</v>
      </c>
      <c r="AB1042" s="12">
        <f t="shared" si="301"/>
        <v>5.4219823356231602</v>
      </c>
      <c r="AC1042" s="12">
        <f t="shared" si="302"/>
        <v>0</v>
      </c>
      <c r="AD1042" s="34"/>
    </row>
    <row r="1043" spans="1:30" ht="16" x14ac:dyDescent="0.2">
      <c r="A1043" s="47"/>
      <c r="B1043" s="383"/>
      <c r="C1043" s="176">
        <f t="shared" si="308"/>
        <v>1040</v>
      </c>
      <c r="D1043" s="454">
        <v>45872</v>
      </c>
      <c r="E1043" s="37">
        <v>45877</v>
      </c>
      <c r="F1043" s="65" t="s">
        <v>210</v>
      </c>
      <c r="G1043" s="11" t="str">
        <f ca="1">IF(AND(E1043&lt;&gt;"",E1043&lt;TODAY()),"Disponible",IFERROR(INDEX(Vehiculos[Estado Vehiculo],MATCH(F1043,Vehiculos[Placa Vehiculo],0)),""))</f>
        <v>Disponible</v>
      </c>
      <c r="H1043" s="34" t="s">
        <v>238</v>
      </c>
      <c r="I1043" s="34" t="s">
        <v>273</v>
      </c>
      <c r="J1043" s="34" t="s">
        <v>274</v>
      </c>
      <c r="K1043" s="39">
        <v>93622</v>
      </c>
      <c r="L1043" s="39">
        <v>94195</v>
      </c>
      <c r="M1043" s="15">
        <f t="shared" ref="M1043:M1050" si="314">L1043-K1043</f>
        <v>573</v>
      </c>
      <c r="N1043" s="15"/>
      <c r="O1043" s="39"/>
      <c r="P1043" s="36"/>
      <c r="Q1043" s="16">
        <f t="shared" ref="Q1043:Q1050" si="315">M1043*P1043</f>
        <v>0</v>
      </c>
      <c r="R1043" s="34" t="s">
        <v>339</v>
      </c>
      <c r="S1043" s="34" t="s">
        <v>102</v>
      </c>
      <c r="T1043" s="36">
        <v>1.8</v>
      </c>
      <c r="U1043" s="293">
        <f>Rutas[[#This Row],[Precio x Galón ($/gal)]]*Rutas[[#This Row],[Volumen de Combustible (gal)]]</f>
        <v>191.34</v>
      </c>
      <c r="V1043" s="36"/>
      <c r="W1043" s="36"/>
      <c r="X1043" s="36"/>
      <c r="Y1043" s="145">
        <f t="shared" ref="Y1043:Y1050" si="316">U1043+SUM(V1043:X1043)</f>
        <v>191.34</v>
      </c>
      <c r="Z1043" s="567"/>
      <c r="AA1043" s="12">
        <v>106.3</v>
      </c>
      <c r="AB1043" s="12">
        <f t="shared" ref="AB1043:AB1050" si="317">IFERROR(M1043/AA1043,0)</f>
        <v>5.390404515522107</v>
      </c>
      <c r="AC1043" s="12">
        <f t="shared" ref="AC1043:AC1050" si="318">IFERROR(Q1043/M1043,0)</f>
        <v>0</v>
      </c>
      <c r="AD1043" s="34"/>
    </row>
    <row r="1044" spans="1:30" ht="16" x14ac:dyDescent="0.2">
      <c r="A1044" s="47"/>
      <c r="B1044" s="383"/>
      <c r="C1044" s="176">
        <f t="shared" si="308"/>
        <v>1041</v>
      </c>
      <c r="D1044" s="454">
        <v>45877</v>
      </c>
      <c r="E1044" s="37">
        <v>45880</v>
      </c>
      <c r="F1044" s="65" t="s">
        <v>210</v>
      </c>
      <c r="G1044" s="11" t="str">
        <f ca="1">IF(AND(E1044&lt;&gt;"",E1044&lt;TODAY()),"Disponible",IFERROR(INDEX(Vehiculos[Estado Vehiculo],MATCH(F1044,Vehiculos[Placa Vehiculo],0)),""))</f>
        <v>Disponible</v>
      </c>
      <c r="H1044" s="34" t="s">
        <v>238</v>
      </c>
      <c r="I1044" s="34" t="s">
        <v>273</v>
      </c>
      <c r="J1044" s="34" t="s">
        <v>274</v>
      </c>
      <c r="K1044" s="39">
        <v>94195</v>
      </c>
      <c r="L1044" s="39">
        <v>94625</v>
      </c>
      <c r="M1044" s="15">
        <f t="shared" si="314"/>
        <v>430</v>
      </c>
      <c r="N1044" s="15"/>
      <c r="O1044" s="39"/>
      <c r="P1044" s="36"/>
      <c r="Q1044" s="16">
        <f t="shared" si="315"/>
        <v>0</v>
      </c>
      <c r="R1044" s="34" t="s">
        <v>339</v>
      </c>
      <c r="S1044" s="34" t="s">
        <v>102</v>
      </c>
      <c r="T1044" s="36">
        <v>1.8</v>
      </c>
      <c r="U1044" s="293">
        <f>Rutas[[#This Row],[Precio x Galón ($/gal)]]*Rutas[[#This Row],[Volumen de Combustible (gal)]]</f>
        <v>154.20600000000002</v>
      </c>
      <c r="V1044" s="36"/>
      <c r="W1044" s="36"/>
      <c r="X1044" s="36"/>
      <c r="Y1044" s="145">
        <f t="shared" si="316"/>
        <v>154.20600000000002</v>
      </c>
      <c r="Z1044" s="567"/>
      <c r="AA1044" s="12">
        <v>85.67</v>
      </c>
      <c r="AB1044" s="12">
        <f t="shared" si="317"/>
        <v>5.0192599509746705</v>
      </c>
      <c r="AC1044" s="12">
        <f t="shared" si="318"/>
        <v>0</v>
      </c>
      <c r="AD1044" s="34"/>
    </row>
    <row r="1045" spans="1:30" ht="16" x14ac:dyDescent="0.2">
      <c r="A1045" s="47"/>
      <c r="B1045" s="383"/>
      <c r="C1045" s="176">
        <f t="shared" si="308"/>
        <v>1042</v>
      </c>
      <c r="D1045" s="454">
        <v>45880</v>
      </c>
      <c r="E1045" s="37">
        <v>45882</v>
      </c>
      <c r="F1045" s="65" t="s">
        <v>210</v>
      </c>
      <c r="G1045" s="11" t="str">
        <f ca="1">IF(AND(E1045&lt;&gt;"",E1045&lt;TODAY()),"Disponible",IFERROR(INDEX(Vehiculos[Estado Vehiculo],MATCH(F1045,Vehiculos[Placa Vehiculo],0)),""))</f>
        <v>Disponible</v>
      </c>
      <c r="H1045" s="34" t="s">
        <v>238</v>
      </c>
      <c r="I1045" s="34" t="s">
        <v>273</v>
      </c>
      <c r="J1045" s="34" t="s">
        <v>274</v>
      </c>
      <c r="K1045" s="39">
        <v>94625</v>
      </c>
      <c r="L1045" s="39">
        <v>95144</v>
      </c>
      <c r="M1045" s="15">
        <f t="shared" si="314"/>
        <v>519</v>
      </c>
      <c r="N1045" s="15"/>
      <c r="O1045" s="39"/>
      <c r="P1045" s="36"/>
      <c r="Q1045" s="16">
        <f t="shared" si="315"/>
        <v>0</v>
      </c>
      <c r="R1045" s="34" t="s">
        <v>339</v>
      </c>
      <c r="S1045" s="34" t="s">
        <v>102</v>
      </c>
      <c r="T1045" s="36">
        <v>1.8</v>
      </c>
      <c r="U1045" s="293">
        <f>Rutas[[#This Row],[Precio x Galón ($/gal)]]*Rutas[[#This Row],[Volumen de Combustible (gal)]]</f>
        <v>175.428</v>
      </c>
      <c r="V1045" s="36"/>
      <c r="W1045" s="36"/>
      <c r="X1045" s="36"/>
      <c r="Y1045" s="145">
        <f t="shared" si="316"/>
        <v>175.428</v>
      </c>
      <c r="Z1045" s="567"/>
      <c r="AA1045" s="12">
        <v>97.46</v>
      </c>
      <c r="AB1045" s="12">
        <f t="shared" si="317"/>
        <v>5.3252616458034066</v>
      </c>
      <c r="AC1045" s="12">
        <f t="shared" si="318"/>
        <v>0</v>
      </c>
      <c r="AD1045" s="34"/>
    </row>
    <row r="1046" spans="1:30" ht="16" x14ac:dyDescent="0.2">
      <c r="A1046" s="47"/>
      <c r="B1046" s="383"/>
      <c r="C1046" s="176">
        <f t="shared" si="308"/>
        <v>1043</v>
      </c>
      <c r="D1046" s="454">
        <v>45882</v>
      </c>
      <c r="E1046" s="37">
        <v>45887</v>
      </c>
      <c r="F1046" s="65" t="s">
        <v>210</v>
      </c>
      <c r="G1046" s="11" t="str">
        <f ca="1">IF(AND(E1046&lt;&gt;"",E1046&lt;TODAY()),"Disponible",IFERROR(INDEX(Vehiculos[Estado Vehiculo],MATCH(F1046,Vehiculos[Placa Vehiculo],0)),""))</f>
        <v>Disponible</v>
      </c>
      <c r="H1046" s="34" t="s">
        <v>238</v>
      </c>
      <c r="I1046" s="34" t="s">
        <v>273</v>
      </c>
      <c r="J1046" s="34" t="s">
        <v>274</v>
      </c>
      <c r="K1046" s="39">
        <v>95144</v>
      </c>
      <c r="L1046" s="39">
        <v>95821</v>
      </c>
      <c r="M1046" s="15">
        <f t="shared" si="314"/>
        <v>677</v>
      </c>
      <c r="N1046" s="15"/>
      <c r="O1046" s="39"/>
      <c r="P1046" s="36"/>
      <c r="Q1046" s="16">
        <f t="shared" si="315"/>
        <v>0</v>
      </c>
      <c r="R1046" s="34" t="s">
        <v>339</v>
      </c>
      <c r="S1046" s="34" t="s">
        <v>102</v>
      </c>
      <c r="T1046" s="36">
        <v>1.8</v>
      </c>
      <c r="U1046" s="293">
        <f>Rutas[[#This Row],[Precio x Galón ($/gal)]]*Rutas[[#This Row],[Volumen de Combustible (gal)]]</f>
        <v>207.91800000000001</v>
      </c>
      <c r="V1046" s="36"/>
      <c r="W1046" s="36"/>
      <c r="X1046" s="36"/>
      <c r="Y1046" s="145">
        <f t="shared" si="316"/>
        <v>207.91800000000001</v>
      </c>
      <c r="Z1046" s="567"/>
      <c r="AA1046" s="12">
        <v>115.51</v>
      </c>
      <c r="AB1046" s="12">
        <f t="shared" si="317"/>
        <v>5.8609644186650502</v>
      </c>
      <c r="AC1046" s="12">
        <f t="shared" si="318"/>
        <v>0</v>
      </c>
      <c r="AD1046" s="34"/>
    </row>
    <row r="1047" spans="1:30" ht="16" x14ac:dyDescent="0.2">
      <c r="A1047" s="47"/>
      <c r="B1047" s="383"/>
      <c r="C1047" s="176">
        <f t="shared" si="308"/>
        <v>1044</v>
      </c>
      <c r="D1047" s="454">
        <v>45887</v>
      </c>
      <c r="E1047" s="37">
        <v>45892</v>
      </c>
      <c r="F1047" s="65" t="s">
        <v>210</v>
      </c>
      <c r="G1047" s="11" t="str">
        <f ca="1">IF(AND(E1047&lt;&gt;"",E1047&lt;TODAY()),"Disponible",IFERROR(INDEX(Vehiculos[Estado Vehiculo],MATCH(F1047,Vehiculos[Placa Vehiculo],0)),""))</f>
        <v>Disponible</v>
      </c>
      <c r="H1047" s="34" t="s">
        <v>250</v>
      </c>
      <c r="I1047" s="34" t="s">
        <v>273</v>
      </c>
      <c r="J1047" s="34" t="s">
        <v>274</v>
      </c>
      <c r="K1047" s="39">
        <v>95821</v>
      </c>
      <c r="L1047" s="39">
        <v>96512</v>
      </c>
      <c r="M1047" s="15">
        <f t="shared" si="314"/>
        <v>691</v>
      </c>
      <c r="N1047" s="15"/>
      <c r="O1047" s="39"/>
      <c r="P1047" s="36"/>
      <c r="Q1047" s="16">
        <f t="shared" si="315"/>
        <v>0</v>
      </c>
      <c r="R1047" s="34" t="s">
        <v>339</v>
      </c>
      <c r="S1047" s="34" t="s">
        <v>102</v>
      </c>
      <c r="T1047" s="36">
        <v>1.8</v>
      </c>
      <c r="U1047" s="293">
        <f>Rutas[[#This Row],[Precio x Galón ($/gal)]]*Rutas[[#This Row],[Volumen de Combustible (gal)]]</f>
        <v>218.08799999999999</v>
      </c>
      <c r="V1047" s="36"/>
      <c r="W1047" s="36"/>
      <c r="X1047" s="36"/>
      <c r="Y1047" s="145">
        <f t="shared" si="316"/>
        <v>218.08799999999999</v>
      </c>
      <c r="Z1047" s="567"/>
      <c r="AA1047" s="12">
        <v>121.16</v>
      </c>
      <c r="AB1047" s="12">
        <f t="shared" si="317"/>
        <v>5.7032023770221194</v>
      </c>
      <c r="AC1047" s="12">
        <f t="shared" si="318"/>
        <v>0</v>
      </c>
      <c r="AD1047" s="34"/>
    </row>
    <row r="1048" spans="1:30" ht="16" x14ac:dyDescent="0.2">
      <c r="A1048" s="47"/>
      <c r="B1048" s="383"/>
      <c r="C1048" s="176">
        <f t="shared" si="308"/>
        <v>1045</v>
      </c>
      <c r="D1048" s="454">
        <v>45892</v>
      </c>
      <c r="E1048" s="37">
        <v>45894</v>
      </c>
      <c r="F1048" s="65" t="s">
        <v>210</v>
      </c>
      <c r="G1048" s="11" t="str">
        <f ca="1">IF(AND(E1048&lt;&gt;"",E1048&lt;TODAY()),"Disponible",IFERROR(INDEX(Vehiculos[Estado Vehiculo],MATCH(F1048,Vehiculos[Placa Vehiculo],0)),""))</f>
        <v>Disponible</v>
      </c>
      <c r="H1048" s="34" t="s">
        <v>250</v>
      </c>
      <c r="I1048" s="34" t="s">
        <v>273</v>
      </c>
      <c r="J1048" s="34" t="s">
        <v>274</v>
      </c>
      <c r="K1048" s="39">
        <v>96512</v>
      </c>
      <c r="L1048" s="39">
        <v>96904</v>
      </c>
      <c r="M1048" s="15">
        <f t="shared" si="314"/>
        <v>392</v>
      </c>
      <c r="N1048" s="15"/>
      <c r="O1048" s="39"/>
      <c r="P1048" s="36"/>
      <c r="Q1048" s="16">
        <f t="shared" si="315"/>
        <v>0</v>
      </c>
      <c r="R1048" s="34" t="s">
        <v>339</v>
      </c>
      <c r="S1048" s="34" t="s">
        <v>102</v>
      </c>
      <c r="T1048" s="36">
        <v>1.8</v>
      </c>
      <c r="U1048" s="293">
        <f>Rutas[[#This Row],[Precio x Galón ($/gal)]]*Rutas[[#This Row],[Volumen de Combustible (gal)]]</f>
        <v>122.598</v>
      </c>
      <c r="V1048" s="36"/>
      <c r="W1048" s="36"/>
      <c r="X1048" s="36"/>
      <c r="Y1048" s="145">
        <f t="shared" si="316"/>
        <v>122.598</v>
      </c>
      <c r="Z1048" s="567"/>
      <c r="AA1048" s="12">
        <v>68.11</v>
      </c>
      <c r="AB1048" s="12">
        <f t="shared" si="317"/>
        <v>5.7553956834532372</v>
      </c>
      <c r="AC1048" s="12">
        <f t="shared" si="318"/>
        <v>0</v>
      </c>
      <c r="AD1048" s="34"/>
    </row>
    <row r="1049" spans="1:30" ht="16" x14ac:dyDescent="0.2">
      <c r="A1049" s="47"/>
      <c r="B1049" s="383"/>
      <c r="C1049" s="176">
        <f t="shared" si="308"/>
        <v>1046</v>
      </c>
      <c r="D1049" s="454">
        <v>45894</v>
      </c>
      <c r="E1049" s="37">
        <v>45897</v>
      </c>
      <c r="F1049" s="65" t="s">
        <v>210</v>
      </c>
      <c r="G1049" s="11" t="str">
        <f ca="1">IF(AND(E1049&lt;&gt;"",E1049&lt;TODAY()),"Disponible",IFERROR(INDEX(Vehiculos[Estado Vehiculo],MATCH(F1049,Vehiculos[Placa Vehiculo],0)),""))</f>
        <v>Disponible</v>
      </c>
      <c r="H1049" s="34" t="s">
        <v>245</v>
      </c>
      <c r="I1049" s="34" t="s">
        <v>273</v>
      </c>
      <c r="J1049" s="34" t="s">
        <v>274</v>
      </c>
      <c r="K1049" s="39">
        <v>96904</v>
      </c>
      <c r="L1049" s="39">
        <v>97542</v>
      </c>
      <c r="M1049" s="15">
        <f t="shared" si="314"/>
        <v>638</v>
      </c>
      <c r="N1049" s="15"/>
      <c r="O1049" s="39"/>
      <c r="P1049" s="36"/>
      <c r="Q1049" s="16">
        <f t="shared" si="315"/>
        <v>0</v>
      </c>
      <c r="R1049" s="34" t="s">
        <v>339</v>
      </c>
      <c r="S1049" s="34" t="s">
        <v>102</v>
      </c>
      <c r="T1049" s="36">
        <v>1.8</v>
      </c>
      <c r="U1049" s="293">
        <f>Rutas[[#This Row],[Precio x Galón ($/gal)]]*Rutas[[#This Row],[Volumen de Combustible (gal)]]</f>
        <v>184.95000000000002</v>
      </c>
      <c r="V1049" s="36"/>
      <c r="W1049" s="36"/>
      <c r="X1049" s="36"/>
      <c r="Y1049" s="145">
        <f t="shared" si="316"/>
        <v>184.95000000000002</v>
      </c>
      <c r="Z1049" s="567"/>
      <c r="AA1049" s="12">
        <v>102.75</v>
      </c>
      <c r="AB1049" s="12">
        <f t="shared" si="317"/>
        <v>6.2092457420924578</v>
      </c>
      <c r="AC1049" s="12">
        <f t="shared" si="318"/>
        <v>0</v>
      </c>
      <c r="AD1049" s="34"/>
    </row>
    <row r="1050" spans="1:30" ht="16" x14ac:dyDescent="0.2">
      <c r="A1050" s="47"/>
      <c r="B1050" s="383"/>
      <c r="C1050" s="176">
        <f t="shared" si="308"/>
        <v>1047</v>
      </c>
      <c r="D1050" s="454">
        <v>45897</v>
      </c>
      <c r="E1050" s="37">
        <v>45899</v>
      </c>
      <c r="F1050" s="65" t="s">
        <v>210</v>
      </c>
      <c r="G1050" s="11" t="str">
        <f ca="1">IF(AND(E1050&lt;&gt;"",E1050&lt;TODAY()),"Disponible",IFERROR(INDEX(Vehiculos[Estado Vehiculo],MATCH(F1050,Vehiculos[Placa Vehiculo],0)),""))</f>
        <v>Disponible</v>
      </c>
      <c r="H1050" s="34"/>
      <c r="I1050" s="34" t="s">
        <v>273</v>
      </c>
      <c r="J1050" s="34" t="s">
        <v>274</v>
      </c>
      <c r="K1050" s="39">
        <v>97542</v>
      </c>
      <c r="L1050" s="39">
        <v>97738</v>
      </c>
      <c r="M1050" s="15">
        <f t="shared" si="314"/>
        <v>196</v>
      </c>
      <c r="N1050" s="452">
        <v>625</v>
      </c>
      <c r="O1050" s="39"/>
      <c r="P1050" s="36"/>
      <c r="Q1050" s="16">
        <f t="shared" si="315"/>
        <v>0</v>
      </c>
      <c r="R1050" s="34"/>
      <c r="S1050" s="34"/>
      <c r="T1050" s="36"/>
      <c r="U1050" s="293">
        <f>Rutas[[#This Row],[Precio x Galón ($/gal)]]*Rutas[[#This Row],[Volumen de Combustible (gal)]]</f>
        <v>0</v>
      </c>
      <c r="V1050" s="36"/>
      <c r="W1050" s="36"/>
      <c r="X1050" s="36"/>
      <c r="Y1050" s="145">
        <f t="shared" si="316"/>
        <v>0</v>
      </c>
      <c r="Z1050" s="567"/>
      <c r="AA1050" s="12"/>
      <c r="AB1050" s="12">
        <f t="shared" si="317"/>
        <v>0</v>
      </c>
      <c r="AC1050" s="12">
        <f t="shared" si="318"/>
        <v>0</v>
      </c>
      <c r="AD1050" s="34"/>
    </row>
    <row r="1051" spans="1:30" ht="16" x14ac:dyDescent="0.2">
      <c r="A1051" s="47"/>
      <c r="B1051" s="383"/>
      <c r="C1051" s="176">
        <f t="shared" si="308"/>
        <v>1048</v>
      </c>
      <c r="D1051" s="146"/>
      <c r="E1051" s="37"/>
      <c r="F1051" s="65"/>
      <c r="G1051" s="11" t="str">
        <f ca="1">IF(AND(E1051&lt;&gt;"",E1051&lt;TODAY()),"Disponible",IFERROR(INDEX(Vehiculos[Estado Vehiculo],MATCH(F1051,Vehiculos[Placa Vehiculo],0)),""))</f>
        <v/>
      </c>
      <c r="H1051" s="34"/>
      <c r="I1051" s="34"/>
      <c r="J1051" s="34"/>
      <c r="K1051" s="39"/>
      <c r="L1051" s="39"/>
      <c r="M1051" s="15">
        <f t="shared" si="298"/>
        <v>0</v>
      </c>
      <c r="N1051" s="15"/>
      <c r="O1051" s="39"/>
      <c r="P1051" s="36"/>
      <c r="Q1051" s="16">
        <f t="shared" si="299"/>
        <v>0</v>
      </c>
      <c r="R1051" s="34"/>
      <c r="S1051" s="34"/>
      <c r="T1051" s="36"/>
      <c r="U1051" s="293">
        <f>Rutas[[#This Row],[Precio x Galón ($/gal)]]*Rutas[[#This Row],[Volumen de Combustible (gal)]]</f>
        <v>0</v>
      </c>
      <c r="V1051" s="36"/>
      <c r="W1051" s="36"/>
      <c r="X1051" s="36"/>
      <c r="Y1051" s="145">
        <f t="shared" si="300"/>
        <v>0</v>
      </c>
      <c r="Z1051" s="567"/>
      <c r="AA1051" s="12"/>
      <c r="AB1051" s="12">
        <f t="shared" si="301"/>
        <v>0</v>
      </c>
      <c r="AC1051" s="12">
        <f t="shared" si="302"/>
        <v>0</v>
      </c>
      <c r="AD1051" s="34"/>
    </row>
    <row r="1052" spans="1:30" ht="16" x14ac:dyDescent="0.2">
      <c r="A1052" s="47"/>
      <c r="B1052" s="383"/>
      <c r="C1052" s="176">
        <f t="shared" si="308"/>
        <v>1049</v>
      </c>
      <c r="D1052" s="90">
        <v>45870</v>
      </c>
      <c r="E1052" s="90">
        <v>45871</v>
      </c>
      <c r="F1052" s="68" t="s">
        <v>212</v>
      </c>
      <c r="G1052" s="379" t="str">
        <f ca="1">IF(AND(E1052&lt;&gt;"",E1052&lt;TODAY()),"Disponible",IFERROR(INDEX(Vehiculos[Estado Vehiculo],MATCH(F1052,Vehiculos[Placa Vehiculo],0)),""))</f>
        <v>Disponible</v>
      </c>
      <c r="H1052" s="89"/>
      <c r="I1052" s="89" t="s">
        <v>273</v>
      </c>
      <c r="J1052" s="89" t="s">
        <v>274</v>
      </c>
      <c r="K1052" s="380">
        <v>270382</v>
      </c>
      <c r="L1052" s="380">
        <v>270705</v>
      </c>
      <c r="M1052" s="381">
        <f t="shared" si="298"/>
        <v>323</v>
      </c>
      <c r="N1052" s="381"/>
      <c r="O1052" s="380"/>
      <c r="P1052" s="92"/>
      <c r="Q1052" s="382">
        <f t="shared" si="299"/>
        <v>0</v>
      </c>
      <c r="R1052" s="89" t="s">
        <v>273</v>
      </c>
      <c r="S1052" s="89" t="s">
        <v>102</v>
      </c>
      <c r="T1052" s="92">
        <v>1.8</v>
      </c>
      <c r="U1052" s="266">
        <f>Rutas[[#This Row],[Precio x Galón ($/gal)]]*Rutas[[#This Row],[Volumen de Combustible (gal)]]</f>
        <v>351.108</v>
      </c>
      <c r="V1052" s="92"/>
      <c r="W1052" s="92"/>
      <c r="X1052" s="92"/>
      <c r="Y1052" s="382">
        <f t="shared" si="300"/>
        <v>351.108</v>
      </c>
      <c r="Z1052" s="567"/>
      <c r="AA1052" s="382">
        <v>195.06</v>
      </c>
      <c r="AB1052" s="382">
        <f t="shared" si="301"/>
        <v>1.6559007484876449</v>
      </c>
      <c r="AC1052" s="382">
        <f t="shared" si="302"/>
        <v>0</v>
      </c>
      <c r="AD1052" s="89"/>
    </row>
    <row r="1053" spans="1:30" ht="16" x14ac:dyDescent="0.2">
      <c r="A1053" s="47"/>
      <c r="B1053" s="383"/>
      <c r="C1053" s="176">
        <f t="shared" si="308"/>
        <v>1050</v>
      </c>
      <c r="D1053" s="146">
        <v>45871</v>
      </c>
      <c r="E1053" s="37">
        <v>45872</v>
      </c>
      <c r="F1053" s="65" t="s">
        <v>212</v>
      </c>
      <c r="G1053" s="11" t="str">
        <f ca="1">IF(AND(E1053&lt;&gt;"",E1053&lt;TODAY()),"Disponible",IFERROR(INDEX(Vehiculos[Estado Vehiculo],MATCH(F1053,Vehiculos[Placa Vehiculo],0)),""))</f>
        <v>Disponible</v>
      </c>
      <c r="H1053" s="34" t="s">
        <v>269</v>
      </c>
      <c r="I1053" s="34" t="s">
        <v>273</v>
      </c>
      <c r="J1053" s="34" t="s">
        <v>274</v>
      </c>
      <c r="K1053" s="39">
        <v>270705</v>
      </c>
      <c r="L1053" s="39">
        <v>271025</v>
      </c>
      <c r="M1053" s="15">
        <f t="shared" si="298"/>
        <v>320</v>
      </c>
      <c r="N1053" s="15"/>
      <c r="O1053" s="39"/>
      <c r="P1053" s="36"/>
      <c r="Q1053" s="16">
        <f t="shared" si="299"/>
        <v>0</v>
      </c>
      <c r="R1053" s="34" t="s">
        <v>339</v>
      </c>
      <c r="S1053" s="34" t="s">
        <v>102</v>
      </c>
      <c r="T1053" s="36">
        <v>1.8</v>
      </c>
      <c r="U1053" s="293">
        <f>Rutas[[#This Row],[Precio x Galón ($/gal)]]*Rutas[[#This Row],[Volumen de Combustible (gal)]]</f>
        <v>137.934</v>
      </c>
      <c r="V1053" s="36"/>
      <c r="W1053" s="36"/>
      <c r="X1053" s="36"/>
      <c r="Y1053" s="145">
        <f t="shared" si="300"/>
        <v>137.934</v>
      </c>
      <c r="Z1053" s="567"/>
      <c r="AA1053" s="12">
        <v>76.63</v>
      </c>
      <c r="AB1053" s="12">
        <f t="shared" si="301"/>
        <v>4.1759102179303147</v>
      </c>
      <c r="AC1053" s="12">
        <f t="shared" si="302"/>
        <v>0</v>
      </c>
      <c r="AD1053" s="34"/>
    </row>
    <row r="1054" spans="1:30" ht="16" x14ac:dyDescent="0.2">
      <c r="A1054" s="47"/>
      <c r="B1054" s="383"/>
      <c r="C1054" s="176">
        <f t="shared" si="308"/>
        <v>1051</v>
      </c>
      <c r="D1054" s="146">
        <v>45872</v>
      </c>
      <c r="E1054" s="37">
        <v>45875</v>
      </c>
      <c r="F1054" s="65" t="s">
        <v>212</v>
      </c>
      <c r="G1054" s="11" t="str">
        <f ca="1">IF(AND(E1054&lt;&gt;"",E1054&lt;TODAY()),"Disponible",IFERROR(INDEX(Vehiculos[Estado Vehiculo],MATCH(F1054,Vehiculos[Placa Vehiculo],0)),""))</f>
        <v>Disponible</v>
      </c>
      <c r="H1054" s="34" t="s">
        <v>269</v>
      </c>
      <c r="I1054" s="34" t="s">
        <v>273</v>
      </c>
      <c r="J1054" s="34" t="s">
        <v>274</v>
      </c>
      <c r="K1054" s="39">
        <v>271025</v>
      </c>
      <c r="L1054" s="39">
        <v>271470</v>
      </c>
      <c r="M1054" s="15">
        <f t="shared" si="298"/>
        <v>445</v>
      </c>
      <c r="N1054" s="15"/>
      <c r="O1054" s="39"/>
      <c r="P1054" s="36"/>
      <c r="Q1054" s="16">
        <f t="shared" si="299"/>
        <v>0</v>
      </c>
      <c r="R1054" s="34" t="s">
        <v>339</v>
      </c>
      <c r="S1054" s="34" t="s">
        <v>102</v>
      </c>
      <c r="T1054" s="36">
        <v>1.8</v>
      </c>
      <c r="U1054" s="293">
        <f>Rutas[[#This Row],[Precio x Galón ($/gal)]]*Rutas[[#This Row],[Volumen de Combustible (gal)]]</f>
        <v>192.45600000000002</v>
      </c>
      <c r="V1054" s="36"/>
      <c r="W1054" s="36"/>
      <c r="X1054" s="36"/>
      <c r="Y1054" s="145">
        <f t="shared" si="300"/>
        <v>192.45600000000002</v>
      </c>
      <c r="Z1054" s="567"/>
      <c r="AA1054" s="12">
        <v>106.92</v>
      </c>
      <c r="AB1054" s="12">
        <f t="shared" si="301"/>
        <v>4.1619902731013845</v>
      </c>
      <c r="AC1054" s="12">
        <f t="shared" si="302"/>
        <v>0</v>
      </c>
      <c r="AD1054" s="34"/>
    </row>
    <row r="1055" spans="1:30" ht="16" x14ac:dyDescent="0.2">
      <c r="A1055" s="47"/>
      <c r="B1055" s="383"/>
      <c r="C1055" s="176">
        <f t="shared" si="308"/>
        <v>1052</v>
      </c>
      <c r="D1055" s="454">
        <v>45875</v>
      </c>
      <c r="E1055" s="37">
        <v>45878</v>
      </c>
      <c r="F1055" s="65" t="s">
        <v>212</v>
      </c>
      <c r="G1055" s="11" t="str">
        <f ca="1">IF(AND(E1055&lt;&gt;"",E1055&lt;TODAY()),"Disponible",IFERROR(INDEX(Vehiculos[Estado Vehiculo],MATCH(F1055,Vehiculos[Placa Vehiculo],0)),""))</f>
        <v>Disponible</v>
      </c>
      <c r="H1055" s="34" t="s">
        <v>269</v>
      </c>
      <c r="I1055" s="34" t="s">
        <v>273</v>
      </c>
      <c r="J1055" s="34" t="s">
        <v>274</v>
      </c>
      <c r="K1055" s="39">
        <v>271470</v>
      </c>
      <c r="L1055" s="39">
        <v>272055</v>
      </c>
      <c r="M1055" s="15">
        <f t="shared" ref="M1055:M1060" si="319">L1055-K1055</f>
        <v>585</v>
      </c>
      <c r="N1055" s="15"/>
      <c r="O1055" s="39"/>
      <c r="P1055" s="36"/>
      <c r="Q1055" s="16">
        <f t="shared" ref="Q1055:Q1060" si="320">M1055*P1055</f>
        <v>0</v>
      </c>
      <c r="R1055" s="34" t="s">
        <v>339</v>
      </c>
      <c r="S1055" s="34" t="s">
        <v>102</v>
      </c>
      <c r="T1055" s="36">
        <v>1.8</v>
      </c>
      <c r="U1055" s="293">
        <f>Rutas[[#This Row],[Precio x Galón ($/gal)]]*Rutas[[#This Row],[Volumen de Combustible (gal)]]</f>
        <v>252.57599999999999</v>
      </c>
      <c r="V1055" s="36"/>
      <c r="W1055" s="36"/>
      <c r="X1055" s="36"/>
      <c r="Y1055" s="145">
        <f t="shared" ref="Y1055:Y1060" si="321">U1055+SUM(V1055:X1055)</f>
        <v>252.57599999999999</v>
      </c>
      <c r="Z1055" s="567"/>
      <c r="AA1055" s="12">
        <v>140.32</v>
      </c>
      <c r="AB1055" s="12">
        <f t="shared" ref="AB1055:AB1060" si="322">IFERROR(M1055/AA1055,0)</f>
        <v>4.1690421892816421</v>
      </c>
      <c r="AC1055" s="12">
        <f t="shared" ref="AC1055:AC1060" si="323">IFERROR(Q1055/M1055,0)</f>
        <v>0</v>
      </c>
      <c r="AD1055" s="34"/>
    </row>
    <row r="1056" spans="1:30" ht="16" x14ac:dyDescent="0.2">
      <c r="A1056" s="47"/>
      <c r="B1056" s="383"/>
      <c r="C1056" s="176">
        <f t="shared" si="308"/>
        <v>1053</v>
      </c>
      <c r="D1056" s="454">
        <v>45878</v>
      </c>
      <c r="E1056" s="37">
        <v>45880</v>
      </c>
      <c r="F1056" s="65" t="s">
        <v>212</v>
      </c>
      <c r="G1056" s="11" t="str">
        <f ca="1">IF(AND(E1056&lt;&gt;"",E1056&lt;TODAY()),"Disponible",IFERROR(INDEX(Vehiculos[Estado Vehiculo],MATCH(F1056,Vehiculos[Placa Vehiculo],0)),""))</f>
        <v>Disponible</v>
      </c>
      <c r="H1056" s="34" t="s">
        <v>259</v>
      </c>
      <c r="I1056" s="34" t="s">
        <v>273</v>
      </c>
      <c r="J1056" s="34" t="s">
        <v>274</v>
      </c>
      <c r="K1056" s="39">
        <v>272055</v>
      </c>
      <c r="L1056" s="39">
        <v>272308</v>
      </c>
      <c r="M1056" s="15">
        <f t="shared" si="319"/>
        <v>253</v>
      </c>
      <c r="N1056" s="15"/>
      <c r="O1056" s="39"/>
      <c r="P1056" s="36"/>
      <c r="Q1056" s="16">
        <f t="shared" si="320"/>
        <v>0</v>
      </c>
      <c r="R1056" s="34" t="s">
        <v>339</v>
      </c>
      <c r="S1056" s="34" t="s">
        <v>102</v>
      </c>
      <c r="T1056" s="36">
        <v>1.8</v>
      </c>
      <c r="U1056" s="293">
        <f>Rutas[[#This Row],[Precio x Galón ($/gal)]]*Rutas[[#This Row],[Volumen de Combustible (gal)]]</f>
        <v>100.242</v>
      </c>
      <c r="V1056" s="36"/>
      <c r="W1056" s="36"/>
      <c r="X1056" s="36"/>
      <c r="Y1056" s="145">
        <f t="shared" si="321"/>
        <v>100.242</v>
      </c>
      <c r="Z1056" s="567"/>
      <c r="AA1056" s="12">
        <v>55.69</v>
      </c>
      <c r="AB1056" s="12">
        <f t="shared" si="322"/>
        <v>4.5430059256599034</v>
      </c>
      <c r="AC1056" s="12">
        <f t="shared" si="323"/>
        <v>0</v>
      </c>
      <c r="AD1056" s="34"/>
    </row>
    <row r="1057" spans="1:30" ht="16" x14ac:dyDescent="0.2">
      <c r="A1057" s="47"/>
      <c r="B1057" s="383"/>
      <c r="C1057" s="176">
        <f t="shared" si="308"/>
        <v>1054</v>
      </c>
      <c r="D1057" s="454">
        <v>45880</v>
      </c>
      <c r="E1057" s="37">
        <v>45884</v>
      </c>
      <c r="F1057" s="65" t="s">
        <v>212</v>
      </c>
      <c r="G1057" s="11" t="str">
        <f ca="1">IF(AND(E1057&lt;&gt;"",E1057&lt;TODAY()),"Disponible",IFERROR(INDEX(Vehiculos[Estado Vehiculo],MATCH(F1057,Vehiculos[Placa Vehiculo],0)),""))</f>
        <v>Disponible</v>
      </c>
      <c r="H1057" s="34" t="s">
        <v>259</v>
      </c>
      <c r="I1057" s="34" t="s">
        <v>273</v>
      </c>
      <c r="J1057" s="34" t="s">
        <v>274</v>
      </c>
      <c r="K1057" s="39">
        <v>272308</v>
      </c>
      <c r="L1057" s="39">
        <v>272824</v>
      </c>
      <c r="M1057" s="15">
        <f t="shared" si="319"/>
        <v>516</v>
      </c>
      <c r="N1057" s="15"/>
      <c r="O1057" s="39"/>
      <c r="P1057" s="36"/>
      <c r="Q1057" s="16">
        <f t="shared" si="320"/>
        <v>0</v>
      </c>
      <c r="R1057" s="34" t="s">
        <v>339</v>
      </c>
      <c r="S1057" s="34" t="s">
        <v>102</v>
      </c>
      <c r="T1057" s="36">
        <v>1.8</v>
      </c>
      <c r="U1057" s="293">
        <f>Rutas[[#This Row],[Precio x Galón ($/gal)]]*Rutas[[#This Row],[Volumen de Combustible (gal)]]</f>
        <v>239.09400000000002</v>
      </c>
      <c r="V1057" s="36"/>
      <c r="W1057" s="36"/>
      <c r="X1057" s="36"/>
      <c r="Y1057" s="145">
        <f t="shared" si="321"/>
        <v>239.09400000000002</v>
      </c>
      <c r="Z1057" s="567"/>
      <c r="AA1057" s="12">
        <v>132.83000000000001</v>
      </c>
      <c r="AB1057" s="12">
        <f t="shared" si="322"/>
        <v>3.8846646088985919</v>
      </c>
      <c r="AC1057" s="12">
        <f t="shared" si="323"/>
        <v>0</v>
      </c>
      <c r="AD1057" s="34"/>
    </row>
    <row r="1058" spans="1:30" ht="16" x14ac:dyDescent="0.2">
      <c r="A1058" s="47"/>
      <c r="B1058" s="383"/>
      <c r="C1058" s="176">
        <f t="shared" si="308"/>
        <v>1055</v>
      </c>
      <c r="D1058" s="454">
        <v>45884</v>
      </c>
      <c r="E1058" s="37">
        <v>45888</v>
      </c>
      <c r="F1058" s="65" t="s">
        <v>212</v>
      </c>
      <c r="G1058" s="11" t="str">
        <f ca="1">IF(AND(E1058&lt;&gt;"",E1058&lt;TODAY()),"Disponible",IFERROR(INDEX(Vehiculos[Estado Vehiculo],MATCH(F1058,Vehiculos[Placa Vehiculo],0)),""))</f>
        <v>Disponible</v>
      </c>
      <c r="H1058" s="34" t="s">
        <v>259</v>
      </c>
      <c r="I1058" s="34" t="s">
        <v>273</v>
      </c>
      <c r="J1058" s="34" t="s">
        <v>274</v>
      </c>
      <c r="K1058" s="39">
        <v>272824</v>
      </c>
      <c r="L1058" s="39">
        <v>273322</v>
      </c>
      <c r="M1058" s="15">
        <f t="shared" si="319"/>
        <v>498</v>
      </c>
      <c r="N1058" s="15"/>
      <c r="O1058" s="39"/>
      <c r="P1058" s="36"/>
      <c r="Q1058" s="16">
        <f t="shared" si="320"/>
        <v>0</v>
      </c>
      <c r="R1058" s="34" t="s">
        <v>339</v>
      </c>
      <c r="S1058" s="34" t="s">
        <v>102</v>
      </c>
      <c r="T1058" s="36">
        <v>1.8</v>
      </c>
      <c r="U1058" s="293">
        <f>Rutas[[#This Row],[Precio x Galón ($/gal)]]*Rutas[[#This Row],[Volumen de Combustible (gal)]]</f>
        <v>213.37200000000001</v>
      </c>
      <c r="V1058" s="36"/>
      <c r="W1058" s="36"/>
      <c r="X1058" s="36"/>
      <c r="Y1058" s="145">
        <f t="shared" si="321"/>
        <v>213.37200000000001</v>
      </c>
      <c r="Z1058" s="567"/>
      <c r="AA1058" s="12">
        <v>118.54</v>
      </c>
      <c r="AB1058" s="12">
        <f t="shared" si="322"/>
        <v>4.2011135481693938</v>
      </c>
      <c r="AC1058" s="12">
        <f t="shared" si="323"/>
        <v>0</v>
      </c>
      <c r="AD1058" s="34"/>
    </row>
    <row r="1059" spans="1:30" ht="16" x14ac:dyDescent="0.2">
      <c r="A1059" s="47"/>
      <c r="B1059" s="383"/>
      <c r="C1059" s="176">
        <f t="shared" si="308"/>
        <v>1056</v>
      </c>
      <c r="D1059" s="454">
        <v>45888</v>
      </c>
      <c r="E1059" s="37">
        <v>45891</v>
      </c>
      <c r="F1059" s="65" t="s">
        <v>212</v>
      </c>
      <c r="G1059" s="11" t="str">
        <f ca="1">IF(AND(E1059&lt;&gt;"",E1059&lt;TODAY()),"Disponible",IFERROR(INDEX(Vehiculos[Estado Vehiculo],MATCH(F1059,Vehiculos[Placa Vehiculo],0)),""))</f>
        <v>Disponible</v>
      </c>
      <c r="H1059" s="34" t="s">
        <v>259</v>
      </c>
      <c r="I1059" s="34" t="s">
        <v>273</v>
      </c>
      <c r="J1059" s="34" t="s">
        <v>274</v>
      </c>
      <c r="K1059" s="39">
        <v>273322</v>
      </c>
      <c r="L1059" s="39">
        <v>273796</v>
      </c>
      <c r="M1059" s="15">
        <f t="shared" si="319"/>
        <v>474</v>
      </c>
      <c r="N1059" s="15"/>
      <c r="O1059" s="39"/>
      <c r="P1059" s="36"/>
      <c r="Q1059" s="16">
        <f t="shared" si="320"/>
        <v>0</v>
      </c>
      <c r="R1059" s="34" t="s">
        <v>339</v>
      </c>
      <c r="S1059" s="34" t="s">
        <v>102</v>
      </c>
      <c r="T1059" s="36">
        <v>1.8</v>
      </c>
      <c r="U1059" s="293">
        <f>Rutas[[#This Row],[Precio x Galón ($/gal)]]*Rutas[[#This Row],[Volumen de Combustible (gal)]]</f>
        <v>183.97799999999998</v>
      </c>
      <c r="V1059" s="36"/>
      <c r="W1059" s="36"/>
      <c r="X1059" s="36"/>
      <c r="Y1059" s="145">
        <f t="shared" si="321"/>
        <v>183.97799999999998</v>
      </c>
      <c r="Z1059" s="567"/>
      <c r="AA1059" s="12">
        <v>102.21</v>
      </c>
      <c r="AB1059" s="12">
        <f t="shared" si="322"/>
        <v>4.6375110067508079</v>
      </c>
      <c r="AC1059" s="12">
        <f t="shared" si="323"/>
        <v>0</v>
      </c>
      <c r="AD1059" s="34"/>
    </row>
    <row r="1060" spans="1:30" ht="16" x14ac:dyDescent="0.2">
      <c r="A1060" s="47"/>
      <c r="B1060" s="383"/>
      <c r="C1060" s="176">
        <f t="shared" si="308"/>
        <v>1057</v>
      </c>
      <c r="D1060" s="454">
        <v>45891</v>
      </c>
      <c r="E1060" s="37">
        <v>45894</v>
      </c>
      <c r="F1060" s="65" t="s">
        <v>212</v>
      </c>
      <c r="G1060" s="11" t="str">
        <f ca="1">IF(AND(E1060&lt;&gt;"",E1060&lt;TODAY()),"Disponible",IFERROR(INDEX(Vehiculos[Estado Vehiculo],MATCH(F1060,Vehiculos[Placa Vehiculo],0)),""))</f>
        <v>Disponible</v>
      </c>
      <c r="H1060" s="34" t="s">
        <v>259</v>
      </c>
      <c r="I1060" s="34" t="s">
        <v>273</v>
      </c>
      <c r="J1060" s="34" t="s">
        <v>274</v>
      </c>
      <c r="K1060" s="39">
        <v>273796</v>
      </c>
      <c r="L1060" s="39">
        <v>274289</v>
      </c>
      <c r="M1060" s="15">
        <f t="shared" si="319"/>
        <v>493</v>
      </c>
      <c r="N1060" s="15"/>
      <c r="O1060" s="39"/>
      <c r="P1060" s="36"/>
      <c r="Q1060" s="16">
        <f t="shared" si="320"/>
        <v>0</v>
      </c>
      <c r="R1060" s="34" t="s">
        <v>339</v>
      </c>
      <c r="S1060" s="34" t="s">
        <v>102</v>
      </c>
      <c r="T1060" s="36">
        <v>1.8</v>
      </c>
      <c r="U1060" s="293">
        <f>Rutas[[#This Row],[Precio x Galón ($/gal)]]*Rutas[[#This Row],[Volumen de Combustible (gal)]]</f>
        <v>190.62</v>
      </c>
      <c r="V1060" s="36"/>
      <c r="W1060" s="36"/>
      <c r="X1060" s="36"/>
      <c r="Y1060" s="145">
        <f t="shared" si="321"/>
        <v>190.62</v>
      </c>
      <c r="Z1060" s="567"/>
      <c r="AA1060" s="12">
        <v>105.9</v>
      </c>
      <c r="AB1060" s="12">
        <f t="shared" si="322"/>
        <v>4.6553352219074595</v>
      </c>
      <c r="AC1060" s="12">
        <f t="shared" si="323"/>
        <v>0</v>
      </c>
      <c r="AD1060" s="34"/>
    </row>
    <row r="1061" spans="1:30" ht="16" x14ac:dyDescent="0.2">
      <c r="A1061" s="47"/>
      <c r="B1061" s="383"/>
      <c r="C1061" s="176">
        <f t="shared" si="308"/>
        <v>1058</v>
      </c>
      <c r="D1061" s="454">
        <v>45894</v>
      </c>
      <c r="E1061" s="37">
        <v>45896</v>
      </c>
      <c r="F1061" s="65" t="s">
        <v>212</v>
      </c>
      <c r="G1061" s="11" t="str">
        <f ca="1">IF(AND(E1061&lt;&gt;"",E1061&lt;TODAY()),"Disponible",IFERROR(INDEX(Vehiculos[Estado Vehiculo],MATCH(F1061,Vehiculos[Placa Vehiculo],0)),""))</f>
        <v>Disponible</v>
      </c>
      <c r="H1061" s="34" t="s">
        <v>259</v>
      </c>
      <c r="I1061" s="34" t="s">
        <v>273</v>
      </c>
      <c r="J1061" s="34" t="s">
        <v>274</v>
      </c>
      <c r="K1061" s="39">
        <v>274289</v>
      </c>
      <c r="L1061" s="39">
        <v>274819</v>
      </c>
      <c r="M1061" s="15">
        <f>L1061-K1061</f>
        <v>530</v>
      </c>
      <c r="N1061" s="452">
        <v>620</v>
      </c>
      <c r="O1061" s="39"/>
      <c r="P1061" s="36"/>
      <c r="Q1061" s="16">
        <f>M1061*P1061</f>
        <v>0</v>
      </c>
      <c r="R1061" s="34" t="s">
        <v>339</v>
      </c>
      <c r="S1061" s="34" t="s">
        <v>102</v>
      </c>
      <c r="T1061" s="36">
        <v>1.8</v>
      </c>
      <c r="U1061" s="293">
        <f>Rutas[[#This Row],[Precio x Galón ($/gal)]]*Rutas[[#This Row],[Volumen de Combustible (gal)]]</f>
        <v>207.018</v>
      </c>
      <c r="V1061" s="36"/>
      <c r="W1061" s="36"/>
      <c r="X1061" s="36"/>
      <c r="Y1061" s="145">
        <f>U1061+SUM(V1061:X1061)</f>
        <v>207.018</v>
      </c>
      <c r="Z1061" s="567"/>
      <c r="AA1061" s="12">
        <v>115.01</v>
      </c>
      <c r="AB1061" s="12">
        <f>IFERROR(M1061/AA1061,0)</f>
        <v>4.6082949308755756</v>
      </c>
      <c r="AC1061" s="12">
        <f>IFERROR(Q1061/M1061,0)</f>
        <v>0</v>
      </c>
      <c r="AD1061" s="34"/>
    </row>
    <row r="1062" spans="1:30" ht="16" x14ac:dyDescent="0.2">
      <c r="A1062" s="47"/>
      <c r="B1062" s="383"/>
      <c r="C1062" s="176">
        <f t="shared" si="308"/>
        <v>1059</v>
      </c>
      <c r="D1062" s="454"/>
      <c r="E1062" s="37"/>
      <c r="F1062" s="65"/>
      <c r="G1062" s="11" t="str">
        <f ca="1">IF(AND(E1062&lt;&gt;"",E1062&lt;TODAY()),"Disponible",IFERROR(INDEX(Vehiculos[Estado Vehiculo],MATCH(F1062,Vehiculos[Placa Vehiculo],0)),""))</f>
        <v/>
      </c>
      <c r="H1062" s="34"/>
      <c r="I1062" s="34"/>
      <c r="J1062" s="34"/>
      <c r="K1062" s="39"/>
      <c r="L1062" s="39"/>
      <c r="M1062" s="15">
        <f>L1062-K1062</f>
        <v>0</v>
      </c>
      <c r="N1062" s="15"/>
      <c r="O1062" s="39"/>
      <c r="P1062" s="36"/>
      <c r="Q1062" s="16">
        <f>M1062*P1062</f>
        <v>0</v>
      </c>
      <c r="R1062" s="34"/>
      <c r="S1062" s="34"/>
      <c r="T1062" s="36"/>
      <c r="U1062" s="293"/>
      <c r="V1062" s="36"/>
      <c r="W1062" s="36"/>
      <c r="X1062" s="36"/>
      <c r="Y1062" s="145">
        <f>U1062+SUM(V1062:X1062)</f>
        <v>0</v>
      </c>
      <c r="Z1062" s="567"/>
      <c r="AA1062" s="12">
        <f>IFERROR(U1062/T1062,0)</f>
        <v>0</v>
      </c>
      <c r="AB1062" s="12">
        <f>IFERROR(M1062/AA1062,0)</f>
        <v>0</v>
      </c>
      <c r="AC1062" s="12">
        <f>IFERROR(Q1062/M1062,0)</f>
        <v>0</v>
      </c>
      <c r="AD1062" s="34"/>
    </row>
    <row r="1063" spans="1:30" ht="16" x14ac:dyDescent="0.2">
      <c r="A1063" s="47"/>
      <c r="B1063" s="383"/>
      <c r="C1063" s="176">
        <f t="shared" si="308"/>
        <v>1060</v>
      </c>
      <c r="D1063" s="146"/>
      <c r="E1063" s="37"/>
      <c r="F1063" s="65"/>
      <c r="G1063" s="11" t="str">
        <f ca="1">IF(AND(E1063&lt;&gt;"",E1063&lt;TODAY()),"Disponible",IFERROR(INDEX(Vehiculos[Estado Vehiculo],MATCH(F1063,Vehiculos[Placa Vehiculo],0)),""))</f>
        <v/>
      </c>
      <c r="H1063" s="34"/>
      <c r="I1063" s="34"/>
      <c r="J1063" s="34"/>
      <c r="K1063" s="39"/>
      <c r="L1063" s="39"/>
      <c r="M1063" s="15">
        <f t="shared" si="298"/>
        <v>0</v>
      </c>
      <c r="N1063" s="15"/>
      <c r="O1063" s="39"/>
      <c r="P1063" s="36"/>
      <c r="Q1063" s="16">
        <f t="shared" si="299"/>
        <v>0</v>
      </c>
      <c r="R1063" s="34"/>
      <c r="S1063" s="34"/>
      <c r="T1063" s="36"/>
      <c r="U1063" s="293">
        <f>Rutas[[#This Row],[Precio x Galón ($/gal)]]*Rutas[[#This Row],[Volumen de Combustible (gal)]]</f>
        <v>0</v>
      </c>
      <c r="V1063" s="36"/>
      <c r="W1063" s="36"/>
      <c r="X1063" s="36"/>
      <c r="Y1063" s="145">
        <f t="shared" si="300"/>
        <v>0</v>
      </c>
      <c r="Z1063" s="567"/>
      <c r="AA1063" s="12"/>
      <c r="AB1063" s="12">
        <f t="shared" si="301"/>
        <v>0</v>
      </c>
      <c r="AC1063" s="12">
        <f t="shared" si="302"/>
        <v>0</v>
      </c>
      <c r="AD1063" s="34"/>
    </row>
    <row r="1064" spans="1:30" ht="16" x14ac:dyDescent="0.2">
      <c r="A1064" s="47"/>
      <c r="B1064" s="383"/>
      <c r="C1064" s="176">
        <f t="shared" si="308"/>
        <v>1061</v>
      </c>
      <c r="D1064" s="90">
        <v>45870</v>
      </c>
      <c r="E1064" s="90">
        <v>45879</v>
      </c>
      <c r="F1064" s="68" t="s">
        <v>403</v>
      </c>
      <c r="G1064" s="379" t="str">
        <f ca="1">IF(AND(E1064&lt;&gt;"",E1064&lt;TODAY()),"Disponible",IFERROR(INDEX(Vehiculos[Estado Vehiculo],MATCH(F1064,Vehiculos[Placa Vehiculo],0)),""))</f>
        <v>Disponible</v>
      </c>
      <c r="H1064" s="89" t="s">
        <v>411</v>
      </c>
      <c r="I1064" s="89" t="s">
        <v>273</v>
      </c>
      <c r="J1064" s="89" t="s">
        <v>282</v>
      </c>
      <c r="K1064" s="380">
        <v>190276</v>
      </c>
      <c r="L1064" s="380">
        <v>192196</v>
      </c>
      <c r="M1064" s="381">
        <f t="shared" si="298"/>
        <v>1920</v>
      </c>
      <c r="N1064" s="381"/>
      <c r="O1064" s="380"/>
      <c r="P1064" s="92"/>
      <c r="Q1064" s="382">
        <f t="shared" si="299"/>
        <v>0</v>
      </c>
      <c r="R1064" s="89" t="s">
        <v>273</v>
      </c>
      <c r="S1064" s="89" t="s">
        <v>102</v>
      </c>
      <c r="T1064" s="92">
        <v>1.8</v>
      </c>
      <c r="U1064" s="266">
        <f>Rutas[[#This Row],[Precio x Galón ($/gal)]]*Rutas[[#This Row],[Volumen de Combustible (gal)]]</f>
        <v>468</v>
      </c>
      <c r="V1064" s="92"/>
      <c r="W1064" s="92"/>
      <c r="X1064" s="92"/>
      <c r="Y1064" s="382">
        <f t="shared" si="300"/>
        <v>468</v>
      </c>
      <c r="Z1064" s="567"/>
      <c r="AA1064" s="382">
        <v>260</v>
      </c>
      <c r="AB1064" s="382">
        <f t="shared" si="301"/>
        <v>7.384615384615385</v>
      </c>
      <c r="AC1064" s="382">
        <f t="shared" si="302"/>
        <v>0</v>
      </c>
      <c r="AD1064" s="89"/>
    </row>
    <row r="1065" spans="1:30" ht="16" x14ac:dyDescent="0.2">
      <c r="A1065" s="47"/>
      <c r="B1065" s="383"/>
      <c r="C1065" s="176">
        <f t="shared" si="308"/>
        <v>1062</v>
      </c>
      <c r="D1065" s="146">
        <v>45879</v>
      </c>
      <c r="E1065" s="37">
        <v>45889</v>
      </c>
      <c r="F1065" s="65" t="s">
        <v>403</v>
      </c>
      <c r="G1065" s="11" t="str">
        <f ca="1">IF(AND(E1065&lt;&gt;"",E1065&lt;TODAY()),"Disponible",IFERROR(INDEX(Vehiculos[Estado Vehiculo],MATCH(F1065,Vehiculos[Placa Vehiculo],0)),""))</f>
        <v>Disponible</v>
      </c>
      <c r="H1065" s="34" t="s">
        <v>411</v>
      </c>
      <c r="I1065" s="34" t="s">
        <v>273</v>
      </c>
      <c r="J1065" s="34" t="s">
        <v>282</v>
      </c>
      <c r="K1065" s="39">
        <v>192196</v>
      </c>
      <c r="L1065" s="39">
        <v>193634</v>
      </c>
      <c r="M1065" s="15">
        <f t="shared" si="298"/>
        <v>1438</v>
      </c>
      <c r="N1065" s="15"/>
      <c r="O1065" s="39"/>
      <c r="P1065" s="36"/>
      <c r="Q1065" s="16">
        <f t="shared" si="299"/>
        <v>0</v>
      </c>
      <c r="R1065" s="34" t="s">
        <v>273</v>
      </c>
      <c r="S1065" s="34" t="s">
        <v>102</v>
      </c>
      <c r="T1065" s="36">
        <v>1.8</v>
      </c>
      <c r="U1065" s="293">
        <f>Rutas[[#This Row],[Precio x Galón ($/gal)]]*Rutas[[#This Row],[Volumen de Combustible (gal)]]</f>
        <v>234</v>
      </c>
      <c r="V1065" s="36"/>
      <c r="W1065" s="36"/>
      <c r="X1065" s="36"/>
      <c r="Y1065" s="145">
        <f t="shared" si="300"/>
        <v>234</v>
      </c>
      <c r="Z1065" s="567"/>
      <c r="AA1065" s="12">
        <v>130</v>
      </c>
      <c r="AB1065" s="12">
        <f t="shared" si="301"/>
        <v>11.061538461538461</v>
      </c>
      <c r="AC1065" s="12">
        <f t="shared" si="302"/>
        <v>0</v>
      </c>
      <c r="AD1065" s="34"/>
    </row>
    <row r="1066" spans="1:30" ht="16" x14ac:dyDescent="0.2">
      <c r="A1066" s="47"/>
      <c r="B1066" s="383"/>
      <c r="C1066" s="176">
        <f t="shared" si="308"/>
        <v>1063</v>
      </c>
      <c r="D1066" s="146">
        <v>45889</v>
      </c>
      <c r="E1066" s="37">
        <v>45900</v>
      </c>
      <c r="F1066" s="65" t="s">
        <v>403</v>
      </c>
      <c r="G1066" s="11" t="str">
        <f ca="1">IF(AND(E1066&lt;&gt;"",E1066&lt;TODAY()),"Disponible",IFERROR(INDEX(Vehiculos[Estado Vehiculo],MATCH(F1066,Vehiculos[Placa Vehiculo],0)),""))</f>
        <v>Disponible</v>
      </c>
      <c r="H1066" s="34" t="s">
        <v>411</v>
      </c>
      <c r="I1066" s="34" t="s">
        <v>273</v>
      </c>
      <c r="J1066" s="34" t="s">
        <v>282</v>
      </c>
      <c r="K1066" s="39">
        <v>193634</v>
      </c>
      <c r="L1066" s="39">
        <v>195273</v>
      </c>
      <c r="M1066" s="15">
        <f t="shared" si="298"/>
        <v>1639</v>
      </c>
      <c r="N1066" s="452">
        <v>310</v>
      </c>
      <c r="O1066" s="39"/>
      <c r="P1066" s="36"/>
      <c r="Q1066" s="16">
        <f t="shared" si="299"/>
        <v>0</v>
      </c>
      <c r="R1066" s="34" t="s">
        <v>273</v>
      </c>
      <c r="S1066" s="34" t="s">
        <v>102</v>
      </c>
      <c r="T1066" s="36">
        <v>1.8</v>
      </c>
      <c r="U1066" s="293">
        <f>Rutas[[#This Row],[Precio x Galón ($/gal)]]*Rutas[[#This Row],[Volumen de Combustible (gal)]]</f>
        <v>450</v>
      </c>
      <c r="V1066" s="36"/>
      <c r="W1066" s="36"/>
      <c r="X1066" s="36"/>
      <c r="Y1066" s="145">
        <f t="shared" si="300"/>
        <v>450</v>
      </c>
      <c r="Z1066" s="567"/>
      <c r="AA1066" s="12">
        <v>250</v>
      </c>
      <c r="AB1066" s="12">
        <f t="shared" si="301"/>
        <v>6.556</v>
      </c>
      <c r="AC1066" s="12">
        <f t="shared" si="302"/>
        <v>0</v>
      </c>
      <c r="AD1066" s="34"/>
    </row>
    <row r="1067" spans="1:30" ht="16" x14ac:dyDescent="0.2">
      <c r="A1067" s="47"/>
      <c r="B1067" s="383"/>
      <c r="C1067" s="176">
        <f t="shared" si="308"/>
        <v>1064</v>
      </c>
      <c r="D1067" s="146"/>
      <c r="E1067" s="37"/>
      <c r="F1067" s="65"/>
      <c r="G1067" s="11" t="str">
        <f ca="1">IF(AND(E1067&lt;&gt;"",E1067&lt;TODAY()),"Disponible",IFERROR(INDEX(Vehiculos[Estado Vehiculo],MATCH(F1067,Vehiculos[Placa Vehiculo],0)),""))</f>
        <v/>
      </c>
      <c r="H1067" s="34"/>
      <c r="I1067" s="34"/>
      <c r="J1067" s="34"/>
      <c r="K1067" s="39"/>
      <c r="L1067" s="39"/>
      <c r="M1067" s="15">
        <f t="shared" si="298"/>
        <v>0</v>
      </c>
      <c r="N1067" s="15"/>
      <c r="O1067" s="39"/>
      <c r="P1067" s="36"/>
      <c r="Q1067" s="16">
        <f t="shared" si="299"/>
        <v>0</v>
      </c>
      <c r="R1067" s="34"/>
      <c r="S1067" s="34"/>
      <c r="T1067" s="36"/>
      <c r="U1067" s="293">
        <f>Rutas[[#This Row],[Precio x Galón ($/gal)]]*Rutas[[#This Row],[Volumen de Combustible (gal)]]</f>
        <v>0</v>
      </c>
      <c r="V1067" s="36"/>
      <c r="W1067" s="36"/>
      <c r="X1067" s="36"/>
      <c r="Y1067" s="145">
        <f t="shared" si="300"/>
        <v>0</v>
      </c>
      <c r="Z1067" s="567"/>
      <c r="AA1067" s="12"/>
      <c r="AB1067" s="12">
        <f t="shared" si="301"/>
        <v>0</v>
      </c>
      <c r="AC1067" s="12">
        <f t="shared" si="302"/>
        <v>0</v>
      </c>
      <c r="AD1067" s="34"/>
    </row>
    <row r="1068" spans="1:30" ht="16" x14ac:dyDescent="0.2">
      <c r="A1068" s="47"/>
      <c r="B1068" s="383"/>
      <c r="C1068" s="176">
        <f t="shared" si="308"/>
        <v>1065</v>
      </c>
      <c r="D1068" s="90">
        <v>45870</v>
      </c>
      <c r="E1068" s="90">
        <v>45879</v>
      </c>
      <c r="F1068" s="68" t="s">
        <v>365</v>
      </c>
      <c r="G1068" s="379" t="str">
        <f ca="1">IF(AND(E1068&lt;&gt;"",E1068&lt;TODAY()),"Disponible",IFERROR(INDEX(Vehiculos[Estado Vehiculo],MATCH(F1068,Vehiculos[Placa Vehiculo],0)),""))</f>
        <v>Disponible</v>
      </c>
      <c r="H1068" s="89" t="s">
        <v>234</v>
      </c>
      <c r="I1068" s="89" t="s">
        <v>273</v>
      </c>
      <c r="J1068" s="89" t="s">
        <v>274</v>
      </c>
      <c r="K1068" s="380">
        <v>360657</v>
      </c>
      <c r="L1068" s="380">
        <v>361386</v>
      </c>
      <c r="M1068" s="381">
        <f t="shared" si="298"/>
        <v>729</v>
      </c>
      <c r="N1068" s="381"/>
      <c r="O1068" s="380"/>
      <c r="P1068" s="92"/>
      <c r="Q1068" s="382">
        <f t="shared" si="299"/>
        <v>0</v>
      </c>
      <c r="R1068" s="89" t="s">
        <v>273</v>
      </c>
      <c r="S1068" s="89" t="s">
        <v>102</v>
      </c>
      <c r="T1068" s="92">
        <v>1.8</v>
      </c>
      <c r="U1068" s="266">
        <f>Rutas[[#This Row],[Precio x Galón ($/gal)]]*Rutas[[#This Row],[Volumen de Combustible (gal)]]</f>
        <v>216</v>
      </c>
      <c r="V1068" s="92"/>
      <c r="W1068" s="92"/>
      <c r="X1068" s="92"/>
      <c r="Y1068" s="382">
        <f t="shared" si="300"/>
        <v>216</v>
      </c>
      <c r="Z1068" s="567"/>
      <c r="AA1068" s="382">
        <v>120</v>
      </c>
      <c r="AB1068" s="382">
        <f t="shared" si="301"/>
        <v>6.0750000000000002</v>
      </c>
      <c r="AC1068" s="382">
        <f t="shared" si="302"/>
        <v>0</v>
      </c>
      <c r="AD1068" s="89"/>
    </row>
    <row r="1069" spans="1:30" ht="16" x14ac:dyDescent="0.2">
      <c r="A1069" s="47"/>
      <c r="B1069" s="383"/>
      <c r="C1069" s="176">
        <f t="shared" si="308"/>
        <v>1066</v>
      </c>
      <c r="D1069" s="146">
        <v>45879</v>
      </c>
      <c r="E1069" s="37">
        <v>45889</v>
      </c>
      <c r="F1069" s="65" t="s">
        <v>365</v>
      </c>
      <c r="G1069" s="11" t="str">
        <f ca="1">IF(AND(E1069&lt;&gt;"",E1069&lt;TODAY()),"Disponible",IFERROR(INDEX(Vehiculos[Estado Vehiculo],MATCH(F1069,Vehiculos[Placa Vehiculo],0)),""))</f>
        <v>Disponible</v>
      </c>
      <c r="H1069" s="34" t="s">
        <v>234</v>
      </c>
      <c r="I1069" s="34" t="s">
        <v>273</v>
      </c>
      <c r="J1069" s="34" t="s">
        <v>274</v>
      </c>
      <c r="K1069" s="39">
        <v>361386</v>
      </c>
      <c r="L1069" s="39">
        <v>361761</v>
      </c>
      <c r="M1069" s="15">
        <f t="shared" si="298"/>
        <v>375</v>
      </c>
      <c r="N1069" s="15"/>
      <c r="O1069" s="39"/>
      <c r="P1069" s="36"/>
      <c r="Q1069" s="16">
        <f t="shared" si="299"/>
        <v>0</v>
      </c>
      <c r="R1069" s="34" t="s">
        <v>273</v>
      </c>
      <c r="S1069" s="34" t="s">
        <v>102</v>
      </c>
      <c r="T1069" s="36">
        <v>1.8</v>
      </c>
      <c r="U1069" s="293">
        <f>Rutas[[#This Row],[Precio x Galón ($/gal)]]*Rutas[[#This Row],[Volumen de Combustible (gal)]]</f>
        <v>108</v>
      </c>
      <c r="V1069" s="36"/>
      <c r="W1069" s="36"/>
      <c r="X1069" s="36"/>
      <c r="Y1069" s="145">
        <f t="shared" si="300"/>
        <v>108</v>
      </c>
      <c r="Z1069" s="567"/>
      <c r="AA1069" s="12">
        <v>60</v>
      </c>
      <c r="AB1069" s="12">
        <f t="shared" si="301"/>
        <v>6.25</v>
      </c>
      <c r="AC1069" s="12">
        <f t="shared" si="302"/>
        <v>0</v>
      </c>
      <c r="AD1069" s="34"/>
    </row>
    <row r="1070" spans="1:30" ht="16" x14ac:dyDescent="0.2">
      <c r="A1070" s="47"/>
      <c r="B1070" s="383"/>
      <c r="C1070" s="176">
        <f t="shared" si="308"/>
        <v>1067</v>
      </c>
      <c r="D1070" s="454">
        <v>45889</v>
      </c>
      <c r="E1070" s="37">
        <v>45900</v>
      </c>
      <c r="F1070" s="65" t="s">
        <v>365</v>
      </c>
      <c r="G1070" s="11" t="str">
        <f ca="1">IF(AND(E1070&lt;&gt;"",E1070&lt;TODAY()),"Disponible",IFERROR(INDEX(Vehiculos[Estado Vehiculo],MATCH(F1070,Vehiculos[Placa Vehiculo],0)),""))</f>
        <v>Disponible</v>
      </c>
      <c r="H1070" s="34" t="s">
        <v>234</v>
      </c>
      <c r="I1070" s="34" t="s">
        <v>273</v>
      </c>
      <c r="J1070" s="34" t="s">
        <v>274</v>
      </c>
      <c r="K1070" s="39">
        <v>361761</v>
      </c>
      <c r="L1070" s="39">
        <v>362403</v>
      </c>
      <c r="M1070" s="15">
        <f>L1070-K1070</f>
        <v>642</v>
      </c>
      <c r="N1070" s="452">
        <v>310</v>
      </c>
      <c r="O1070" s="39"/>
      <c r="P1070" s="36"/>
      <c r="Q1070" s="16">
        <f>M1070*P1070</f>
        <v>0</v>
      </c>
      <c r="R1070" s="34" t="s">
        <v>273</v>
      </c>
      <c r="S1070" s="34" t="s">
        <v>102</v>
      </c>
      <c r="T1070" s="36">
        <v>1.8</v>
      </c>
      <c r="U1070" s="293">
        <f>Rutas[[#This Row],[Precio x Galón ($/gal)]]*Rutas[[#This Row],[Volumen de Combustible (gal)]]</f>
        <v>216</v>
      </c>
      <c r="V1070" s="36"/>
      <c r="W1070" s="36"/>
      <c r="X1070" s="36"/>
      <c r="Y1070" s="145">
        <f>U1070+SUM(V1070:X1070)</f>
        <v>216</v>
      </c>
      <c r="Z1070" s="567"/>
      <c r="AA1070" s="12">
        <v>120</v>
      </c>
      <c r="AB1070" s="12">
        <f>IFERROR(M1070/AA1070,0)</f>
        <v>5.35</v>
      </c>
      <c r="AC1070" s="12">
        <f>IFERROR(Q1070/M1070,0)</f>
        <v>0</v>
      </c>
      <c r="AD1070" s="34"/>
    </row>
    <row r="1071" spans="1:30" ht="16" x14ac:dyDescent="0.2">
      <c r="A1071" s="47"/>
      <c r="B1071" s="383"/>
      <c r="C1071" s="176">
        <f t="shared" si="308"/>
        <v>1068</v>
      </c>
      <c r="D1071" s="146"/>
      <c r="E1071" s="37"/>
      <c r="F1071" s="65"/>
      <c r="G1071" s="11" t="str">
        <f ca="1">IF(AND(E1071&lt;&gt;"",E1071&lt;TODAY()),"Disponible",IFERROR(INDEX(Vehiculos[Estado Vehiculo],MATCH(F1071,Vehiculos[Placa Vehiculo],0)),""))</f>
        <v/>
      </c>
      <c r="H1071" s="34"/>
      <c r="I1071" s="34"/>
      <c r="J1071" s="34"/>
      <c r="K1071" s="39"/>
      <c r="L1071" s="39"/>
      <c r="M1071" s="15">
        <f t="shared" si="298"/>
        <v>0</v>
      </c>
      <c r="N1071" s="15"/>
      <c r="O1071" s="39"/>
      <c r="P1071" s="36"/>
      <c r="Q1071" s="16">
        <f t="shared" si="299"/>
        <v>0</v>
      </c>
      <c r="R1071" s="34"/>
      <c r="S1071" s="34"/>
      <c r="T1071" s="36"/>
      <c r="U1071" s="293">
        <f>Rutas[[#This Row],[Precio x Galón ($/gal)]]*Rutas[[#This Row],[Volumen de Combustible (gal)]]</f>
        <v>0</v>
      </c>
      <c r="V1071" s="36"/>
      <c r="W1071" s="36"/>
      <c r="X1071" s="36"/>
      <c r="Y1071" s="145">
        <f t="shared" si="300"/>
        <v>0</v>
      </c>
      <c r="Z1071" s="567"/>
      <c r="AA1071" s="12"/>
      <c r="AB1071" s="12">
        <f t="shared" si="301"/>
        <v>0</v>
      </c>
      <c r="AC1071" s="12">
        <f t="shared" si="302"/>
        <v>0</v>
      </c>
      <c r="AD1071" s="34"/>
    </row>
    <row r="1072" spans="1:30" ht="16" x14ac:dyDescent="0.2">
      <c r="A1072" s="47"/>
      <c r="B1072" s="383"/>
      <c r="C1072" s="176">
        <f t="shared" si="308"/>
        <v>1069</v>
      </c>
      <c r="D1072" s="90">
        <v>45870</v>
      </c>
      <c r="E1072" s="90">
        <v>45879</v>
      </c>
      <c r="F1072" s="68" t="s">
        <v>213</v>
      </c>
      <c r="G1072" s="379" t="str">
        <f ca="1">IF(AND(E1072&lt;&gt;"",E1072&lt;TODAY()),"Disponible",IFERROR(INDEX(Vehiculos[Estado Vehiculo],MATCH(F1072,Vehiculos[Placa Vehiculo],0)),""))</f>
        <v>Disponible</v>
      </c>
      <c r="H1072" s="89" t="s">
        <v>232</v>
      </c>
      <c r="I1072" s="89" t="s">
        <v>273</v>
      </c>
      <c r="J1072" s="89" t="s">
        <v>317</v>
      </c>
      <c r="K1072" s="380">
        <v>413403</v>
      </c>
      <c r="L1072" s="380">
        <v>414596</v>
      </c>
      <c r="M1072" s="381">
        <f t="shared" si="298"/>
        <v>1193</v>
      </c>
      <c r="N1072" s="381"/>
      <c r="O1072" s="380"/>
      <c r="P1072" s="92"/>
      <c r="Q1072" s="382">
        <f t="shared" si="299"/>
        <v>0</v>
      </c>
      <c r="R1072" s="89" t="s">
        <v>273</v>
      </c>
      <c r="S1072" s="89" t="s">
        <v>102</v>
      </c>
      <c r="T1072" s="92">
        <v>1.8</v>
      </c>
      <c r="U1072" s="266">
        <f>Rutas[[#This Row],[Precio x Galón ($/gal)]]*Rutas[[#This Row],[Volumen de Combustible (gal)]]</f>
        <v>198</v>
      </c>
      <c r="V1072" s="92"/>
      <c r="W1072" s="92"/>
      <c r="X1072" s="92"/>
      <c r="Y1072" s="382">
        <f t="shared" si="300"/>
        <v>198</v>
      </c>
      <c r="Z1072" s="567"/>
      <c r="AA1072" s="382">
        <v>110</v>
      </c>
      <c r="AB1072" s="382">
        <f t="shared" si="301"/>
        <v>10.845454545454546</v>
      </c>
      <c r="AC1072" s="382">
        <f t="shared" si="302"/>
        <v>0</v>
      </c>
      <c r="AD1072" s="89"/>
    </row>
    <row r="1073" spans="1:30" ht="16" x14ac:dyDescent="0.2">
      <c r="A1073" s="47"/>
      <c r="B1073" s="383"/>
      <c r="C1073" s="176">
        <f t="shared" si="308"/>
        <v>1070</v>
      </c>
      <c r="D1073" s="146">
        <v>45879</v>
      </c>
      <c r="E1073" s="37">
        <v>45889</v>
      </c>
      <c r="F1073" s="65" t="s">
        <v>213</v>
      </c>
      <c r="G1073" s="11" t="str">
        <f ca="1">IF(AND(E1073&lt;&gt;"",E1073&lt;TODAY()),"Disponible",IFERROR(INDEX(Vehiculos[Estado Vehiculo],MATCH(F1073,Vehiculos[Placa Vehiculo],0)),""))</f>
        <v>Disponible</v>
      </c>
      <c r="H1073" s="34" t="s">
        <v>232</v>
      </c>
      <c r="I1073" s="34" t="s">
        <v>273</v>
      </c>
      <c r="J1073" s="34" t="s">
        <v>317</v>
      </c>
      <c r="K1073" s="39">
        <v>414596</v>
      </c>
      <c r="L1073" s="39">
        <v>415627</v>
      </c>
      <c r="M1073" s="15">
        <f t="shared" si="298"/>
        <v>1031</v>
      </c>
      <c r="N1073" s="15"/>
      <c r="O1073" s="39"/>
      <c r="P1073" s="36"/>
      <c r="Q1073" s="16">
        <f t="shared" si="299"/>
        <v>0</v>
      </c>
      <c r="R1073" s="34" t="s">
        <v>273</v>
      </c>
      <c r="S1073" s="34" t="s">
        <v>102</v>
      </c>
      <c r="T1073" s="36">
        <v>1.8</v>
      </c>
      <c r="U1073" s="293">
        <f>Rutas[[#This Row],[Precio x Galón ($/gal)]]*Rutas[[#This Row],[Volumen de Combustible (gal)]]</f>
        <v>108</v>
      </c>
      <c r="V1073" s="36"/>
      <c r="W1073" s="36"/>
      <c r="X1073" s="36"/>
      <c r="Y1073" s="145">
        <f t="shared" si="300"/>
        <v>108</v>
      </c>
      <c r="Z1073" s="567"/>
      <c r="AA1073" s="12">
        <v>60</v>
      </c>
      <c r="AB1073" s="12">
        <f t="shared" si="301"/>
        <v>17.183333333333334</v>
      </c>
      <c r="AC1073" s="12">
        <f t="shared" si="302"/>
        <v>0</v>
      </c>
      <c r="AD1073" s="34"/>
    </row>
    <row r="1074" spans="1:30" ht="16" x14ac:dyDescent="0.2">
      <c r="A1074" s="47"/>
      <c r="B1074" s="383"/>
      <c r="C1074" s="176">
        <f t="shared" si="308"/>
        <v>1071</v>
      </c>
      <c r="D1074" s="146">
        <v>45889</v>
      </c>
      <c r="E1074" s="37">
        <v>45900</v>
      </c>
      <c r="F1074" s="65" t="s">
        <v>213</v>
      </c>
      <c r="G1074" s="11" t="str">
        <f ca="1">IF(AND(E1074&lt;&gt;"",E1074&lt;TODAY()),"Disponible",IFERROR(INDEX(Vehiculos[Estado Vehiculo],MATCH(F1074,Vehiculos[Placa Vehiculo],0)),""))</f>
        <v>Disponible</v>
      </c>
      <c r="H1074" s="34" t="s">
        <v>232</v>
      </c>
      <c r="I1074" s="34" t="s">
        <v>273</v>
      </c>
      <c r="J1074" s="34" t="s">
        <v>317</v>
      </c>
      <c r="K1074" s="39">
        <v>415627</v>
      </c>
      <c r="L1074" s="39">
        <v>416880</v>
      </c>
      <c r="M1074" s="15">
        <f t="shared" si="298"/>
        <v>1253</v>
      </c>
      <c r="N1074" s="452">
        <v>324</v>
      </c>
      <c r="O1074" s="39"/>
      <c r="P1074" s="36"/>
      <c r="Q1074" s="16">
        <f t="shared" si="299"/>
        <v>0</v>
      </c>
      <c r="R1074" s="34" t="s">
        <v>273</v>
      </c>
      <c r="S1074" s="34" t="s">
        <v>102</v>
      </c>
      <c r="T1074" s="36">
        <v>1.8</v>
      </c>
      <c r="U1074" s="293">
        <f>Rutas[[#This Row],[Precio x Galón ($/gal)]]*Rutas[[#This Row],[Volumen de Combustible (gal)]]</f>
        <v>216</v>
      </c>
      <c r="V1074" s="36"/>
      <c r="W1074" s="36"/>
      <c r="X1074" s="36"/>
      <c r="Y1074" s="145">
        <f t="shared" si="300"/>
        <v>216</v>
      </c>
      <c r="Z1074" s="567"/>
      <c r="AA1074" s="12">
        <v>120</v>
      </c>
      <c r="AB1074" s="12">
        <f t="shared" si="301"/>
        <v>10.441666666666666</v>
      </c>
      <c r="AC1074" s="12">
        <f t="shared" si="302"/>
        <v>0</v>
      </c>
      <c r="AD1074" s="34"/>
    </row>
    <row r="1075" spans="1:30" ht="16" x14ac:dyDescent="0.2">
      <c r="A1075" s="47"/>
      <c r="B1075" s="383"/>
      <c r="C1075" s="176">
        <f t="shared" si="308"/>
        <v>1072</v>
      </c>
      <c r="D1075" s="146"/>
      <c r="E1075" s="37"/>
      <c r="F1075" s="65"/>
      <c r="G1075" s="11" t="str">
        <f ca="1">IF(AND(E1075&lt;&gt;"",E1075&lt;TODAY()),"Disponible",IFERROR(INDEX(Vehiculos[Estado Vehiculo],MATCH(F1075,Vehiculos[Placa Vehiculo],0)),""))</f>
        <v/>
      </c>
      <c r="H1075" s="34"/>
      <c r="I1075" s="34"/>
      <c r="J1075" s="34"/>
      <c r="K1075" s="39"/>
      <c r="L1075" s="39"/>
      <c r="M1075" s="15">
        <f t="shared" si="298"/>
        <v>0</v>
      </c>
      <c r="N1075" s="15"/>
      <c r="O1075" s="39"/>
      <c r="P1075" s="36"/>
      <c r="Q1075" s="16">
        <f t="shared" si="299"/>
        <v>0</v>
      </c>
      <c r="R1075" s="34"/>
      <c r="S1075" s="34"/>
      <c r="T1075" s="36"/>
      <c r="U1075" s="293">
        <f>Rutas[[#This Row],[Precio x Galón ($/gal)]]*Rutas[[#This Row],[Volumen de Combustible (gal)]]</f>
        <v>0</v>
      </c>
      <c r="V1075" s="36"/>
      <c r="W1075" s="36"/>
      <c r="X1075" s="36"/>
      <c r="Y1075" s="145">
        <f t="shared" si="300"/>
        <v>0</v>
      </c>
      <c r="Z1075" s="567"/>
      <c r="AA1075" s="12"/>
      <c r="AB1075" s="12">
        <f t="shared" si="301"/>
        <v>0</v>
      </c>
      <c r="AC1075" s="12">
        <f t="shared" si="302"/>
        <v>0</v>
      </c>
      <c r="AD1075" s="34"/>
    </row>
    <row r="1076" spans="1:30" ht="16" x14ac:dyDescent="0.2">
      <c r="A1076" s="47"/>
      <c r="B1076" s="383"/>
      <c r="C1076" s="176">
        <f t="shared" si="308"/>
        <v>1073</v>
      </c>
      <c r="D1076" s="90">
        <v>45870</v>
      </c>
      <c r="E1076" s="90">
        <v>45872</v>
      </c>
      <c r="F1076" s="68" t="s">
        <v>286</v>
      </c>
      <c r="G1076" s="379" t="str">
        <f ca="1">IF(AND(E1076&lt;&gt;"",E1076&lt;TODAY()),"Disponible",IFERROR(INDEX(Vehiculos[Estado Vehiculo],MATCH(F1076,Vehiculos[Placa Vehiculo],0)),""))</f>
        <v>Disponible</v>
      </c>
      <c r="H1076" s="89" t="s">
        <v>288</v>
      </c>
      <c r="I1076" s="89" t="s">
        <v>273</v>
      </c>
      <c r="J1076" s="89" t="s">
        <v>290</v>
      </c>
      <c r="K1076" s="380">
        <v>96591</v>
      </c>
      <c r="L1076" s="380">
        <v>96965</v>
      </c>
      <c r="M1076" s="381">
        <f t="shared" si="298"/>
        <v>374</v>
      </c>
      <c r="N1076" s="381"/>
      <c r="O1076" s="380"/>
      <c r="P1076" s="92"/>
      <c r="Q1076" s="382">
        <f t="shared" si="299"/>
        <v>0</v>
      </c>
      <c r="R1076" s="89" t="s">
        <v>273</v>
      </c>
      <c r="S1076" s="89" t="s">
        <v>102</v>
      </c>
      <c r="T1076" s="92">
        <v>1.8</v>
      </c>
      <c r="U1076" s="266">
        <f>Rutas[[#This Row],[Precio x Galón ($/gal)]]*Rutas[[#This Row],[Volumen de Combustible (gal)]]</f>
        <v>23.526</v>
      </c>
      <c r="V1076" s="92"/>
      <c r="W1076" s="92"/>
      <c r="X1076" s="92"/>
      <c r="Y1076" s="382">
        <f t="shared" si="300"/>
        <v>23.526</v>
      </c>
      <c r="Z1076" s="567"/>
      <c r="AA1076" s="382">
        <v>13.07</v>
      </c>
      <c r="AB1076" s="382">
        <f t="shared" si="301"/>
        <v>28.61514919663351</v>
      </c>
      <c r="AC1076" s="382">
        <f t="shared" si="302"/>
        <v>0</v>
      </c>
      <c r="AD1076" s="89"/>
    </row>
    <row r="1077" spans="1:30" ht="16" x14ac:dyDescent="0.2">
      <c r="A1077" s="47"/>
      <c r="B1077" s="383"/>
      <c r="C1077" s="176">
        <f t="shared" si="308"/>
        <v>1074</v>
      </c>
      <c r="D1077" s="146">
        <v>45872</v>
      </c>
      <c r="E1077" s="37">
        <v>45875</v>
      </c>
      <c r="F1077" s="65" t="s">
        <v>286</v>
      </c>
      <c r="G1077" s="11" t="str">
        <f ca="1">IF(AND(E1077&lt;&gt;"",E1077&lt;TODAY()),"Disponible",IFERROR(INDEX(Vehiculos[Estado Vehiculo],MATCH(F1077,Vehiculos[Placa Vehiculo],0)),""))</f>
        <v>Disponible</v>
      </c>
      <c r="H1077" s="34" t="s">
        <v>288</v>
      </c>
      <c r="I1077" s="34" t="s">
        <v>273</v>
      </c>
      <c r="J1077" s="34" t="s">
        <v>290</v>
      </c>
      <c r="K1077" s="39">
        <v>96965</v>
      </c>
      <c r="L1077" s="39">
        <v>97472</v>
      </c>
      <c r="M1077" s="15">
        <f t="shared" si="298"/>
        <v>507</v>
      </c>
      <c r="N1077" s="15"/>
      <c r="O1077" s="39"/>
      <c r="P1077" s="36"/>
      <c r="Q1077" s="16">
        <f t="shared" si="299"/>
        <v>0</v>
      </c>
      <c r="R1077" s="34" t="s">
        <v>339</v>
      </c>
      <c r="S1077" s="34" t="s">
        <v>102</v>
      </c>
      <c r="T1077" s="36">
        <v>1.8</v>
      </c>
      <c r="U1077" s="293">
        <f>Rutas[[#This Row],[Precio x Galón ($/gal)]]*Rutas[[#This Row],[Volumen de Combustible (gal)]]</f>
        <v>25.146000000000001</v>
      </c>
      <c r="V1077" s="36"/>
      <c r="W1077" s="36"/>
      <c r="X1077" s="36"/>
      <c r="Y1077" s="145">
        <f t="shared" si="300"/>
        <v>25.146000000000001</v>
      </c>
      <c r="Z1077" s="567"/>
      <c r="AA1077" s="12">
        <v>13.97</v>
      </c>
      <c r="AB1077" s="12">
        <f t="shared" si="301"/>
        <v>36.292054402290624</v>
      </c>
      <c r="AC1077" s="12">
        <f t="shared" si="302"/>
        <v>0</v>
      </c>
      <c r="AD1077" s="34"/>
    </row>
    <row r="1078" spans="1:30" ht="16" x14ac:dyDescent="0.2">
      <c r="A1078" s="47"/>
      <c r="B1078" s="383"/>
      <c r="C1078" s="176">
        <f t="shared" si="308"/>
        <v>1075</v>
      </c>
      <c r="D1078" s="146">
        <v>45875</v>
      </c>
      <c r="E1078" s="37">
        <v>45880</v>
      </c>
      <c r="F1078" s="65" t="s">
        <v>286</v>
      </c>
      <c r="G1078" s="11" t="str">
        <f ca="1">IF(AND(E1078&lt;&gt;"",E1078&lt;TODAY()),"Disponible",IFERROR(INDEX(Vehiculos[Estado Vehiculo],MATCH(F1078,Vehiculos[Placa Vehiculo],0)),""))</f>
        <v>Disponible</v>
      </c>
      <c r="H1078" s="34" t="s">
        <v>288</v>
      </c>
      <c r="I1078" s="34" t="s">
        <v>273</v>
      </c>
      <c r="J1078" s="34" t="s">
        <v>290</v>
      </c>
      <c r="K1078" s="39">
        <v>97472</v>
      </c>
      <c r="L1078" s="39">
        <v>97896</v>
      </c>
      <c r="M1078" s="15">
        <f t="shared" si="298"/>
        <v>424</v>
      </c>
      <c r="N1078" s="15"/>
      <c r="O1078" s="39"/>
      <c r="P1078" s="36"/>
      <c r="Q1078" s="16">
        <f t="shared" si="299"/>
        <v>0</v>
      </c>
      <c r="R1078" s="34" t="s">
        <v>339</v>
      </c>
      <c r="S1078" s="34" t="s">
        <v>102</v>
      </c>
      <c r="T1078" s="36">
        <v>1.8</v>
      </c>
      <c r="U1078" s="293">
        <f>Rutas[[#This Row],[Precio x Galón ($/gal)]]*Rutas[[#This Row],[Volumen de Combustible (gal)]]</f>
        <v>26.1</v>
      </c>
      <c r="V1078" s="36"/>
      <c r="W1078" s="36"/>
      <c r="X1078" s="36"/>
      <c r="Y1078" s="145">
        <f t="shared" si="300"/>
        <v>26.1</v>
      </c>
      <c r="Z1078" s="567"/>
      <c r="AA1078" s="12">
        <v>14.5</v>
      </c>
      <c r="AB1078" s="12">
        <f t="shared" si="301"/>
        <v>29.241379310344829</v>
      </c>
      <c r="AC1078" s="12">
        <f t="shared" si="302"/>
        <v>0</v>
      </c>
      <c r="AD1078" s="34"/>
    </row>
    <row r="1079" spans="1:30" ht="16" x14ac:dyDescent="0.2">
      <c r="A1079" s="47"/>
      <c r="B1079" s="383"/>
      <c r="C1079" s="176">
        <f t="shared" si="308"/>
        <v>1076</v>
      </c>
      <c r="D1079" s="454">
        <v>45880</v>
      </c>
      <c r="E1079" s="37">
        <v>45886</v>
      </c>
      <c r="F1079" s="65" t="s">
        <v>286</v>
      </c>
      <c r="G1079" s="11" t="str">
        <f ca="1">IF(AND(E1079&lt;&gt;"",E1079&lt;TODAY()),"Disponible",IFERROR(INDEX(Vehiculos[Estado Vehiculo],MATCH(F1079,Vehiculos[Placa Vehiculo],0)),""))</f>
        <v>Disponible</v>
      </c>
      <c r="H1079" s="34" t="s">
        <v>288</v>
      </c>
      <c r="I1079" s="34" t="s">
        <v>273</v>
      </c>
      <c r="J1079" s="34" t="s">
        <v>290</v>
      </c>
      <c r="K1079" s="39">
        <v>97896</v>
      </c>
      <c r="L1079" s="39">
        <v>98409</v>
      </c>
      <c r="M1079" s="15">
        <f>L1079-K1079</f>
        <v>513</v>
      </c>
      <c r="N1079" s="15"/>
      <c r="O1079" s="39"/>
      <c r="P1079" s="36"/>
      <c r="Q1079" s="16">
        <f>M1079*P1079</f>
        <v>0</v>
      </c>
      <c r="R1079" s="34" t="s">
        <v>339</v>
      </c>
      <c r="S1079" s="34" t="s">
        <v>102</v>
      </c>
      <c r="T1079" s="36">
        <v>1.8</v>
      </c>
      <c r="U1079" s="293">
        <f>Rutas[[#This Row],[Precio x Galón ($/gal)]]*Rutas[[#This Row],[Volumen de Combustible (gal)]]</f>
        <v>28.8</v>
      </c>
      <c r="V1079" s="36"/>
      <c r="W1079" s="36"/>
      <c r="X1079" s="36"/>
      <c r="Y1079" s="145">
        <f>U1079+SUM(V1079:X1079)</f>
        <v>28.8</v>
      </c>
      <c r="Z1079" s="567"/>
      <c r="AA1079" s="12">
        <v>16</v>
      </c>
      <c r="AB1079" s="12">
        <f>IFERROR(M1079/AA1079,0)</f>
        <v>32.0625</v>
      </c>
      <c r="AC1079" s="12">
        <f>IFERROR(Q1079/M1079,0)</f>
        <v>0</v>
      </c>
      <c r="AD1079" s="34"/>
    </row>
    <row r="1080" spans="1:30" ht="16" x14ac:dyDescent="0.2">
      <c r="A1080" s="47"/>
      <c r="B1080" s="383"/>
      <c r="C1080" s="176">
        <f t="shared" si="308"/>
        <v>1077</v>
      </c>
      <c r="D1080" s="454">
        <v>45886</v>
      </c>
      <c r="E1080" s="37">
        <v>45890</v>
      </c>
      <c r="F1080" s="65" t="s">
        <v>286</v>
      </c>
      <c r="G1080" s="11" t="str">
        <f ca="1">IF(AND(E1080&lt;&gt;"",E1080&lt;TODAY()),"Disponible",IFERROR(INDEX(Vehiculos[Estado Vehiculo],MATCH(F1080,Vehiculos[Placa Vehiculo],0)),""))</f>
        <v>Disponible</v>
      </c>
      <c r="H1080" s="34" t="s">
        <v>289</v>
      </c>
      <c r="I1080" s="34" t="s">
        <v>273</v>
      </c>
      <c r="J1080" s="34" t="s">
        <v>290</v>
      </c>
      <c r="K1080" s="39">
        <v>98409</v>
      </c>
      <c r="L1080" s="39">
        <v>99116</v>
      </c>
      <c r="M1080" s="15">
        <f>L1080-K1080</f>
        <v>707</v>
      </c>
      <c r="N1080" s="15"/>
      <c r="O1080" s="39"/>
      <c r="P1080" s="36"/>
      <c r="Q1080" s="16">
        <f>M1080*P1080</f>
        <v>0</v>
      </c>
      <c r="R1080" s="34" t="s">
        <v>339</v>
      </c>
      <c r="S1080" s="34" t="s">
        <v>102</v>
      </c>
      <c r="T1080" s="36">
        <v>1.8</v>
      </c>
      <c r="U1080" s="293">
        <f>Rutas[[#This Row],[Precio x Galón ($/gal)]]*Rutas[[#This Row],[Volumen de Combustible (gal)]]</f>
        <v>35.1</v>
      </c>
      <c r="V1080" s="36"/>
      <c r="W1080" s="36"/>
      <c r="X1080" s="36"/>
      <c r="Y1080" s="145">
        <f>U1080+SUM(V1080:X1080)</f>
        <v>35.1</v>
      </c>
      <c r="Z1080" s="567"/>
      <c r="AA1080" s="12">
        <v>19.5</v>
      </c>
      <c r="AB1080" s="12">
        <f>IFERROR(M1080/AA1080,0)</f>
        <v>36.256410256410255</v>
      </c>
      <c r="AC1080" s="12">
        <f>IFERROR(Q1080/M1080,0)</f>
        <v>0</v>
      </c>
      <c r="AD1080" s="34"/>
    </row>
    <row r="1081" spans="1:30" ht="16" x14ac:dyDescent="0.2">
      <c r="A1081" s="47"/>
      <c r="B1081" s="383"/>
      <c r="C1081" s="176">
        <f t="shared" si="308"/>
        <v>1078</v>
      </c>
      <c r="D1081" s="454">
        <v>45890</v>
      </c>
      <c r="E1081" s="37">
        <v>45898</v>
      </c>
      <c r="F1081" s="65" t="s">
        <v>286</v>
      </c>
      <c r="G1081" s="11" t="str">
        <f ca="1">IF(AND(E1081&lt;&gt;"",E1081&lt;TODAY()),"Disponible",IFERROR(INDEX(Vehiculos[Estado Vehiculo],MATCH(F1081,Vehiculos[Placa Vehiculo],0)),""))</f>
        <v>Disponible</v>
      </c>
      <c r="H1081" s="34" t="s">
        <v>288</v>
      </c>
      <c r="I1081" s="34" t="s">
        <v>273</v>
      </c>
      <c r="J1081" s="34" t="s">
        <v>290</v>
      </c>
      <c r="K1081" s="39">
        <v>99116</v>
      </c>
      <c r="L1081" s="39">
        <v>99991</v>
      </c>
      <c r="M1081" s="15">
        <f>L1081-K1081</f>
        <v>875</v>
      </c>
      <c r="N1081" s="15"/>
      <c r="O1081" s="39"/>
      <c r="P1081" s="36"/>
      <c r="Q1081" s="16">
        <f>M1081*P1081</f>
        <v>0</v>
      </c>
      <c r="R1081" s="34" t="s">
        <v>339</v>
      </c>
      <c r="S1081" s="34" t="s">
        <v>102</v>
      </c>
      <c r="T1081" s="36">
        <v>1.8</v>
      </c>
      <c r="U1081" s="293">
        <f>Rutas[[#This Row],[Precio x Galón ($/gal)]]*Rutas[[#This Row],[Volumen de Combustible (gal)]]</f>
        <v>16.650000000000002</v>
      </c>
      <c r="V1081" s="36"/>
      <c r="W1081" s="36"/>
      <c r="X1081" s="36"/>
      <c r="Y1081" s="145">
        <f>U1081+SUM(V1081:X1081)</f>
        <v>16.650000000000002</v>
      </c>
      <c r="Z1081" s="567"/>
      <c r="AA1081" s="12">
        <v>9.25</v>
      </c>
      <c r="AB1081" s="12">
        <f>IFERROR(M1081/AA1081,0)</f>
        <v>94.594594594594597</v>
      </c>
      <c r="AC1081" s="12">
        <f>IFERROR(Q1081/M1081,0)</f>
        <v>0</v>
      </c>
      <c r="AD1081" s="34"/>
    </row>
    <row r="1082" spans="1:30" ht="16" x14ac:dyDescent="0.2">
      <c r="A1082" s="47"/>
      <c r="B1082" s="383"/>
      <c r="C1082" s="176">
        <f t="shared" si="308"/>
        <v>1079</v>
      </c>
      <c r="D1082" s="454"/>
      <c r="E1082" s="37"/>
      <c r="F1082" s="65"/>
      <c r="G1082" s="11" t="str">
        <f ca="1">IF(AND(E1082&lt;&gt;"",E1082&lt;TODAY()),"Disponible",IFERROR(INDEX(Vehiculos[Estado Vehiculo],MATCH(F1082,Vehiculos[Placa Vehiculo],0)),""))</f>
        <v/>
      </c>
      <c r="H1082" s="34"/>
      <c r="I1082" s="34"/>
      <c r="J1082" s="34"/>
      <c r="K1082" s="39"/>
      <c r="L1082" s="39"/>
      <c r="M1082" s="15">
        <f>L1082-K1082</f>
        <v>0</v>
      </c>
      <c r="N1082" s="15"/>
      <c r="O1082" s="39"/>
      <c r="P1082" s="36"/>
      <c r="Q1082" s="16">
        <f>M1082*P1082</f>
        <v>0</v>
      </c>
      <c r="R1082" s="34"/>
      <c r="S1082" s="34"/>
      <c r="T1082" s="36"/>
      <c r="U1082" s="293"/>
      <c r="V1082" s="36"/>
      <c r="W1082" s="36"/>
      <c r="X1082" s="36"/>
      <c r="Y1082" s="145">
        <f>U1082+SUM(V1082:X1082)</f>
        <v>0</v>
      </c>
      <c r="Z1082" s="567"/>
      <c r="AA1082" s="12"/>
      <c r="AB1082" s="12">
        <f>IFERROR(M1082/AA1082,0)</f>
        <v>0</v>
      </c>
      <c r="AC1082" s="12">
        <f>IFERROR(Q1082/M1082,0)</f>
        <v>0</v>
      </c>
      <c r="AD1082" s="34"/>
    </row>
    <row r="1083" spans="1:30" ht="16" x14ac:dyDescent="0.2">
      <c r="A1083" s="47"/>
      <c r="B1083" s="383"/>
      <c r="C1083" s="176">
        <f t="shared" si="308"/>
        <v>1080</v>
      </c>
      <c r="D1083" s="146"/>
      <c r="E1083" s="37"/>
      <c r="F1083" s="65"/>
      <c r="G1083" s="11" t="str">
        <f ca="1">IF(AND(E1083&lt;&gt;"",E1083&lt;TODAY()),"Disponible",IFERROR(INDEX(Vehiculos[Estado Vehiculo],MATCH(F1083,Vehiculos[Placa Vehiculo],0)),""))</f>
        <v/>
      </c>
      <c r="H1083" s="34"/>
      <c r="I1083" s="34"/>
      <c r="J1083" s="34"/>
      <c r="K1083" s="39"/>
      <c r="L1083" s="39"/>
      <c r="M1083" s="15">
        <f t="shared" si="298"/>
        <v>0</v>
      </c>
      <c r="N1083" s="15"/>
      <c r="O1083" s="39"/>
      <c r="P1083" s="36"/>
      <c r="Q1083" s="16">
        <f t="shared" si="299"/>
        <v>0</v>
      </c>
      <c r="R1083" s="34"/>
      <c r="S1083" s="34"/>
      <c r="T1083" s="36"/>
      <c r="U1083" s="293">
        <f>Rutas[[#This Row],[Precio x Galón ($/gal)]]*Rutas[[#This Row],[Volumen de Combustible (gal)]]</f>
        <v>0</v>
      </c>
      <c r="V1083" s="36"/>
      <c r="W1083" s="36"/>
      <c r="X1083" s="36"/>
      <c r="Y1083" s="145">
        <f t="shared" si="300"/>
        <v>0</v>
      </c>
      <c r="Z1083" s="567"/>
      <c r="AA1083" s="12"/>
      <c r="AB1083" s="12">
        <f t="shared" si="301"/>
        <v>0</v>
      </c>
      <c r="AC1083" s="12">
        <f t="shared" si="302"/>
        <v>0</v>
      </c>
      <c r="AD1083" s="34"/>
    </row>
    <row r="1084" spans="1:30" ht="16" x14ac:dyDescent="0.2">
      <c r="A1084" s="47"/>
      <c r="B1084" s="383"/>
      <c r="C1084" s="176">
        <f t="shared" si="308"/>
        <v>1081</v>
      </c>
      <c r="D1084" s="90">
        <v>45870</v>
      </c>
      <c r="E1084" s="90">
        <v>45871</v>
      </c>
      <c r="F1084" s="68" t="s">
        <v>308</v>
      </c>
      <c r="G1084" s="379" t="str">
        <f ca="1">IF(AND(E1084&lt;&gt;"",E1084&lt;TODAY()),"Disponible",IFERROR(INDEX(Vehiculos[Estado Vehiculo],MATCH(F1084,Vehiculos[Placa Vehiculo],0)),""))</f>
        <v>Disponible</v>
      </c>
      <c r="H1084" s="89"/>
      <c r="I1084" s="89" t="s">
        <v>273</v>
      </c>
      <c r="J1084" s="89"/>
      <c r="K1084" s="380">
        <v>860</v>
      </c>
      <c r="L1084" s="380">
        <v>876</v>
      </c>
      <c r="M1084" s="381">
        <f t="shared" si="298"/>
        <v>16</v>
      </c>
      <c r="N1084" s="381">
        <f>Rutas[[#This Row],[Kms Recorridos]]</f>
        <v>16</v>
      </c>
      <c r="O1084" s="380"/>
      <c r="P1084" s="92"/>
      <c r="Q1084" s="382">
        <f t="shared" si="299"/>
        <v>0</v>
      </c>
      <c r="R1084" s="89" t="s">
        <v>273</v>
      </c>
      <c r="S1084" s="89" t="s">
        <v>102</v>
      </c>
      <c r="T1084" s="92">
        <v>1.8</v>
      </c>
      <c r="U1084" s="266">
        <f>Rutas[[#This Row],[Precio x Galón ($/gal)]]*Rutas[[#This Row],[Volumen de Combustible (gal)]]</f>
        <v>27.45</v>
      </c>
      <c r="V1084" s="92"/>
      <c r="W1084" s="92"/>
      <c r="X1084" s="92"/>
      <c r="Y1084" s="382">
        <f t="shared" si="300"/>
        <v>27.45</v>
      </c>
      <c r="Z1084" s="567"/>
      <c r="AA1084" s="382">
        <v>15.25</v>
      </c>
      <c r="AB1084" s="382">
        <f t="shared" si="301"/>
        <v>1.0491803278688525</v>
      </c>
      <c r="AC1084" s="382">
        <f t="shared" si="302"/>
        <v>0</v>
      </c>
      <c r="AD1084" s="89"/>
    </row>
    <row r="1085" spans="1:30" ht="16" x14ac:dyDescent="0.2">
      <c r="A1085" s="47"/>
      <c r="B1085" s="383"/>
      <c r="C1085" s="176">
        <f t="shared" si="308"/>
        <v>1082</v>
      </c>
      <c r="D1085" s="146">
        <v>45871</v>
      </c>
      <c r="E1085" s="37">
        <v>45872</v>
      </c>
      <c r="F1085" s="65" t="s">
        <v>308</v>
      </c>
      <c r="G1085" s="11" t="str">
        <f ca="1">IF(AND(E1085&lt;&gt;"",E1085&lt;TODAY()),"Disponible",IFERROR(INDEX(Vehiculos[Estado Vehiculo],MATCH(F1085,Vehiculos[Placa Vehiculo],0)),""))</f>
        <v>Disponible</v>
      </c>
      <c r="H1085" s="34"/>
      <c r="I1085" s="34" t="s">
        <v>273</v>
      </c>
      <c r="J1085" s="34"/>
      <c r="K1085" s="39">
        <v>876</v>
      </c>
      <c r="L1085" s="39">
        <v>893</v>
      </c>
      <c r="M1085" s="15">
        <f t="shared" si="298"/>
        <v>17</v>
      </c>
      <c r="N1085" s="15">
        <f>Rutas[[#This Row],[Kms Recorridos]]</f>
        <v>17</v>
      </c>
      <c r="O1085" s="39"/>
      <c r="P1085" s="36"/>
      <c r="Q1085" s="16">
        <f t="shared" si="299"/>
        <v>0</v>
      </c>
      <c r="R1085" s="34" t="s">
        <v>339</v>
      </c>
      <c r="S1085" s="34" t="s">
        <v>102</v>
      </c>
      <c r="T1085" s="36">
        <v>1.8</v>
      </c>
      <c r="U1085" s="293">
        <f>Rutas[[#This Row],[Precio x Galón ($/gal)]]*Rutas[[#This Row],[Volumen de Combustible (gal)]]</f>
        <v>19.440000000000001</v>
      </c>
      <c r="V1085" s="36"/>
      <c r="W1085" s="36"/>
      <c r="X1085" s="36"/>
      <c r="Y1085" s="145">
        <f t="shared" si="300"/>
        <v>19.440000000000001</v>
      </c>
      <c r="Z1085" s="567"/>
      <c r="AA1085" s="12">
        <v>10.8</v>
      </c>
      <c r="AB1085" s="12">
        <f t="shared" si="301"/>
        <v>1.574074074074074</v>
      </c>
      <c r="AC1085" s="12">
        <f t="shared" si="302"/>
        <v>0</v>
      </c>
      <c r="AD1085" s="34"/>
    </row>
    <row r="1086" spans="1:30" ht="16" x14ac:dyDescent="0.2">
      <c r="A1086" s="47"/>
      <c r="B1086" s="383"/>
      <c r="C1086" s="176">
        <f t="shared" si="308"/>
        <v>1083</v>
      </c>
      <c r="D1086" s="146">
        <v>45872</v>
      </c>
      <c r="E1086" s="37">
        <v>45897</v>
      </c>
      <c r="F1086" s="65" t="s">
        <v>308</v>
      </c>
      <c r="G1086" s="11" t="str">
        <f ca="1">IF(AND(E1086&lt;&gt;"",E1086&lt;TODAY()),"Disponible",IFERROR(INDEX(Vehiculos[Estado Vehiculo],MATCH(F1086,Vehiculos[Placa Vehiculo],0)),""))</f>
        <v>Disponible</v>
      </c>
      <c r="H1086" s="34"/>
      <c r="I1086" s="34" t="s">
        <v>273</v>
      </c>
      <c r="J1086" s="34"/>
      <c r="K1086" s="39">
        <v>893</v>
      </c>
      <c r="L1086" s="39">
        <v>1027</v>
      </c>
      <c r="M1086" s="15">
        <f t="shared" si="298"/>
        <v>134</v>
      </c>
      <c r="N1086" s="15">
        <f>Rutas[[#This Row],[Kms Recorridos]]</f>
        <v>134</v>
      </c>
      <c r="O1086" s="39"/>
      <c r="P1086" s="36"/>
      <c r="Q1086" s="16">
        <f t="shared" si="299"/>
        <v>0</v>
      </c>
      <c r="R1086" s="34" t="s">
        <v>339</v>
      </c>
      <c r="S1086" s="34" t="s">
        <v>102</v>
      </c>
      <c r="T1086" s="36">
        <v>1.8</v>
      </c>
      <c r="U1086" s="293">
        <f>Rutas[[#This Row],[Precio x Galón ($/gal)]]*Rutas[[#This Row],[Volumen de Combustible (gal)]]</f>
        <v>32.652000000000001</v>
      </c>
      <c r="V1086" s="36"/>
      <c r="W1086" s="36"/>
      <c r="X1086" s="36"/>
      <c r="Y1086" s="145">
        <f t="shared" si="300"/>
        <v>32.652000000000001</v>
      </c>
      <c r="Z1086" s="567"/>
      <c r="AA1086" s="12">
        <v>18.14</v>
      </c>
      <c r="AB1086" s="12">
        <f t="shared" si="301"/>
        <v>7.3869900771775079</v>
      </c>
      <c r="AC1086" s="12">
        <f t="shared" si="302"/>
        <v>0</v>
      </c>
      <c r="AD1086" s="34"/>
    </row>
    <row r="1087" spans="1:30" ht="16" x14ac:dyDescent="0.2">
      <c r="A1087" s="47"/>
      <c r="B1087" s="383"/>
      <c r="C1087" s="176">
        <f t="shared" si="308"/>
        <v>1084</v>
      </c>
      <c r="D1087" s="454"/>
      <c r="E1087" s="37"/>
      <c r="F1087" s="65" t="s">
        <v>308</v>
      </c>
      <c r="G1087" s="11" t="str">
        <f ca="1">IF(AND(E1087&lt;&gt;"",E1087&lt;TODAY()),"Disponible",IFERROR(INDEX(Vehiculos[Estado Vehiculo],MATCH(F1087,Vehiculos[Placa Vehiculo],0)),""))</f>
        <v>Disponible</v>
      </c>
      <c r="H1087" s="34"/>
      <c r="I1087" s="34" t="s">
        <v>273</v>
      </c>
      <c r="J1087" s="34"/>
      <c r="K1087" s="39"/>
      <c r="L1087" s="39"/>
      <c r="M1087" s="15">
        <f>L1087-K1087</f>
        <v>0</v>
      </c>
      <c r="N1087" s="15">
        <f>Rutas[[#This Row],[Kms Recorridos]]</f>
        <v>0</v>
      </c>
      <c r="O1087" s="39"/>
      <c r="P1087" s="36"/>
      <c r="Q1087" s="16">
        <f>M1087*P1087</f>
        <v>0</v>
      </c>
      <c r="R1087" s="34"/>
      <c r="S1087" s="34"/>
      <c r="T1087" s="36"/>
      <c r="U1087" s="293"/>
      <c r="V1087" s="36"/>
      <c r="W1087" s="36"/>
      <c r="X1087" s="36"/>
      <c r="Y1087" s="145">
        <f>U1087+SUM(V1087:X1087)</f>
        <v>0</v>
      </c>
      <c r="Z1087" s="567"/>
      <c r="AA1087" s="12"/>
      <c r="AB1087" s="12">
        <f>IFERROR(M1087/AA1087,0)</f>
        <v>0</v>
      </c>
      <c r="AC1087" s="12">
        <f>IFERROR(Q1087/M1087,0)</f>
        <v>0</v>
      </c>
      <c r="AD1087" s="34"/>
    </row>
    <row r="1088" spans="1:30" ht="16" x14ac:dyDescent="0.2">
      <c r="A1088" s="47"/>
      <c r="B1088" s="383"/>
      <c r="C1088" s="176">
        <f t="shared" si="308"/>
        <v>1085</v>
      </c>
      <c r="D1088" s="454"/>
      <c r="E1088" s="37"/>
      <c r="F1088" s="65"/>
      <c r="G1088" s="11" t="str">
        <f ca="1">IF(AND(E1088&lt;&gt;"",E1088&lt;TODAY()),"Disponible",IFERROR(INDEX(Vehiculos[Estado Vehiculo],MATCH(F1088,Vehiculos[Placa Vehiculo],0)),""))</f>
        <v/>
      </c>
      <c r="H1088" s="34"/>
      <c r="I1088" s="34"/>
      <c r="J1088" s="34"/>
      <c r="K1088" s="39"/>
      <c r="L1088" s="39"/>
      <c r="M1088" s="15">
        <f>L1088-K1088</f>
        <v>0</v>
      </c>
      <c r="N1088" s="15"/>
      <c r="O1088" s="39"/>
      <c r="P1088" s="36"/>
      <c r="Q1088" s="16">
        <f>M1088*P1088</f>
        <v>0</v>
      </c>
      <c r="R1088" s="34"/>
      <c r="S1088" s="34"/>
      <c r="T1088" s="36"/>
      <c r="U1088" s="293"/>
      <c r="V1088" s="36"/>
      <c r="W1088" s="36"/>
      <c r="X1088" s="36"/>
      <c r="Y1088" s="145">
        <f>U1088+SUM(V1088:X1088)</f>
        <v>0</v>
      </c>
      <c r="Z1088" s="567"/>
      <c r="AA1088" s="12">
        <f>IFERROR(U1088/T1088,0)</f>
        <v>0</v>
      </c>
      <c r="AB1088" s="12">
        <f>IFERROR(M1088/AA1088,0)</f>
        <v>0</v>
      </c>
      <c r="AC1088" s="12">
        <f>IFERROR(Q1088/M1088,0)</f>
        <v>0</v>
      </c>
      <c r="AD1088" s="34"/>
    </row>
    <row r="1089" spans="1:30" ht="16" x14ac:dyDescent="0.2">
      <c r="A1089" s="47"/>
      <c r="B1089" s="383"/>
      <c r="C1089" s="176">
        <f t="shared" si="308"/>
        <v>1086</v>
      </c>
      <c r="D1089" s="146"/>
      <c r="E1089" s="37"/>
      <c r="F1089" s="65"/>
      <c r="G1089" s="11" t="str">
        <f ca="1">IF(AND(E1089&lt;&gt;"",E1089&lt;TODAY()),"Disponible",IFERROR(INDEX(Vehiculos[Estado Vehiculo],MATCH(F1089,Vehiculos[Placa Vehiculo],0)),""))</f>
        <v/>
      </c>
      <c r="H1089" s="34"/>
      <c r="I1089" s="34"/>
      <c r="J1089" s="34"/>
      <c r="K1089" s="39"/>
      <c r="L1089" s="39"/>
      <c r="M1089" s="15">
        <f t="shared" si="298"/>
        <v>0</v>
      </c>
      <c r="N1089" s="15">
        <f>Rutas[[#This Row],[Kms Recorridos]]</f>
        <v>0</v>
      </c>
      <c r="O1089" s="39"/>
      <c r="P1089" s="36"/>
      <c r="Q1089" s="16">
        <f t="shared" si="299"/>
        <v>0</v>
      </c>
      <c r="R1089" s="34"/>
      <c r="S1089" s="34"/>
      <c r="T1089" s="36"/>
      <c r="U1089" s="293">
        <f>Rutas[[#This Row],[Precio x Galón ($/gal)]]*Rutas[[#This Row],[Volumen de Combustible (gal)]]</f>
        <v>0</v>
      </c>
      <c r="V1089" s="36"/>
      <c r="W1089" s="36"/>
      <c r="X1089" s="36"/>
      <c r="Y1089" s="145">
        <f t="shared" si="300"/>
        <v>0</v>
      </c>
      <c r="Z1089" s="567"/>
      <c r="AA1089" s="12"/>
      <c r="AB1089" s="12">
        <f t="shared" si="301"/>
        <v>0</v>
      </c>
      <c r="AC1089" s="12">
        <f t="shared" si="302"/>
        <v>0</v>
      </c>
      <c r="AD1089" s="34"/>
    </row>
    <row r="1090" spans="1:30" ht="16" x14ac:dyDescent="0.2">
      <c r="A1090" s="47"/>
      <c r="B1090" s="383"/>
      <c r="C1090" s="176">
        <f t="shared" si="308"/>
        <v>1087</v>
      </c>
      <c r="D1090" s="90">
        <v>45870</v>
      </c>
      <c r="E1090" s="90">
        <v>45871</v>
      </c>
      <c r="F1090" s="68" t="s">
        <v>318</v>
      </c>
      <c r="G1090" s="379" t="str">
        <f ca="1">IF(AND(E1090&lt;&gt;"",E1090&lt;TODAY()),"Disponible",IFERROR(INDEX(Vehiculos[Estado Vehiculo],MATCH(F1090,Vehiculos[Placa Vehiculo],0)),""))</f>
        <v>Disponible</v>
      </c>
      <c r="H1090" s="89" t="s">
        <v>305</v>
      </c>
      <c r="I1090" s="89" t="s">
        <v>273</v>
      </c>
      <c r="J1090" s="89"/>
      <c r="K1090" s="380">
        <v>647</v>
      </c>
      <c r="L1090" s="380">
        <v>666</v>
      </c>
      <c r="M1090" s="381">
        <f t="shared" si="298"/>
        <v>19</v>
      </c>
      <c r="N1090" s="381">
        <f>Rutas[[#This Row],[Kms Recorridos]]</f>
        <v>19</v>
      </c>
      <c r="O1090" s="380"/>
      <c r="P1090" s="92"/>
      <c r="Q1090" s="382">
        <f t="shared" si="299"/>
        <v>0</v>
      </c>
      <c r="R1090" s="89" t="s">
        <v>273</v>
      </c>
      <c r="S1090" s="89" t="s">
        <v>102</v>
      </c>
      <c r="T1090" s="92">
        <v>1.8</v>
      </c>
      <c r="U1090" s="266">
        <f>Rutas[[#This Row],[Precio x Galón ($/gal)]]*Rutas[[#This Row],[Volumen de Combustible (gal)]]</f>
        <v>20.7</v>
      </c>
      <c r="V1090" s="92"/>
      <c r="W1090" s="92"/>
      <c r="X1090" s="92"/>
      <c r="Y1090" s="382">
        <f t="shared" si="300"/>
        <v>20.7</v>
      </c>
      <c r="Z1090" s="567"/>
      <c r="AA1090" s="382">
        <v>11.5</v>
      </c>
      <c r="AB1090" s="382">
        <f t="shared" si="301"/>
        <v>1.6521739130434783</v>
      </c>
      <c r="AC1090" s="382">
        <f t="shared" si="302"/>
        <v>0</v>
      </c>
      <c r="AD1090" s="89"/>
    </row>
    <row r="1091" spans="1:30" ht="16" x14ac:dyDescent="0.2">
      <c r="A1091" s="47"/>
      <c r="B1091" s="383"/>
      <c r="C1091" s="176">
        <f t="shared" si="308"/>
        <v>1088</v>
      </c>
      <c r="D1091" s="146">
        <v>45871</v>
      </c>
      <c r="E1091" s="37">
        <v>45881</v>
      </c>
      <c r="F1091" s="65" t="s">
        <v>318</v>
      </c>
      <c r="G1091" s="11" t="str">
        <f ca="1">IF(AND(E1091&lt;&gt;"",E1091&lt;TODAY()),"Disponible",IFERROR(INDEX(Vehiculos[Estado Vehiculo],MATCH(F1091,Vehiculos[Placa Vehiculo],0)),""))</f>
        <v>Disponible</v>
      </c>
      <c r="H1091" s="34" t="s">
        <v>305</v>
      </c>
      <c r="I1091" s="34" t="s">
        <v>273</v>
      </c>
      <c r="J1091" s="34"/>
      <c r="K1091" s="39">
        <v>666</v>
      </c>
      <c r="L1091" s="39">
        <v>701</v>
      </c>
      <c r="M1091" s="15">
        <f t="shared" si="298"/>
        <v>35</v>
      </c>
      <c r="N1091" s="15">
        <f>Rutas[[#This Row],[Kms Recorridos]]</f>
        <v>35</v>
      </c>
      <c r="O1091" s="39"/>
      <c r="P1091" s="36"/>
      <c r="Q1091" s="16">
        <f t="shared" si="299"/>
        <v>0</v>
      </c>
      <c r="R1091" s="34" t="s">
        <v>339</v>
      </c>
      <c r="S1091" s="34" t="s">
        <v>102</v>
      </c>
      <c r="T1091" s="36">
        <v>1.8</v>
      </c>
      <c r="U1091" s="293">
        <f>Rutas[[#This Row],[Precio x Galón ($/gal)]]*Rutas[[#This Row],[Volumen de Combustible (gal)]]</f>
        <v>32.688000000000002</v>
      </c>
      <c r="V1091" s="36"/>
      <c r="W1091" s="36"/>
      <c r="X1091" s="36"/>
      <c r="Y1091" s="145">
        <f t="shared" si="300"/>
        <v>32.688000000000002</v>
      </c>
      <c r="Z1091" s="567"/>
      <c r="AA1091" s="12">
        <v>18.16</v>
      </c>
      <c r="AB1091" s="12">
        <f t="shared" si="301"/>
        <v>1.9273127753303965</v>
      </c>
      <c r="AC1091" s="12">
        <f t="shared" si="302"/>
        <v>0</v>
      </c>
      <c r="AD1091" s="34"/>
    </row>
    <row r="1092" spans="1:30" ht="16" x14ac:dyDescent="0.2">
      <c r="A1092" s="47"/>
      <c r="B1092" s="383"/>
      <c r="C1092" s="176">
        <f t="shared" ref="C1092:C1155" si="324">ROW(A1089)</f>
        <v>1089</v>
      </c>
      <c r="D1092" s="146">
        <v>45881</v>
      </c>
      <c r="E1092" s="37">
        <v>45887</v>
      </c>
      <c r="F1092" s="65" t="s">
        <v>318</v>
      </c>
      <c r="G1092" s="11" t="str">
        <f ca="1">IF(AND(E1092&lt;&gt;"",E1092&lt;TODAY()),"Disponible",IFERROR(INDEX(Vehiculos[Estado Vehiculo],MATCH(F1092,Vehiculos[Placa Vehiculo],0)),""))</f>
        <v>Disponible</v>
      </c>
      <c r="H1092" s="34" t="s">
        <v>231</v>
      </c>
      <c r="I1092" s="34" t="s">
        <v>273</v>
      </c>
      <c r="J1092" s="34"/>
      <c r="K1092" s="39">
        <v>701</v>
      </c>
      <c r="L1092" s="39">
        <v>733</v>
      </c>
      <c r="M1092" s="15">
        <f t="shared" si="298"/>
        <v>32</v>
      </c>
      <c r="N1092" s="15">
        <f>Rutas[[#This Row],[Kms Recorridos]]</f>
        <v>32</v>
      </c>
      <c r="O1092" s="39"/>
      <c r="P1092" s="36"/>
      <c r="Q1092" s="16">
        <f t="shared" si="299"/>
        <v>0</v>
      </c>
      <c r="R1092" s="34" t="s">
        <v>339</v>
      </c>
      <c r="S1092" s="34" t="s">
        <v>102</v>
      </c>
      <c r="T1092" s="36">
        <v>1.8</v>
      </c>
      <c r="U1092" s="293">
        <f>Rutas[[#This Row],[Precio x Galón ($/gal)]]*Rutas[[#This Row],[Volumen de Combustible (gal)]]</f>
        <v>38.771999999999998</v>
      </c>
      <c r="V1092" s="36"/>
      <c r="W1092" s="36"/>
      <c r="X1092" s="36"/>
      <c r="Y1092" s="145">
        <f t="shared" si="300"/>
        <v>38.771999999999998</v>
      </c>
      <c r="Z1092" s="567"/>
      <c r="AA1092" s="12">
        <v>21.54</v>
      </c>
      <c r="AB1092" s="12">
        <f t="shared" si="301"/>
        <v>1.4856081708449398</v>
      </c>
      <c r="AC1092" s="12">
        <f t="shared" si="302"/>
        <v>0</v>
      </c>
      <c r="AD1092" s="34"/>
    </row>
    <row r="1093" spans="1:30" ht="16" x14ac:dyDescent="0.2">
      <c r="A1093" s="47"/>
      <c r="B1093" s="383"/>
      <c r="C1093" s="176">
        <f t="shared" si="324"/>
        <v>1090</v>
      </c>
      <c r="D1093" s="146">
        <v>45887</v>
      </c>
      <c r="E1093" s="37">
        <v>45889</v>
      </c>
      <c r="F1093" s="65" t="s">
        <v>318</v>
      </c>
      <c r="G1093" s="11" t="str">
        <f ca="1">IF(AND(E1093&lt;&gt;"",E1093&lt;TODAY()),"Disponible",IFERROR(INDEX(Vehiculos[Estado Vehiculo],MATCH(F1093,Vehiculos[Placa Vehiculo],0)),""))</f>
        <v>Disponible</v>
      </c>
      <c r="H1093" s="34" t="s">
        <v>237</v>
      </c>
      <c r="I1093" s="34" t="s">
        <v>273</v>
      </c>
      <c r="J1093" s="34"/>
      <c r="K1093" s="39">
        <v>733</v>
      </c>
      <c r="L1093" s="39">
        <v>753</v>
      </c>
      <c r="M1093" s="15">
        <f t="shared" si="298"/>
        <v>20</v>
      </c>
      <c r="N1093" s="15">
        <f>Rutas[[#This Row],[Kms Recorridos]]</f>
        <v>20</v>
      </c>
      <c r="O1093" s="39"/>
      <c r="P1093" s="36"/>
      <c r="Q1093" s="16">
        <f t="shared" si="299"/>
        <v>0</v>
      </c>
      <c r="R1093" s="34" t="s">
        <v>339</v>
      </c>
      <c r="S1093" s="34" t="s">
        <v>102</v>
      </c>
      <c r="T1093" s="36">
        <v>1.8</v>
      </c>
      <c r="U1093" s="293">
        <f>Rutas[[#This Row],[Precio x Galón ($/gal)]]*Rutas[[#This Row],[Volumen de Combustible (gal)]]</f>
        <v>22.518000000000001</v>
      </c>
      <c r="V1093" s="36"/>
      <c r="W1093" s="36"/>
      <c r="X1093" s="36"/>
      <c r="Y1093" s="145">
        <f t="shared" si="300"/>
        <v>22.518000000000001</v>
      </c>
      <c r="Z1093" s="567"/>
      <c r="AA1093" s="12">
        <v>12.51</v>
      </c>
      <c r="AB1093" s="12">
        <f t="shared" si="301"/>
        <v>1.5987210231814548</v>
      </c>
      <c r="AC1093" s="12">
        <f t="shared" si="302"/>
        <v>0</v>
      </c>
      <c r="AD1093" s="34"/>
    </row>
    <row r="1094" spans="1:30" ht="16" x14ac:dyDescent="0.2">
      <c r="A1094" s="47"/>
      <c r="B1094" s="383"/>
      <c r="C1094" s="176">
        <f t="shared" si="324"/>
        <v>1091</v>
      </c>
      <c r="D1094" s="454">
        <v>45889</v>
      </c>
      <c r="E1094" s="37">
        <v>45893</v>
      </c>
      <c r="F1094" s="65" t="s">
        <v>318</v>
      </c>
      <c r="G1094" s="11" t="str">
        <f ca="1">IF(AND(E1094&lt;&gt;"",E1094&lt;TODAY()),"Disponible",IFERROR(INDEX(Vehiculos[Estado Vehiculo],MATCH(F1094,Vehiculos[Placa Vehiculo],0)),""))</f>
        <v>Disponible</v>
      </c>
      <c r="H1094" s="34" t="s">
        <v>237</v>
      </c>
      <c r="I1094" s="34" t="s">
        <v>273</v>
      </c>
      <c r="J1094" s="34"/>
      <c r="K1094" s="39">
        <v>753</v>
      </c>
      <c r="L1094" s="39">
        <v>779</v>
      </c>
      <c r="M1094" s="15">
        <f>L1094-K1094</f>
        <v>26</v>
      </c>
      <c r="N1094" s="15">
        <f>Rutas[[#This Row],[Kms Recorridos]]</f>
        <v>26</v>
      </c>
      <c r="O1094" s="39"/>
      <c r="P1094" s="36"/>
      <c r="Q1094" s="16">
        <f>M1094*P1094</f>
        <v>0</v>
      </c>
      <c r="R1094" s="34" t="s">
        <v>339</v>
      </c>
      <c r="S1094" s="34" t="s">
        <v>102</v>
      </c>
      <c r="T1094" s="36">
        <v>1.8</v>
      </c>
      <c r="U1094" s="293">
        <f>Rutas[[#This Row],[Precio x Galón ($/gal)]]*Rutas[[#This Row],[Volumen de Combustible (gal)]]</f>
        <v>14.4</v>
      </c>
      <c r="V1094" s="36"/>
      <c r="W1094" s="36"/>
      <c r="X1094" s="36"/>
      <c r="Y1094" s="145">
        <f>U1094+SUM(V1094:X1094)</f>
        <v>14.4</v>
      </c>
      <c r="Z1094" s="567"/>
      <c r="AA1094" s="12">
        <v>8</v>
      </c>
      <c r="AB1094" s="12">
        <f>IFERROR(M1094/AA1094,0)</f>
        <v>3.25</v>
      </c>
      <c r="AC1094" s="12">
        <f>IFERROR(Q1094/M1094,0)</f>
        <v>0</v>
      </c>
      <c r="AD1094" s="34"/>
    </row>
    <row r="1095" spans="1:30" ht="16" x14ac:dyDescent="0.2">
      <c r="A1095" s="47"/>
      <c r="B1095" s="383"/>
      <c r="C1095" s="176">
        <f t="shared" si="324"/>
        <v>1092</v>
      </c>
      <c r="D1095" s="454">
        <v>45893</v>
      </c>
      <c r="E1095" s="37">
        <v>45896</v>
      </c>
      <c r="F1095" s="65" t="s">
        <v>318</v>
      </c>
      <c r="G1095" s="11" t="str">
        <f ca="1">IF(AND(E1095&lt;&gt;"",E1095&lt;TODAY()),"Disponible",IFERROR(INDEX(Vehiculos[Estado Vehiculo],MATCH(F1095,Vehiculos[Placa Vehiculo],0)),""))</f>
        <v>Disponible</v>
      </c>
      <c r="H1095" s="34" t="s">
        <v>237</v>
      </c>
      <c r="I1095" s="34" t="s">
        <v>273</v>
      </c>
      <c r="J1095" s="34"/>
      <c r="K1095" s="39">
        <v>779</v>
      </c>
      <c r="L1095" s="39">
        <v>796</v>
      </c>
      <c r="M1095" s="15">
        <f>L1095-K1095</f>
        <v>17</v>
      </c>
      <c r="N1095" s="15">
        <f>Rutas[[#This Row],[Kms Recorridos]]</f>
        <v>17</v>
      </c>
      <c r="O1095" s="39"/>
      <c r="P1095" s="36"/>
      <c r="Q1095" s="16">
        <f>M1095*P1095</f>
        <v>0</v>
      </c>
      <c r="R1095" s="34" t="s">
        <v>339</v>
      </c>
      <c r="S1095" s="34" t="s">
        <v>102</v>
      </c>
      <c r="T1095" s="36">
        <v>1.8</v>
      </c>
      <c r="U1095" s="293">
        <f>Rutas[[#This Row],[Precio x Galón ($/gal)]]*Rutas[[#This Row],[Volumen de Combustible (gal)]]</f>
        <v>32.148000000000003</v>
      </c>
      <c r="V1095" s="36"/>
      <c r="W1095" s="36"/>
      <c r="X1095" s="36"/>
      <c r="Y1095" s="145">
        <f>U1095+SUM(V1095:X1095)</f>
        <v>32.148000000000003</v>
      </c>
      <c r="Z1095" s="567"/>
      <c r="AA1095" s="12">
        <v>17.86</v>
      </c>
      <c r="AB1095" s="12">
        <f>IFERROR(M1095/AA1095,0)</f>
        <v>0.95184770436730126</v>
      </c>
      <c r="AC1095" s="12">
        <f>IFERROR(Q1095/M1095,0)</f>
        <v>0</v>
      </c>
      <c r="AD1095" s="34"/>
    </row>
    <row r="1096" spans="1:30" ht="16" x14ac:dyDescent="0.2">
      <c r="A1096" s="47"/>
      <c r="B1096" s="383"/>
      <c r="C1096" s="176">
        <f t="shared" si="324"/>
        <v>1093</v>
      </c>
      <c r="D1096" s="454">
        <v>45896</v>
      </c>
      <c r="E1096" s="37">
        <v>45900</v>
      </c>
      <c r="F1096" s="65" t="s">
        <v>318</v>
      </c>
      <c r="G1096" s="11" t="str">
        <f ca="1">IF(AND(E1096&lt;&gt;"",E1096&lt;TODAY()),"Disponible",IFERROR(INDEX(Vehiculos[Estado Vehiculo],MATCH(F1096,Vehiculos[Placa Vehiculo],0)),""))</f>
        <v>Disponible</v>
      </c>
      <c r="H1096" s="34" t="s">
        <v>237</v>
      </c>
      <c r="I1096" s="34" t="s">
        <v>273</v>
      </c>
      <c r="J1096" s="34"/>
      <c r="K1096" s="39">
        <v>796</v>
      </c>
      <c r="L1096" s="39">
        <v>831</v>
      </c>
      <c r="M1096" s="15">
        <f>L1096-K1096</f>
        <v>35</v>
      </c>
      <c r="N1096" s="15">
        <f>Rutas[[#This Row],[Kms Recorridos]]</f>
        <v>35</v>
      </c>
      <c r="O1096" s="39"/>
      <c r="P1096" s="36"/>
      <c r="Q1096" s="16">
        <f>M1096*P1096</f>
        <v>0</v>
      </c>
      <c r="R1096" s="34" t="s">
        <v>339</v>
      </c>
      <c r="S1096" s="34" t="s">
        <v>102</v>
      </c>
      <c r="T1096" s="36">
        <v>1.8</v>
      </c>
      <c r="U1096" s="293">
        <f>Rutas[[#This Row],[Precio x Galón ($/gal)]]*Rutas[[#This Row],[Volumen de Combustible (gal)]]</f>
        <v>9</v>
      </c>
      <c r="V1096" s="36"/>
      <c r="W1096" s="36"/>
      <c r="X1096" s="36"/>
      <c r="Y1096" s="145">
        <f>U1096+SUM(V1096:X1096)</f>
        <v>9</v>
      </c>
      <c r="Z1096" s="567"/>
      <c r="AA1096" s="12">
        <v>5</v>
      </c>
      <c r="AB1096" s="12">
        <f>IFERROR(M1096/AA1096,0)</f>
        <v>7</v>
      </c>
      <c r="AC1096" s="12">
        <f>IFERROR(Q1096/M1096,0)</f>
        <v>0</v>
      </c>
      <c r="AD1096" s="34"/>
    </row>
    <row r="1097" spans="1:30" ht="16" x14ac:dyDescent="0.2">
      <c r="A1097" s="47"/>
      <c r="B1097" s="383"/>
      <c r="C1097" s="176">
        <f t="shared" si="324"/>
        <v>1094</v>
      </c>
      <c r="D1097" s="454"/>
      <c r="E1097" s="37"/>
      <c r="F1097" s="65"/>
      <c r="G1097" s="11" t="str">
        <f ca="1">IF(AND(E1097&lt;&gt;"",E1097&lt;TODAY()),"Disponible",IFERROR(INDEX(Vehiculos[Estado Vehiculo],MATCH(F1097,Vehiculos[Placa Vehiculo],0)),""))</f>
        <v/>
      </c>
      <c r="H1097" s="34"/>
      <c r="I1097" s="34"/>
      <c r="J1097" s="34"/>
      <c r="K1097" s="39"/>
      <c r="L1097" s="39"/>
      <c r="M1097" s="15">
        <f>L1097-K1097</f>
        <v>0</v>
      </c>
      <c r="N1097" s="15"/>
      <c r="O1097" s="39"/>
      <c r="P1097" s="36"/>
      <c r="Q1097" s="16">
        <f>M1097*P1097</f>
        <v>0</v>
      </c>
      <c r="R1097" s="34"/>
      <c r="S1097" s="34"/>
      <c r="T1097" s="36"/>
      <c r="U1097" s="293"/>
      <c r="V1097" s="36"/>
      <c r="W1097" s="36"/>
      <c r="X1097" s="36"/>
      <c r="Y1097" s="145">
        <f>U1097+SUM(V1097:X1097)</f>
        <v>0</v>
      </c>
      <c r="Z1097" s="567"/>
      <c r="AA1097" s="12"/>
      <c r="AB1097" s="12">
        <f>IFERROR(M1097/AA1097,0)</f>
        <v>0</v>
      </c>
      <c r="AC1097" s="12">
        <f>IFERROR(Q1097/M1097,0)</f>
        <v>0</v>
      </c>
      <c r="AD1097" s="34"/>
    </row>
    <row r="1098" spans="1:30" ht="16" x14ac:dyDescent="0.2">
      <c r="A1098" s="47"/>
      <c r="B1098" s="383"/>
      <c r="C1098" s="176">
        <f t="shared" si="324"/>
        <v>1095</v>
      </c>
      <c r="D1098" s="146"/>
      <c r="E1098" s="37"/>
      <c r="F1098" s="65"/>
      <c r="G1098" s="11" t="str">
        <f ca="1">IF(AND(E1098&lt;&gt;"",E1098&lt;TODAY()),"Disponible",IFERROR(INDEX(Vehiculos[Estado Vehiculo],MATCH(F1098,Vehiculos[Placa Vehiculo],0)),""))</f>
        <v/>
      </c>
      <c r="H1098" s="34"/>
      <c r="I1098" s="34"/>
      <c r="J1098" s="34"/>
      <c r="K1098" s="39"/>
      <c r="L1098" s="39"/>
      <c r="M1098" s="15">
        <f t="shared" si="298"/>
        <v>0</v>
      </c>
      <c r="N1098" s="15">
        <f>Rutas[[#This Row],[Kms Recorridos]]</f>
        <v>0</v>
      </c>
      <c r="O1098" s="39"/>
      <c r="P1098" s="36"/>
      <c r="Q1098" s="16">
        <f t="shared" si="299"/>
        <v>0</v>
      </c>
      <c r="R1098" s="34"/>
      <c r="S1098" s="34"/>
      <c r="T1098" s="36"/>
      <c r="U1098" s="293">
        <f>Rutas[[#This Row],[Precio x Galón ($/gal)]]*Rutas[[#This Row],[Volumen de Combustible (gal)]]</f>
        <v>0</v>
      </c>
      <c r="V1098" s="36"/>
      <c r="W1098" s="36"/>
      <c r="X1098" s="36"/>
      <c r="Y1098" s="145">
        <f t="shared" si="300"/>
        <v>0</v>
      </c>
      <c r="Z1098" s="567"/>
      <c r="AA1098" s="12"/>
      <c r="AB1098" s="12">
        <f t="shared" si="301"/>
        <v>0</v>
      </c>
      <c r="AC1098" s="12">
        <f t="shared" si="302"/>
        <v>0</v>
      </c>
      <c r="AD1098" s="34"/>
    </row>
    <row r="1099" spans="1:30" ht="16" x14ac:dyDescent="0.2">
      <c r="A1099" s="47"/>
      <c r="B1099" s="383"/>
      <c r="C1099" s="176">
        <f t="shared" si="324"/>
        <v>1096</v>
      </c>
      <c r="D1099" s="90">
        <v>45870</v>
      </c>
      <c r="E1099" s="90">
        <v>45871</v>
      </c>
      <c r="F1099" s="68" t="s">
        <v>320</v>
      </c>
      <c r="G1099" s="379" t="str">
        <f ca="1">IF(AND(E1099&lt;&gt;"",E1099&lt;TODAY()),"Disponible",IFERROR(INDEX(Vehiculos[Estado Vehiculo],MATCH(F1099,Vehiculos[Placa Vehiculo],0)),""))</f>
        <v>Disponible</v>
      </c>
      <c r="H1099" s="89"/>
      <c r="I1099" s="89" t="s">
        <v>273</v>
      </c>
      <c r="J1099" s="89"/>
      <c r="K1099" s="380">
        <v>2969</v>
      </c>
      <c r="L1099" s="380">
        <v>2995</v>
      </c>
      <c r="M1099" s="381">
        <f t="shared" si="298"/>
        <v>26</v>
      </c>
      <c r="N1099" s="381">
        <f>Rutas[[#This Row],[Kms Recorridos]]</f>
        <v>26</v>
      </c>
      <c r="O1099" s="380"/>
      <c r="P1099" s="92"/>
      <c r="Q1099" s="382">
        <f t="shared" si="299"/>
        <v>0</v>
      </c>
      <c r="R1099" s="89" t="s">
        <v>273</v>
      </c>
      <c r="S1099" s="89" t="s">
        <v>102</v>
      </c>
      <c r="T1099" s="92">
        <v>1.8</v>
      </c>
      <c r="U1099" s="266">
        <f>Rutas[[#This Row],[Precio x Galón ($/gal)]]*Rutas[[#This Row],[Volumen de Combustible (gal)]]</f>
        <v>32.67</v>
      </c>
      <c r="V1099" s="92"/>
      <c r="W1099" s="92"/>
      <c r="X1099" s="92"/>
      <c r="Y1099" s="382">
        <f t="shared" si="300"/>
        <v>32.67</v>
      </c>
      <c r="Z1099" s="567"/>
      <c r="AA1099" s="382">
        <v>18.149999999999999</v>
      </c>
      <c r="AB1099" s="382">
        <f t="shared" si="301"/>
        <v>1.4325068870523416</v>
      </c>
      <c r="AC1099" s="382">
        <f t="shared" si="302"/>
        <v>0</v>
      </c>
      <c r="AD1099" s="89"/>
    </row>
    <row r="1100" spans="1:30" ht="16" x14ac:dyDescent="0.2">
      <c r="A1100" s="47"/>
      <c r="B1100" s="383"/>
      <c r="C1100" s="176">
        <f t="shared" si="324"/>
        <v>1097</v>
      </c>
      <c r="D1100" s="146">
        <v>45871</v>
      </c>
      <c r="E1100" s="37">
        <v>45875</v>
      </c>
      <c r="F1100" s="65" t="s">
        <v>320</v>
      </c>
      <c r="G1100" s="11" t="str">
        <f ca="1">IF(AND(E1100&lt;&gt;"",E1100&lt;TODAY()),"Disponible",IFERROR(INDEX(Vehiculos[Estado Vehiculo],MATCH(F1100,Vehiculos[Placa Vehiculo],0)),""))</f>
        <v>Disponible</v>
      </c>
      <c r="H1100" s="34"/>
      <c r="I1100" s="34" t="s">
        <v>273</v>
      </c>
      <c r="J1100" s="34"/>
      <c r="K1100" s="39">
        <v>2995</v>
      </c>
      <c r="L1100" s="39">
        <v>3025</v>
      </c>
      <c r="M1100" s="15">
        <f t="shared" si="298"/>
        <v>30</v>
      </c>
      <c r="N1100" s="15">
        <f>Rutas[[#This Row],[Kms Recorridos]]</f>
        <v>30</v>
      </c>
      <c r="O1100" s="39"/>
      <c r="P1100" s="36"/>
      <c r="Q1100" s="16">
        <f t="shared" si="299"/>
        <v>0</v>
      </c>
      <c r="R1100" s="34" t="s">
        <v>273</v>
      </c>
      <c r="S1100" s="34" t="s">
        <v>102</v>
      </c>
      <c r="T1100" s="36">
        <v>1.8</v>
      </c>
      <c r="U1100" s="293">
        <f>Rutas[[#This Row],[Precio x Galón ($/gal)]]*Rutas[[#This Row],[Volumen de Combustible (gal)]]</f>
        <v>37.224000000000004</v>
      </c>
      <c r="V1100" s="36"/>
      <c r="W1100" s="36"/>
      <c r="X1100" s="36"/>
      <c r="Y1100" s="145">
        <f t="shared" si="300"/>
        <v>37.224000000000004</v>
      </c>
      <c r="Z1100" s="567"/>
      <c r="AA1100" s="12">
        <v>20.68</v>
      </c>
      <c r="AB1100" s="12">
        <f t="shared" si="301"/>
        <v>1.4506769825918762</v>
      </c>
      <c r="AC1100" s="12">
        <f t="shared" si="302"/>
        <v>0</v>
      </c>
      <c r="AD1100" s="34"/>
    </row>
    <row r="1101" spans="1:30" ht="16" x14ac:dyDescent="0.2">
      <c r="A1101" s="47"/>
      <c r="B1101" s="383"/>
      <c r="C1101" s="176">
        <f t="shared" si="324"/>
        <v>1098</v>
      </c>
      <c r="D1101" s="146">
        <v>45875</v>
      </c>
      <c r="E1101" s="37">
        <v>45878</v>
      </c>
      <c r="F1101" s="65" t="s">
        <v>320</v>
      </c>
      <c r="G1101" s="11" t="str">
        <f ca="1">IF(AND(E1101&lt;&gt;"",E1101&lt;TODAY()),"Disponible",IFERROR(INDEX(Vehiculos[Estado Vehiculo],MATCH(F1101,Vehiculos[Placa Vehiculo],0)),""))</f>
        <v>Disponible</v>
      </c>
      <c r="H1101" s="34" t="s">
        <v>239</v>
      </c>
      <c r="I1101" s="34" t="s">
        <v>273</v>
      </c>
      <c r="J1101" s="34"/>
      <c r="K1101" s="39">
        <v>3025</v>
      </c>
      <c r="L1101" s="39">
        <v>3053</v>
      </c>
      <c r="M1101" s="15">
        <f t="shared" si="298"/>
        <v>28</v>
      </c>
      <c r="N1101" s="15">
        <f>Rutas[[#This Row],[Kms Recorridos]]</f>
        <v>28</v>
      </c>
      <c r="O1101" s="39"/>
      <c r="P1101" s="36"/>
      <c r="Q1101" s="16">
        <f t="shared" si="299"/>
        <v>0</v>
      </c>
      <c r="R1101" s="34" t="s">
        <v>339</v>
      </c>
      <c r="S1101" s="34" t="s">
        <v>102</v>
      </c>
      <c r="T1101" s="36">
        <v>1.8</v>
      </c>
      <c r="U1101" s="293">
        <f>Rutas[[#This Row],[Precio x Galón ($/gal)]]*Rutas[[#This Row],[Volumen de Combustible (gal)]]</f>
        <v>27</v>
      </c>
      <c r="V1101" s="36"/>
      <c r="W1101" s="36"/>
      <c r="X1101" s="36"/>
      <c r="Y1101" s="145">
        <f t="shared" si="300"/>
        <v>27</v>
      </c>
      <c r="Z1101" s="567"/>
      <c r="AA1101" s="12">
        <v>15</v>
      </c>
      <c r="AB1101" s="12">
        <f t="shared" si="301"/>
        <v>1.8666666666666667</v>
      </c>
      <c r="AC1101" s="12">
        <f t="shared" si="302"/>
        <v>0</v>
      </c>
      <c r="AD1101" s="34"/>
    </row>
    <row r="1102" spans="1:30" ht="16" x14ac:dyDescent="0.2">
      <c r="A1102" s="47"/>
      <c r="B1102" s="383"/>
      <c r="C1102" s="176">
        <f t="shared" si="324"/>
        <v>1099</v>
      </c>
      <c r="D1102" s="454">
        <v>45878</v>
      </c>
      <c r="E1102" s="37">
        <v>45883</v>
      </c>
      <c r="F1102" s="65" t="s">
        <v>320</v>
      </c>
      <c r="G1102" s="11" t="str">
        <f ca="1">IF(AND(E1102&lt;&gt;"",E1102&lt;TODAY()),"Disponible",IFERROR(INDEX(Vehiculos[Estado Vehiculo],MATCH(F1102,Vehiculos[Placa Vehiculo],0)),""))</f>
        <v>Disponible</v>
      </c>
      <c r="H1102" s="34" t="s">
        <v>239</v>
      </c>
      <c r="I1102" s="34" t="s">
        <v>273</v>
      </c>
      <c r="J1102" s="34"/>
      <c r="K1102" s="39">
        <v>3053</v>
      </c>
      <c r="L1102" s="39">
        <v>3081</v>
      </c>
      <c r="M1102" s="15">
        <f>L1102-K1102</f>
        <v>28</v>
      </c>
      <c r="N1102" s="15">
        <f>Rutas[[#This Row],[Kms Recorridos]]</f>
        <v>28</v>
      </c>
      <c r="O1102" s="39"/>
      <c r="P1102" s="36"/>
      <c r="Q1102" s="16">
        <f>M1102*P1102</f>
        <v>0</v>
      </c>
      <c r="R1102" s="34" t="s">
        <v>339</v>
      </c>
      <c r="S1102" s="34" t="s">
        <v>102</v>
      </c>
      <c r="T1102" s="36">
        <v>1.8</v>
      </c>
      <c r="U1102" s="293">
        <f>Rutas[[#This Row],[Precio x Galón ($/gal)]]*Rutas[[#This Row],[Volumen de Combustible (gal)]]</f>
        <v>43.254000000000005</v>
      </c>
      <c r="V1102" s="36"/>
      <c r="W1102" s="36"/>
      <c r="X1102" s="36"/>
      <c r="Y1102" s="145">
        <f>U1102+SUM(V1102:X1102)</f>
        <v>43.254000000000005</v>
      </c>
      <c r="Z1102" s="567"/>
      <c r="AA1102" s="12">
        <v>24.03</v>
      </c>
      <c r="AB1102" s="12">
        <f>IFERROR(M1102/AA1102,0)</f>
        <v>1.1652101539741988</v>
      </c>
      <c r="AC1102" s="12">
        <f>IFERROR(Q1102/M1102,0)</f>
        <v>0</v>
      </c>
      <c r="AD1102" s="34"/>
    </row>
    <row r="1103" spans="1:30" ht="16" x14ac:dyDescent="0.2">
      <c r="A1103" s="47"/>
      <c r="B1103" s="383"/>
      <c r="C1103" s="176">
        <f t="shared" si="324"/>
        <v>1100</v>
      </c>
      <c r="D1103" s="454">
        <v>45883</v>
      </c>
      <c r="E1103" s="37">
        <v>45887</v>
      </c>
      <c r="F1103" s="65" t="s">
        <v>320</v>
      </c>
      <c r="G1103" s="11" t="str">
        <f ca="1">IF(AND(E1103&lt;&gt;"",E1103&lt;TODAY()),"Disponible",IFERROR(INDEX(Vehiculos[Estado Vehiculo],MATCH(F1103,Vehiculos[Placa Vehiculo],0)),""))</f>
        <v>Disponible</v>
      </c>
      <c r="H1103" s="34" t="s">
        <v>239</v>
      </c>
      <c r="I1103" s="34" t="s">
        <v>273</v>
      </c>
      <c r="J1103" s="34"/>
      <c r="K1103" s="39">
        <v>3081</v>
      </c>
      <c r="L1103" s="39">
        <v>3111</v>
      </c>
      <c r="M1103" s="15">
        <f>L1103-K1103</f>
        <v>30</v>
      </c>
      <c r="N1103" s="15">
        <f>Rutas[[#This Row],[Kms Recorridos]]</f>
        <v>30</v>
      </c>
      <c r="O1103" s="39"/>
      <c r="P1103" s="36"/>
      <c r="Q1103" s="16">
        <f>M1103*P1103</f>
        <v>0</v>
      </c>
      <c r="R1103" s="34" t="s">
        <v>339</v>
      </c>
      <c r="S1103" s="34" t="s">
        <v>102</v>
      </c>
      <c r="T1103" s="36">
        <v>1.8</v>
      </c>
      <c r="U1103" s="293">
        <f>Rutas[[#This Row],[Precio x Galón ($/gal)]]*Rutas[[#This Row],[Volumen de Combustible (gal)]]</f>
        <v>36</v>
      </c>
      <c r="V1103" s="36"/>
      <c r="W1103" s="36"/>
      <c r="X1103" s="36"/>
      <c r="Y1103" s="145">
        <f>U1103+SUM(V1103:X1103)</f>
        <v>36</v>
      </c>
      <c r="Z1103" s="567"/>
      <c r="AA1103" s="12">
        <v>20</v>
      </c>
      <c r="AB1103" s="12">
        <f>IFERROR(M1103/AA1103,0)</f>
        <v>1.5</v>
      </c>
      <c r="AC1103" s="12">
        <f>IFERROR(Q1103/M1103,0)</f>
        <v>0</v>
      </c>
      <c r="AD1103" s="34"/>
    </row>
    <row r="1104" spans="1:30" ht="16" x14ac:dyDescent="0.2">
      <c r="A1104" s="47"/>
      <c r="B1104" s="383"/>
      <c r="C1104" s="176">
        <f t="shared" si="324"/>
        <v>1101</v>
      </c>
      <c r="D1104" s="454">
        <v>45887</v>
      </c>
      <c r="E1104" s="37">
        <v>45896</v>
      </c>
      <c r="F1104" s="65" t="s">
        <v>320</v>
      </c>
      <c r="G1104" s="11" t="str">
        <f ca="1">IF(AND(E1104&lt;&gt;"",E1104&lt;TODAY()),"Disponible",IFERROR(INDEX(Vehiculos[Estado Vehiculo],MATCH(F1104,Vehiculos[Placa Vehiculo],0)),""))</f>
        <v>Disponible</v>
      </c>
      <c r="H1104" s="34"/>
      <c r="I1104" s="34" t="s">
        <v>273</v>
      </c>
      <c r="J1104" s="34"/>
      <c r="K1104" s="39">
        <v>3111</v>
      </c>
      <c r="L1104" s="39">
        <v>3159</v>
      </c>
      <c r="M1104" s="15">
        <f>L1104-K1104</f>
        <v>48</v>
      </c>
      <c r="N1104" s="15">
        <f>Rutas[[#This Row],[Kms Recorridos]]</f>
        <v>48</v>
      </c>
      <c r="O1104" s="39"/>
      <c r="P1104" s="36"/>
      <c r="Q1104" s="16">
        <f>M1104*P1104</f>
        <v>0</v>
      </c>
      <c r="R1104" s="34" t="s">
        <v>339</v>
      </c>
      <c r="S1104" s="34" t="s">
        <v>102</v>
      </c>
      <c r="T1104" s="36">
        <v>1.8</v>
      </c>
      <c r="U1104" s="293">
        <f>Rutas[[#This Row],[Precio x Galón ($/gal)]]*Rutas[[#This Row],[Volumen de Combustible (gal)]]</f>
        <v>60.948</v>
      </c>
      <c r="V1104" s="36"/>
      <c r="W1104" s="36"/>
      <c r="X1104" s="36"/>
      <c r="Y1104" s="145">
        <f>U1104+SUM(V1104:X1104)</f>
        <v>60.948</v>
      </c>
      <c r="Z1104" s="567"/>
      <c r="AA1104" s="12">
        <v>33.86</v>
      </c>
      <c r="AB1104" s="12">
        <f>IFERROR(M1104/AA1104,0)</f>
        <v>1.4176018901358536</v>
      </c>
      <c r="AC1104" s="12">
        <f>IFERROR(Q1104/M1104,0)</f>
        <v>0</v>
      </c>
      <c r="AD1104" s="34"/>
    </row>
    <row r="1105" spans="1:30" ht="16" x14ac:dyDescent="0.2">
      <c r="A1105" s="47"/>
      <c r="B1105" s="383"/>
      <c r="C1105" s="176">
        <f t="shared" si="324"/>
        <v>1102</v>
      </c>
      <c r="D1105" s="454">
        <v>45896</v>
      </c>
      <c r="E1105" s="37">
        <v>45900</v>
      </c>
      <c r="F1105" s="65" t="s">
        <v>320</v>
      </c>
      <c r="G1105" s="11" t="str">
        <f ca="1">IF(AND(E1105&lt;&gt;"",E1105&lt;TODAY()),"Disponible",IFERROR(INDEX(Vehiculos[Estado Vehiculo],MATCH(F1105,Vehiculos[Placa Vehiculo],0)),""))</f>
        <v>Disponible</v>
      </c>
      <c r="H1105" s="34" t="s">
        <v>417</v>
      </c>
      <c r="I1105" s="34" t="s">
        <v>273</v>
      </c>
      <c r="J1105" s="34"/>
      <c r="K1105" s="39">
        <v>3159</v>
      </c>
      <c r="L1105" s="39">
        <v>3187</v>
      </c>
      <c r="M1105" s="15">
        <f>L1105-K1105</f>
        <v>28</v>
      </c>
      <c r="N1105" s="15">
        <f>Rutas[[#This Row],[Kms Recorridos]]</f>
        <v>28</v>
      </c>
      <c r="O1105" s="39"/>
      <c r="P1105" s="36"/>
      <c r="Q1105" s="16">
        <f>M1105*P1105</f>
        <v>0</v>
      </c>
      <c r="R1105" s="34" t="s">
        <v>196</v>
      </c>
      <c r="S1105" s="34" t="s">
        <v>102</v>
      </c>
      <c r="T1105" s="36">
        <v>1.8</v>
      </c>
      <c r="U1105" s="293">
        <f>Rutas[[#This Row],[Precio x Galón ($/gal)]]*Rutas[[#This Row],[Volumen de Combustible (gal)]]</f>
        <v>9</v>
      </c>
      <c r="V1105" s="36"/>
      <c r="W1105" s="36"/>
      <c r="X1105" s="36"/>
      <c r="Y1105" s="145">
        <f>U1105+SUM(V1105:X1105)</f>
        <v>9</v>
      </c>
      <c r="Z1105" s="567"/>
      <c r="AA1105" s="12">
        <v>5</v>
      </c>
      <c r="AB1105" s="12">
        <f>IFERROR(M1105/AA1105,0)</f>
        <v>5.6</v>
      </c>
      <c r="AC1105" s="12">
        <f>IFERROR(Q1105/M1105,0)</f>
        <v>0</v>
      </c>
      <c r="AD1105" s="34"/>
    </row>
    <row r="1106" spans="1:30" ht="16" x14ac:dyDescent="0.2">
      <c r="A1106" s="47"/>
      <c r="B1106" s="383"/>
      <c r="C1106" s="176">
        <f t="shared" si="324"/>
        <v>1103</v>
      </c>
      <c r="D1106" s="146"/>
      <c r="E1106" s="37"/>
      <c r="F1106" s="65"/>
      <c r="G1106" s="11" t="str">
        <f ca="1">IF(AND(E1106&lt;&gt;"",E1106&lt;TODAY()),"Disponible",IFERROR(INDEX(Vehiculos[Estado Vehiculo],MATCH(F1106,Vehiculos[Placa Vehiculo],0)),""))</f>
        <v/>
      </c>
      <c r="H1106" s="34"/>
      <c r="I1106" s="34"/>
      <c r="J1106" s="34"/>
      <c r="K1106" s="39"/>
      <c r="L1106" s="39"/>
      <c r="M1106" s="15">
        <f t="shared" si="298"/>
        <v>0</v>
      </c>
      <c r="N1106" s="15">
        <f>Rutas[[#This Row],[Kms Recorridos]]</f>
        <v>0</v>
      </c>
      <c r="O1106" s="39"/>
      <c r="P1106" s="36"/>
      <c r="Q1106" s="16">
        <f t="shared" si="299"/>
        <v>0</v>
      </c>
      <c r="R1106" s="34"/>
      <c r="S1106" s="34"/>
      <c r="T1106" s="36"/>
      <c r="U1106" s="293">
        <f>Rutas[[#This Row],[Precio x Galón ($/gal)]]*Rutas[[#This Row],[Volumen de Combustible (gal)]]</f>
        <v>0</v>
      </c>
      <c r="V1106" s="36"/>
      <c r="W1106" s="36"/>
      <c r="X1106" s="36"/>
      <c r="Y1106" s="145">
        <f t="shared" si="300"/>
        <v>0</v>
      </c>
      <c r="Z1106" s="567"/>
      <c r="AA1106" s="12"/>
      <c r="AB1106" s="12">
        <f t="shared" si="301"/>
        <v>0</v>
      </c>
      <c r="AC1106" s="12">
        <f t="shared" si="302"/>
        <v>0</v>
      </c>
      <c r="AD1106" s="34"/>
    </row>
    <row r="1107" spans="1:30" ht="16" x14ac:dyDescent="0.2">
      <c r="A1107" s="47"/>
      <c r="B1107" s="383"/>
      <c r="C1107" s="176">
        <f t="shared" si="324"/>
        <v>1104</v>
      </c>
      <c r="D1107" s="90">
        <v>45870</v>
      </c>
      <c r="E1107" s="90">
        <v>45871</v>
      </c>
      <c r="F1107" s="68" t="s">
        <v>307</v>
      </c>
      <c r="G1107" s="379" t="str">
        <f ca="1">IF(AND(E1107&lt;&gt;"",E1107&lt;TODAY()),"Disponible",IFERROR(INDEX(Vehiculos[Estado Vehiculo],MATCH(F1107,Vehiculos[Placa Vehiculo],0)),""))</f>
        <v>Disponible</v>
      </c>
      <c r="H1107" s="89"/>
      <c r="I1107" s="89" t="s">
        <v>273</v>
      </c>
      <c r="J1107" s="89"/>
      <c r="K1107" s="380">
        <v>4545</v>
      </c>
      <c r="L1107" s="380">
        <v>4550</v>
      </c>
      <c r="M1107" s="381">
        <f t="shared" si="298"/>
        <v>5</v>
      </c>
      <c r="N1107" s="381">
        <f>Rutas[[#This Row],[Kms Recorridos]]</f>
        <v>5</v>
      </c>
      <c r="O1107" s="380"/>
      <c r="P1107" s="92"/>
      <c r="Q1107" s="382">
        <f t="shared" si="299"/>
        <v>0</v>
      </c>
      <c r="R1107" s="89" t="s">
        <v>273</v>
      </c>
      <c r="S1107" s="89" t="s">
        <v>102</v>
      </c>
      <c r="T1107" s="92">
        <v>1.8</v>
      </c>
      <c r="U1107" s="266">
        <f>Rutas[[#This Row],[Precio x Galón ($/gal)]]*Rutas[[#This Row],[Volumen de Combustible (gal)]]</f>
        <v>8.6579999999999995</v>
      </c>
      <c r="V1107" s="92"/>
      <c r="W1107" s="92"/>
      <c r="X1107" s="92"/>
      <c r="Y1107" s="382">
        <f t="shared" si="300"/>
        <v>8.6579999999999995</v>
      </c>
      <c r="Z1107" s="567"/>
      <c r="AA1107" s="382">
        <v>4.8099999999999996</v>
      </c>
      <c r="AB1107" s="382">
        <f t="shared" si="301"/>
        <v>1.0395010395010396</v>
      </c>
      <c r="AC1107" s="382">
        <f t="shared" si="302"/>
        <v>0</v>
      </c>
      <c r="AD1107" s="89"/>
    </row>
    <row r="1108" spans="1:30" ht="16" x14ac:dyDescent="0.2">
      <c r="A1108" s="47"/>
      <c r="B1108" s="383"/>
      <c r="C1108" s="176">
        <f t="shared" si="324"/>
        <v>1105</v>
      </c>
      <c r="D1108" s="454">
        <v>45871</v>
      </c>
      <c r="E1108" s="37">
        <v>45879</v>
      </c>
      <c r="F1108" s="65" t="s">
        <v>307</v>
      </c>
      <c r="G1108" s="11" t="str">
        <f ca="1">IF(AND(E1108&lt;&gt;"",E1108&lt;TODAY()),"Disponible",IFERROR(INDEX(Vehiculos[Estado Vehiculo],MATCH(F1108,Vehiculos[Placa Vehiculo],0)),""))</f>
        <v>Disponible</v>
      </c>
      <c r="H1108" s="34" t="s">
        <v>288</v>
      </c>
      <c r="I1108" s="34" t="s">
        <v>273</v>
      </c>
      <c r="J1108" s="34"/>
      <c r="K1108" s="39">
        <v>4550</v>
      </c>
      <c r="L1108" s="39">
        <v>4585</v>
      </c>
      <c r="M1108" s="15">
        <f>L1108-K1108</f>
        <v>35</v>
      </c>
      <c r="N1108" s="15">
        <f>Rutas[[#This Row],[Kms Recorridos]]</f>
        <v>35</v>
      </c>
      <c r="O1108" s="39"/>
      <c r="P1108" s="36"/>
      <c r="Q1108" s="16">
        <f>M1108*P1108</f>
        <v>0</v>
      </c>
      <c r="R1108" s="34" t="s">
        <v>339</v>
      </c>
      <c r="S1108" s="34" t="s">
        <v>102</v>
      </c>
      <c r="T1108" s="171">
        <v>1.8</v>
      </c>
      <c r="U1108" s="266">
        <f>Rutas[[#This Row],[Precio x Galón ($/gal)]]*Rutas[[#This Row],[Volumen de Combustible (gal)]]</f>
        <v>21.654</v>
      </c>
      <c r="V1108" s="36"/>
      <c r="W1108" s="36"/>
      <c r="X1108" s="36"/>
      <c r="Y1108" s="145">
        <f>U1108+SUM(V1108:X1108)</f>
        <v>21.654</v>
      </c>
      <c r="Z1108" s="567"/>
      <c r="AA1108" s="12">
        <v>12.03</v>
      </c>
      <c r="AB1108" s="12">
        <f>IFERROR(M1108/AA1108,0)</f>
        <v>2.9093931837073983</v>
      </c>
      <c r="AC1108" s="12">
        <f>IFERROR(Q1108/M1108,0)</f>
        <v>0</v>
      </c>
      <c r="AD1108" s="34"/>
    </row>
    <row r="1109" spans="1:30" ht="16" x14ac:dyDescent="0.2">
      <c r="A1109" s="47"/>
      <c r="B1109" s="383"/>
      <c r="C1109" s="176">
        <f t="shared" si="324"/>
        <v>1106</v>
      </c>
      <c r="D1109" s="454">
        <v>45879</v>
      </c>
      <c r="E1109" s="37">
        <v>45886</v>
      </c>
      <c r="F1109" s="65" t="s">
        <v>307</v>
      </c>
      <c r="G1109" s="11" t="str">
        <f ca="1">IF(AND(E1109&lt;&gt;"",E1109&lt;TODAY()),"Disponible",IFERROR(INDEX(Vehiculos[Estado Vehiculo],MATCH(F1109,Vehiculos[Placa Vehiculo],0)),""))</f>
        <v>Disponible</v>
      </c>
      <c r="H1109" s="34" t="s">
        <v>242</v>
      </c>
      <c r="I1109" s="34" t="s">
        <v>273</v>
      </c>
      <c r="J1109" s="34"/>
      <c r="K1109" s="39">
        <v>4585</v>
      </c>
      <c r="L1109" s="39">
        <v>4606</v>
      </c>
      <c r="M1109" s="15">
        <f>L1109-K1109</f>
        <v>21</v>
      </c>
      <c r="N1109" s="15">
        <f>Rutas[[#This Row],[Kms Recorridos]]</f>
        <v>21</v>
      </c>
      <c r="O1109" s="39"/>
      <c r="P1109" s="36"/>
      <c r="Q1109" s="16">
        <f>M1109*P1109</f>
        <v>0</v>
      </c>
      <c r="R1109" s="34" t="s">
        <v>339</v>
      </c>
      <c r="S1109" s="34" t="s">
        <v>102</v>
      </c>
      <c r="T1109" s="171">
        <v>1.8</v>
      </c>
      <c r="U1109" s="266">
        <f>Rutas[[#This Row],[Precio x Galón ($/gal)]]*Rutas[[#This Row],[Volumen de Combustible (gal)]]</f>
        <v>32.957999999999998</v>
      </c>
      <c r="V1109" s="36"/>
      <c r="W1109" s="36"/>
      <c r="X1109" s="36"/>
      <c r="Y1109" s="145">
        <f>U1109+SUM(V1109:X1109)</f>
        <v>32.957999999999998</v>
      </c>
      <c r="Z1109" s="567"/>
      <c r="AA1109" s="12">
        <v>18.309999999999999</v>
      </c>
      <c r="AB1109" s="12">
        <f>IFERROR(M1109/AA1109,0)</f>
        <v>1.1469142545057347</v>
      </c>
      <c r="AC1109" s="12">
        <f>IFERROR(Q1109/M1109,0)</f>
        <v>0</v>
      </c>
      <c r="AD1109" s="34"/>
    </row>
    <row r="1110" spans="1:30" ht="16" x14ac:dyDescent="0.2">
      <c r="A1110" s="47"/>
      <c r="B1110" s="383"/>
      <c r="C1110" s="176">
        <f t="shared" si="324"/>
        <v>1107</v>
      </c>
      <c r="D1110" s="454">
        <v>45886</v>
      </c>
      <c r="E1110" s="37">
        <v>45893</v>
      </c>
      <c r="F1110" s="65" t="s">
        <v>307</v>
      </c>
      <c r="G1110" s="11" t="str">
        <f ca="1">IF(AND(E1110&lt;&gt;"",E1110&lt;TODAY()),"Disponible",IFERROR(INDEX(Vehiculos[Estado Vehiculo],MATCH(F1110,Vehiculos[Placa Vehiculo],0)),""))</f>
        <v>Disponible</v>
      </c>
      <c r="H1110" s="34" t="s">
        <v>242</v>
      </c>
      <c r="I1110" s="34" t="s">
        <v>273</v>
      </c>
      <c r="J1110" s="34"/>
      <c r="K1110" s="39">
        <v>4606</v>
      </c>
      <c r="L1110" s="39">
        <v>4631</v>
      </c>
      <c r="M1110" s="15">
        <f>L1110-K1110</f>
        <v>25</v>
      </c>
      <c r="N1110" s="15">
        <f>Rutas[[#This Row],[Kms Recorridos]]</f>
        <v>25</v>
      </c>
      <c r="O1110" s="39"/>
      <c r="P1110" s="36"/>
      <c r="Q1110" s="16">
        <f>M1110*P1110</f>
        <v>0</v>
      </c>
      <c r="R1110" s="34" t="s">
        <v>339</v>
      </c>
      <c r="S1110" s="34" t="s">
        <v>102</v>
      </c>
      <c r="T1110" s="171">
        <v>1.8</v>
      </c>
      <c r="U1110" s="266">
        <f>Rutas[[#This Row],[Precio x Galón ($/gal)]]*Rutas[[#This Row],[Volumen de Combustible (gal)]]</f>
        <v>15.57</v>
      </c>
      <c r="V1110" s="36"/>
      <c r="W1110" s="36"/>
      <c r="X1110" s="36"/>
      <c r="Y1110" s="145">
        <f>U1110+SUM(V1110:X1110)</f>
        <v>15.57</v>
      </c>
      <c r="Z1110" s="567"/>
      <c r="AA1110" s="12">
        <v>8.65</v>
      </c>
      <c r="AB1110" s="12">
        <f>IFERROR(M1110/AA1110,0)</f>
        <v>2.8901734104046239</v>
      </c>
      <c r="AC1110" s="12">
        <f>IFERROR(Q1110/M1110,0)</f>
        <v>0</v>
      </c>
      <c r="AD1110" s="34"/>
    </row>
    <row r="1111" spans="1:30" ht="16" x14ac:dyDescent="0.2">
      <c r="A1111" s="47"/>
      <c r="B1111" s="383"/>
      <c r="C1111" s="176">
        <f t="shared" si="324"/>
        <v>1108</v>
      </c>
      <c r="D1111" s="454">
        <v>45893</v>
      </c>
      <c r="E1111" s="37">
        <v>45900</v>
      </c>
      <c r="F1111" s="65" t="s">
        <v>307</v>
      </c>
      <c r="G1111" s="11" t="str">
        <f ca="1">IF(AND(E1111&lt;&gt;"",E1111&lt;TODAY()),"Disponible",IFERROR(INDEX(Vehiculos[Estado Vehiculo],MATCH(F1111,Vehiculos[Placa Vehiculo],0)),""))</f>
        <v>Disponible</v>
      </c>
      <c r="H1111" s="34"/>
      <c r="I1111" s="34" t="s">
        <v>273</v>
      </c>
      <c r="J1111" s="34"/>
      <c r="K1111" s="39">
        <v>4631</v>
      </c>
      <c r="L1111" s="39">
        <v>4649</v>
      </c>
      <c r="M1111" s="15">
        <f>L1111-K1111</f>
        <v>18</v>
      </c>
      <c r="N1111" s="15">
        <f>Rutas[[#This Row],[Kms Recorridos]]</f>
        <v>18</v>
      </c>
      <c r="O1111" s="39"/>
      <c r="P1111" s="36"/>
      <c r="Q1111" s="16">
        <f>M1111*P1111</f>
        <v>0</v>
      </c>
      <c r="R1111" s="34"/>
      <c r="S1111" s="34"/>
      <c r="T1111" s="171">
        <v>1.8</v>
      </c>
      <c r="U1111" s="266">
        <f>Rutas[[#This Row],[Precio x Galón ($/gal)]]*Rutas[[#This Row],[Volumen de Combustible (gal)]]</f>
        <v>0</v>
      </c>
      <c r="V1111" s="36"/>
      <c r="W1111" s="36"/>
      <c r="X1111" s="36"/>
      <c r="Y1111" s="145">
        <f>U1111+SUM(V1111:X1111)</f>
        <v>0</v>
      </c>
      <c r="Z1111" s="567"/>
      <c r="AA1111" s="12"/>
      <c r="AB1111" s="12">
        <f>IFERROR(M1111/AA1111,0)</f>
        <v>0</v>
      </c>
      <c r="AC1111" s="12">
        <f>IFERROR(Q1111/M1111,0)</f>
        <v>0</v>
      </c>
      <c r="AD1111" s="34"/>
    </row>
    <row r="1112" spans="1:30" ht="16" x14ac:dyDescent="0.2">
      <c r="A1112" s="47"/>
      <c r="B1112" s="383"/>
      <c r="C1112" s="176">
        <f t="shared" si="324"/>
        <v>1109</v>
      </c>
      <c r="D1112" s="146"/>
      <c r="E1112" s="37"/>
      <c r="F1112" s="65"/>
      <c r="G1112" s="11" t="str">
        <f ca="1">IF(AND(E1112&lt;&gt;"",E1112&lt;TODAY()),"Disponible",IFERROR(INDEX(Vehiculos[Estado Vehiculo],MATCH(F1112,Vehiculos[Placa Vehiculo],0)),""))</f>
        <v/>
      </c>
      <c r="H1112" s="34"/>
      <c r="I1112" s="34"/>
      <c r="J1112" s="34"/>
      <c r="K1112" s="39"/>
      <c r="L1112" s="39"/>
      <c r="M1112" s="15">
        <f t="shared" si="298"/>
        <v>0</v>
      </c>
      <c r="N1112" s="15">
        <f>Rutas[[#This Row],[Kms Recorridos]]</f>
        <v>0</v>
      </c>
      <c r="O1112" s="39"/>
      <c r="P1112" s="36"/>
      <c r="Q1112" s="16">
        <f t="shared" si="299"/>
        <v>0</v>
      </c>
      <c r="R1112" s="34"/>
      <c r="S1112" s="34"/>
      <c r="T1112" s="171">
        <v>1.8</v>
      </c>
      <c r="U1112" s="293">
        <f>Rutas[[#This Row],[Precio x Galón ($/gal)]]*Rutas[[#This Row],[Volumen de Combustible (gal)]]</f>
        <v>0</v>
      </c>
      <c r="V1112" s="36"/>
      <c r="W1112" s="36"/>
      <c r="X1112" s="36"/>
      <c r="Y1112" s="145">
        <f t="shared" si="300"/>
        <v>0</v>
      </c>
      <c r="Z1112" s="567"/>
      <c r="AA1112" s="12"/>
      <c r="AB1112" s="12">
        <f t="shared" si="301"/>
        <v>0</v>
      </c>
      <c r="AC1112" s="12">
        <f t="shared" si="302"/>
        <v>0</v>
      </c>
      <c r="AD1112" s="34"/>
    </row>
    <row r="1113" spans="1:30" ht="16" x14ac:dyDescent="0.2">
      <c r="A1113" s="47"/>
      <c r="B1113" s="383"/>
      <c r="C1113" s="176">
        <f t="shared" si="324"/>
        <v>1110</v>
      </c>
      <c r="D1113" s="146"/>
      <c r="E1113" s="37"/>
      <c r="F1113" s="65"/>
      <c r="G1113" s="11" t="str">
        <f ca="1">IF(AND(E1113&lt;&gt;"",E1113&lt;TODAY()),"Disponible",IFERROR(INDEX(Vehiculos[Estado Vehiculo],MATCH(F1113,Vehiculos[Placa Vehiculo],0)),""))</f>
        <v/>
      </c>
      <c r="H1113" s="34"/>
      <c r="I1113" s="34"/>
      <c r="J1113" s="34"/>
      <c r="K1113" s="39"/>
      <c r="L1113" s="39"/>
      <c r="M1113" s="15">
        <f t="shared" si="298"/>
        <v>0</v>
      </c>
      <c r="N1113" s="15">
        <f>Rutas[[#This Row],[Kms Recorridos]]</f>
        <v>0</v>
      </c>
      <c r="O1113" s="39"/>
      <c r="P1113" s="36"/>
      <c r="Q1113" s="16">
        <f t="shared" si="299"/>
        <v>0</v>
      </c>
      <c r="R1113" s="34"/>
      <c r="S1113" s="34"/>
      <c r="T1113" s="171">
        <v>1.8</v>
      </c>
      <c r="U1113" s="293">
        <f>Rutas[[#This Row],[Precio x Galón ($/gal)]]*Rutas[[#This Row],[Volumen de Combustible (gal)]]</f>
        <v>0</v>
      </c>
      <c r="V1113" s="36"/>
      <c r="W1113" s="36"/>
      <c r="X1113" s="36"/>
      <c r="Y1113" s="145">
        <f t="shared" si="300"/>
        <v>0</v>
      </c>
      <c r="Z1113" s="567"/>
      <c r="AA1113" s="12"/>
      <c r="AB1113" s="12">
        <f t="shared" si="301"/>
        <v>0</v>
      </c>
      <c r="AC1113" s="12">
        <f t="shared" si="302"/>
        <v>0</v>
      </c>
      <c r="AD1113" s="34"/>
    </row>
    <row r="1114" spans="1:30" ht="16" x14ac:dyDescent="0.2">
      <c r="A1114" s="47"/>
      <c r="B1114" s="383"/>
      <c r="C1114" s="176">
        <f t="shared" si="324"/>
        <v>1111</v>
      </c>
      <c r="D1114" s="90">
        <v>45870</v>
      </c>
      <c r="E1114" s="90">
        <v>45871</v>
      </c>
      <c r="F1114" s="68" t="s">
        <v>312</v>
      </c>
      <c r="G1114" s="379" t="str">
        <f ca="1">IF(AND(E1114&lt;&gt;"",E1114&lt;TODAY()),"Disponible",IFERROR(INDEX(Vehiculos[Estado Vehiculo],MATCH(F1114,Vehiculos[Placa Vehiculo],0)),""))</f>
        <v>Disponible</v>
      </c>
      <c r="H1114" s="89"/>
      <c r="I1114" s="89" t="s">
        <v>273</v>
      </c>
      <c r="J1114" s="89"/>
      <c r="K1114" s="380">
        <v>37</v>
      </c>
      <c r="L1114" s="380">
        <v>40</v>
      </c>
      <c r="M1114" s="381">
        <f t="shared" si="298"/>
        <v>3</v>
      </c>
      <c r="N1114" s="381">
        <f>Rutas[[#This Row],[Kms Recorridos]]</f>
        <v>3</v>
      </c>
      <c r="O1114" s="380"/>
      <c r="P1114" s="92"/>
      <c r="Q1114" s="382">
        <f t="shared" si="299"/>
        <v>0</v>
      </c>
      <c r="R1114" s="89" t="s">
        <v>273</v>
      </c>
      <c r="S1114" s="89" t="s">
        <v>102</v>
      </c>
      <c r="T1114" s="92">
        <v>1.8</v>
      </c>
      <c r="U1114" s="266">
        <f>Rutas[[#This Row],[Precio x Galón ($/gal)]]*Rutas[[#This Row],[Volumen de Combustible (gal)]]</f>
        <v>27.126000000000001</v>
      </c>
      <c r="V1114" s="92"/>
      <c r="W1114" s="92"/>
      <c r="X1114" s="92"/>
      <c r="Y1114" s="382">
        <f t="shared" si="300"/>
        <v>27.126000000000001</v>
      </c>
      <c r="Z1114" s="567"/>
      <c r="AA1114" s="382">
        <v>15.07</v>
      </c>
      <c r="AB1114" s="382">
        <f t="shared" si="301"/>
        <v>0.19907100199071001</v>
      </c>
      <c r="AC1114" s="382">
        <f t="shared" si="302"/>
        <v>0</v>
      </c>
      <c r="AD1114" s="89"/>
    </row>
    <row r="1115" spans="1:30" ht="16" x14ac:dyDescent="0.2">
      <c r="A1115" s="47"/>
      <c r="B1115" s="383"/>
      <c r="C1115" s="176">
        <f t="shared" si="324"/>
        <v>1112</v>
      </c>
      <c r="D1115" s="146">
        <v>45871</v>
      </c>
      <c r="E1115" s="37">
        <v>45872</v>
      </c>
      <c r="F1115" s="65" t="s">
        <v>312</v>
      </c>
      <c r="G1115" s="11" t="str">
        <f ca="1">IF(AND(E1115&lt;&gt;"",E1115&lt;TODAY()),"Disponible",IFERROR(INDEX(Vehiculos[Estado Vehiculo],MATCH(F1115,Vehiculos[Placa Vehiculo],0)),""))</f>
        <v>Disponible</v>
      </c>
      <c r="H1115" s="34"/>
      <c r="I1115" s="34" t="s">
        <v>273</v>
      </c>
      <c r="J1115" s="34"/>
      <c r="K1115" s="39">
        <v>40</v>
      </c>
      <c r="L1115" s="39">
        <v>66</v>
      </c>
      <c r="M1115" s="15">
        <f t="shared" si="298"/>
        <v>26</v>
      </c>
      <c r="N1115" s="15">
        <f>Rutas[[#This Row],[Kms Recorridos]]</f>
        <v>26</v>
      </c>
      <c r="O1115" s="39"/>
      <c r="P1115" s="36"/>
      <c r="Q1115" s="16">
        <f t="shared" si="299"/>
        <v>0</v>
      </c>
      <c r="R1115" s="34" t="s">
        <v>273</v>
      </c>
      <c r="S1115" s="34" t="s">
        <v>102</v>
      </c>
      <c r="T1115" s="36">
        <v>1.8</v>
      </c>
      <c r="U1115" s="293">
        <f>Rutas[[#This Row],[Precio x Galón ($/gal)]]*Rutas[[#This Row],[Volumen de Combustible (gal)]]</f>
        <v>27.558</v>
      </c>
      <c r="V1115" s="36"/>
      <c r="W1115" s="36"/>
      <c r="X1115" s="36"/>
      <c r="Y1115" s="145">
        <f t="shared" si="300"/>
        <v>27.558</v>
      </c>
      <c r="Z1115" s="567"/>
      <c r="AA1115" s="12">
        <v>15.31</v>
      </c>
      <c r="AB1115" s="12">
        <f t="shared" si="301"/>
        <v>1.698236446766819</v>
      </c>
      <c r="AC1115" s="12">
        <f t="shared" si="302"/>
        <v>0</v>
      </c>
      <c r="AD1115" s="34"/>
    </row>
    <row r="1116" spans="1:30" ht="16" x14ac:dyDescent="0.2">
      <c r="A1116" s="47"/>
      <c r="B1116" s="383"/>
      <c r="C1116" s="176">
        <f t="shared" si="324"/>
        <v>1113</v>
      </c>
      <c r="D1116" s="146">
        <v>45872</v>
      </c>
      <c r="E1116" s="37">
        <v>45877</v>
      </c>
      <c r="F1116" s="65" t="s">
        <v>312</v>
      </c>
      <c r="G1116" s="11" t="str">
        <f ca="1">IF(AND(E1116&lt;&gt;"",E1116&lt;TODAY()),"Disponible",IFERROR(INDEX(Vehiculos[Estado Vehiculo],MATCH(F1116,Vehiculos[Placa Vehiculo],0)),""))</f>
        <v>Disponible</v>
      </c>
      <c r="H1116" s="34" t="s">
        <v>238</v>
      </c>
      <c r="I1116" s="34" t="s">
        <v>273</v>
      </c>
      <c r="J1116" s="34"/>
      <c r="K1116" s="39">
        <v>66</v>
      </c>
      <c r="L1116" s="39">
        <v>95</v>
      </c>
      <c r="M1116" s="15">
        <f t="shared" si="298"/>
        <v>29</v>
      </c>
      <c r="N1116" s="15">
        <f>Rutas[[#This Row],[Kms Recorridos]]</f>
        <v>29</v>
      </c>
      <c r="O1116" s="39"/>
      <c r="P1116" s="36"/>
      <c r="Q1116" s="16">
        <f t="shared" si="299"/>
        <v>0</v>
      </c>
      <c r="R1116" s="34" t="s">
        <v>339</v>
      </c>
      <c r="S1116" s="34" t="s">
        <v>102</v>
      </c>
      <c r="T1116" s="36">
        <v>1.8</v>
      </c>
      <c r="U1116" s="293">
        <f>Rutas[[#This Row],[Precio x Galón ($/gal)]]*Rutas[[#This Row],[Volumen de Combustible (gal)]]</f>
        <v>17.856000000000002</v>
      </c>
      <c r="V1116" s="36"/>
      <c r="W1116" s="36"/>
      <c r="X1116" s="36"/>
      <c r="Y1116" s="145">
        <f t="shared" si="300"/>
        <v>17.856000000000002</v>
      </c>
      <c r="Z1116" s="567"/>
      <c r="AA1116" s="12">
        <v>9.92</v>
      </c>
      <c r="AB1116" s="12">
        <f t="shared" si="301"/>
        <v>2.9233870967741935</v>
      </c>
      <c r="AC1116" s="12">
        <f t="shared" si="302"/>
        <v>0</v>
      </c>
      <c r="AD1116" s="34"/>
    </row>
    <row r="1117" spans="1:30" ht="16" x14ac:dyDescent="0.2">
      <c r="A1117" s="47"/>
      <c r="B1117" s="383"/>
      <c r="C1117" s="176">
        <f t="shared" si="324"/>
        <v>1114</v>
      </c>
      <c r="D1117" s="454">
        <v>45877</v>
      </c>
      <c r="E1117" s="37">
        <v>45880</v>
      </c>
      <c r="F1117" s="65" t="s">
        <v>312</v>
      </c>
      <c r="G1117" s="11" t="str">
        <f ca="1">IF(AND(E1117&lt;&gt;"",E1117&lt;TODAY()),"Disponible",IFERROR(INDEX(Vehiculos[Estado Vehiculo],MATCH(F1117,Vehiculos[Placa Vehiculo],0)),""))</f>
        <v>Disponible</v>
      </c>
      <c r="H1117" s="34" t="s">
        <v>238</v>
      </c>
      <c r="I1117" s="34" t="s">
        <v>273</v>
      </c>
      <c r="J1117" s="34"/>
      <c r="K1117" s="39">
        <v>95</v>
      </c>
      <c r="L1117" s="39">
        <v>115</v>
      </c>
      <c r="M1117" s="15">
        <f t="shared" ref="M1117:M1123" si="325">L1117-K1117</f>
        <v>20</v>
      </c>
      <c r="N1117" s="15">
        <f>Rutas[[#This Row],[Kms Recorridos]]</f>
        <v>20</v>
      </c>
      <c r="O1117" s="39"/>
      <c r="P1117" s="36"/>
      <c r="Q1117" s="16">
        <f t="shared" ref="Q1117:Q1123" si="326">M1117*P1117</f>
        <v>0</v>
      </c>
      <c r="R1117" s="34" t="s">
        <v>339</v>
      </c>
      <c r="S1117" s="34" t="s">
        <v>102</v>
      </c>
      <c r="T1117" s="36">
        <v>1.8</v>
      </c>
      <c r="U1117" s="293">
        <f>Rutas[[#This Row],[Precio x Galón ($/gal)]]*Rutas[[#This Row],[Volumen de Combustible (gal)]]</f>
        <v>28.89</v>
      </c>
      <c r="V1117" s="36"/>
      <c r="W1117" s="36"/>
      <c r="X1117" s="36"/>
      <c r="Y1117" s="145">
        <f t="shared" ref="Y1117:Y1123" si="327">U1117+SUM(V1117:X1117)</f>
        <v>28.89</v>
      </c>
      <c r="Z1117" s="567"/>
      <c r="AA1117" s="12">
        <v>16.05</v>
      </c>
      <c r="AB1117" s="12">
        <f t="shared" ref="AB1117:AB1123" si="328">IFERROR(M1117/AA1117,0)</f>
        <v>1.2461059190031152</v>
      </c>
      <c r="AC1117" s="12">
        <f t="shared" ref="AC1117:AC1123" si="329">IFERROR(Q1117/M1117,0)</f>
        <v>0</v>
      </c>
      <c r="AD1117" s="34"/>
    </row>
    <row r="1118" spans="1:30" ht="16" x14ac:dyDescent="0.2">
      <c r="A1118" s="47"/>
      <c r="B1118" s="383"/>
      <c r="C1118" s="176">
        <f t="shared" si="324"/>
        <v>1115</v>
      </c>
      <c r="D1118" s="454">
        <v>45880</v>
      </c>
      <c r="E1118" s="37">
        <v>45882</v>
      </c>
      <c r="F1118" s="65" t="s">
        <v>312</v>
      </c>
      <c r="G1118" s="11" t="str">
        <f ca="1">IF(AND(E1118&lt;&gt;"",E1118&lt;TODAY()),"Disponible",IFERROR(INDEX(Vehiculos[Estado Vehiculo],MATCH(F1118,Vehiculos[Placa Vehiculo],0)),""))</f>
        <v>Disponible</v>
      </c>
      <c r="H1118" s="34" t="s">
        <v>238</v>
      </c>
      <c r="I1118" s="34" t="s">
        <v>273</v>
      </c>
      <c r="J1118" s="34"/>
      <c r="K1118" s="39">
        <v>115</v>
      </c>
      <c r="L1118" s="39">
        <v>140</v>
      </c>
      <c r="M1118" s="15">
        <f t="shared" si="325"/>
        <v>25</v>
      </c>
      <c r="N1118" s="15">
        <f>Rutas[[#This Row],[Kms Recorridos]]</f>
        <v>25</v>
      </c>
      <c r="O1118" s="39"/>
      <c r="P1118" s="36"/>
      <c r="Q1118" s="16">
        <f t="shared" si="326"/>
        <v>0</v>
      </c>
      <c r="R1118" s="34" t="s">
        <v>339</v>
      </c>
      <c r="S1118" s="34" t="s">
        <v>102</v>
      </c>
      <c r="T1118" s="36">
        <v>1.8</v>
      </c>
      <c r="U1118" s="293">
        <f>Rutas[[#This Row],[Precio x Galón ($/gal)]]*Rutas[[#This Row],[Volumen de Combustible (gal)]]</f>
        <v>25.866</v>
      </c>
      <c r="V1118" s="36"/>
      <c r="W1118" s="36"/>
      <c r="X1118" s="36"/>
      <c r="Y1118" s="145">
        <f t="shared" si="327"/>
        <v>25.866</v>
      </c>
      <c r="Z1118" s="567"/>
      <c r="AA1118" s="12">
        <v>14.37</v>
      </c>
      <c r="AB1118" s="12">
        <f t="shared" si="328"/>
        <v>1.7397355601948505</v>
      </c>
      <c r="AC1118" s="12">
        <f t="shared" si="329"/>
        <v>0</v>
      </c>
      <c r="AD1118" s="34"/>
    </row>
    <row r="1119" spans="1:30" ht="16" x14ac:dyDescent="0.2">
      <c r="A1119" s="47"/>
      <c r="B1119" s="383"/>
      <c r="C1119" s="176">
        <f t="shared" si="324"/>
        <v>1116</v>
      </c>
      <c r="D1119" s="454">
        <v>45882</v>
      </c>
      <c r="E1119" s="37">
        <v>45887</v>
      </c>
      <c r="F1119" s="65" t="s">
        <v>312</v>
      </c>
      <c r="G1119" s="11" t="str">
        <f ca="1">IF(AND(E1119&lt;&gt;"",E1119&lt;TODAY()),"Disponible",IFERROR(INDEX(Vehiculos[Estado Vehiculo],MATCH(F1119,Vehiculos[Placa Vehiculo],0)),""))</f>
        <v>Disponible</v>
      </c>
      <c r="H1119" s="34" t="s">
        <v>238</v>
      </c>
      <c r="I1119" s="34" t="s">
        <v>273</v>
      </c>
      <c r="J1119" s="34"/>
      <c r="K1119" s="39">
        <v>140</v>
      </c>
      <c r="L1119" s="39">
        <v>160</v>
      </c>
      <c r="M1119" s="15">
        <f t="shared" si="325"/>
        <v>20</v>
      </c>
      <c r="N1119" s="15">
        <f>Rutas[[#This Row],[Kms Recorridos]]</f>
        <v>20</v>
      </c>
      <c r="O1119" s="39"/>
      <c r="P1119" s="36"/>
      <c r="Q1119" s="16">
        <f t="shared" si="326"/>
        <v>0</v>
      </c>
      <c r="R1119" s="34" t="s">
        <v>339</v>
      </c>
      <c r="S1119" s="34" t="s">
        <v>102</v>
      </c>
      <c r="T1119" s="36">
        <v>1.8</v>
      </c>
      <c r="U1119" s="293">
        <f>Rutas[[#This Row],[Precio x Galón ($/gal)]]*Rutas[[#This Row],[Volumen de Combustible (gal)]]</f>
        <v>22.068000000000001</v>
      </c>
      <c r="V1119" s="36"/>
      <c r="W1119" s="36"/>
      <c r="X1119" s="36"/>
      <c r="Y1119" s="145">
        <f t="shared" si="327"/>
        <v>22.068000000000001</v>
      </c>
      <c r="Z1119" s="567"/>
      <c r="AA1119" s="12">
        <v>12.26</v>
      </c>
      <c r="AB1119" s="12">
        <f t="shared" si="328"/>
        <v>1.6313213703099512</v>
      </c>
      <c r="AC1119" s="12">
        <f t="shared" si="329"/>
        <v>0</v>
      </c>
      <c r="AD1119" s="34"/>
    </row>
    <row r="1120" spans="1:30" ht="16" x14ac:dyDescent="0.2">
      <c r="A1120" s="47"/>
      <c r="B1120" s="383"/>
      <c r="C1120" s="176">
        <f t="shared" si="324"/>
        <v>1117</v>
      </c>
      <c r="D1120" s="454">
        <v>45887</v>
      </c>
      <c r="E1120" s="37">
        <v>45892</v>
      </c>
      <c r="F1120" s="65" t="s">
        <v>312</v>
      </c>
      <c r="G1120" s="11" t="str">
        <f ca="1">IF(AND(E1120&lt;&gt;"",E1120&lt;TODAY()),"Disponible",IFERROR(INDEX(Vehiculos[Estado Vehiculo],MATCH(F1120,Vehiculos[Placa Vehiculo],0)),""))</f>
        <v>Disponible</v>
      </c>
      <c r="H1120" s="34" t="s">
        <v>250</v>
      </c>
      <c r="I1120" s="34" t="s">
        <v>273</v>
      </c>
      <c r="J1120" s="34"/>
      <c r="K1120" s="39">
        <v>160</v>
      </c>
      <c r="L1120" s="39">
        <v>190</v>
      </c>
      <c r="M1120" s="15">
        <f t="shared" si="325"/>
        <v>30</v>
      </c>
      <c r="N1120" s="15">
        <f>Rutas[[#This Row],[Kms Recorridos]]</f>
        <v>30</v>
      </c>
      <c r="O1120" s="39"/>
      <c r="P1120" s="36"/>
      <c r="Q1120" s="16">
        <f t="shared" si="326"/>
        <v>0</v>
      </c>
      <c r="R1120" s="34" t="s">
        <v>339</v>
      </c>
      <c r="S1120" s="34" t="s">
        <v>102</v>
      </c>
      <c r="T1120" s="36">
        <v>1.8</v>
      </c>
      <c r="U1120" s="293">
        <f>Rutas[[#This Row],[Precio x Galón ($/gal)]]*Rutas[[#This Row],[Volumen de Combustible (gal)]]</f>
        <v>21.312000000000001</v>
      </c>
      <c r="V1120" s="36"/>
      <c r="W1120" s="36"/>
      <c r="X1120" s="36"/>
      <c r="Y1120" s="145">
        <f t="shared" si="327"/>
        <v>21.312000000000001</v>
      </c>
      <c r="Z1120" s="567"/>
      <c r="AA1120" s="12">
        <v>11.84</v>
      </c>
      <c r="AB1120" s="12">
        <f t="shared" si="328"/>
        <v>2.5337837837837838</v>
      </c>
      <c r="AC1120" s="12">
        <f t="shared" si="329"/>
        <v>0</v>
      </c>
      <c r="AD1120" s="34"/>
    </row>
    <row r="1121" spans="1:30" ht="16" x14ac:dyDescent="0.2">
      <c r="A1121" s="47"/>
      <c r="B1121" s="383"/>
      <c r="C1121" s="176">
        <f t="shared" si="324"/>
        <v>1118</v>
      </c>
      <c r="D1121" s="454">
        <v>45892</v>
      </c>
      <c r="E1121" s="37">
        <v>45894</v>
      </c>
      <c r="F1121" s="65" t="s">
        <v>312</v>
      </c>
      <c r="G1121" s="11" t="str">
        <f ca="1">IF(AND(E1121&lt;&gt;"",E1121&lt;TODAY()),"Disponible",IFERROR(INDEX(Vehiculos[Estado Vehiculo],MATCH(F1121,Vehiculos[Placa Vehiculo],0)),""))</f>
        <v>Disponible</v>
      </c>
      <c r="H1121" s="34" t="s">
        <v>250</v>
      </c>
      <c r="I1121" s="34" t="s">
        <v>273</v>
      </c>
      <c r="J1121" s="34"/>
      <c r="K1121" s="39">
        <v>190</v>
      </c>
      <c r="L1121" s="39">
        <v>201</v>
      </c>
      <c r="M1121" s="15">
        <f t="shared" si="325"/>
        <v>11</v>
      </c>
      <c r="N1121" s="15">
        <f>Rutas[[#This Row],[Kms Recorridos]]</f>
        <v>11</v>
      </c>
      <c r="O1121" s="39"/>
      <c r="P1121" s="36"/>
      <c r="Q1121" s="16">
        <f t="shared" si="326"/>
        <v>0</v>
      </c>
      <c r="R1121" s="34" t="s">
        <v>339</v>
      </c>
      <c r="S1121" s="34" t="s">
        <v>102</v>
      </c>
      <c r="T1121" s="36">
        <v>1.8</v>
      </c>
      <c r="U1121" s="293">
        <f>Rutas[[#This Row],[Precio x Galón ($/gal)]]*Rutas[[#This Row],[Volumen de Combustible (gal)]]</f>
        <v>35.909999999999997</v>
      </c>
      <c r="V1121" s="36"/>
      <c r="W1121" s="36"/>
      <c r="X1121" s="36"/>
      <c r="Y1121" s="145">
        <f t="shared" si="327"/>
        <v>35.909999999999997</v>
      </c>
      <c r="Z1121" s="567"/>
      <c r="AA1121" s="12">
        <v>19.95</v>
      </c>
      <c r="AB1121" s="12">
        <f t="shared" si="328"/>
        <v>0.55137844611528819</v>
      </c>
      <c r="AC1121" s="12">
        <f t="shared" si="329"/>
        <v>0</v>
      </c>
      <c r="AD1121" s="34"/>
    </row>
    <row r="1122" spans="1:30" ht="16" x14ac:dyDescent="0.2">
      <c r="A1122" s="47"/>
      <c r="B1122" s="383"/>
      <c r="C1122" s="176">
        <f t="shared" si="324"/>
        <v>1119</v>
      </c>
      <c r="D1122" s="454">
        <v>45894</v>
      </c>
      <c r="E1122" s="37">
        <v>45898</v>
      </c>
      <c r="F1122" s="65" t="s">
        <v>312</v>
      </c>
      <c r="G1122" s="11" t="str">
        <f ca="1">IF(AND(E1122&lt;&gt;"",E1122&lt;TODAY()),"Disponible",IFERROR(INDEX(Vehiculos[Estado Vehiculo],MATCH(F1122,Vehiculos[Placa Vehiculo],0)),""))</f>
        <v>Disponible</v>
      </c>
      <c r="H1122" s="34" t="s">
        <v>250</v>
      </c>
      <c r="I1122" s="34" t="s">
        <v>273</v>
      </c>
      <c r="J1122" s="34"/>
      <c r="K1122" s="39">
        <v>201</v>
      </c>
      <c r="L1122" s="39">
        <v>237</v>
      </c>
      <c r="M1122" s="15">
        <f t="shared" si="325"/>
        <v>36</v>
      </c>
      <c r="N1122" s="15">
        <f>Rutas[[#This Row],[Kms Recorridos]]</f>
        <v>36</v>
      </c>
      <c r="O1122" s="39"/>
      <c r="P1122" s="36"/>
      <c r="Q1122" s="16">
        <f t="shared" si="326"/>
        <v>0</v>
      </c>
      <c r="R1122" s="34" t="s">
        <v>339</v>
      </c>
      <c r="S1122" s="34" t="s">
        <v>102</v>
      </c>
      <c r="T1122" s="36">
        <v>1.8</v>
      </c>
      <c r="U1122" s="293">
        <f>Rutas[[#This Row],[Precio x Galón ($/gal)]]*Rutas[[#This Row],[Volumen de Combustible (gal)]]</f>
        <v>18</v>
      </c>
      <c r="V1122" s="36"/>
      <c r="W1122" s="36"/>
      <c r="X1122" s="36"/>
      <c r="Y1122" s="145">
        <f t="shared" si="327"/>
        <v>18</v>
      </c>
      <c r="Z1122" s="567"/>
      <c r="AA1122" s="12">
        <v>10</v>
      </c>
      <c r="AB1122" s="12">
        <f t="shared" si="328"/>
        <v>3.6</v>
      </c>
      <c r="AC1122" s="12">
        <f t="shared" si="329"/>
        <v>0</v>
      </c>
      <c r="AD1122" s="34"/>
    </row>
    <row r="1123" spans="1:30" ht="16" x14ac:dyDescent="0.2">
      <c r="A1123" s="47"/>
      <c r="B1123" s="383"/>
      <c r="C1123" s="176">
        <f t="shared" si="324"/>
        <v>1120</v>
      </c>
      <c r="D1123" s="454">
        <v>45898</v>
      </c>
      <c r="E1123" s="37">
        <v>45899</v>
      </c>
      <c r="F1123" s="65" t="s">
        <v>312</v>
      </c>
      <c r="G1123" s="11" t="str">
        <f ca="1">IF(AND(E1123&lt;&gt;"",E1123&lt;TODAY()),"Disponible",IFERROR(INDEX(Vehiculos[Estado Vehiculo],MATCH(F1123,Vehiculos[Placa Vehiculo],0)),""))</f>
        <v>Disponible</v>
      </c>
      <c r="H1123" s="34"/>
      <c r="I1123" s="34" t="s">
        <v>273</v>
      </c>
      <c r="J1123" s="34"/>
      <c r="K1123" s="39">
        <v>237</v>
      </c>
      <c r="L1123" s="39">
        <v>241</v>
      </c>
      <c r="M1123" s="15">
        <f t="shared" si="325"/>
        <v>4</v>
      </c>
      <c r="N1123" s="15">
        <f>Rutas[[#This Row],[Kms Recorridos]]</f>
        <v>4</v>
      </c>
      <c r="O1123" s="39"/>
      <c r="P1123" s="36"/>
      <c r="Q1123" s="16">
        <f t="shared" si="326"/>
        <v>0</v>
      </c>
      <c r="R1123" s="34"/>
      <c r="S1123" s="34"/>
      <c r="T1123" s="36"/>
      <c r="U1123" s="293">
        <f>Rutas[[#This Row],[Precio x Galón ($/gal)]]*Rutas[[#This Row],[Volumen de Combustible (gal)]]</f>
        <v>0</v>
      </c>
      <c r="V1123" s="36"/>
      <c r="W1123" s="36"/>
      <c r="X1123" s="36"/>
      <c r="Y1123" s="145">
        <f t="shared" si="327"/>
        <v>0</v>
      </c>
      <c r="Z1123" s="567"/>
      <c r="AA1123" s="12"/>
      <c r="AB1123" s="12">
        <f t="shared" si="328"/>
        <v>0</v>
      </c>
      <c r="AC1123" s="12">
        <f t="shared" si="329"/>
        <v>0</v>
      </c>
      <c r="AD1123" s="34"/>
    </row>
    <row r="1124" spans="1:30" x14ac:dyDescent="0.2">
      <c r="A1124" s="47"/>
      <c r="B1124" s="383"/>
      <c r="C1124" s="176">
        <f t="shared" si="324"/>
        <v>1121</v>
      </c>
      <c r="D1124" s="146"/>
      <c r="E1124" s="37"/>
      <c r="F1124" s="35"/>
      <c r="G1124" s="11" t="str">
        <f ca="1">IF(AND(E1124&lt;&gt;"",E1124&lt;TODAY()),"Disponible",IFERROR(INDEX(Vehiculos[Estado Vehiculo],MATCH(F1124,Vehiculos[Placa Vehiculo],0)),""))</f>
        <v/>
      </c>
      <c r="H1124" s="34"/>
      <c r="I1124" s="34"/>
      <c r="J1124" s="34"/>
      <c r="K1124" s="39"/>
      <c r="L1124" s="39"/>
      <c r="M1124" s="15">
        <f t="shared" ref="M1124:M1177" si="330">L1124-K1124</f>
        <v>0</v>
      </c>
      <c r="N1124" s="15">
        <f>Rutas[[#This Row],[Kms Recorridos]]</f>
        <v>0</v>
      </c>
      <c r="O1124" s="39"/>
      <c r="P1124" s="36"/>
      <c r="Q1124" s="16">
        <f t="shared" ref="Q1124:Q1177" si="331">M1124*P1124</f>
        <v>0</v>
      </c>
      <c r="R1124" s="34"/>
      <c r="S1124" s="34"/>
      <c r="T1124" s="36"/>
      <c r="U1124" s="293">
        <f>Rutas[[#This Row],[Precio x Galón ($/gal)]]*Rutas[[#This Row],[Volumen de Combustible (gal)]]</f>
        <v>0</v>
      </c>
      <c r="V1124" s="36"/>
      <c r="W1124" s="36"/>
      <c r="X1124" s="36"/>
      <c r="Y1124" s="145">
        <f t="shared" ref="Y1124:Y1177" si="332">U1124+SUM(V1124:X1124)</f>
        <v>0</v>
      </c>
      <c r="Z1124" s="567"/>
      <c r="AA1124" s="12"/>
      <c r="AB1124" s="12">
        <f t="shared" ref="AB1124:AB1177" si="333">IFERROR(M1124/AA1124,0)</f>
        <v>0</v>
      </c>
      <c r="AC1124" s="12">
        <f t="shared" ref="AC1124:AC1177" si="334">IFERROR(Q1124/M1124,0)</f>
        <v>0</v>
      </c>
      <c r="AD1124" s="34"/>
    </row>
    <row r="1125" spans="1:30" ht="16" x14ac:dyDescent="0.2">
      <c r="A1125" s="47"/>
      <c r="B1125" s="383"/>
      <c r="C1125" s="176">
        <f t="shared" si="324"/>
        <v>1122</v>
      </c>
      <c r="D1125" s="90">
        <v>45870</v>
      </c>
      <c r="E1125" s="90">
        <v>45871</v>
      </c>
      <c r="F1125" s="68" t="s">
        <v>406</v>
      </c>
      <c r="G1125" s="379" t="str">
        <f ca="1">IF(AND(E1125&lt;&gt;"",E1125&lt;TODAY()),"Disponible",IFERROR(INDEX(Vehiculos[Estado Vehiculo],MATCH(F1125,Vehiculos[Placa Vehiculo],0)),""))</f>
        <v>Disponible</v>
      </c>
      <c r="H1125" s="89" t="s">
        <v>417</v>
      </c>
      <c r="I1125" s="89" t="s">
        <v>273</v>
      </c>
      <c r="J1125" s="89"/>
      <c r="K1125" s="380">
        <v>6844</v>
      </c>
      <c r="L1125" s="380">
        <v>6861</v>
      </c>
      <c r="M1125" s="381">
        <f t="shared" si="330"/>
        <v>17</v>
      </c>
      <c r="N1125" s="381">
        <f>Rutas[[#This Row],[Kms Recorridos]]</f>
        <v>17</v>
      </c>
      <c r="O1125" s="380"/>
      <c r="P1125" s="92"/>
      <c r="Q1125" s="382">
        <f t="shared" si="331"/>
        <v>0</v>
      </c>
      <c r="R1125" s="89" t="s">
        <v>273</v>
      </c>
      <c r="S1125" s="89" t="s">
        <v>102</v>
      </c>
      <c r="T1125" s="92">
        <v>1.8</v>
      </c>
      <c r="U1125" s="92">
        <f>Rutas[[#This Row],[Precio x Galón ($/gal)]]*Rutas[[#This Row],[Volumen de Combustible (gal)]]</f>
        <v>27</v>
      </c>
      <c r="V1125" s="92"/>
      <c r="W1125" s="92"/>
      <c r="X1125" s="92"/>
      <c r="Y1125" s="382">
        <f t="shared" si="332"/>
        <v>27</v>
      </c>
      <c r="Z1125" s="567"/>
      <c r="AA1125" s="382">
        <v>15</v>
      </c>
      <c r="AB1125" s="382">
        <f t="shared" si="333"/>
        <v>1.1333333333333333</v>
      </c>
      <c r="AC1125" s="382">
        <f t="shared" si="334"/>
        <v>0</v>
      </c>
      <c r="AD1125" s="89"/>
    </row>
    <row r="1126" spans="1:30" ht="16" x14ac:dyDescent="0.2">
      <c r="A1126" s="47"/>
      <c r="B1126" s="383"/>
      <c r="C1126" s="176">
        <f t="shared" si="324"/>
        <v>1123</v>
      </c>
      <c r="D1126" s="146">
        <v>45871</v>
      </c>
      <c r="E1126" s="37">
        <v>45875</v>
      </c>
      <c r="F1126" s="65" t="s">
        <v>406</v>
      </c>
      <c r="G1126" s="11" t="str">
        <f ca="1">IF(AND(E1126&lt;&gt;"",E1126&lt;TODAY()),"Disponible",IFERROR(INDEX(Vehiculos[Estado Vehiculo],MATCH(F1126,Vehiculos[Placa Vehiculo],0)),""))</f>
        <v>Disponible</v>
      </c>
      <c r="H1126" s="34" t="s">
        <v>269</v>
      </c>
      <c r="I1126" s="34" t="s">
        <v>273</v>
      </c>
      <c r="J1126" s="34"/>
      <c r="K1126" s="39">
        <v>6861</v>
      </c>
      <c r="L1126" s="39">
        <v>6891</v>
      </c>
      <c r="M1126" s="15">
        <f t="shared" si="330"/>
        <v>30</v>
      </c>
      <c r="N1126" s="15">
        <f>Rutas[[#This Row],[Kms Recorridos]]</f>
        <v>30</v>
      </c>
      <c r="O1126" s="39"/>
      <c r="P1126" s="36"/>
      <c r="Q1126" s="16">
        <f t="shared" si="331"/>
        <v>0</v>
      </c>
      <c r="R1126" s="34" t="s">
        <v>273</v>
      </c>
      <c r="S1126" s="34" t="s">
        <v>102</v>
      </c>
      <c r="T1126" s="36">
        <v>1.8</v>
      </c>
      <c r="U1126" s="293">
        <f>Rutas[[#This Row],[Precio x Galón ($/gal)]]*Rutas[[#This Row],[Volumen de Combustible (gal)]]</f>
        <v>40.247999999999998</v>
      </c>
      <c r="V1126" s="36"/>
      <c r="W1126" s="36"/>
      <c r="X1126" s="36"/>
      <c r="Y1126" s="145">
        <f t="shared" si="332"/>
        <v>40.247999999999998</v>
      </c>
      <c r="Z1126" s="567"/>
      <c r="AA1126" s="12">
        <v>22.36</v>
      </c>
      <c r="AB1126" s="12">
        <f t="shared" si="333"/>
        <v>1.3416815742397139</v>
      </c>
      <c r="AC1126" s="12">
        <f t="shared" si="334"/>
        <v>0</v>
      </c>
      <c r="AD1126" s="34"/>
    </row>
    <row r="1127" spans="1:30" ht="16" x14ac:dyDescent="0.2">
      <c r="A1127" s="47"/>
      <c r="B1127" s="383"/>
      <c r="C1127" s="176">
        <f t="shared" si="324"/>
        <v>1124</v>
      </c>
      <c r="D1127" s="146">
        <v>45875</v>
      </c>
      <c r="E1127" s="37">
        <v>45879</v>
      </c>
      <c r="F1127" s="65" t="s">
        <v>406</v>
      </c>
      <c r="G1127" s="11" t="str">
        <f ca="1">IF(AND(E1127&lt;&gt;"",E1127&lt;TODAY()),"Disponible",IFERROR(INDEX(Vehiculos[Estado Vehiculo],MATCH(F1127,Vehiculos[Placa Vehiculo],0)),""))</f>
        <v>Disponible</v>
      </c>
      <c r="H1127" s="34" t="s">
        <v>259</v>
      </c>
      <c r="I1127" s="34" t="s">
        <v>273</v>
      </c>
      <c r="J1127" s="34"/>
      <c r="K1127" s="39">
        <v>6891</v>
      </c>
      <c r="L1127" s="39">
        <v>6930</v>
      </c>
      <c r="M1127" s="15">
        <f t="shared" si="330"/>
        <v>39</v>
      </c>
      <c r="N1127" s="15">
        <f>Rutas[[#This Row],[Kms Recorridos]]</f>
        <v>39</v>
      </c>
      <c r="O1127" s="39"/>
      <c r="P1127" s="36"/>
      <c r="Q1127" s="16">
        <f t="shared" si="331"/>
        <v>0</v>
      </c>
      <c r="R1127" s="34" t="s">
        <v>339</v>
      </c>
      <c r="S1127" s="34" t="s">
        <v>102</v>
      </c>
      <c r="T1127" s="36">
        <v>1.8</v>
      </c>
      <c r="U1127" s="293">
        <f>Rutas[[#This Row],[Precio x Galón ($/gal)]]*Rutas[[#This Row],[Volumen de Combustible (gal)]]</f>
        <v>30.168000000000003</v>
      </c>
      <c r="V1127" s="36"/>
      <c r="W1127" s="36"/>
      <c r="X1127" s="36"/>
      <c r="Y1127" s="145">
        <f t="shared" si="332"/>
        <v>30.168000000000003</v>
      </c>
      <c r="Z1127" s="567"/>
      <c r="AA1127" s="12">
        <v>16.760000000000002</v>
      </c>
      <c r="AB1127" s="12">
        <f t="shared" si="333"/>
        <v>2.3269689737470163</v>
      </c>
      <c r="AC1127" s="12">
        <f t="shared" si="334"/>
        <v>0</v>
      </c>
      <c r="AD1127" s="34"/>
    </row>
    <row r="1128" spans="1:30" ht="16" x14ac:dyDescent="0.2">
      <c r="A1128" s="47"/>
      <c r="B1128" s="383"/>
      <c r="C1128" s="176">
        <f t="shared" si="324"/>
        <v>1125</v>
      </c>
      <c r="D1128" s="454">
        <v>45879</v>
      </c>
      <c r="E1128" s="37">
        <v>45884</v>
      </c>
      <c r="F1128" s="65" t="s">
        <v>406</v>
      </c>
      <c r="G1128" s="11" t="str">
        <f ca="1">IF(AND(E1128&lt;&gt;"",E1128&lt;TODAY()),"Disponible",IFERROR(INDEX(Vehiculos[Estado Vehiculo],MATCH(F1128,Vehiculos[Placa Vehiculo],0)),""))</f>
        <v>Disponible</v>
      </c>
      <c r="H1128" s="34" t="s">
        <v>259</v>
      </c>
      <c r="I1128" s="34" t="s">
        <v>273</v>
      </c>
      <c r="J1128" s="34"/>
      <c r="K1128" s="39">
        <v>6930</v>
      </c>
      <c r="L1128" s="39">
        <v>6965</v>
      </c>
      <c r="M1128" s="15">
        <f t="shared" ref="M1128:M1133" si="335">L1128-K1128</f>
        <v>35</v>
      </c>
      <c r="N1128" s="15">
        <f>Rutas[[#This Row],[Kms Recorridos]]</f>
        <v>35</v>
      </c>
      <c r="O1128" s="39"/>
      <c r="P1128" s="36"/>
      <c r="Q1128" s="16">
        <f t="shared" ref="Q1128:Q1133" si="336">M1128*P1128</f>
        <v>0</v>
      </c>
      <c r="R1128" s="34" t="s">
        <v>339</v>
      </c>
      <c r="S1128" s="34" t="s">
        <v>102</v>
      </c>
      <c r="T1128" s="36">
        <v>1.8</v>
      </c>
      <c r="U1128" s="293">
        <f>Rutas[[#This Row],[Precio x Galón ($/gal)]]*Rutas[[#This Row],[Volumen de Combustible (gal)]]</f>
        <v>11.196</v>
      </c>
      <c r="V1128" s="36"/>
      <c r="W1128" s="36"/>
      <c r="X1128" s="36"/>
      <c r="Y1128" s="145">
        <f t="shared" ref="Y1128:Y1133" si="337">U1128+SUM(V1128:X1128)</f>
        <v>11.196</v>
      </c>
      <c r="Z1128" s="567"/>
      <c r="AA1128" s="12">
        <v>6.22</v>
      </c>
      <c r="AB1128" s="12">
        <f t="shared" ref="AB1128:AB1133" si="338">IFERROR(M1128/AA1128,0)</f>
        <v>5.627009646302251</v>
      </c>
      <c r="AC1128" s="12">
        <f t="shared" ref="AC1128:AC1133" si="339">IFERROR(Q1128/M1128,0)</f>
        <v>0</v>
      </c>
      <c r="AD1128" s="34"/>
    </row>
    <row r="1129" spans="1:30" ht="16" x14ac:dyDescent="0.2">
      <c r="A1129" s="47"/>
      <c r="B1129" s="383"/>
      <c r="C1129" s="176">
        <f t="shared" si="324"/>
        <v>1126</v>
      </c>
      <c r="D1129" s="454">
        <v>45884</v>
      </c>
      <c r="E1129" s="37">
        <v>45886</v>
      </c>
      <c r="F1129" s="65" t="s">
        <v>406</v>
      </c>
      <c r="G1129" s="11" t="str">
        <f ca="1">IF(AND(E1129&lt;&gt;"",E1129&lt;TODAY()),"Disponible",IFERROR(INDEX(Vehiculos[Estado Vehiculo],MATCH(F1129,Vehiculos[Placa Vehiculo],0)),""))</f>
        <v>Disponible</v>
      </c>
      <c r="H1129" s="34" t="s">
        <v>288</v>
      </c>
      <c r="I1129" s="34" t="s">
        <v>273</v>
      </c>
      <c r="J1129" s="34"/>
      <c r="K1129" s="39">
        <v>6965</v>
      </c>
      <c r="L1129" s="39">
        <v>6979</v>
      </c>
      <c r="M1129" s="15">
        <f t="shared" si="335"/>
        <v>14</v>
      </c>
      <c r="N1129" s="15">
        <f>Rutas[[#This Row],[Kms Recorridos]]</f>
        <v>14</v>
      </c>
      <c r="O1129" s="39"/>
      <c r="P1129" s="36"/>
      <c r="Q1129" s="16">
        <f t="shared" si="336"/>
        <v>0</v>
      </c>
      <c r="R1129" s="34" t="s">
        <v>339</v>
      </c>
      <c r="S1129" s="34" t="s">
        <v>102</v>
      </c>
      <c r="T1129" s="36">
        <v>1.8</v>
      </c>
      <c r="U1129" s="293">
        <f>Rutas[[#This Row],[Precio x Galón ($/gal)]]*Rutas[[#This Row],[Volumen de Combustible (gal)]]</f>
        <v>41.4</v>
      </c>
      <c r="V1129" s="36"/>
      <c r="W1129" s="36"/>
      <c r="X1129" s="36"/>
      <c r="Y1129" s="145">
        <f t="shared" si="337"/>
        <v>41.4</v>
      </c>
      <c r="Z1129" s="567"/>
      <c r="AA1129" s="12">
        <v>23</v>
      </c>
      <c r="AB1129" s="12">
        <f t="shared" si="338"/>
        <v>0.60869565217391308</v>
      </c>
      <c r="AC1129" s="12">
        <f t="shared" si="339"/>
        <v>0</v>
      </c>
      <c r="AD1129" s="34"/>
    </row>
    <row r="1130" spans="1:30" ht="16" x14ac:dyDescent="0.2">
      <c r="A1130" s="47"/>
      <c r="B1130" s="383"/>
      <c r="C1130" s="176">
        <f t="shared" si="324"/>
        <v>1127</v>
      </c>
      <c r="D1130" s="454">
        <v>45886</v>
      </c>
      <c r="E1130" s="37">
        <v>45888</v>
      </c>
      <c r="F1130" s="65" t="s">
        <v>406</v>
      </c>
      <c r="G1130" s="11" t="str">
        <f ca="1">IF(AND(E1130&lt;&gt;"",E1130&lt;TODAY()),"Disponible",IFERROR(INDEX(Vehiculos[Estado Vehiculo],MATCH(F1130,Vehiculos[Placa Vehiculo],0)),""))</f>
        <v>Disponible</v>
      </c>
      <c r="H1130" s="34" t="s">
        <v>259</v>
      </c>
      <c r="I1130" s="34" t="s">
        <v>273</v>
      </c>
      <c r="J1130" s="34"/>
      <c r="K1130" s="39">
        <v>6979</v>
      </c>
      <c r="L1130" s="39">
        <v>6990</v>
      </c>
      <c r="M1130" s="15">
        <f t="shared" si="335"/>
        <v>11</v>
      </c>
      <c r="N1130" s="15">
        <f>Rutas[[#This Row],[Kms Recorridos]]</f>
        <v>11</v>
      </c>
      <c r="O1130" s="39"/>
      <c r="P1130" s="36"/>
      <c r="Q1130" s="16">
        <f t="shared" si="336"/>
        <v>0</v>
      </c>
      <c r="R1130" s="34" t="s">
        <v>339</v>
      </c>
      <c r="S1130" s="34" t="s">
        <v>102</v>
      </c>
      <c r="T1130" s="36">
        <v>1.8</v>
      </c>
      <c r="U1130" s="293">
        <f>Rutas[[#This Row],[Precio x Galón ($/gal)]]*Rutas[[#This Row],[Volumen de Combustible (gal)]]</f>
        <v>27</v>
      </c>
      <c r="V1130" s="36"/>
      <c r="W1130" s="36"/>
      <c r="X1130" s="36"/>
      <c r="Y1130" s="145">
        <f t="shared" si="337"/>
        <v>27</v>
      </c>
      <c r="Z1130" s="567"/>
      <c r="AA1130" s="12">
        <v>15</v>
      </c>
      <c r="AB1130" s="12">
        <f t="shared" si="338"/>
        <v>0.73333333333333328</v>
      </c>
      <c r="AC1130" s="12">
        <f t="shared" si="339"/>
        <v>0</v>
      </c>
      <c r="AD1130" s="34"/>
    </row>
    <row r="1131" spans="1:30" ht="16" x14ac:dyDescent="0.2">
      <c r="A1131" s="47"/>
      <c r="B1131" s="383"/>
      <c r="C1131" s="176">
        <f t="shared" si="324"/>
        <v>1128</v>
      </c>
      <c r="D1131" s="454">
        <v>45888</v>
      </c>
      <c r="E1131" s="37">
        <v>45891</v>
      </c>
      <c r="F1131" s="65" t="s">
        <v>406</v>
      </c>
      <c r="G1131" s="11" t="str">
        <f ca="1">IF(AND(E1131&lt;&gt;"",E1131&lt;TODAY()),"Disponible",IFERROR(INDEX(Vehiculos[Estado Vehiculo],MATCH(F1131,Vehiculos[Placa Vehiculo],0)),""))</f>
        <v>Disponible</v>
      </c>
      <c r="H1131" s="34" t="s">
        <v>259</v>
      </c>
      <c r="I1131" s="34" t="s">
        <v>273</v>
      </c>
      <c r="J1131" s="34"/>
      <c r="K1131" s="39">
        <v>6990</v>
      </c>
      <c r="L1131" s="39">
        <v>7011</v>
      </c>
      <c r="M1131" s="15">
        <f t="shared" si="335"/>
        <v>21</v>
      </c>
      <c r="N1131" s="15">
        <f>Rutas[[#This Row],[Kms Recorridos]]</f>
        <v>21</v>
      </c>
      <c r="O1131" s="39"/>
      <c r="P1131" s="36"/>
      <c r="Q1131" s="16">
        <f t="shared" si="336"/>
        <v>0</v>
      </c>
      <c r="R1131" s="34" t="s">
        <v>339</v>
      </c>
      <c r="S1131" s="34" t="s">
        <v>102</v>
      </c>
      <c r="T1131" s="36">
        <v>1.8</v>
      </c>
      <c r="U1131" s="293">
        <f>Rutas[[#This Row],[Precio x Galón ($/gal)]]*Rutas[[#This Row],[Volumen de Combustible (gal)]]</f>
        <v>32.597999999999999</v>
      </c>
      <c r="V1131" s="36"/>
      <c r="W1131" s="36"/>
      <c r="X1131" s="36"/>
      <c r="Y1131" s="145">
        <f t="shared" si="337"/>
        <v>32.597999999999999</v>
      </c>
      <c r="Z1131" s="567"/>
      <c r="AA1131" s="12">
        <v>18.11</v>
      </c>
      <c r="AB1131" s="12">
        <f t="shared" si="338"/>
        <v>1.1595803423522917</v>
      </c>
      <c r="AC1131" s="12">
        <f t="shared" si="339"/>
        <v>0</v>
      </c>
      <c r="AD1131" s="34"/>
    </row>
    <row r="1132" spans="1:30" ht="16" x14ac:dyDescent="0.2">
      <c r="A1132" s="47"/>
      <c r="B1132" s="383"/>
      <c r="C1132" s="176">
        <f t="shared" si="324"/>
        <v>1129</v>
      </c>
      <c r="D1132" s="454">
        <v>45891</v>
      </c>
      <c r="E1132" s="37">
        <v>45894</v>
      </c>
      <c r="F1132" s="65" t="s">
        <v>406</v>
      </c>
      <c r="G1132" s="11" t="str">
        <f ca="1">IF(AND(E1132&lt;&gt;"",E1132&lt;TODAY()),"Disponible",IFERROR(INDEX(Vehiculos[Estado Vehiculo],MATCH(F1132,Vehiculos[Placa Vehiculo],0)),""))</f>
        <v>Disponible</v>
      </c>
      <c r="H1132" s="34" t="s">
        <v>259</v>
      </c>
      <c r="I1132" s="34" t="s">
        <v>273</v>
      </c>
      <c r="J1132" s="34"/>
      <c r="K1132" s="39">
        <v>7011</v>
      </c>
      <c r="L1132" s="39">
        <v>7032</v>
      </c>
      <c r="M1132" s="15">
        <f t="shared" si="335"/>
        <v>21</v>
      </c>
      <c r="N1132" s="15">
        <f>Rutas[[#This Row],[Kms Recorridos]]</f>
        <v>21</v>
      </c>
      <c r="O1132" s="39"/>
      <c r="P1132" s="36"/>
      <c r="Q1132" s="16">
        <f t="shared" si="336"/>
        <v>0</v>
      </c>
      <c r="R1132" s="34" t="s">
        <v>339</v>
      </c>
      <c r="S1132" s="34" t="s">
        <v>102</v>
      </c>
      <c r="T1132" s="36">
        <v>1.8</v>
      </c>
      <c r="U1132" s="293">
        <f>Rutas[[#This Row],[Precio x Galón ($/gal)]]*Rutas[[#This Row],[Volumen de Combustible (gal)]]</f>
        <v>32.345999999999997</v>
      </c>
      <c r="V1132" s="36"/>
      <c r="W1132" s="36"/>
      <c r="X1132" s="36"/>
      <c r="Y1132" s="145">
        <f t="shared" si="337"/>
        <v>32.345999999999997</v>
      </c>
      <c r="Z1132" s="567"/>
      <c r="AA1132" s="12">
        <v>17.97</v>
      </c>
      <c r="AB1132" s="12">
        <f t="shared" si="338"/>
        <v>1.1686143572621035</v>
      </c>
      <c r="AC1132" s="12">
        <f t="shared" si="339"/>
        <v>0</v>
      </c>
      <c r="AD1132" s="34"/>
    </row>
    <row r="1133" spans="1:30" ht="16" x14ac:dyDescent="0.2">
      <c r="A1133" s="47"/>
      <c r="B1133" s="383"/>
      <c r="C1133" s="176">
        <f t="shared" si="324"/>
        <v>1130</v>
      </c>
      <c r="D1133" s="454"/>
      <c r="E1133" s="37"/>
      <c r="F1133" s="65"/>
      <c r="G1133" s="11" t="str">
        <f ca="1">IF(AND(E1133&lt;&gt;"",E1133&lt;TODAY()),"Disponible",IFERROR(INDEX(Vehiculos[Estado Vehiculo],MATCH(F1133,Vehiculos[Placa Vehiculo],0)),""))</f>
        <v/>
      </c>
      <c r="H1133" s="34"/>
      <c r="I1133" s="34"/>
      <c r="J1133" s="34"/>
      <c r="K1133" s="39"/>
      <c r="L1133" s="39"/>
      <c r="M1133" s="15">
        <f t="shared" si="335"/>
        <v>0</v>
      </c>
      <c r="N1133" s="15">
        <f>Rutas[[#This Row],[Kms Recorridos]]</f>
        <v>0</v>
      </c>
      <c r="O1133" s="39"/>
      <c r="P1133" s="36"/>
      <c r="Q1133" s="16">
        <f t="shared" si="336"/>
        <v>0</v>
      </c>
      <c r="R1133" s="34"/>
      <c r="S1133" s="34"/>
      <c r="T1133" s="36"/>
      <c r="U1133" s="293"/>
      <c r="V1133" s="36"/>
      <c r="W1133" s="36"/>
      <c r="X1133" s="36"/>
      <c r="Y1133" s="145">
        <f t="shared" si="337"/>
        <v>0</v>
      </c>
      <c r="Z1133" s="567"/>
      <c r="AA1133" s="12"/>
      <c r="AB1133" s="12">
        <f t="shared" si="338"/>
        <v>0</v>
      </c>
      <c r="AC1133" s="12">
        <f t="shared" si="339"/>
        <v>0</v>
      </c>
      <c r="AD1133" s="34"/>
    </row>
    <row r="1134" spans="1:30" x14ac:dyDescent="0.2">
      <c r="A1134" s="47"/>
      <c r="B1134" s="383"/>
      <c r="C1134" s="176">
        <f t="shared" si="324"/>
        <v>1131</v>
      </c>
      <c r="D1134" s="146"/>
      <c r="E1134" s="37"/>
      <c r="F1134" s="35"/>
      <c r="G1134" s="11" t="str">
        <f ca="1">IF(AND(E1134&lt;&gt;"",E1134&lt;TODAY()),"Disponible",IFERROR(INDEX(Vehiculos[Estado Vehiculo],MATCH(F1134,Vehiculos[Placa Vehiculo],0)),""))</f>
        <v/>
      </c>
      <c r="H1134" s="34"/>
      <c r="I1134" s="34"/>
      <c r="J1134" s="34"/>
      <c r="K1134" s="39"/>
      <c r="L1134" s="39"/>
      <c r="M1134" s="15">
        <f t="shared" si="330"/>
        <v>0</v>
      </c>
      <c r="N1134" s="15">
        <f>Rutas[[#This Row],[Kms Recorridos]]</f>
        <v>0</v>
      </c>
      <c r="O1134" s="39"/>
      <c r="P1134" s="36"/>
      <c r="Q1134" s="16">
        <f t="shared" si="331"/>
        <v>0</v>
      </c>
      <c r="R1134" s="34"/>
      <c r="S1134" s="34"/>
      <c r="T1134" s="36"/>
      <c r="U1134" s="293">
        <f>Rutas[[#This Row],[Precio x Galón ($/gal)]]*Rutas[[#This Row],[Volumen de Combustible (gal)]]</f>
        <v>0</v>
      </c>
      <c r="V1134" s="36"/>
      <c r="W1134" s="36"/>
      <c r="X1134" s="36"/>
      <c r="Y1134" s="145">
        <f t="shared" si="332"/>
        <v>0</v>
      </c>
      <c r="Z1134" s="567"/>
      <c r="AA1134" s="12"/>
      <c r="AB1134" s="12">
        <f t="shared" si="333"/>
        <v>0</v>
      </c>
      <c r="AC1134" s="12">
        <f t="shared" si="334"/>
        <v>0</v>
      </c>
      <c r="AD1134" s="34"/>
    </row>
    <row r="1135" spans="1:30" ht="16" x14ac:dyDescent="0.2">
      <c r="A1135" s="47"/>
      <c r="B1135" s="383"/>
      <c r="C1135" s="176">
        <f t="shared" si="324"/>
        <v>1132</v>
      </c>
      <c r="D1135" s="90">
        <v>45870</v>
      </c>
      <c r="E1135" s="90">
        <v>45879</v>
      </c>
      <c r="F1135" s="68" t="s">
        <v>414</v>
      </c>
      <c r="G1135" s="379" t="str">
        <f ca="1">IF(AND(E1135&lt;&gt;"",E1135&lt;TODAY()),"Disponible",IFERROR(INDEX(Vehiculos[Estado Vehiculo],MATCH(F1135,Vehiculos[Placa Vehiculo],0)),""))</f>
        <v>Disponible</v>
      </c>
      <c r="H1135" s="89"/>
      <c r="I1135" s="89" t="s">
        <v>273</v>
      </c>
      <c r="J1135" s="89"/>
      <c r="K1135" s="380">
        <v>56</v>
      </c>
      <c r="L1135" s="380">
        <v>91</v>
      </c>
      <c r="M1135" s="381">
        <f t="shared" si="330"/>
        <v>35</v>
      </c>
      <c r="N1135" s="381">
        <f>Rutas[[#This Row],[Kms Recorridos]]</f>
        <v>35</v>
      </c>
      <c r="O1135" s="380"/>
      <c r="P1135" s="92"/>
      <c r="Q1135" s="382">
        <f t="shared" si="331"/>
        <v>0</v>
      </c>
      <c r="R1135" s="89" t="s">
        <v>273</v>
      </c>
      <c r="S1135" s="89" t="s">
        <v>102</v>
      </c>
      <c r="T1135" s="92">
        <v>1.8</v>
      </c>
      <c r="U1135" s="92">
        <f>Rutas[[#This Row],[Precio x Galón ($/gal)]]*Rutas[[#This Row],[Volumen de Combustible (gal)]]</f>
        <v>0</v>
      </c>
      <c r="V1135" s="92"/>
      <c r="W1135" s="92"/>
      <c r="X1135" s="92"/>
      <c r="Y1135" s="382">
        <f t="shared" si="332"/>
        <v>0</v>
      </c>
      <c r="Z1135" s="567"/>
      <c r="AA1135" s="382"/>
      <c r="AB1135" s="382">
        <f t="shared" si="333"/>
        <v>0</v>
      </c>
      <c r="AC1135" s="382">
        <f t="shared" si="334"/>
        <v>0</v>
      </c>
      <c r="AD1135" s="89"/>
    </row>
    <row r="1136" spans="1:30" ht="16" x14ac:dyDescent="0.2">
      <c r="A1136" s="47"/>
      <c r="B1136" s="383"/>
      <c r="C1136" s="176">
        <f t="shared" si="324"/>
        <v>1133</v>
      </c>
      <c r="D1136" s="146">
        <v>45879</v>
      </c>
      <c r="E1136" s="37">
        <v>45889</v>
      </c>
      <c r="F1136" s="65" t="s">
        <v>414</v>
      </c>
      <c r="G1136" s="11" t="str">
        <f ca="1">IF(AND(E1136&lt;&gt;"",E1136&lt;TODAY()),"Disponible",IFERROR(INDEX(Vehiculos[Estado Vehiculo],MATCH(F1136,Vehiculos[Placa Vehiculo],0)),""))</f>
        <v>Disponible</v>
      </c>
      <c r="H1136" s="34" t="s">
        <v>411</v>
      </c>
      <c r="I1136" s="34" t="s">
        <v>273</v>
      </c>
      <c r="J1136" s="34"/>
      <c r="K1136" s="39">
        <v>91</v>
      </c>
      <c r="L1136" s="39">
        <v>106</v>
      </c>
      <c r="M1136" s="15">
        <f t="shared" si="330"/>
        <v>15</v>
      </c>
      <c r="N1136" s="15">
        <f>Rutas[[#This Row],[Kms Recorridos]]</f>
        <v>15</v>
      </c>
      <c r="O1136" s="39"/>
      <c r="P1136" s="36"/>
      <c r="Q1136" s="16">
        <f t="shared" si="331"/>
        <v>0</v>
      </c>
      <c r="R1136" s="34" t="s">
        <v>273</v>
      </c>
      <c r="S1136" s="34" t="s">
        <v>102</v>
      </c>
      <c r="T1136" s="36">
        <v>1.8</v>
      </c>
      <c r="U1136" s="293">
        <f>Rutas[[#This Row],[Precio x Galón ($/gal)]]*Rutas[[#This Row],[Volumen de Combustible (gal)]]</f>
        <v>0</v>
      </c>
      <c r="V1136" s="36"/>
      <c r="W1136" s="36"/>
      <c r="X1136" s="36"/>
      <c r="Y1136" s="145">
        <f t="shared" si="332"/>
        <v>0</v>
      </c>
      <c r="Z1136" s="567"/>
      <c r="AA1136" s="12"/>
      <c r="AB1136" s="12">
        <f t="shared" si="333"/>
        <v>0</v>
      </c>
      <c r="AC1136" s="12">
        <f t="shared" si="334"/>
        <v>0</v>
      </c>
      <c r="AD1136" s="34"/>
    </row>
    <row r="1137" spans="1:30" ht="16" x14ac:dyDescent="0.2">
      <c r="A1137" s="47"/>
      <c r="B1137" s="383"/>
      <c r="C1137" s="176">
        <f t="shared" si="324"/>
        <v>1134</v>
      </c>
      <c r="D1137" s="146">
        <v>45889</v>
      </c>
      <c r="E1137" s="37">
        <v>45899</v>
      </c>
      <c r="F1137" s="65" t="s">
        <v>414</v>
      </c>
      <c r="G1137" s="11" t="str">
        <f ca="1">IF(AND(E1137&lt;&gt;"",E1137&lt;TODAY()),"Disponible",IFERROR(INDEX(Vehiculos[Estado Vehiculo],MATCH(F1137,Vehiculos[Placa Vehiculo],0)),""))</f>
        <v>Disponible</v>
      </c>
      <c r="H1137" s="34" t="s">
        <v>411</v>
      </c>
      <c r="I1137" s="34" t="s">
        <v>273</v>
      </c>
      <c r="J1137" s="34"/>
      <c r="K1137" s="39">
        <v>106</v>
      </c>
      <c r="L1137" s="39">
        <v>130</v>
      </c>
      <c r="M1137" s="15">
        <f t="shared" si="330"/>
        <v>24</v>
      </c>
      <c r="N1137" s="15">
        <f>Rutas[[#This Row],[Kms Recorridos]]</f>
        <v>24</v>
      </c>
      <c r="O1137" s="39"/>
      <c r="P1137" s="36"/>
      <c r="Q1137" s="16">
        <f t="shared" si="331"/>
        <v>0</v>
      </c>
      <c r="R1137" s="34" t="s">
        <v>273</v>
      </c>
      <c r="S1137" s="34" t="s">
        <v>102</v>
      </c>
      <c r="T1137" s="36">
        <v>1.8</v>
      </c>
      <c r="U1137" s="293">
        <f>Rutas[[#This Row],[Precio x Galón ($/gal)]]*Rutas[[#This Row],[Volumen de Combustible (gal)]]</f>
        <v>0</v>
      </c>
      <c r="V1137" s="36"/>
      <c r="W1137" s="36"/>
      <c r="X1137" s="36"/>
      <c r="Y1137" s="145">
        <f t="shared" si="332"/>
        <v>0</v>
      </c>
      <c r="Z1137" s="567"/>
      <c r="AA1137" s="12"/>
      <c r="AB1137" s="12">
        <f t="shared" si="333"/>
        <v>0</v>
      </c>
      <c r="AC1137" s="12">
        <f t="shared" si="334"/>
        <v>0</v>
      </c>
      <c r="AD1137" s="34"/>
    </row>
    <row r="1138" spans="1:30" x14ac:dyDescent="0.2">
      <c r="A1138" s="47"/>
      <c r="B1138" s="383"/>
      <c r="C1138" s="176">
        <f t="shared" si="324"/>
        <v>1135</v>
      </c>
      <c r="D1138" s="146"/>
      <c r="E1138" s="37"/>
      <c r="F1138" s="35"/>
      <c r="G1138" s="11" t="str">
        <f ca="1">IF(AND(E1138&lt;&gt;"",E1138&lt;TODAY()),"Disponible",IFERROR(INDEX(Vehiculos[Estado Vehiculo],MATCH(F1138,Vehiculos[Placa Vehiculo],0)),""))</f>
        <v/>
      </c>
      <c r="H1138" s="34"/>
      <c r="I1138" s="34"/>
      <c r="J1138" s="34"/>
      <c r="K1138" s="39"/>
      <c r="L1138" s="39"/>
      <c r="M1138" s="15">
        <f t="shared" si="330"/>
        <v>0</v>
      </c>
      <c r="N1138" s="15">
        <f>Rutas[[#This Row],[Kms Recorridos]]</f>
        <v>0</v>
      </c>
      <c r="O1138" s="39"/>
      <c r="P1138" s="36"/>
      <c r="Q1138" s="16">
        <f t="shared" si="331"/>
        <v>0</v>
      </c>
      <c r="R1138" s="34"/>
      <c r="S1138" s="34"/>
      <c r="T1138" s="36"/>
      <c r="U1138" s="293">
        <f>Rutas[[#This Row],[Precio x Galón ($/gal)]]*Rutas[[#This Row],[Volumen de Combustible (gal)]]</f>
        <v>0</v>
      </c>
      <c r="V1138" s="36"/>
      <c r="W1138" s="36"/>
      <c r="X1138" s="36"/>
      <c r="Y1138" s="145">
        <f t="shared" si="332"/>
        <v>0</v>
      </c>
      <c r="Z1138" s="567"/>
      <c r="AA1138" s="12"/>
      <c r="AB1138" s="12">
        <f t="shared" si="333"/>
        <v>0</v>
      </c>
      <c r="AC1138" s="12">
        <f t="shared" si="334"/>
        <v>0</v>
      </c>
      <c r="AD1138" s="34"/>
    </row>
    <row r="1139" spans="1:30" ht="16" x14ac:dyDescent="0.2">
      <c r="A1139" s="47"/>
      <c r="B1139" s="383"/>
      <c r="C1139" s="176">
        <f t="shared" si="324"/>
        <v>1136</v>
      </c>
      <c r="D1139" s="90">
        <v>45870</v>
      </c>
      <c r="E1139" s="90">
        <v>45872</v>
      </c>
      <c r="F1139" s="68" t="s">
        <v>352</v>
      </c>
      <c r="G1139" s="379" t="str">
        <f ca="1">IF(AND(E1139&lt;&gt;"",E1139&lt;TODAY()),"Disponible",IFERROR(INDEX(Vehiculos[Estado Vehiculo],MATCH(F1139,Vehiculos[Placa Vehiculo],0)),""))</f>
        <v>Disponible</v>
      </c>
      <c r="H1139" s="89" t="s">
        <v>288</v>
      </c>
      <c r="I1139" s="89" t="s">
        <v>273</v>
      </c>
      <c r="J1139" s="89"/>
      <c r="K1139" s="380">
        <v>1181</v>
      </c>
      <c r="L1139" s="380">
        <v>1186</v>
      </c>
      <c r="M1139" s="381">
        <f t="shared" si="330"/>
        <v>5</v>
      </c>
      <c r="N1139" s="381">
        <f>Rutas[[#This Row],[Kms Recorridos]]</f>
        <v>5</v>
      </c>
      <c r="O1139" s="380"/>
      <c r="P1139" s="92"/>
      <c r="Q1139" s="382">
        <f t="shared" si="331"/>
        <v>0</v>
      </c>
      <c r="R1139" s="89" t="s">
        <v>273</v>
      </c>
      <c r="S1139" s="89" t="s">
        <v>102</v>
      </c>
      <c r="T1139" s="92">
        <v>1.8</v>
      </c>
      <c r="U1139" s="92">
        <f>Rutas[[#This Row],[Precio x Galón ($/gal)]]*Rutas[[#This Row],[Volumen de Combustible (gal)]]</f>
        <v>23.400000000000002</v>
      </c>
      <c r="V1139" s="92"/>
      <c r="W1139" s="92"/>
      <c r="X1139" s="92"/>
      <c r="Y1139" s="382">
        <f t="shared" si="332"/>
        <v>23.400000000000002</v>
      </c>
      <c r="Z1139" s="567"/>
      <c r="AA1139" s="382">
        <v>13</v>
      </c>
      <c r="AB1139" s="382">
        <f t="shared" si="333"/>
        <v>0.38461538461538464</v>
      </c>
      <c r="AC1139" s="382">
        <f t="shared" si="334"/>
        <v>0</v>
      </c>
      <c r="AD1139" s="89"/>
    </row>
    <row r="1140" spans="1:30" ht="16" x14ac:dyDescent="0.2">
      <c r="A1140" s="47"/>
      <c r="B1140" s="383"/>
      <c r="C1140" s="176">
        <f t="shared" si="324"/>
        <v>1137</v>
      </c>
      <c r="D1140" s="146">
        <v>45872</v>
      </c>
      <c r="E1140" s="37">
        <v>45875</v>
      </c>
      <c r="F1140" s="65" t="s">
        <v>352</v>
      </c>
      <c r="G1140" s="11" t="str">
        <f ca="1">IF(AND(E1140&lt;&gt;"",E1140&lt;TODAY()),"Disponible",IFERROR(INDEX(Vehiculos[Estado Vehiculo],MATCH(F1140,Vehiculos[Placa Vehiculo],0)),""))</f>
        <v>Disponible</v>
      </c>
      <c r="H1140" s="34" t="s">
        <v>421</v>
      </c>
      <c r="I1140" s="34" t="s">
        <v>273</v>
      </c>
      <c r="J1140" s="34"/>
      <c r="K1140" s="39">
        <v>1186</v>
      </c>
      <c r="L1140" s="39">
        <v>1192</v>
      </c>
      <c r="M1140" s="15">
        <f t="shared" si="330"/>
        <v>6</v>
      </c>
      <c r="N1140" s="15">
        <f>Rutas[[#This Row],[Kms Recorridos]]</f>
        <v>6</v>
      </c>
      <c r="O1140" s="39"/>
      <c r="P1140" s="36"/>
      <c r="Q1140" s="16">
        <f t="shared" si="331"/>
        <v>0</v>
      </c>
      <c r="R1140" s="34" t="s">
        <v>339</v>
      </c>
      <c r="S1140" s="34" t="s">
        <v>102</v>
      </c>
      <c r="T1140" s="36">
        <v>1.8</v>
      </c>
      <c r="U1140" s="293">
        <f>Rutas[[#This Row],[Precio x Galón ($/gal)]]*Rutas[[#This Row],[Volumen de Combustible (gal)]]</f>
        <v>18</v>
      </c>
      <c r="V1140" s="36"/>
      <c r="W1140" s="36"/>
      <c r="X1140" s="36"/>
      <c r="Y1140" s="145">
        <f t="shared" si="332"/>
        <v>18</v>
      </c>
      <c r="Z1140" s="567"/>
      <c r="AA1140" s="12">
        <v>10</v>
      </c>
      <c r="AB1140" s="12">
        <f t="shared" si="333"/>
        <v>0.6</v>
      </c>
      <c r="AC1140" s="12">
        <f t="shared" si="334"/>
        <v>0</v>
      </c>
      <c r="AD1140" s="34"/>
    </row>
    <row r="1141" spans="1:30" ht="16" x14ac:dyDescent="0.2">
      <c r="A1141" s="47"/>
      <c r="B1141" s="383"/>
      <c r="C1141" s="176">
        <f t="shared" si="324"/>
        <v>1138</v>
      </c>
      <c r="D1141" s="146">
        <v>45875</v>
      </c>
      <c r="E1141" s="37">
        <v>45877</v>
      </c>
      <c r="F1141" s="65" t="s">
        <v>352</v>
      </c>
      <c r="G1141" s="11" t="str">
        <f ca="1">IF(AND(E1141&lt;&gt;"",E1141&lt;TODAY()),"Disponible",IFERROR(INDEX(Vehiculos[Estado Vehiculo],MATCH(F1141,Vehiculos[Placa Vehiculo],0)),""))</f>
        <v>Disponible</v>
      </c>
      <c r="H1141" s="34" t="s">
        <v>245</v>
      </c>
      <c r="I1141" s="34" t="s">
        <v>273</v>
      </c>
      <c r="J1141" s="34"/>
      <c r="K1141" s="39">
        <v>1192</v>
      </c>
      <c r="L1141" s="39">
        <v>1202</v>
      </c>
      <c r="M1141" s="15">
        <f t="shared" si="330"/>
        <v>10</v>
      </c>
      <c r="N1141" s="15">
        <f>Rutas[[#This Row],[Kms Recorridos]]</f>
        <v>10</v>
      </c>
      <c r="O1141" s="39"/>
      <c r="P1141" s="36"/>
      <c r="Q1141" s="16">
        <f t="shared" si="331"/>
        <v>0</v>
      </c>
      <c r="R1141" s="34" t="s">
        <v>339</v>
      </c>
      <c r="S1141" s="34" t="s">
        <v>102</v>
      </c>
      <c r="T1141" s="36">
        <v>1.8</v>
      </c>
      <c r="U1141" s="293">
        <f>Rutas[[#This Row],[Precio x Galón ($/gal)]]*Rutas[[#This Row],[Volumen de Combustible (gal)]]</f>
        <v>18</v>
      </c>
      <c r="V1141" s="36"/>
      <c r="W1141" s="36"/>
      <c r="X1141" s="36"/>
      <c r="Y1141" s="145">
        <f t="shared" si="332"/>
        <v>18</v>
      </c>
      <c r="Z1141" s="567"/>
      <c r="AA1141" s="12">
        <v>10</v>
      </c>
      <c r="AB1141" s="12">
        <f t="shared" si="333"/>
        <v>1</v>
      </c>
      <c r="AC1141" s="12">
        <f t="shared" si="334"/>
        <v>0</v>
      </c>
      <c r="AD1141" s="34"/>
    </row>
    <row r="1142" spans="1:30" ht="16" x14ac:dyDescent="0.2">
      <c r="A1142" s="47"/>
      <c r="B1142" s="383"/>
      <c r="C1142" s="176">
        <f t="shared" si="324"/>
        <v>1139</v>
      </c>
      <c r="D1142" s="146">
        <v>45877</v>
      </c>
      <c r="E1142" s="37">
        <v>45883</v>
      </c>
      <c r="F1142" s="65" t="s">
        <v>352</v>
      </c>
      <c r="G1142" s="11" t="str">
        <f ca="1">IF(AND(E1142&lt;&gt;"",E1142&lt;TODAY()),"Disponible",IFERROR(INDEX(Vehiculos[Estado Vehiculo],MATCH(F1142,Vehiculos[Placa Vehiculo],0)),""))</f>
        <v>Disponible</v>
      </c>
      <c r="H1142" s="34" t="s">
        <v>245</v>
      </c>
      <c r="I1142" s="34" t="s">
        <v>273</v>
      </c>
      <c r="J1142" s="34"/>
      <c r="K1142" s="39">
        <v>1202</v>
      </c>
      <c r="L1142" s="39">
        <v>1209</v>
      </c>
      <c r="M1142" s="15">
        <f t="shared" si="330"/>
        <v>7</v>
      </c>
      <c r="N1142" s="15">
        <f>Rutas[[#This Row],[Kms Recorridos]]</f>
        <v>7</v>
      </c>
      <c r="O1142" s="39"/>
      <c r="P1142" s="36"/>
      <c r="Q1142" s="16">
        <f t="shared" si="331"/>
        <v>0</v>
      </c>
      <c r="R1142" s="34" t="s">
        <v>339</v>
      </c>
      <c r="S1142" s="34" t="s">
        <v>102</v>
      </c>
      <c r="T1142" s="36">
        <v>1.8</v>
      </c>
      <c r="U1142" s="293">
        <f>Rutas[[#This Row],[Precio x Galón ($/gal)]]*Rutas[[#This Row],[Volumen de Combustible (gal)]]</f>
        <v>40.014000000000003</v>
      </c>
      <c r="V1142" s="36"/>
      <c r="W1142" s="36"/>
      <c r="X1142" s="36"/>
      <c r="Y1142" s="145">
        <f t="shared" si="332"/>
        <v>40.014000000000003</v>
      </c>
      <c r="Z1142" s="567"/>
      <c r="AA1142" s="12">
        <v>22.23</v>
      </c>
      <c r="AB1142" s="12">
        <f t="shared" si="333"/>
        <v>0.31488978857399907</v>
      </c>
      <c r="AC1142" s="12">
        <f t="shared" si="334"/>
        <v>0</v>
      </c>
      <c r="AD1142" s="34"/>
    </row>
    <row r="1143" spans="1:30" ht="16" x14ac:dyDescent="0.2">
      <c r="A1143" s="47"/>
      <c r="B1143" s="383"/>
      <c r="C1143" s="176">
        <f t="shared" si="324"/>
        <v>1140</v>
      </c>
      <c r="D1143" s="454">
        <v>45883</v>
      </c>
      <c r="E1143" s="37">
        <v>45886</v>
      </c>
      <c r="F1143" s="65" t="s">
        <v>352</v>
      </c>
      <c r="G1143" s="11" t="str">
        <f ca="1">IF(AND(E1143&lt;&gt;"",E1143&lt;TODAY()),"Disponible",IFERROR(INDEX(Vehiculos[Estado Vehiculo],MATCH(F1143,Vehiculos[Placa Vehiculo],0)),""))</f>
        <v>Disponible</v>
      </c>
      <c r="H1143" s="34" t="s">
        <v>245</v>
      </c>
      <c r="I1143" s="34" t="s">
        <v>273</v>
      </c>
      <c r="J1143" s="34"/>
      <c r="K1143" s="39">
        <v>1209</v>
      </c>
      <c r="L1143" s="39">
        <v>1223</v>
      </c>
      <c r="M1143" s="15">
        <f>L1143-K1143</f>
        <v>14</v>
      </c>
      <c r="N1143" s="15">
        <f>Rutas[[#This Row],[Kms Recorridos]]</f>
        <v>14</v>
      </c>
      <c r="O1143" s="39"/>
      <c r="P1143" s="36"/>
      <c r="Q1143" s="16">
        <f>M1143*P1143</f>
        <v>0</v>
      </c>
      <c r="R1143" s="34" t="s">
        <v>339</v>
      </c>
      <c r="S1143" s="34" t="s">
        <v>102</v>
      </c>
      <c r="T1143" s="36">
        <v>1.8</v>
      </c>
      <c r="U1143" s="293">
        <f>Rutas[[#This Row],[Precio x Galón ($/gal)]]*Rutas[[#This Row],[Volumen de Combustible (gal)]]</f>
        <v>19.8</v>
      </c>
      <c r="V1143" s="36"/>
      <c r="W1143" s="36"/>
      <c r="X1143" s="36"/>
      <c r="Y1143" s="145">
        <f>U1143+SUM(V1143:X1143)</f>
        <v>19.8</v>
      </c>
      <c r="Z1143" s="567"/>
      <c r="AA1143" s="12">
        <v>11</v>
      </c>
      <c r="AB1143" s="12">
        <f>IFERROR(M1143/AA1143,0)</f>
        <v>1.2727272727272727</v>
      </c>
      <c r="AC1143" s="12">
        <f>IFERROR(Q1143/M1143,0)</f>
        <v>0</v>
      </c>
      <c r="AD1143" s="34"/>
    </row>
    <row r="1144" spans="1:30" ht="16" x14ac:dyDescent="0.2">
      <c r="A1144" s="47"/>
      <c r="B1144" s="383"/>
      <c r="C1144" s="176">
        <f t="shared" si="324"/>
        <v>1141</v>
      </c>
      <c r="D1144" s="454">
        <v>45886</v>
      </c>
      <c r="E1144" s="37">
        <v>45889</v>
      </c>
      <c r="F1144" s="65" t="s">
        <v>352</v>
      </c>
      <c r="G1144" s="11" t="str">
        <f ca="1">IF(AND(E1144&lt;&gt;"",E1144&lt;TODAY()),"Disponible",IFERROR(INDEX(Vehiculos[Estado Vehiculo],MATCH(F1144,Vehiculos[Placa Vehiculo],0)),""))</f>
        <v>Disponible</v>
      </c>
      <c r="H1144" s="34" t="s">
        <v>231</v>
      </c>
      <c r="I1144" s="34" t="s">
        <v>273</v>
      </c>
      <c r="J1144" s="34"/>
      <c r="K1144" s="39">
        <v>1223</v>
      </c>
      <c r="L1144" s="39">
        <v>1241</v>
      </c>
      <c r="M1144" s="15">
        <f>L1144-K1144</f>
        <v>18</v>
      </c>
      <c r="N1144" s="15">
        <f>Rutas[[#This Row],[Kms Recorridos]]</f>
        <v>18</v>
      </c>
      <c r="O1144" s="39"/>
      <c r="P1144" s="36"/>
      <c r="Q1144" s="16">
        <f>M1144*P1144</f>
        <v>0</v>
      </c>
      <c r="R1144" s="34" t="s">
        <v>339</v>
      </c>
      <c r="S1144" s="34" t="s">
        <v>102</v>
      </c>
      <c r="T1144" s="36">
        <v>1.8</v>
      </c>
      <c r="U1144" s="293">
        <f>Rutas[[#This Row],[Precio x Galón ($/gal)]]*Rutas[[#This Row],[Volumen de Combustible (gal)]]</f>
        <v>29.736000000000001</v>
      </c>
      <c r="V1144" s="36"/>
      <c r="W1144" s="36"/>
      <c r="X1144" s="36"/>
      <c r="Y1144" s="145">
        <f>U1144+SUM(V1144:X1144)</f>
        <v>29.736000000000001</v>
      </c>
      <c r="Z1144" s="567"/>
      <c r="AA1144" s="12">
        <v>16.52</v>
      </c>
      <c r="AB1144" s="12">
        <f>IFERROR(M1144/AA1144,0)</f>
        <v>1.089588377723971</v>
      </c>
      <c r="AC1144" s="12">
        <f>IFERROR(Q1144/M1144,0)</f>
        <v>0</v>
      </c>
      <c r="AD1144" s="34"/>
    </row>
    <row r="1145" spans="1:30" ht="16" x14ac:dyDescent="0.2">
      <c r="A1145" s="47"/>
      <c r="B1145" s="383"/>
      <c r="C1145" s="176">
        <f t="shared" si="324"/>
        <v>1142</v>
      </c>
      <c r="D1145" s="454">
        <v>45889</v>
      </c>
      <c r="E1145" s="37">
        <v>45894</v>
      </c>
      <c r="F1145" s="65" t="s">
        <v>352</v>
      </c>
      <c r="G1145" s="11" t="str">
        <f ca="1">IF(AND(E1145&lt;&gt;"",E1145&lt;TODAY()),"Disponible",IFERROR(INDEX(Vehiculos[Estado Vehiculo],MATCH(F1145,Vehiculos[Placa Vehiculo],0)),""))</f>
        <v>Disponible</v>
      </c>
      <c r="H1145" s="34" t="s">
        <v>231</v>
      </c>
      <c r="I1145" s="34" t="s">
        <v>273</v>
      </c>
      <c r="J1145" s="34"/>
      <c r="K1145" s="39">
        <v>1241</v>
      </c>
      <c r="L1145" s="39">
        <v>1242</v>
      </c>
      <c r="M1145" s="15">
        <f>L1145-K1145</f>
        <v>1</v>
      </c>
      <c r="N1145" s="15">
        <f>Rutas[[#This Row],[Kms Recorridos]]</f>
        <v>1</v>
      </c>
      <c r="O1145" s="39"/>
      <c r="P1145" s="36"/>
      <c r="Q1145" s="16">
        <f>M1145*P1145</f>
        <v>0</v>
      </c>
      <c r="R1145" s="34" t="s">
        <v>339</v>
      </c>
      <c r="S1145" s="34" t="s">
        <v>102</v>
      </c>
      <c r="T1145" s="36">
        <v>1.8</v>
      </c>
      <c r="U1145" s="293">
        <f>Rutas[[#This Row],[Precio x Galón ($/gal)]]*Rutas[[#This Row],[Volumen de Combustible (gal)]]</f>
        <v>40.626000000000005</v>
      </c>
      <c r="V1145" s="36"/>
      <c r="W1145" s="36"/>
      <c r="X1145" s="36"/>
      <c r="Y1145" s="145">
        <f>U1145+SUM(V1145:X1145)</f>
        <v>40.626000000000005</v>
      </c>
      <c r="Z1145" s="567"/>
      <c r="AA1145" s="12">
        <v>22.57</v>
      </c>
      <c r="AB1145" s="12">
        <f>IFERROR(M1145/AA1145,0)</f>
        <v>4.4306601683650866E-2</v>
      </c>
      <c r="AC1145" s="12">
        <f>IFERROR(Q1145/M1145,0)</f>
        <v>0</v>
      </c>
      <c r="AD1145" s="34"/>
    </row>
    <row r="1146" spans="1:30" ht="16" x14ac:dyDescent="0.2">
      <c r="A1146" s="47"/>
      <c r="B1146" s="383"/>
      <c r="C1146" s="176">
        <f t="shared" si="324"/>
        <v>1143</v>
      </c>
      <c r="D1146" s="454">
        <v>45894</v>
      </c>
      <c r="E1146" s="37">
        <v>45897</v>
      </c>
      <c r="F1146" s="65" t="s">
        <v>352</v>
      </c>
      <c r="G1146" s="11" t="str">
        <f ca="1">IF(AND(E1146&lt;&gt;"",E1146&lt;TODAY()),"Disponible",IFERROR(INDEX(Vehiculos[Estado Vehiculo],MATCH(F1146,Vehiculos[Placa Vehiculo],0)),""))</f>
        <v>Disponible</v>
      </c>
      <c r="H1146" s="34" t="s">
        <v>231</v>
      </c>
      <c r="I1146" s="34" t="s">
        <v>273</v>
      </c>
      <c r="J1146" s="34"/>
      <c r="K1146" s="39">
        <v>1242</v>
      </c>
      <c r="L1146" s="39">
        <v>2258</v>
      </c>
      <c r="M1146" s="15">
        <f>L1146-K1146</f>
        <v>1016</v>
      </c>
      <c r="N1146" s="15">
        <f>Rutas[[#This Row],[Kms Recorridos]]</f>
        <v>1016</v>
      </c>
      <c r="O1146" s="39"/>
      <c r="P1146" s="36"/>
      <c r="Q1146" s="16">
        <f>M1146*P1146</f>
        <v>0</v>
      </c>
      <c r="R1146" s="34" t="s">
        <v>339</v>
      </c>
      <c r="S1146" s="34" t="s">
        <v>102</v>
      </c>
      <c r="T1146" s="36">
        <v>1.8</v>
      </c>
      <c r="U1146" s="293">
        <f>Rutas[[#This Row],[Precio x Galón ($/gal)]]*Rutas[[#This Row],[Volumen de Combustible (gal)]]</f>
        <v>34.235999999999997</v>
      </c>
      <c r="V1146" s="36"/>
      <c r="W1146" s="36"/>
      <c r="X1146" s="36"/>
      <c r="Y1146" s="145">
        <f>U1146+SUM(V1146:X1146)</f>
        <v>34.235999999999997</v>
      </c>
      <c r="Z1146" s="567"/>
      <c r="AA1146" s="12">
        <v>19.02</v>
      </c>
      <c r="AB1146" s="12">
        <f>IFERROR(M1146/AA1146,0)</f>
        <v>53.417455310199792</v>
      </c>
      <c r="AC1146" s="12">
        <f>IFERROR(Q1146/M1146,0)</f>
        <v>0</v>
      </c>
      <c r="AD1146" s="34"/>
    </row>
    <row r="1147" spans="1:30" ht="16" x14ac:dyDescent="0.2">
      <c r="A1147" s="47"/>
      <c r="B1147" s="383"/>
      <c r="C1147" s="176">
        <f t="shared" si="324"/>
        <v>1144</v>
      </c>
      <c r="D1147" s="454"/>
      <c r="E1147" s="37"/>
      <c r="F1147" s="65"/>
      <c r="G1147" s="11" t="str">
        <f ca="1">IF(AND(E1147&lt;&gt;"",E1147&lt;TODAY()),"Disponible",IFERROR(INDEX(Vehiculos[Estado Vehiculo],MATCH(F1147,Vehiculos[Placa Vehiculo],0)),""))</f>
        <v/>
      </c>
      <c r="H1147" s="34"/>
      <c r="I1147" s="34"/>
      <c r="J1147" s="34"/>
      <c r="K1147" s="39"/>
      <c r="L1147" s="39"/>
      <c r="M1147" s="15">
        <f>L1147-K1147</f>
        <v>0</v>
      </c>
      <c r="N1147" s="15">
        <f>Rutas[[#This Row],[Kms Recorridos]]</f>
        <v>0</v>
      </c>
      <c r="O1147" s="39"/>
      <c r="P1147" s="36"/>
      <c r="Q1147" s="16">
        <f>M1147*P1147</f>
        <v>0</v>
      </c>
      <c r="R1147" s="34"/>
      <c r="S1147" s="34"/>
      <c r="T1147" s="36"/>
      <c r="U1147" s="293">
        <f>Rutas[[#This Row],[Precio x Galón ($/gal)]]*Rutas[[#This Row],[Volumen de Combustible (gal)]]</f>
        <v>0</v>
      </c>
      <c r="V1147" s="36"/>
      <c r="W1147" s="36"/>
      <c r="X1147" s="36"/>
      <c r="Y1147" s="145">
        <f>U1147+SUM(V1147:X1147)</f>
        <v>0</v>
      </c>
      <c r="Z1147" s="567"/>
      <c r="AA1147" s="12"/>
      <c r="AB1147" s="12">
        <f>IFERROR(M1147/AA1147,0)</f>
        <v>0</v>
      </c>
      <c r="AC1147" s="12">
        <f>IFERROR(Q1147/M1147,0)</f>
        <v>0</v>
      </c>
      <c r="AD1147" s="34"/>
    </row>
    <row r="1148" spans="1:30" ht="16" thickBot="1" x14ac:dyDescent="0.25">
      <c r="A1148" s="174"/>
      <c r="B1148" s="384"/>
      <c r="C1148" s="176">
        <f t="shared" si="324"/>
        <v>1145</v>
      </c>
      <c r="D1148" s="156"/>
      <c r="E1148" s="157"/>
      <c r="F1148" s="406"/>
      <c r="G1148" s="159" t="str">
        <f ca="1">IF(AND(E1148&lt;&gt;"",E1148&lt;TODAY()),"Disponible",IFERROR(INDEX(Vehiculos[Estado Vehiculo],MATCH(F1148,Vehiculos[Placa Vehiculo],0)),""))</f>
        <v/>
      </c>
      <c r="H1148" s="160"/>
      <c r="I1148" s="160"/>
      <c r="J1148" s="160"/>
      <c r="K1148" s="161"/>
      <c r="L1148" s="161"/>
      <c r="M1148" s="162">
        <f t="shared" si="330"/>
        <v>0</v>
      </c>
      <c r="N1148" s="162"/>
      <c r="O1148" s="161"/>
      <c r="P1148" s="163"/>
      <c r="Q1148" s="164">
        <f t="shared" si="331"/>
        <v>0</v>
      </c>
      <c r="R1148" s="160"/>
      <c r="S1148" s="160"/>
      <c r="T1148" s="163"/>
      <c r="U1148" s="407"/>
      <c r="V1148" s="163"/>
      <c r="W1148" s="163"/>
      <c r="X1148" s="163"/>
      <c r="Y1148" s="165">
        <f t="shared" si="332"/>
        <v>0</v>
      </c>
      <c r="Z1148" s="568"/>
      <c r="AA1148" s="166"/>
      <c r="AB1148" s="166">
        <f t="shared" si="333"/>
        <v>0</v>
      </c>
      <c r="AC1148" s="166">
        <f t="shared" si="334"/>
        <v>0</v>
      </c>
      <c r="AD1148" s="160"/>
    </row>
    <row r="1149" spans="1:30" ht="17" thickTop="1" x14ac:dyDescent="0.2">
      <c r="A1149" s="47"/>
      <c r="B1149" s="575"/>
      <c r="C1149" s="176">
        <f t="shared" si="324"/>
        <v>1146</v>
      </c>
      <c r="D1149" s="90">
        <v>45901</v>
      </c>
      <c r="E1149" s="90">
        <v>45907</v>
      </c>
      <c r="F1149" s="68" t="s">
        <v>204</v>
      </c>
      <c r="G1149" s="379" t="str">
        <f ca="1">IF(AND(E1149&lt;&gt;"",E1149&lt;TODAY()),"Disponible",IFERROR(INDEX(Vehiculos[Estado Vehiculo],MATCH(F1149,Vehiculos[Placa Vehiculo],0)),""))</f>
        <v>Disponible</v>
      </c>
      <c r="H1149" s="89" t="s">
        <v>242</v>
      </c>
      <c r="I1149" s="89" t="s">
        <v>273</v>
      </c>
      <c r="J1149" s="89"/>
      <c r="K1149" s="380">
        <v>36327</v>
      </c>
      <c r="L1149" s="380">
        <v>36848</v>
      </c>
      <c r="M1149" s="381">
        <f t="shared" si="330"/>
        <v>521</v>
      </c>
      <c r="N1149" s="381"/>
      <c r="O1149" s="380"/>
      <c r="P1149" s="92"/>
      <c r="Q1149" s="382">
        <f t="shared" si="331"/>
        <v>0</v>
      </c>
      <c r="R1149" s="89" t="s">
        <v>339</v>
      </c>
      <c r="S1149" s="89" t="s">
        <v>102</v>
      </c>
      <c r="T1149" s="92">
        <v>1.8</v>
      </c>
      <c r="U1149" s="92">
        <f>Rutas[[#This Row],[Precio x Galón ($/gal)]]*Rutas[[#This Row],[Volumen de Combustible (gal)]]</f>
        <v>187.30800000000002</v>
      </c>
      <c r="V1149" s="92"/>
      <c r="W1149" s="92"/>
      <c r="X1149" s="92"/>
      <c r="Y1149" s="382">
        <f t="shared" si="332"/>
        <v>187.30800000000002</v>
      </c>
      <c r="Z1149" s="572"/>
      <c r="AA1149" s="382">
        <v>104.06</v>
      </c>
      <c r="AB1149" s="382">
        <f t="shared" si="333"/>
        <v>5.0067268883336533</v>
      </c>
      <c r="AC1149" s="382">
        <f t="shared" si="334"/>
        <v>0</v>
      </c>
      <c r="AD1149" s="89"/>
    </row>
    <row r="1150" spans="1:30" ht="16" x14ac:dyDescent="0.2">
      <c r="A1150" s="47"/>
      <c r="B1150" s="575"/>
      <c r="C1150" s="176">
        <f t="shared" si="324"/>
        <v>1147</v>
      </c>
      <c r="D1150" s="146">
        <v>45907</v>
      </c>
      <c r="E1150" s="37">
        <v>45914</v>
      </c>
      <c r="F1150" s="65" t="s">
        <v>204</v>
      </c>
      <c r="G1150" s="11" t="str">
        <f ca="1">IF(AND(E1150&lt;&gt;"",E1150&lt;TODAY()),"Disponible",IFERROR(INDEX(Vehiculos[Estado Vehiculo],MATCH(F1150,Vehiculos[Placa Vehiculo],0)),""))</f>
        <v>Disponible</v>
      </c>
      <c r="H1150" s="34" t="s">
        <v>425</v>
      </c>
      <c r="I1150" s="34" t="s">
        <v>273</v>
      </c>
      <c r="J1150" s="34"/>
      <c r="K1150" s="39">
        <v>36848</v>
      </c>
      <c r="L1150" s="39">
        <v>37446</v>
      </c>
      <c r="M1150" s="15">
        <f t="shared" si="330"/>
        <v>598</v>
      </c>
      <c r="N1150" s="15"/>
      <c r="O1150" s="39"/>
      <c r="P1150" s="36"/>
      <c r="Q1150" s="16">
        <f t="shared" si="331"/>
        <v>0</v>
      </c>
      <c r="R1150" s="34" t="s">
        <v>339</v>
      </c>
      <c r="S1150" s="34" t="s">
        <v>102</v>
      </c>
      <c r="T1150" s="36">
        <v>2.8</v>
      </c>
      <c r="U1150" s="293">
        <f>Rutas[[#This Row],[Precio x Galón ($/gal)]]*Rutas[[#This Row],[Volumen de Combustible (gal)]]</f>
        <v>263.98399999999998</v>
      </c>
      <c r="V1150" s="36"/>
      <c r="W1150" s="36"/>
      <c r="X1150" s="36"/>
      <c r="Y1150" s="145">
        <f t="shared" si="332"/>
        <v>263.98399999999998</v>
      </c>
      <c r="Z1150" s="572"/>
      <c r="AA1150" s="12">
        <v>94.28</v>
      </c>
      <c r="AB1150" s="12">
        <f t="shared" si="333"/>
        <v>6.3428086550700042</v>
      </c>
      <c r="AC1150" s="12">
        <f t="shared" si="334"/>
        <v>0</v>
      </c>
      <c r="AD1150" s="34"/>
    </row>
    <row r="1151" spans="1:30" ht="16" x14ac:dyDescent="0.2">
      <c r="A1151" s="47"/>
      <c r="B1151" s="575"/>
      <c r="C1151" s="176">
        <f t="shared" si="324"/>
        <v>1148</v>
      </c>
      <c r="D1151" s="146">
        <v>45914</v>
      </c>
      <c r="E1151" s="37">
        <v>45919</v>
      </c>
      <c r="F1151" s="65" t="s">
        <v>204</v>
      </c>
      <c r="G1151" s="11" t="str">
        <f ca="1">IF(AND(E1151&lt;&gt;"",E1151&lt;TODAY()),"Disponible",IFERROR(INDEX(Vehiculos[Estado Vehiculo],MATCH(F1151,Vehiculos[Placa Vehiculo],0)),""))</f>
        <v>Disponible</v>
      </c>
      <c r="H1151" s="34" t="s">
        <v>425</v>
      </c>
      <c r="I1151" s="34" t="s">
        <v>273</v>
      </c>
      <c r="J1151" s="34"/>
      <c r="K1151" s="39">
        <v>37446</v>
      </c>
      <c r="L1151" s="39">
        <v>37747</v>
      </c>
      <c r="M1151" s="15">
        <f t="shared" si="330"/>
        <v>301</v>
      </c>
      <c r="N1151" s="15"/>
      <c r="O1151" s="39"/>
      <c r="P1151" s="36"/>
      <c r="Q1151" s="16">
        <f t="shared" si="331"/>
        <v>0</v>
      </c>
      <c r="R1151" s="34" t="s">
        <v>339</v>
      </c>
      <c r="S1151" s="34" t="s">
        <v>102</v>
      </c>
      <c r="T1151" s="36">
        <v>2.8</v>
      </c>
      <c r="U1151" s="293">
        <f>Rutas[[#This Row],[Precio x Galón ($/gal)]]*Rutas[[#This Row],[Volumen de Combustible (gal)]]</f>
        <v>119.92399999999999</v>
      </c>
      <c r="V1151" s="36"/>
      <c r="W1151" s="36"/>
      <c r="X1151" s="36"/>
      <c r="Y1151" s="145">
        <f t="shared" si="332"/>
        <v>119.92399999999999</v>
      </c>
      <c r="Z1151" s="572">
        <v>34947</v>
      </c>
      <c r="AA1151" s="12">
        <v>42.83</v>
      </c>
      <c r="AB1151" s="12">
        <f t="shared" si="333"/>
        <v>7.0277842633667991</v>
      </c>
      <c r="AC1151" s="12">
        <f t="shared" si="334"/>
        <v>0</v>
      </c>
      <c r="AD1151" s="34"/>
    </row>
    <row r="1152" spans="1:30" ht="16" x14ac:dyDescent="0.2">
      <c r="A1152" s="47"/>
      <c r="B1152" s="575"/>
      <c r="C1152" s="176">
        <f t="shared" si="324"/>
        <v>1149</v>
      </c>
      <c r="D1152" s="454">
        <v>45919</v>
      </c>
      <c r="E1152" s="37">
        <v>45926</v>
      </c>
      <c r="F1152" s="65" t="s">
        <v>204</v>
      </c>
      <c r="G1152" s="11" t="str">
        <f ca="1">IF(AND(E1152&lt;&gt;"",E1152&lt;TODAY()),"Disponible",IFERROR(INDEX(Vehiculos[Estado Vehiculo],MATCH(F1152,Vehiculos[Placa Vehiculo],0)),""))</f>
        <v>Disponible</v>
      </c>
      <c r="H1152" s="34" t="s">
        <v>425</v>
      </c>
      <c r="I1152" s="34" t="s">
        <v>273</v>
      </c>
      <c r="J1152" s="34"/>
      <c r="K1152" s="39">
        <v>37747</v>
      </c>
      <c r="L1152" s="39">
        <v>38386</v>
      </c>
      <c r="M1152" s="15">
        <f>L1152-K1152</f>
        <v>639</v>
      </c>
      <c r="N1152" s="452">
        <v>300</v>
      </c>
      <c r="O1152" s="39"/>
      <c r="P1152" s="36"/>
      <c r="Q1152" s="16">
        <f>M1152*P1152</f>
        <v>0</v>
      </c>
      <c r="R1152" s="34" t="s">
        <v>273</v>
      </c>
      <c r="S1152" s="34" t="s">
        <v>102</v>
      </c>
      <c r="T1152" s="36">
        <v>2.8</v>
      </c>
      <c r="U1152" s="293">
        <f>Rutas[[#This Row],[Precio x Galón ($/gal)]]*Rutas[[#This Row],[Volumen de Combustible (gal)]]</f>
        <v>264.012</v>
      </c>
      <c r="V1152" s="36"/>
      <c r="W1152" s="36"/>
      <c r="X1152" s="36"/>
      <c r="Y1152" s="145">
        <f>U1152+SUM(V1152:X1152)</f>
        <v>264.012</v>
      </c>
      <c r="Z1152" s="567"/>
      <c r="AA1152" s="12">
        <v>94.29</v>
      </c>
      <c r="AB1152" s="12">
        <f>IFERROR(M1152/AA1152,0)</f>
        <v>6.77696468342348</v>
      </c>
      <c r="AC1152" s="12">
        <f>IFERROR(Q1152/M1152,0)</f>
        <v>0</v>
      </c>
      <c r="AD1152" s="34"/>
    </row>
    <row r="1153" spans="1:30" ht="16" x14ac:dyDescent="0.2">
      <c r="A1153" s="47"/>
      <c r="B1153" s="575"/>
      <c r="C1153" s="176">
        <f t="shared" si="324"/>
        <v>1150</v>
      </c>
      <c r="D1153" s="454">
        <v>45926</v>
      </c>
      <c r="E1153" s="37"/>
      <c r="F1153" s="65" t="s">
        <v>204</v>
      </c>
      <c r="G1153" s="11" t="str">
        <f ca="1">IF(AND(E1153&lt;&gt;"",E1153&lt;TODAY()),"Disponible",IFERROR(INDEX(Vehiculos[Estado Vehiculo],MATCH(F1153,Vehiculos[Placa Vehiculo],0)),""))</f>
        <v>Disponible</v>
      </c>
      <c r="H1153" s="34"/>
      <c r="I1153" s="34" t="s">
        <v>273</v>
      </c>
      <c r="J1153" s="34"/>
      <c r="K1153" s="39"/>
      <c r="L1153" s="39"/>
      <c r="M1153" s="15">
        <f>L1153-K1153</f>
        <v>0</v>
      </c>
      <c r="N1153" s="15"/>
      <c r="O1153" s="39"/>
      <c r="P1153" s="36"/>
      <c r="Q1153" s="16">
        <f>M1153*P1153</f>
        <v>0</v>
      </c>
      <c r="R1153" s="34"/>
      <c r="S1153" s="34"/>
      <c r="T1153" s="36"/>
      <c r="U1153" s="293"/>
      <c r="V1153" s="36"/>
      <c r="W1153" s="36"/>
      <c r="X1153" s="36"/>
      <c r="Y1153" s="145">
        <f>U1153+SUM(V1153:X1153)</f>
        <v>0</v>
      </c>
      <c r="Z1153" s="567"/>
      <c r="AA1153" s="12"/>
      <c r="AB1153" s="12">
        <f>IFERROR(M1153/AA1153,0)</f>
        <v>0</v>
      </c>
      <c r="AC1153" s="12">
        <f>IFERROR(Q1153/M1153,0)</f>
        <v>0</v>
      </c>
      <c r="AD1153" s="34"/>
    </row>
    <row r="1154" spans="1:30" ht="16" x14ac:dyDescent="0.2">
      <c r="A1154" s="47"/>
      <c r="B1154" s="575"/>
      <c r="C1154" s="176">
        <f t="shared" si="324"/>
        <v>1151</v>
      </c>
      <c r="D1154" s="146"/>
      <c r="E1154" s="37"/>
      <c r="F1154" s="65"/>
      <c r="G1154" s="11" t="str">
        <f ca="1">IF(AND(E1154&lt;&gt;"",E1154&lt;TODAY()),"Disponible",IFERROR(INDEX(Vehiculos[Estado Vehiculo],MATCH(F1154,Vehiculos[Placa Vehiculo],0)),""))</f>
        <v/>
      </c>
      <c r="H1154" s="34"/>
      <c r="I1154" s="34"/>
      <c r="J1154" s="34"/>
      <c r="K1154" s="39"/>
      <c r="L1154" s="39"/>
      <c r="M1154" s="15">
        <f t="shared" si="330"/>
        <v>0</v>
      </c>
      <c r="N1154" s="15"/>
      <c r="O1154" s="39"/>
      <c r="P1154" s="36"/>
      <c r="Q1154" s="16">
        <f t="shared" si="331"/>
        <v>0</v>
      </c>
      <c r="R1154" s="34"/>
      <c r="S1154" s="34"/>
      <c r="T1154" s="36"/>
      <c r="U1154" s="293">
        <f>Rutas[[#This Row],[Precio x Galón ($/gal)]]*Rutas[[#This Row],[Volumen de Combustible (gal)]]</f>
        <v>0</v>
      </c>
      <c r="V1154" s="36"/>
      <c r="W1154" s="36"/>
      <c r="X1154" s="36"/>
      <c r="Y1154" s="145">
        <f t="shared" si="332"/>
        <v>0</v>
      </c>
      <c r="Z1154" s="572"/>
      <c r="AA1154" s="12"/>
      <c r="AB1154" s="12">
        <f t="shared" si="333"/>
        <v>0</v>
      </c>
      <c r="AC1154" s="12">
        <f t="shared" si="334"/>
        <v>0</v>
      </c>
      <c r="AD1154" s="34"/>
    </row>
    <row r="1155" spans="1:30" ht="16" x14ac:dyDescent="0.2">
      <c r="A1155" s="47"/>
      <c r="B1155" s="575"/>
      <c r="C1155" s="176">
        <f t="shared" si="324"/>
        <v>1152</v>
      </c>
      <c r="D1155" s="90">
        <v>45901</v>
      </c>
      <c r="E1155" s="90">
        <v>45902</v>
      </c>
      <c r="F1155" s="68" t="s">
        <v>211</v>
      </c>
      <c r="G1155" s="379" t="str">
        <f ca="1">IF(AND(E1155&lt;&gt;"",E1155&lt;TODAY()),"Disponible",IFERROR(INDEX(Vehiculos[Estado Vehiculo],MATCH(F1155,Vehiculos[Placa Vehiculo],0)),""))</f>
        <v>Disponible</v>
      </c>
      <c r="H1155" s="89" t="s">
        <v>269</v>
      </c>
      <c r="I1155" s="89" t="s">
        <v>273</v>
      </c>
      <c r="J1155" s="89"/>
      <c r="K1155" s="380">
        <v>49105</v>
      </c>
      <c r="L1155" s="380">
        <v>49787</v>
      </c>
      <c r="M1155" s="381">
        <f t="shared" si="330"/>
        <v>682</v>
      </c>
      <c r="N1155" s="381"/>
      <c r="O1155" s="380"/>
      <c r="P1155" s="92"/>
      <c r="Q1155" s="382">
        <f t="shared" si="331"/>
        <v>0</v>
      </c>
      <c r="R1155" s="89" t="s">
        <v>339</v>
      </c>
      <c r="S1155" s="89" t="s">
        <v>102</v>
      </c>
      <c r="T1155" s="92">
        <v>1.8</v>
      </c>
      <c r="U1155" s="92">
        <f>Rutas[[#This Row],[Precio x Galón ($/gal)]]*Rutas[[#This Row],[Volumen de Combustible (gal)]]</f>
        <v>240.20999999999998</v>
      </c>
      <c r="V1155" s="92"/>
      <c r="W1155" s="92"/>
      <c r="X1155" s="92"/>
      <c r="Y1155" s="382">
        <f t="shared" si="332"/>
        <v>240.20999999999998</v>
      </c>
      <c r="Z1155" s="572"/>
      <c r="AA1155" s="382">
        <v>133.44999999999999</v>
      </c>
      <c r="AB1155" s="382">
        <f t="shared" si="333"/>
        <v>5.1105282877482203</v>
      </c>
      <c r="AC1155" s="382">
        <f t="shared" si="334"/>
        <v>0</v>
      </c>
      <c r="AD1155" s="89"/>
    </row>
    <row r="1156" spans="1:30" ht="16" x14ac:dyDescent="0.2">
      <c r="A1156" s="47"/>
      <c r="B1156" s="575"/>
      <c r="C1156" s="176">
        <f t="shared" ref="C1156:C1219" si="340">ROW(A1153)</f>
        <v>1153</v>
      </c>
      <c r="D1156" s="146">
        <v>45902</v>
      </c>
      <c r="E1156" s="37">
        <v>45905</v>
      </c>
      <c r="F1156" s="65" t="s">
        <v>211</v>
      </c>
      <c r="G1156" s="11" t="str">
        <f ca="1">IF(AND(E1156&lt;&gt;"",E1156&lt;TODAY()),"Disponible",IFERROR(INDEX(Vehiculos[Estado Vehiculo],MATCH(F1156,Vehiculos[Placa Vehiculo],0)),""))</f>
        <v>Disponible</v>
      </c>
      <c r="H1156" s="34" t="s">
        <v>269</v>
      </c>
      <c r="I1156" s="34" t="s">
        <v>273</v>
      </c>
      <c r="J1156" s="34"/>
      <c r="K1156" s="39">
        <v>49787</v>
      </c>
      <c r="L1156" s="39">
        <v>50283</v>
      </c>
      <c r="M1156" s="15">
        <f t="shared" si="330"/>
        <v>496</v>
      </c>
      <c r="N1156" s="15"/>
      <c r="O1156" s="39"/>
      <c r="P1156" s="36"/>
      <c r="Q1156" s="16">
        <f t="shared" si="331"/>
        <v>0</v>
      </c>
      <c r="R1156" s="34" t="s">
        <v>273</v>
      </c>
      <c r="S1156" s="34" t="s">
        <v>102</v>
      </c>
      <c r="T1156" s="36">
        <v>1.8</v>
      </c>
      <c r="U1156" s="293">
        <f>Rutas[[#This Row],[Precio x Galón ($/gal)]]*Rutas[[#This Row],[Volumen de Combustible (gal)]]</f>
        <v>136.24199999999999</v>
      </c>
      <c r="V1156" s="36"/>
      <c r="W1156" s="36"/>
      <c r="X1156" s="36"/>
      <c r="Y1156" s="145">
        <f t="shared" si="332"/>
        <v>136.24199999999999</v>
      </c>
      <c r="Z1156" s="572"/>
      <c r="AA1156" s="12">
        <v>75.69</v>
      </c>
      <c r="AB1156" s="12">
        <f t="shared" si="333"/>
        <v>6.5530453164222484</v>
      </c>
      <c r="AC1156" s="12">
        <f t="shared" si="334"/>
        <v>0</v>
      </c>
      <c r="AD1156" s="34"/>
    </row>
    <row r="1157" spans="1:30" ht="16" x14ac:dyDescent="0.2">
      <c r="A1157" s="47"/>
      <c r="B1157" s="575"/>
      <c r="C1157" s="176">
        <f t="shared" si="340"/>
        <v>1154</v>
      </c>
      <c r="D1157" s="146">
        <v>45905</v>
      </c>
      <c r="E1157" s="37">
        <v>45909</v>
      </c>
      <c r="F1157" s="65" t="s">
        <v>211</v>
      </c>
      <c r="G1157" s="11" t="str">
        <f ca="1">IF(AND(E1157&lt;&gt;"",E1157&lt;TODAY()),"Disponible",IFERROR(INDEX(Vehiculos[Estado Vehiculo],MATCH(F1157,Vehiculos[Placa Vehiculo],0)),""))</f>
        <v>Disponible</v>
      </c>
      <c r="H1157" s="34" t="s">
        <v>259</v>
      </c>
      <c r="I1157" s="34" t="s">
        <v>273</v>
      </c>
      <c r="J1157" s="34"/>
      <c r="K1157" s="39">
        <v>50283</v>
      </c>
      <c r="L1157" s="39">
        <v>50981</v>
      </c>
      <c r="M1157" s="15">
        <f t="shared" si="330"/>
        <v>698</v>
      </c>
      <c r="N1157" s="15"/>
      <c r="O1157" s="39"/>
      <c r="P1157" s="36"/>
      <c r="Q1157" s="16">
        <f t="shared" si="331"/>
        <v>0</v>
      </c>
      <c r="R1157" s="34" t="s">
        <v>273</v>
      </c>
      <c r="S1157" s="34" t="s">
        <v>102</v>
      </c>
      <c r="T1157" s="36">
        <v>1.8</v>
      </c>
      <c r="U1157" s="293">
        <f>Rutas[[#This Row],[Precio x Galón ($/gal)]]*Rutas[[#This Row],[Volumen de Combustible (gal)]]</f>
        <v>207.21600000000001</v>
      </c>
      <c r="V1157" s="36"/>
      <c r="W1157" s="36"/>
      <c r="X1157" s="36"/>
      <c r="Y1157" s="145">
        <f t="shared" si="332"/>
        <v>207.21600000000001</v>
      </c>
      <c r="Z1157" s="572"/>
      <c r="AA1157" s="12">
        <v>115.12</v>
      </c>
      <c r="AB1157" s="12">
        <f t="shared" si="333"/>
        <v>6.0632383599722024</v>
      </c>
      <c r="AC1157" s="12">
        <f t="shared" si="334"/>
        <v>0</v>
      </c>
      <c r="AD1157" s="34"/>
    </row>
    <row r="1158" spans="1:30" ht="16" x14ac:dyDescent="0.2">
      <c r="A1158" s="47"/>
      <c r="B1158" s="575"/>
      <c r="C1158" s="176">
        <f t="shared" si="340"/>
        <v>1155</v>
      </c>
      <c r="D1158" s="146">
        <v>45909</v>
      </c>
      <c r="E1158" s="37">
        <v>45914</v>
      </c>
      <c r="F1158" s="65" t="s">
        <v>211</v>
      </c>
      <c r="G1158" s="11" t="str">
        <f ca="1">IF(AND(E1158&lt;&gt;"",E1158&lt;TODAY()),"Disponible",IFERROR(INDEX(Vehiculos[Estado Vehiculo],MATCH(F1158,Vehiculos[Placa Vehiculo],0)),""))</f>
        <v>Disponible</v>
      </c>
      <c r="H1158" s="34" t="s">
        <v>422</v>
      </c>
      <c r="I1158" s="34" t="s">
        <v>273</v>
      </c>
      <c r="J1158" s="34"/>
      <c r="K1158" s="39">
        <v>50981</v>
      </c>
      <c r="L1158" s="39">
        <v>51831</v>
      </c>
      <c r="M1158" s="15">
        <f t="shared" si="330"/>
        <v>850</v>
      </c>
      <c r="N1158" s="15"/>
      <c r="O1158" s="39"/>
      <c r="P1158" s="36"/>
      <c r="Q1158" s="16">
        <f t="shared" si="331"/>
        <v>0</v>
      </c>
      <c r="R1158" s="34" t="s">
        <v>339</v>
      </c>
      <c r="S1158" s="34" t="s">
        <v>102</v>
      </c>
      <c r="T1158" s="36">
        <v>2.8</v>
      </c>
      <c r="U1158" s="293">
        <f>Rutas[[#This Row],[Precio x Galón ($/gal)]]*Rutas[[#This Row],[Volumen de Combustible (gal)]]</f>
        <v>386.23199999999997</v>
      </c>
      <c r="V1158" s="36"/>
      <c r="W1158" s="36"/>
      <c r="X1158" s="36"/>
      <c r="Y1158" s="145">
        <f t="shared" si="332"/>
        <v>386.23199999999997</v>
      </c>
      <c r="Z1158" s="572"/>
      <c r="AA1158" s="12">
        <v>137.94</v>
      </c>
      <c r="AB1158" s="12">
        <f t="shared" si="333"/>
        <v>6.1620994635348705</v>
      </c>
      <c r="AC1158" s="12">
        <f t="shared" si="334"/>
        <v>0</v>
      </c>
      <c r="AD1158" s="34"/>
    </row>
    <row r="1159" spans="1:30" ht="16" x14ac:dyDescent="0.2">
      <c r="A1159" s="47"/>
      <c r="B1159" s="575"/>
      <c r="C1159" s="176">
        <f t="shared" si="340"/>
        <v>1156</v>
      </c>
      <c r="D1159" s="454">
        <v>45914</v>
      </c>
      <c r="E1159" s="37">
        <v>45917</v>
      </c>
      <c r="F1159" s="65" t="s">
        <v>211</v>
      </c>
      <c r="G1159" s="11" t="str">
        <f ca="1">IF(AND(E1159&lt;&gt;"",E1159&lt;TODAY()),"Disponible",IFERROR(INDEX(Vehiculos[Estado Vehiculo],MATCH(F1159,Vehiculos[Placa Vehiculo],0)),""))</f>
        <v>Disponible</v>
      </c>
      <c r="H1159" s="34" t="s">
        <v>422</v>
      </c>
      <c r="I1159" s="34" t="s">
        <v>273</v>
      </c>
      <c r="J1159" s="34"/>
      <c r="K1159" s="39">
        <v>51831</v>
      </c>
      <c r="L1159" s="39">
        <v>52355</v>
      </c>
      <c r="M1159" s="15">
        <f t="shared" ref="M1159:M1164" si="341">L1159-K1159</f>
        <v>524</v>
      </c>
      <c r="N1159" s="15"/>
      <c r="O1159" s="39"/>
      <c r="P1159" s="36"/>
      <c r="Q1159" s="16">
        <f t="shared" ref="Q1159:Q1164" si="342">M1159*P1159</f>
        <v>0</v>
      </c>
      <c r="R1159" s="34" t="s">
        <v>273</v>
      </c>
      <c r="S1159" s="34" t="s">
        <v>102</v>
      </c>
      <c r="T1159" s="36">
        <v>2.8</v>
      </c>
      <c r="U1159" s="293">
        <f>Rutas[[#This Row],[Precio x Galón ($/gal)]]*Rutas[[#This Row],[Volumen de Combustible (gal)]]</f>
        <v>228.00399999999999</v>
      </c>
      <c r="V1159" s="36"/>
      <c r="W1159" s="36"/>
      <c r="X1159" s="36"/>
      <c r="Y1159" s="145">
        <f t="shared" ref="Y1159:Y1164" si="343">U1159+SUM(V1159:X1159)</f>
        <v>228.00399999999999</v>
      </c>
      <c r="Z1159" s="572">
        <v>34941</v>
      </c>
      <c r="AA1159" s="12">
        <v>81.430000000000007</v>
      </c>
      <c r="AB1159" s="12">
        <f t="shared" ref="AB1159:AB1164" si="344">IFERROR(M1159/AA1159,0)</f>
        <v>6.4349748250030698</v>
      </c>
      <c r="AC1159" s="12">
        <f t="shared" ref="AC1159:AC1164" si="345">IFERROR(Q1159/M1159,0)</f>
        <v>0</v>
      </c>
      <c r="AD1159" s="34"/>
    </row>
    <row r="1160" spans="1:30" ht="16" x14ac:dyDescent="0.2">
      <c r="A1160" s="47"/>
      <c r="B1160" s="575"/>
      <c r="C1160" s="176">
        <f t="shared" si="340"/>
        <v>1157</v>
      </c>
      <c r="D1160" s="454">
        <v>45917</v>
      </c>
      <c r="E1160" s="37">
        <v>45920</v>
      </c>
      <c r="F1160" s="65" t="s">
        <v>211</v>
      </c>
      <c r="G1160" s="11" t="str">
        <f ca="1">IF(AND(E1160&lt;&gt;"",E1160&lt;TODAY()),"Disponible",IFERROR(INDEX(Vehiculos[Estado Vehiculo],MATCH(F1160,Vehiculos[Placa Vehiculo],0)),""))</f>
        <v>Disponible</v>
      </c>
      <c r="H1160" s="34" t="s">
        <v>259</v>
      </c>
      <c r="I1160" s="34" t="s">
        <v>273</v>
      </c>
      <c r="J1160" s="34"/>
      <c r="K1160" s="39">
        <v>52355</v>
      </c>
      <c r="L1160" s="39">
        <v>52865</v>
      </c>
      <c r="M1160" s="15">
        <f t="shared" si="341"/>
        <v>510</v>
      </c>
      <c r="N1160" s="15"/>
      <c r="O1160" s="39"/>
      <c r="P1160" s="36"/>
      <c r="Q1160" s="16">
        <f t="shared" si="342"/>
        <v>0</v>
      </c>
      <c r="R1160" s="34" t="s">
        <v>273</v>
      </c>
      <c r="S1160" s="34" t="s">
        <v>102</v>
      </c>
      <c r="T1160" s="36">
        <v>2.8</v>
      </c>
      <c r="U1160" s="293">
        <f>Rutas[[#This Row],[Precio x Galón ($/gal)]]*Rutas[[#This Row],[Volumen de Combustible (gal)]]</f>
        <v>211.20400000000001</v>
      </c>
      <c r="V1160" s="36"/>
      <c r="W1160" s="36"/>
      <c r="X1160" s="36"/>
      <c r="Y1160" s="145">
        <f t="shared" si="343"/>
        <v>211.20400000000001</v>
      </c>
      <c r="Z1160" s="572"/>
      <c r="AA1160" s="12">
        <v>75.430000000000007</v>
      </c>
      <c r="AB1160" s="12">
        <f t="shared" si="344"/>
        <v>6.7612355826594186</v>
      </c>
      <c r="AC1160" s="12">
        <f t="shared" si="345"/>
        <v>0</v>
      </c>
      <c r="AD1160" s="34"/>
    </row>
    <row r="1161" spans="1:30" ht="16" x14ac:dyDescent="0.2">
      <c r="A1161" s="47"/>
      <c r="B1161" s="575"/>
      <c r="C1161" s="176">
        <f t="shared" si="340"/>
        <v>1158</v>
      </c>
      <c r="D1161" s="454">
        <v>45920</v>
      </c>
      <c r="E1161" s="37">
        <v>45923</v>
      </c>
      <c r="F1161" s="65" t="s">
        <v>211</v>
      </c>
      <c r="G1161" s="11" t="str">
        <f ca="1">IF(AND(E1161&lt;&gt;"",E1161&lt;TODAY()),"Disponible",IFERROR(INDEX(Vehiculos[Estado Vehiculo],MATCH(F1161,Vehiculos[Placa Vehiculo],0)),""))</f>
        <v>Disponible</v>
      </c>
      <c r="H1161" s="34" t="s">
        <v>259</v>
      </c>
      <c r="I1161" s="34" t="s">
        <v>273</v>
      </c>
      <c r="J1161" s="34"/>
      <c r="K1161" s="39">
        <v>52864</v>
      </c>
      <c r="L1161" s="39">
        <v>53367</v>
      </c>
      <c r="M1161" s="15">
        <f t="shared" si="341"/>
        <v>503</v>
      </c>
      <c r="N1161" s="15"/>
      <c r="O1161" s="39"/>
      <c r="P1161" s="36"/>
      <c r="Q1161" s="16">
        <f t="shared" si="342"/>
        <v>0</v>
      </c>
      <c r="R1161" s="34" t="s">
        <v>273</v>
      </c>
      <c r="S1161" s="34" t="s">
        <v>102</v>
      </c>
      <c r="T1161" s="36">
        <v>2.8</v>
      </c>
      <c r="U1161" s="293">
        <f>Rutas[[#This Row],[Precio x Galón ($/gal)]]*Rutas[[#This Row],[Volumen de Combustible (gal)]]</f>
        <v>243.20799999999997</v>
      </c>
      <c r="V1161" s="36"/>
      <c r="W1161" s="36"/>
      <c r="X1161" s="36"/>
      <c r="Y1161" s="145">
        <f t="shared" si="343"/>
        <v>243.20799999999997</v>
      </c>
      <c r="Z1161" s="572"/>
      <c r="AA1161" s="12">
        <v>86.86</v>
      </c>
      <c r="AB1161" s="12">
        <f t="shared" si="344"/>
        <v>5.7909279300023027</v>
      </c>
      <c r="AC1161" s="12">
        <f t="shared" si="345"/>
        <v>0</v>
      </c>
      <c r="AD1161" s="34"/>
    </row>
    <row r="1162" spans="1:30" ht="16" x14ac:dyDescent="0.2">
      <c r="A1162" s="47"/>
      <c r="B1162" s="575"/>
      <c r="C1162" s="176">
        <f t="shared" si="340"/>
        <v>1159</v>
      </c>
      <c r="D1162" s="454">
        <v>45923</v>
      </c>
      <c r="E1162" s="37">
        <v>45926</v>
      </c>
      <c r="F1162" s="65" t="s">
        <v>211</v>
      </c>
      <c r="G1162" s="11" t="str">
        <f ca="1">IF(AND(E1162&lt;&gt;"",E1162&lt;TODAY()),"Disponible",IFERROR(INDEX(Vehiculos[Estado Vehiculo],MATCH(F1162,Vehiculos[Placa Vehiculo],0)),""))</f>
        <v>Disponible</v>
      </c>
      <c r="H1162" s="34" t="s">
        <v>259</v>
      </c>
      <c r="I1162" s="34" t="s">
        <v>273</v>
      </c>
      <c r="J1162" s="34"/>
      <c r="K1162" s="39">
        <v>53367</v>
      </c>
      <c r="L1162" s="39">
        <v>53862</v>
      </c>
      <c r="M1162" s="15">
        <f t="shared" si="341"/>
        <v>495</v>
      </c>
      <c r="N1162" s="452">
        <v>600</v>
      </c>
      <c r="O1162" s="39"/>
      <c r="P1162" s="36"/>
      <c r="Q1162" s="16">
        <f t="shared" si="342"/>
        <v>0</v>
      </c>
      <c r="R1162" s="34" t="s">
        <v>273</v>
      </c>
      <c r="S1162" s="34" t="s">
        <v>102</v>
      </c>
      <c r="T1162" s="36">
        <v>2.8</v>
      </c>
      <c r="U1162" s="293">
        <f>Rutas[[#This Row],[Precio x Galón ($/gal)]]*Rutas[[#This Row],[Volumen de Combustible (gal)]]</f>
        <v>254.96799999999999</v>
      </c>
      <c r="V1162" s="36"/>
      <c r="W1162" s="36"/>
      <c r="X1162" s="36"/>
      <c r="Y1162" s="145">
        <f t="shared" si="343"/>
        <v>254.96799999999999</v>
      </c>
      <c r="Z1162" s="567"/>
      <c r="AA1162" s="12">
        <v>91.06</v>
      </c>
      <c r="AB1162" s="12">
        <f t="shared" si="344"/>
        <v>5.4359762793762352</v>
      </c>
      <c r="AC1162" s="12">
        <f t="shared" si="345"/>
        <v>0</v>
      </c>
      <c r="AD1162" s="34"/>
    </row>
    <row r="1163" spans="1:30" ht="16" x14ac:dyDescent="0.2">
      <c r="A1163" s="47"/>
      <c r="B1163" s="575"/>
      <c r="C1163" s="176">
        <f t="shared" si="340"/>
        <v>1160</v>
      </c>
      <c r="D1163" s="454">
        <v>45926</v>
      </c>
      <c r="E1163" s="37">
        <v>45930</v>
      </c>
      <c r="F1163" s="65" t="s">
        <v>211</v>
      </c>
      <c r="G1163" s="11" t="str">
        <f ca="1">IF(AND(E1163&lt;&gt;"",E1163&lt;TODAY()),"Disponible",IFERROR(INDEX(Vehiculos[Estado Vehiculo],MATCH(F1163,Vehiculos[Placa Vehiculo],0)),""))</f>
        <v>Disponible</v>
      </c>
      <c r="H1163" s="34"/>
      <c r="I1163" s="34" t="s">
        <v>273</v>
      </c>
      <c r="J1163" s="34"/>
      <c r="K1163" s="39"/>
      <c r="L1163" s="39"/>
      <c r="M1163" s="15">
        <f t="shared" si="341"/>
        <v>0</v>
      </c>
      <c r="N1163" s="15"/>
      <c r="O1163" s="39"/>
      <c r="P1163" s="36"/>
      <c r="Q1163" s="16">
        <f t="shared" si="342"/>
        <v>0</v>
      </c>
      <c r="R1163" s="34"/>
      <c r="S1163" s="34"/>
      <c r="T1163" s="36"/>
      <c r="U1163" s="293"/>
      <c r="V1163" s="36"/>
      <c r="W1163" s="36"/>
      <c r="X1163" s="36"/>
      <c r="Y1163" s="145">
        <f t="shared" si="343"/>
        <v>0</v>
      </c>
      <c r="Z1163" s="567"/>
      <c r="AA1163" s="12"/>
      <c r="AB1163" s="12">
        <f t="shared" si="344"/>
        <v>0</v>
      </c>
      <c r="AC1163" s="12">
        <f t="shared" si="345"/>
        <v>0</v>
      </c>
      <c r="AD1163" s="34"/>
    </row>
    <row r="1164" spans="1:30" ht="16" x14ac:dyDescent="0.2">
      <c r="A1164" s="47"/>
      <c r="B1164" s="575"/>
      <c r="C1164" s="176">
        <f t="shared" si="340"/>
        <v>1161</v>
      </c>
      <c r="D1164" s="454"/>
      <c r="E1164" s="37"/>
      <c r="F1164" s="65"/>
      <c r="G1164" s="11" t="str">
        <f ca="1">IF(AND(E1164&lt;&gt;"",E1164&lt;TODAY()),"Disponible",IFERROR(INDEX(Vehiculos[Estado Vehiculo],MATCH(F1164,Vehiculos[Placa Vehiculo],0)),""))</f>
        <v/>
      </c>
      <c r="H1164" s="34"/>
      <c r="I1164" s="34"/>
      <c r="J1164" s="34"/>
      <c r="K1164" s="39"/>
      <c r="L1164" s="39"/>
      <c r="M1164" s="15">
        <f t="shared" si="341"/>
        <v>0</v>
      </c>
      <c r="N1164" s="15"/>
      <c r="O1164" s="39"/>
      <c r="P1164" s="36"/>
      <c r="Q1164" s="16">
        <f t="shared" si="342"/>
        <v>0</v>
      </c>
      <c r="R1164" s="34"/>
      <c r="S1164" s="34"/>
      <c r="T1164" s="36"/>
      <c r="U1164" s="293"/>
      <c r="V1164" s="36"/>
      <c r="W1164" s="36"/>
      <c r="X1164" s="36"/>
      <c r="Y1164" s="145">
        <f t="shared" si="343"/>
        <v>0</v>
      </c>
      <c r="Z1164" s="567"/>
      <c r="AA1164" s="12"/>
      <c r="AB1164" s="12">
        <f t="shared" si="344"/>
        <v>0</v>
      </c>
      <c r="AC1164" s="12">
        <f t="shared" si="345"/>
        <v>0</v>
      </c>
      <c r="AD1164" s="34"/>
    </row>
    <row r="1165" spans="1:30" ht="16" x14ac:dyDescent="0.2">
      <c r="A1165" s="47"/>
      <c r="B1165" s="575"/>
      <c r="C1165" s="176">
        <f t="shared" si="340"/>
        <v>1162</v>
      </c>
      <c r="D1165" s="146"/>
      <c r="E1165" s="37"/>
      <c r="F1165" s="65"/>
      <c r="G1165" s="11" t="str">
        <f ca="1">IF(AND(E1165&lt;&gt;"",E1165&lt;TODAY()),"Disponible",IFERROR(INDEX(Vehiculos[Estado Vehiculo],MATCH(F1165,Vehiculos[Placa Vehiculo],0)),""))</f>
        <v/>
      </c>
      <c r="H1165" s="34"/>
      <c r="I1165" s="34"/>
      <c r="J1165" s="34"/>
      <c r="K1165" s="39"/>
      <c r="L1165" s="39"/>
      <c r="M1165" s="15">
        <f t="shared" si="330"/>
        <v>0</v>
      </c>
      <c r="N1165" s="15"/>
      <c r="O1165" s="39"/>
      <c r="P1165" s="36"/>
      <c r="Q1165" s="16">
        <f t="shared" si="331"/>
        <v>0</v>
      </c>
      <c r="R1165" s="34"/>
      <c r="S1165" s="34"/>
      <c r="T1165" s="36"/>
      <c r="U1165" s="293">
        <f>Rutas[[#This Row],[Precio x Galón ($/gal)]]*Rutas[[#This Row],[Volumen de Combustible (gal)]]</f>
        <v>0</v>
      </c>
      <c r="V1165" s="36"/>
      <c r="W1165" s="36"/>
      <c r="X1165" s="36"/>
      <c r="Y1165" s="145">
        <f t="shared" si="332"/>
        <v>0</v>
      </c>
      <c r="Z1165" s="572"/>
      <c r="AA1165" s="12"/>
      <c r="AB1165" s="12">
        <f t="shared" si="333"/>
        <v>0</v>
      </c>
      <c r="AC1165" s="12">
        <f t="shared" si="334"/>
        <v>0</v>
      </c>
      <c r="AD1165" s="34"/>
    </row>
    <row r="1166" spans="1:30" ht="16" x14ac:dyDescent="0.2">
      <c r="A1166" s="47"/>
      <c r="B1166" s="575"/>
      <c r="C1166" s="176">
        <f t="shared" si="340"/>
        <v>1163</v>
      </c>
      <c r="D1166" s="90">
        <v>45901</v>
      </c>
      <c r="E1166" s="90">
        <v>45905</v>
      </c>
      <c r="F1166" s="68" t="s">
        <v>208</v>
      </c>
      <c r="G1166" s="379" t="str">
        <f ca="1">IF(AND(E1166&lt;&gt;"",E1166&lt;TODAY()),"Disponible",IFERROR(INDEX(Vehiculos[Estado Vehiculo],MATCH(F1166,Vehiculos[Placa Vehiculo],0)),""))</f>
        <v>Disponible</v>
      </c>
      <c r="H1166" s="89" t="s">
        <v>245</v>
      </c>
      <c r="I1166" s="89" t="s">
        <v>273</v>
      </c>
      <c r="J1166" s="89"/>
      <c r="K1166" s="380">
        <v>111008</v>
      </c>
      <c r="L1166" s="380">
        <v>111840</v>
      </c>
      <c r="M1166" s="381">
        <f t="shared" si="330"/>
        <v>832</v>
      </c>
      <c r="N1166" s="381"/>
      <c r="O1166" s="380"/>
      <c r="P1166" s="92"/>
      <c r="Q1166" s="382">
        <f t="shared" si="331"/>
        <v>0</v>
      </c>
      <c r="R1166" s="89" t="s">
        <v>273</v>
      </c>
      <c r="S1166" s="89" t="s">
        <v>102</v>
      </c>
      <c r="T1166" s="92">
        <v>1.8</v>
      </c>
      <c r="U1166" s="92">
        <f>Rutas[[#This Row],[Precio x Galón ($/gal)]]*Rutas[[#This Row],[Volumen de Combustible (gal)]]</f>
        <v>246.99600000000001</v>
      </c>
      <c r="V1166" s="92"/>
      <c r="W1166" s="92"/>
      <c r="X1166" s="92"/>
      <c r="Y1166" s="382">
        <f t="shared" si="332"/>
        <v>246.99600000000001</v>
      </c>
      <c r="Z1166" s="572"/>
      <c r="AA1166" s="382">
        <v>137.22</v>
      </c>
      <c r="AB1166" s="382">
        <f t="shared" si="333"/>
        <v>6.0632560851187876</v>
      </c>
      <c r="AC1166" s="382">
        <f t="shared" si="334"/>
        <v>0</v>
      </c>
      <c r="AD1166" s="89"/>
    </row>
    <row r="1167" spans="1:30" ht="16" x14ac:dyDescent="0.2">
      <c r="A1167" s="47"/>
      <c r="B1167" s="575"/>
      <c r="C1167" s="176">
        <f t="shared" si="340"/>
        <v>1164</v>
      </c>
      <c r="D1167" s="146">
        <v>45905</v>
      </c>
      <c r="E1167" s="37">
        <v>45909</v>
      </c>
      <c r="F1167" s="65" t="s">
        <v>208</v>
      </c>
      <c r="G1167" s="11" t="str">
        <f ca="1">IF(AND(E1167&lt;&gt;"",E1167&lt;TODAY()),"Disponible",IFERROR(INDEX(Vehiculos[Estado Vehiculo],MATCH(F1167,Vehiculos[Placa Vehiculo],0)),""))</f>
        <v>Disponible</v>
      </c>
      <c r="H1167" s="34" t="s">
        <v>242</v>
      </c>
      <c r="I1167" s="34" t="s">
        <v>273</v>
      </c>
      <c r="J1167" s="34"/>
      <c r="K1167" s="39">
        <v>111840</v>
      </c>
      <c r="L1167" s="39">
        <v>112395</v>
      </c>
      <c r="M1167" s="15">
        <f t="shared" si="330"/>
        <v>555</v>
      </c>
      <c r="N1167" s="15"/>
      <c r="O1167" s="39"/>
      <c r="P1167" s="36"/>
      <c r="Q1167" s="16">
        <f t="shared" si="331"/>
        <v>0</v>
      </c>
      <c r="R1167" s="34" t="s">
        <v>339</v>
      </c>
      <c r="S1167" s="34" t="s">
        <v>102</v>
      </c>
      <c r="T1167" s="36">
        <v>1.8</v>
      </c>
      <c r="U1167" s="293">
        <f>Rutas[[#This Row],[Precio x Galón ($/gal)]]*Rutas[[#This Row],[Volumen de Combustible (gal)]]</f>
        <v>209.952</v>
      </c>
      <c r="V1167" s="36"/>
      <c r="W1167" s="36"/>
      <c r="X1167" s="36"/>
      <c r="Y1167" s="145">
        <f t="shared" si="332"/>
        <v>209.952</v>
      </c>
      <c r="Z1167" s="572"/>
      <c r="AA1167" s="12">
        <v>116.64</v>
      </c>
      <c r="AB1167" s="12">
        <f t="shared" si="333"/>
        <v>4.7582304526748969</v>
      </c>
      <c r="AC1167" s="12">
        <f t="shared" si="334"/>
        <v>0</v>
      </c>
      <c r="AD1167" s="34"/>
    </row>
    <row r="1168" spans="1:30" ht="16" x14ac:dyDescent="0.2">
      <c r="A1168" s="47"/>
      <c r="B1168" s="575"/>
      <c r="C1168" s="176">
        <f t="shared" si="340"/>
        <v>1165</v>
      </c>
      <c r="D1168" s="146">
        <v>45909</v>
      </c>
      <c r="E1168" s="37">
        <v>45912</v>
      </c>
      <c r="F1168" s="65" t="s">
        <v>208</v>
      </c>
      <c r="G1168" s="11" t="str">
        <f ca="1">IF(AND(E1168&lt;&gt;"",E1168&lt;TODAY()),"Disponible",IFERROR(INDEX(Vehiculos[Estado Vehiculo],MATCH(F1168,Vehiculos[Placa Vehiculo],0)),""))</f>
        <v>Disponible</v>
      </c>
      <c r="H1168" s="34" t="s">
        <v>426</v>
      </c>
      <c r="I1168" s="34" t="s">
        <v>273</v>
      </c>
      <c r="J1168" s="34"/>
      <c r="K1168" s="39">
        <v>112395</v>
      </c>
      <c r="L1168" s="39">
        <v>113142</v>
      </c>
      <c r="M1168" s="15">
        <f t="shared" si="330"/>
        <v>747</v>
      </c>
      <c r="N1168" s="15"/>
      <c r="O1168" s="39"/>
      <c r="P1168" s="36"/>
      <c r="Q1168" s="16">
        <f t="shared" si="331"/>
        <v>0</v>
      </c>
      <c r="R1168" s="34" t="s">
        <v>339</v>
      </c>
      <c r="S1168" s="34" t="s">
        <v>102</v>
      </c>
      <c r="T1168" s="36">
        <v>1.8</v>
      </c>
      <c r="U1168" s="293">
        <f>Rutas[[#This Row],[Precio x Galón ($/gal)]]*Rutas[[#This Row],[Volumen de Combustible (gal)]]</f>
        <v>225</v>
      </c>
      <c r="V1168" s="36"/>
      <c r="W1168" s="36"/>
      <c r="X1168" s="36"/>
      <c r="Y1168" s="145">
        <f t="shared" si="332"/>
        <v>225</v>
      </c>
      <c r="Z1168" s="572"/>
      <c r="AA1168" s="12">
        <v>125</v>
      </c>
      <c r="AB1168" s="12">
        <f t="shared" si="333"/>
        <v>5.976</v>
      </c>
      <c r="AC1168" s="12">
        <f t="shared" si="334"/>
        <v>0</v>
      </c>
      <c r="AD1168" s="34"/>
    </row>
    <row r="1169" spans="1:30" ht="16" x14ac:dyDescent="0.2">
      <c r="A1169" s="47"/>
      <c r="B1169" s="575"/>
      <c r="C1169" s="176">
        <f t="shared" si="340"/>
        <v>1166</v>
      </c>
      <c r="D1169" s="454">
        <v>45913</v>
      </c>
      <c r="E1169" s="37">
        <v>45916</v>
      </c>
      <c r="F1169" s="65" t="s">
        <v>208</v>
      </c>
      <c r="G1169" s="11" t="str">
        <f ca="1">IF(AND(E1169&lt;&gt;"",E1169&lt;TODAY()),"Disponible",IFERROR(INDEX(Vehiculos[Estado Vehiculo],MATCH(F1169,Vehiculos[Placa Vehiculo],0)),""))</f>
        <v>Disponible</v>
      </c>
      <c r="H1169" s="34" t="s">
        <v>426</v>
      </c>
      <c r="I1169" s="34" t="s">
        <v>273</v>
      </c>
      <c r="J1169" s="34"/>
      <c r="K1169" s="39">
        <v>113142</v>
      </c>
      <c r="L1169" s="39">
        <v>113634</v>
      </c>
      <c r="M1169" s="15">
        <f>L1169-K1169</f>
        <v>492</v>
      </c>
      <c r="N1169" s="15"/>
      <c r="O1169" s="39"/>
      <c r="P1169" s="36"/>
      <c r="Q1169" s="16">
        <f>M1169*P1169</f>
        <v>0</v>
      </c>
      <c r="R1169" s="34" t="s">
        <v>339</v>
      </c>
      <c r="S1169" s="34" t="s">
        <v>102</v>
      </c>
      <c r="T1169" s="36">
        <v>2.8</v>
      </c>
      <c r="U1169" s="293">
        <f>Rutas[[#This Row],[Precio x Galón ($/gal)]]*Rutas[[#This Row],[Volumen de Combustible (gal)]]</f>
        <v>319.64799999999997</v>
      </c>
      <c r="V1169" s="36"/>
      <c r="W1169" s="36"/>
      <c r="X1169" s="36"/>
      <c r="Y1169" s="145">
        <f>U1169+SUM(V1169:X1169)</f>
        <v>319.64799999999997</v>
      </c>
      <c r="Z1169" s="572"/>
      <c r="AA1169" s="12">
        <v>114.16</v>
      </c>
      <c r="AB1169" s="12">
        <f>IFERROR(M1169/AA1169,0)</f>
        <v>4.3097407147862654</v>
      </c>
      <c r="AC1169" s="12">
        <f>IFERROR(Q1169/M1169,0)</f>
        <v>0</v>
      </c>
      <c r="AD1169" s="34"/>
    </row>
    <row r="1170" spans="1:30" ht="16" x14ac:dyDescent="0.2">
      <c r="A1170" s="47"/>
      <c r="B1170" s="575"/>
      <c r="C1170" s="176">
        <f t="shared" si="340"/>
        <v>1167</v>
      </c>
      <c r="D1170" s="454">
        <v>45916</v>
      </c>
      <c r="E1170" s="37">
        <v>45919</v>
      </c>
      <c r="F1170" s="65" t="s">
        <v>208</v>
      </c>
      <c r="G1170" s="11" t="str">
        <f ca="1">IF(AND(E1170&lt;&gt;"",E1170&lt;TODAY()),"Disponible",IFERROR(INDEX(Vehiculos[Estado Vehiculo],MATCH(F1170,Vehiculos[Placa Vehiculo],0)),""))</f>
        <v>Disponible</v>
      </c>
      <c r="H1170" s="34" t="s">
        <v>231</v>
      </c>
      <c r="I1170" s="34" t="s">
        <v>273</v>
      </c>
      <c r="J1170" s="34"/>
      <c r="K1170" s="39">
        <v>113634</v>
      </c>
      <c r="L1170" s="39">
        <v>114204</v>
      </c>
      <c r="M1170" s="15">
        <f>L1170-K1170</f>
        <v>570</v>
      </c>
      <c r="N1170" s="15"/>
      <c r="O1170" s="39"/>
      <c r="P1170" s="36"/>
      <c r="Q1170" s="16">
        <f>M1170*P1170</f>
        <v>0</v>
      </c>
      <c r="R1170" s="34" t="s">
        <v>273</v>
      </c>
      <c r="S1170" s="34" t="s">
        <v>102</v>
      </c>
      <c r="T1170" s="36">
        <v>2.8</v>
      </c>
      <c r="U1170" s="293">
        <f>Rutas[[#This Row],[Precio x Galón ($/gal)]]*Rutas[[#This Row],[Volumen de Combustible (gal)]]</f>
        <v>259.30799999999999</v>
      </c>
      <c r="V1170" s="36"/>
      <c r="W1170" s="36"/>
      <c r="X1170" s="36"/>
      <c r="Y1170" s="145">
        <f>U1170+SUM(V1170:X1170)</f>
        <v>259.30799999999999</v>
      </c>
      <c r="Z1170" s="572"/>
      <c r="AA1170" s="12">
        <v>92.61</v>
      </c>
      <c r="AB1170" s="12">
        <f>IFERROR(M1170/AA1170,0)</f>
        <v>6.1548428895367673</v>
      </c>
      <c r="AC1170" s="12">
        <f>IFERROR(Q1170/M1170,0)</f>
        <v>0</v>
      </c>
      <c r="AD1170" s="34"/>
    </row>
    <row r="1171" spans="1:30" ht="16" x14ac:dyDescent="0.2">
      <c r="A1171" s="47"/>
      <c r="B1171" s="575"/>
      <c r="C1171" s="176">
        <f t="shared" si="340"/>
        <v>1168</v>
      </c>
      <c r="D1171" s="454">
        <v>45919</v>
      </c>
      <c r="E1171" s="37">
        <v>45923</v>
      </c>
      <c r="F1171" s="65" t="s">
        <v>208</v>
      </c>
      <c r="G1171" s="11" t="str">
        <f ca="1">IF(AND(E1171&lt;&gt;"",E1171&lt;TODAY()),"Disponible",IFERROR(INDEX(Vehiculos[Estado Vehiculo],MATCH(F1171,Vehiculos[Placa Vehiculo],0)),""))</f>
        <v>Disponible</v>
      </c>
      <c r="H1171" s="34" t="s">
        <v>231</v>
      </c>
      <c r="I1171" s="34" t="s">
        <v>273</v>
      </c>
      <c r="J1171" s="34"/>
      <c r="K1171" s="39">
        <v>114204</v>
      </c>
      <c r="L1171" s="39">
        <v>114898</v>
      </c>
      <c r="M1171" s="15">
        <f>L1171-K1171</f>
        <v>694</v>
      </c>
      <c r="N1171" s="15"/>
      <c r="O1171" s="39"/>
      <c r="P1171" s="36"/>
      <c r="Q1171" s="16">
        <f>M1171*P1171</f>
        <v>0</v>
      </c>
      <c r="R1171" s="34" t="s">
        <v>273</v>
      </c>
      <c r="S1171" s="34" t="s">
        <v>102</v>
      </c>
      <c r="T1171" s="36">
        <v>2.8</v>
      </c>
      <c r="U1171" s="293">
        <f>Rutas[[#This Row],[Precio x Galón ($/gal)]]*Rutas[[#This Row],[Volumen de Combustible (gal)]]</f>
        <v>347.22800000000001</v>
      </c>
      <c r="V1171" s="36"/>
      <c r="W1171" s="36"/>
      <c r="X1171" s="36"/>
      <c r="Y1171" s="145">
        <f>U1171+SUM(V1171:X1171)</f>
        <v>347.22800000000001</v>
      </c>
      <c r="Z1171" s="572"/>
      <c r="AA1171" s="12">
        <v>124.01</v>
      </c>
      <c r="AB1171" s="12">
        <f>IFERROR(M1171/AA1171,0)</f>
        <v>5.5963228771873235</v>
      </c>
      <c r="AC1171" s="12">
        <f>IFERROR(Q1171/M1171,0)</f>
        <v>0</v>
      </c>
      <c r="AD1171" s="34"/>
    </row>
    <row r="1172" spans="1:30" ht="16" x14ac:dyDescent="0.2">
      <c r="A1172" s="47"/>
      <c r="B1172" s="575"/>
      <c r="C1172" s="176">
        <f t="shared" si="340"/>
        <v>1169</v>
      </c>
      <c r="D1172" s="454">
        <v>45923</v>
      </c>
      <c r="E1172" s="37">
        <v>45926</v>
      </c>
      <c r="F1172" s="65" t="s">
        <v>208</v>
      </c>
      <c r="G1172" s="11" t="str">
        <f ca="1">IF(AND(E1172&lt;&gt;"",E1172&lt;TODAY()),"Disponible",IFERROR(INDEX(Vehiculos[Estado Vehiculo],MATCH(F1172,Vehiculos[Placa Vehiculo],0)),""))</f>
        <v>Disponible</v>
      </c>
      <c r="H1172" s="34" t="s">
        <v>231</v>
      </c>
      <c r="I1172" s="34" t="s">
        <v>273</v>
      </c>
      <c r="J1172" s="34"/>
      <c r="K1172" s="39">
        <v>114898</v>
      </c>
      <c r="L1172" s="39">
        <v>115400</v>
      </c>
      <c r="M1172" s="15">
        <f>L1172-K1172</f>
        <v>502</v>
      </c>
      <c r="N1172" s="452">
        <v>600</v>
      </c>
      <c r="O1172" s="39"/>
      <c r="P1172" s="36"/>
      <c r="Q1172" s="16">
        <f>M1172*P1172</f>
        <v>0</v>
      </c>
      <c r="R1172" s="34" t="s">
        <v>273</v>
      </c>
      <c r="S1172" s="34" t="s">
        <v>102</v>
      </c>
      <c r="T1172" s="36">
        <v>2.8</v>
      </c>
      <c r="U1172" s="293">
        <f>Rutas[[#This Row],[Precio x Galón ($/gal)]]*Rutas[[#This Row],[Volumen de Combustible (gal)]]</f>
        <v>222.09599999999998</v>
      </c>
      <c r="V1172" s="36"/>
      <c r="W1172" s="36"/>
      <c r="X1172" s="36"/>
      <c r="Y1172" s="145">
        <f>U1172+SUM(V1172:X1172)</f>
        <v>222.09599999999998</v>
      </c>
      <c r="Z1172" s="567"/>
      <c r="AA1172" s="12">
        <v>79.319999999999993</v>
      </c>
      <c r="AB1172" s="12">
        <f>IFERROR(M1172/AA1172,0)</f>
        <v>6.3287947554210797</v>
      </c>
      <c r="AC1172" s="12">
        <f>IFERROR(Q1172/M1172,0)</f>
        <v>0</v>
      </c>
      <c r="AD1172" s="34"/>
    </row>
    <row r="1173" spans="1:30" ht="16" x14ac:dyDescent="0.2">
      <c r="A1173" s="47"/>
      <c r="B1173" s="575"/>
      <c r="C1173" s="176">
        <f t="shared" si="340"/>
        <v>1170</v>
      </c>
      <c r="D1173" s="454">
        <v>45926</v>
      </c>
      <c r="E1173" s="37"/>
      <c r="F1173" s="65" t="s">
        <v>208</v>
      </c>
      <c r="G1173" s="11" t="str">
        <f ca="1">IF(AND(E1173&lt;&gt;"",E1173&lt;TODAY()),"Disponible",IFERROR(INDEX(Vehiculos[Estado Vehiculo],MATCH(F1173,Vehiculos[Placa Vehiculo],0)),""))</f>
        <v>Disponible</v>
      </c>
      <c r="H1173" s="34"/>
      <c r="I1173" s="34" t="s">
        <v>273</v>
      </c>
      <c r="J1173" s="34"/>
      <c r="K1173" s="39"/>
      <c r="L1173" s="39"/>
      <c r="M1173" s="15">
        <f>L1173-K1173</f>
        <v>0</v>
      </c>
      <c r="N1173" s="15"/>
      <c r="O1173" s="39"/>
      <c r="P1173" s="36"/>
      <c r="Q1173" s="16">
        <f>M1173*P1173</f>
        <v>0</v>
      </c>
      <c r="R1173" s="34"/>
      <c r="S1173" s="34"/>
      <c r="T1173" s="36"/>
      <c r="U1173" s="293"/>
      <c r="V1173" s="36"/>
      <c r="W1173" s="36"/>
      <c r="X1173" s="36"/>
      <c r="Y1173" s="145">
        <f>U1173+SUM(V1173:X1173)</f>
        <v>0</v>
      </c>
      <c r="Z1173" s="567"/>
      <c r="AA1173" s="12"/>
      <c r="AB1173" s="12">
        <f>IFERROR(M1173/AA1173,0)</f>
        <v>0</v>
      </c>
      <c r="AC1173" s="12">
        <f>IFERROR(Q1173/M1173,0)</f>
        <v>0</v>
      </c>
      <c r="AD1173" s="34"/>
    </row>
    <row r="1174" spans="1:30" ht="16" x14ac:dyDescent="0.2">
      <c r="A1174" s="47"/>
      <c r="B1174" s="575"/>
      <c r="C1174" s="176">
        <f t="shared" si="340"/>
        <v>1171</v>
      </c>
      <c r="D1174" s="146"/>
      <c r="E1174" s="37"/>
      <c r="F1174" s="65"/>
      <c r="G1174" s="11" t="str">
        <f ca="1">IF(AND(E1174&lt;&gt;"",E1174&lt;TODAY()),"Disponible",IFERROR(INDEX(Vehiculos[Estado Vehiculo],MATCH(F1174,Vehiculos[Placa Vehiculo],0)),""))</f>
        <v/>
      </c>
      <c r="H1174" s="34"/>
      <c r="I1174" s="34"/>
      <c r="J1174" s="34"/>
      <c r="K1174" s="39"/>
      <c r="L1174" s="39"/>
      <c r="M1174" s="15">
        <f t="shared" si="330"/>
        <v>0</v>
      </c>
      <c r="N1174" s="15"/>
      <c r="O1174" s="39"/>
      <c r="P1174" s="36"/>
      <c r="Q1174" s="16">
        <f t="shared" si="331"/>
        <v>0</v>
      </c>
      <c r="R1174" s="34"/>
      <c r="S1174" s="34"/>
      <c r="T1174" s="36"/>
      <c r="U1174" s="293">
        <f>Rutas[[#This Row],[Precio x Galón ($/gal)]]*Rutas[[#This Row],[Volumen de Combustible (gal)]]</f>
        <v>0</v>
      </c>
      <c r="V1174" s="36"/>
      <c r="W1174" s="36"/>
      <c r="X1174" s="36"/>
      <c r="Y1174" s="145">
        <f t="shared" si="332"/>
        <v>0</v>
      </c>
      <c r="Z1174" s="572"/>
      <c r="AA1174" s="12"/>
      <c r="AB1174" s="12">
        <f t="shared" si="333"/>
        <v>0</v>
      </c>
      <c r="AC1174" s="12">
        <f t="shared" si="334"/>
        <v>0</v>
      </c>
      <c r="AD1174" s="34"/>
    </row>
    <row r="1175" spans="1:30" ht="16" x14ac:dyDescent="0.2">
      <c r="A1175" s="47"/>
      <c r="B1175" s="575"/>
      <c r="C1175" s="176">
        <f t="shared" si="340"/>
        <v>1172</v>
      </c>
      <c r="D1175" s="90">
        <v>45901</v>
      </c>
      <c r="E1175" s="90">
        <v>45904</v>
      </c>
      <c r="F1175" s="68" t="s">
        <v>209</v>
      </c>
      <c r="G1175" s="379" t="str">
        <f ca="1">IF(AND(E1175&lt;&gt;"",E1175&lt;TODAY()),"Disponible",IFERROR(INDEX(Vehiculos[Estado Vehiculo],MATCH(F1175,Vehiculos[Placa Vehiculo],0)),""))</f>
        <v>Disponible</v>
      </c>
      <c r="H1175" s="89" t="s">
        <v>241</v>
      </c>
      <c r="I1175" s="89" t="s">
        <v>273</v>
      </c>
      <c r="J1175" s="89"/>
      <c r="K1175" s="380">
        <v>112484</v>
      </c>
      <c r="L1175" s="380">
        <v>113109</v>
      </c>
      <c r="M1175" s="381">
        <f t="shared" si="330"/>
        <v>625</v>
      </c>
      <c r="N1175" s="381"/>
      <c r="O1175" s="380"/>
      <c r="P1175" s="92"/>
      <c r="Q1175" s="382">
        <f t="shared" si="331"/>
        <v>0</v>
      </c>
      <c r="R1175" s="89" t="s">
        <v>339</v>
      </c>
      <c r="S1175" s="89" t="s">
        <v>102</v>
      </c>
      <c r="T1175" s="92">
        <v>1.8</v>
      </c>
      <c r="U1175" s="92">
        <f>Rutas[[#This Row],[Precio x Galón ($/gal)]]*Rutas[[#This Row],[Volumen de Combustible (gal)]]</f>
        <v>193.428</v>
      </c>
      <c r="V1175" s="92"/>
      <c r="W1175" s="92"/>
      <c r="X1175" s="92"/>
      <c r="Y1175" s="382">
        <f t="shared" si="332"/>
        <v>193.428</v>
      </c>
      <c r="Z1175" s="572"/>
      <c r="AA1175" s="382">
        <v>107.46</v>
      </c>
      <c r="AB1175" s="382">
        <f t="shared" si="333"/>
        <v>5.8161176251628515</v>
      </c>
      <c r="AC1175" s="382">
        <f t="shared" si="334"/>
        <v>0</v>
      </c>
      <c r="AD1175" s="89"/>
    </row>
    <row r="1176" spans="1:30" ht="16" x14ac:dyDescent="0.2">
      <c r="A1176" s="47"/>
      <c r="B1176" s="575"/>
      <c r="C1176" s="176">
        <f t="shared" si="340"/>
        <v>1173</v>
      </c>
      <c r="D1176" s="146">
        <v>45904</v>
      </c>
      <c r="E1176" s="37">
        <v>45908</v>
      </c>
      <c r="F1176" s="65" t="s">
        <v>209</v>
      </c>
      <c r="G1176" s="11" t="str">
        <f ca="1">IF(AND(E1176&lt;&gt;"",E1176&lt;TODAY()),"Disponible",IFERROR(INDEX(Vehiculos[Estado Vehiculo],MATCH(F1176,Vehiculos[Placa Vehiculo],0)),""))</f>
        <v>Disponible</v>
      </c>
      <c r="H1176" s="34" t="s">
        <v>239</v>
      </c>
      <c r="I1176" s="34" t="s">
        <v>273</v>
      </c>
      <c r="J1176" s="34"/>
      <c r="K1176" s="39">
        <v>113109</v>
      </c>
      <c r="L1176" s="39">
        <v>113779</v>
      </c>
      <c r="M1176" s="15">
        <f t="shared" si="330"/>
        <v>670</v>
      </c>
      <c r="N1176" s="15"/>
      <c r="O1176" s="39"/>
      <c r="P1176" s="36"/>
      <c r="Q1176" s="16">
        <f t="shared" si="331"/>
        <v>0</v>
      </c>
      <c r="R1176" s="34" t="s">
        <v>339</v>
      </c>
      <c r="S1176" s="34" t="s">
        <v>102</v>
      </c>
      <c r="T1176" s="36">
        <v>1.8</v>
      </c>
      <c r="U1176" s="293">
        <f>Rutas[[#This Row],[Precio x Galón ($/gal)]]*Rutas[[#This Row],[Volumen de Combustible (gal)]]</f>
        <v>179.136</v>
      </c>
      <c r="V1176" s="36"/>
      <c r="W1176" s="36"/>
      <c r="X1176" s="36"/>
      <c r="Y1176" s="145">
        <f t="shared" si="332"/>
        <v>179.136</v>
      </c>
      <c r="Z1176" s="572"/>
      <c r="AA1176" s="12">
        <v>99.52</v>
      </c>
      <c r="AB1176" s="12">
        <f t="shared" si="333"/>
        <v>6.732315112540193</v>
      </c>
      <c r="AC1176" s="12">
        <f t="shared" si="334"/>
        <v>0</v>
      </c>
      <c r="AD1176" s="34"/>
    </row>
    <row r="1177" spans="1:30" ht="16" x14ac:dyDescent="0.2">
      <c r="A1177" s="47"/>
      <c r="B1177" s="575"/>
      <c r="C1177" s="176">
        <f t="shared" si="340"/>
        <v>1174</v>
      </c>
      <c r="D1177" s="146">
        <v>45908</v>
      </c>
      <c r="E1177" s="37">
        <v>45911</v>
      </c>
      <c r="F1177" s="65" t="s">
        <v>209</v>
      </c>
      <c r="G1177" s="11" t="str">
        <f ca="1">IF(AND(E1177&lt;&gt;"",E1177&lt;TODAY()),"Disponible",IFERROR(INDEX(Vehiculos[Estado Vehiculo],MATCH(F1177,Vehiculos[Placa Vehiculo],0)),""))</f>
        <v>Disponible</v>
      </c>
      <c r="H1177" s="34" t="s">
        <v>239</v>
      </c>
      <c r="I1177" s="34" t="s">
        <v>273</v>
      </c>
      <c r="J1177" s="34"/>
      <c r="K1177" s="39">
        <v>113779</v>
      </c>
      <c r="L1177" s="39">
        <v>114391</v>
      </c>
      <c r="M1177" s="15">
        <f t="shared" si="330"/>
        <v>612</v>
      </c>
      <c r="N1177" s="15"/>
      <c r="O1177" s="39"/>
      <c r="P1177" s="36"/>
      <c r="Q1177" s="16">
        <f t="shared" si="331"/>
        <v>0</v>
      </c>
      <c r="R1177" s="34" t="s">
        <v>339</v>
      </c>
      <c r="S1177" s="34" t="s">
        <v>102</v>
      </c>
      <c r="T1177" s="36">
        <v>1.8</v>
      </c>
      <c r="U1177" s="293">
        <f>Rutas[[#This Row],[Precio x Galón ($/gal)]]*Rutas[[#This Row],[Volumen de Combustible (gal)]]</f>
        <v>180.018</v>
      </c>
      <c r="V1177" s="36"/>
      <c r="W1177" s="36"/>
      <c r="X1177" s="36"/>
      <c r="Y1177" s="145">
        <f t="shared" si="332"/>
        <v>180.018</v>
      </c>
      <c r="Z1177" s="572"/>
      <c r="AA1177" s="12">
        <v>100.01</v>
      </c>
      <c r="AB1177" s="12">
        <f t="shared" si="333"/>
        <v>6.11938806119388</v>
      </c>
      <c r="AC1177" s="12">
        <f t="shared" si="334"/>
        <v>0</v>
      </c>
      <c r="AD1177" s="34"/>
    </row>
    <row r="1178" spans="1:30" ht="16" x14ac:dyDescent="0.2">
      <c r="A1178" s="47"/>
      <c r="B1178" s="575"/>
      <c r="C1178" s="176">
        <f t="shared" si="340"/>
        <v>1175</v>
      </c>
      <c r="D1178" s="146">
        <v>45911</v>
      </c>
      <c r="E1178" s="37">
        <v>45915</v>
      </c>
      <c r="F1178" s="65" t="s">
        <v>209</v>
      </c>
      <c r="G1178" s="11" t="str">
        <f ca="1">IF(AND(E1178&lt;&gt;"",E1178&lt;TODAY()),"Disponible",IFERROR(INDEX(Vehiculos[Estado Vehiculo],MATCH(F1178,Vehiculos[Placa Vehiculo],0)),""))</f>
        <v>Disponible</v>
      </c>
      <c r="H1178" s="34" t="s">
        <v>239</v>
      </c>
      <c r="I1178" s="34" t="s">
        <v>273</v>
      </c>
      <c r="J1178" s="34"/>
      <c r="K1178" s="39">
        <v>114391</v>
      </c>
      <c r="L1178" s="39">
        <v>115081</v>
      </c>
      <c r="M1178" s="15">
        <f t="shared" ref="M1178:M1188" si="346">L1178-K1178</f>
        <v>690</v>
      </c>
      <c r="N1178" s="15"/>
      <c r="O1178" s="39"/>
      <c r="P1178" s="36"/>
      <c r="Q1178" s="16">
        <f t="shared" ref="Q1178:Q1188" si="347">M1178*P1178</f>
        <v>0</v>
      </c>
      <c r="R1178" s="34" t="s">
        <v>339</v>
      </c>
      <c r="S1178" s="34" t="s">
        <v>102</v>
      </c>
      <c r="T1178" s="36">
        <v>2.8</v>
      </c>
      <c r="U1178" s="293">
        <f>Rutas[[#This Row],[Precio x Galón ($/gal)]]*Rutas[[#This Row],[Volumen de Combustible (gal)]]</f>
        <v>338.79999999999995</v>
      </c>
      <c r="V1178" s="36"/>
      <c r="W1178" s="36"/>
      <c r="X1178" s="36"/>
      <c r="Y1178" s="145">
        <f t="shared" ref="Y1178:Y1188" si="348">U1178+SUM(V1178:X1178)</f>
        <v>338.79999999999995</v>
      </c>
      <c r="Z1178" s="572"/>
      <c r="AA1178" s="12">
        <v>121</v>
      </c>
      <c r="AB1178" s="12">
        <f t="shared" ref="AB1178:AB1188" si="349">IFERROR(M1178/AA1178,0)</f>
        <v>5.7024793388429753</v>
      </c>
      <c r="AC1178" s="12">
        <f t="shared" ref="AC1178:AC1188" si="350">IFERROR(Q1178/M1178,0)</f>
        <v>0</v>
      </c>
      <c r="AD1178" s="34"/>
    </row>
    <row r="1179" spans="1:30" ht="16" x14ac:dyDescent="0.2">
      <c r="A1179" s="47"/>
      <c r="B1179" s="575"/>
      <c r="C1179" s="176">
        <f t="shared" si="340"/>
        <v>1176</v>
      </c>
      <c r="D1179" s="146">
        <v>45915</v>
      </c>
      <c r="E1179" s="37">
        <v>45919</v>
      </c>
      <c r="F1179" s="65" t="s">
        <v>209</v>
      </c>
      <c r="G1179" s="11" t="str">
        <f ca="1">IF(AND(E1179&lt;&gt;"",E1179&lt;TODAY()),"Disponible",IFERROR(INDEX(Vehiculos[Estado Vehiculo],MATCH(F1179,Vehiculos[Placa Vehiculo],0)),""))</f>
        <v>Disponible</v>
      </c>
      <c r="H1179" s="34" t="s">
        <v>234</v>
      </c>
      <c r="I1179" s="34" t="s">
        <v>273</v>
      </c>
      <c r="J1179" s="34"/>
      <c r="K1179" s="39">
        <v>115081</v>
      </c>
      <c r="L1179" s="39">
        <v>115696</v>
      </c>
      <c r="M1179" s="15">
        <f t="shared" si="346"/>
        <v>615</v>
      </c>
      <c r="N1179" s="15"/>
      <c r="O1179" s="39"/>
      <c r="P1179" s="36"/>
      <c r="Q1179" s="16">
        <f t="shared" si="347"/>
        <v>0</v>
      </c>
      <c r="R1179" s="34" t="s">
        <v>339</v>
      </c>
      <c r="S1179" s="34" t="s">
        <v>102</v>
      </c>
      <c r="T1179" s="36">
        <v>2.8</v>
      </c>
      <c r="U1179" s="293">
        <f>Rutas[[#This Row],[Precio x Galón ($/gal)]]*Rutas[[#This Row],[Volumen de Combustible (gal)]]</f>
        <v>298.00400000000002</v>
      </c>
      <c r="V1179" s="36"/>
      <c r="W1179" s="36"/>
      <c r="X1179" s="36"/>
      <c r="Y1179" s="145">
        <f t="shared" si="348"/>
        <v>298.00400000000002</v>
      </c>
      <c r="Z1179" s="572">
        <v>34945</v>
      </c>
      <c r="AA1179" s="12">
        <v>106.43</v>
      </c>
      <c r="AB1179" s="12">
        <f t="shared" si="349"/>
        <v>5.7784459269003099</v>
      </c>
      <c r="AC1179" s="12">
        <f t="shared" si="350"/>
        <v>0</v>
      </c>
      <c r="AD1179" s="34"/>
    </row>
    <row r="1180" spans="1:30" ht="16" x14ac:dyDescent="0.2">
      <c r="A1180" s="47"/>
      <c r="B1180" s="575"/>
      <c r="C1180" s="176">
        <f t="shared" si="340"/>
        <v>1177</v>
      </c>
      <c r="D1180" s="454">
        <v>45919</v>
      </c>
      <c r="E1180" s="37">
        <v>45923</v>
      </c>
      <c r="F1180" s="65" t="s">
        <v>209</v>
      </c>
      <c r="G1180" s="11" t="str">
        <f ca="1">IF(AND(E1180&lt;&gt;"",E1180&lt;TODAY()),"Disponible",IFERROR(INDEX(Vehiculos[Estado Vehiculo],MATCH(F1180,Vehiculos[Placa Vehiculo],0)),""))</f>
        <v>Disponible</v>
      </c>
      <c r="H1180" s="34" t="s">
        <v>234</v>
      </c>
      <c r="I1180" s="34" t="s">
        <v>273</v>
      </c>
      <c r="J1180" s="34"/>
      <c r="K1180" s="39">
        <v>115696</v>
      </c>
      <c r="L1180" s="39">
        <v>116432</v>
      </c>
      <c r="M1180" s="15">
        <f t="shared" si="346"/>
        <v>736</v>
      </c>
      <c r="N1180" s="15"/>
      <c r="O1180" s="39"/>
      <c r="P1180" s="36"/>
      <c r="Q1180" s="16">
        <f t="shared" si="347"/>
        <v>0</v>
      </c>
      <c r="R1180" s="34" t="s">
        <v>273</v>
      </c>
      <c r="S1180" s="34" t="s">
        <v>102</v>
      </c>
      <c r="T1180" s="36">
        <v>2.8</v>
      </c>
      <c r="U1180" s="293">
        <f>Rutas[[#This Row],[Precio x Galón ($/gal)]]*Rutas[[#This Row],[Volumen de Combustible (gal)]]</f>
        <v>298.56399999999996</v>
      </c>
      <c r="V1180" s="36"/>
      <c r="W1180" s="36"/>
      <c r="X1180" s="36"/>
      <c r="Y1180" s="145">
        <f t="shared" si="348"/>
        <v>298.56399999999996</v>
      </c>
      <c r="Z1180" s="572"/>
      <c r="AA1180" s="12">
        <v>106.63</v>
      </c>
      <c r="AB1180" s="12">
        <f t="shared" si="349"/>
        <v>6.9023726906123981</v>
      </c>
      <c r="AC1180" s="12">
        <f t="shared" si="350"/>
        <v>0</v>
      </c>
      <c r="AD1180" s="34"/>
    </row>
    <row r="1181" spans="1:30" ht="16" x14ac:dyDescent="0.2">
      <c r="A1181" s="47"/>
      <c r="B1181" s="575"/>
      <c r="C1181" s="176">
        <f t="shared" si="340"/>
        <v>1178</v>
      </c>
      <c r="D1181" s="454">
        <v>45923</v>
      </c>
      <c r="E1181" s="37">
        <v>45928</v>
      </c>
      <c r="F1181" s="65" t="s">
        <v>209</v>
      </c>
      <c r="G1181" s="11" t="str">
        <f ca="1">IF(AND(E1181&lt;&gt;"",E1181&lt;TODAY()),"Disponible",IFERROR(INDEX(Vehiculos[Estado Vehiculo],MATCH(F1181,Vehiculos[Placa Vehiculo],0)),""))</f>
        <v>Disponible</v>
      </c>
      <c r="H1181" s="34" t="s">
        <v>241</v>
      </c>
      <c r="I1181" s="34" t="s">
        <v>273</v>
      </c>
      <c r="J1181" s="34"/>
      <c r="K1181" s="39">
        <v>116432</v>
      </c>
      <c r="L1181" s="39">
        <v>117190</v>
      </c>
      <c r="M1181" s="15">
        <f t="shared" si="346"/>
        <v>758</v>
      </c>
      <c r="N1181" s="452">
        <v>600</v>
      </c>
      <c r="O1181" s="39"/>
      <c r="P1181" s="36"/>
      <c r="Q1181" s="16">
        <f t="shared" si="347"/>
        <v>0</v>
      </c>
      <c r="R1181" s="34" t="s">
        <v>339</v>
      </c>
      <c r="S1181" s="34" t="s">
        <v>102</v>
      </c>
      <c r="T1181" s="36">
        <v>2.8</v>
      </c>
      <c r="U1181" s="293">
        <f>Rutas[[#This Row],[Precio x Galón ($/gal)]]*Rutas[[#This Row],[Volumen de Combustible (gal)]]</f>
        <v>330.036</v>
      </c>
      <c r="V1181" s="36"/>
      <c r="W1181" s="36"/>
      <c r="X1181" s="36"/>
      <c r="Y1181" s="145">
        <f t="shared" si="348"/>
        <v>330.036</v>
      </c>
      <c r="Z1181" s="572"/>
      <c r="AA1181" s="12">
        <v>117.87</v>
      </c>
      <c r="AB1181" s="12">
        <f t="shared" si="349"/>
        <v>6.4308136082124374</v>
      </c>
      <c r="AC1181" s="12">
        <f t="shared" si="350"/>
        <v>0</v>
      </c>
      <c r="AD1181" s="34"/>
    </row>
    <row r="1182" spans="1:30" ht="16" x14ac:dyDescent="0.2">
      <c r="A1182" s="47"/>
      <c r="B1182" s="575"/>
      <c r="C1182" s="176">
        <f t="shared" si="340"/>
        <v>1179</v>
      </c>
      <c r="D1182" s="454">
        <v>45928</v>
      </c>
      <c r="E1182" s="37"/>
      <c r="F1182" s="65" t="s">
        <v>209</v>
      </c>
      <c r="G1182" s="11" t="str">
        <f ca="1">IF(AND(E1182&lt;&gt;"",E1182&lt;TODAY()),"Disponible",IFERROR(INDEX(Vehiculos[Estado Vehiculo],MATCH(F1182,Vehiculos[Placa Vehiculo],0)),""))</f>
        <v>Disponible</v>
      </c>
      <c r="H1182" s="34" t="s">
        <v>241</v>
      </c>
      <c r="I1182" s="34" t="s">
        <v>273</v>
      </c>
      <c r="J1182" s="34"/>
      <c r="K1182" s="39"/>
      <c r="L1182" s="39"/>
      <c r="M1182" s="15">
        <f t="shared" si="346"/>
        <v>0</v>
      </c>
      <c r="N1182" s="15"/>
      <c r="O1182" s="39"/>
      <c r="P1182" s="36"/>
      <c r="Q1182" s="16">
        <f t="shared" si="347"/>
        <v>0</v>
      </c>
      <c r="R1182" s="34"/>
      <c r="S1182" s="34"/>
      <c r="T1182" s="36"/>
      <c r="U1182" s="293"/>
      <c r="V1182" s="36"/>
      <c r="W1182" s="36"/>
      <c r="X1182" s="36"/>
      <c r="Y1182" s="145">
        <f t="shared" si="348"/>
        <v>0</v>
      </c>
      <c r="Z1182" s="567"/>
      <c r="AA1182" s="12"/>
      <c r="AB1182" s="12">
        <f t="shared" si="349"/>
        <v>0</v>
      </c>
      <c r="AC1182" s="12">
        <f t="shared" si="350"/>
        <v>0</v>
      </c>
      <c r="AD1182" s="34"/>
    </row>
    <row r="1183" spans="1:30" ht="16" x14ac:dyDescent="0.2">
      <c r="A1183" s="47"/>
      <c r="B1183" s="575"/>
      <c r="C1183" s="176">
        <f t="shared" si="340"/>
        <v>1180</v>
      </c>
      <c r="D1183" s="454"/>
      <c r="E1183" s="37"/>
      <c r="F1183" s="65"/>
      <c r="G1183" s="11" t="str">
        <f ca="1">IF(AND(E1183&lt;&gt;"",E1183&lt;TODAY()),"Disponible",IFERROR(INDEX(Vehiculos[Estado Vehiculo],MATCH(F1183,Vehiculos[Placa Vehiculo],0)),""))</f>
        <v/>
      </c>
      <c r="H1183" s="34"/>
      <c r="I1183" s="34"/>
      <c r="J1183" s="34"/>
      <c r="K1183" s="39"/>
      <c r="L1183" s="39"/>
      <c r="M1183" s="15">
        <f t="shared" si="346"/>
        <v>0</v>
      </c>
      <c r="N1183" s="15"/>
      <c r="O1183" s="39"/>
      <c r="P1183" s="36"/>
      <c r="Q1183" s="16">
        <f t="shared" si="347"/>
        <v>0</v>
      </c>
      <c r="R1183" s="34"/>
      <c r="S1183" s="34"/>
      <c r="T1183" s="36"/>
      <c r="U1183" s="293"/>
      <c r="V1183" s="36"/>
      <c r="W1183" s="36"/>
      <c r="X1183" s="36"/>
      <c r="Y1183" s="145">
        <f t="shared" si="348"/>
        <v>0</v>
      </c>
      <c r="Z1183" s="567"/>
      <c r="AA1183" s="12"/>
      <c r="AB1183" s="12">
        <f t="shared" si="349"/>
        <v>0</v>
      </c>
      <c r="AC1183" s="12">
        <f t="shared" si="350"/>
        <v>0</v>
      </c>
      <c r="AD1183" s="34"/>
    </row>
    <row r="1184" spans="1:30" ht="16" x14ac:dyDescent="0.2">
      <c r="A1184" s="47"/>
      <c r="B1184" s="575"/>
      <c r="C1184" s="176">
        <f t="shared" si="340"/>
        <v>1181</v>
      </c>
      <c r="D1184" s="146"/>
      <c r="E1184" s="37"/>
      <c r="F1184" s="65"/>
      <c r="G1184" s="11" t="str">
        <f ca="1">IF(AND(E1184&lt;&gt;"",E1184&lt;TODAY()),"Disponible",IFERROR(INDEX(Vehiculos[Estado Vehiculo],MATCH(F1184,Vehiculos[Placa Vehiculo],0)),""))</f>
        <v/>
      </c>
      <c r="H1184" s="34"/>
      <c r="I1184" s="34"/>
      <c r="J1184" s="34"/>
      <c r="K1184" s="39"/>
      <c r="L1184" s="39"/>
      <c r="M1184" s="15">
        <f t="shared" si="346"/>
        <v>0</v>
      </c>
      <c r="N1184" s="15"/>
      <c r="O1184" s="39"/>
      <c r="P1184" s="36"/>
      <c r="Q1184" s="16">
        <f t="shared" si="347"/>
        <v>0</v>
      </c>
      <c r="R1184" s="34"/>
      <c r="S1184" s="34"/>
      <c r="T1184" s="36"/>
      <c r="U1184" s="293">
        <f>Rutas[[#This Row],[Precio x Galón ($/gal)]]*Rutas[[#This Row],[Volumen de Combustible (gal)]]</f>
        <v>0</v>
      </c>
      <c r="V1184" s="36"/>
      <c r="W1184" s="36"/>
      <c r="X1184" s="36"/>
      <c r="Y1184" s="145">
        <f t="shared" si="348"/>
        <v>0</v>
      </c>
      <c r="Z1184" s="572"/>
      <c r="AA1184" s="12"/>
      <c r="AB1184" s="12">
        <f t="shared" si="349"/>
        <v>0</v>
      </c>
      <c r="AC1184" s="12">
        <f t="shared" si="350"/>
        <v>0</v>
      </c>
      <c r="AD1184" s="34"/>
    </row>
    <row r="1185" spans="1:30" ht="16" x14ac:dyDescent="0.2">
      <c r="A1185" s="47"/>
      <c r="B1185" s="575"/>
      <c r="C1185" s="176">
        <f t="shared" si="340"/>
        <v>1182</v>
      </c>
      <c r="D1185" s="90">
        <v>45901</v>
      </c>
      <c r="E1185" s="90">
        <v>45902</v>
      </c>
      <c r="F1185" s="68" t="s">
        <v>210</v>
      </c>
      <c r="G1185" s="379" t="str">
        <f ca="1">IF(AND(E1185&lt;&gt;"",E1185&lt;TODAY()),"Disponible",IFERROR(INDEX(Vehiculos[Estado Vehiculo],MATCH(F1185,Vehiculos[Placa Vehiculo],0)),""))</f>
        <v>Disponible</v>
      </c>
      <c r="H1185" s="89" t="s">
        <v>245</v>
      </c>
      <c r="I1185" s="89" t="s">
        <v>273</v>
      </c>
      <c r="J1185" s="89"/>
      <c r="K1185" s="380">
        <v>97738</v>
      </c>
      <c r="L1185" s="380">
        <v>98113</v>
      </c>
      <c r="M1185" s="381">
        <f t="shared" si="346"/>
        <v>375</v>
      </c>
      <c r="N1185" s="381"/>
      <c r="O1185" s="380"/>
      <c r="P1185" s="92"/>
      <c r="Q1185" s="382">
        <f t="shared" si="347"/>
        <v>0</v>
      </c>
      <c r="R1185" s="89" t="s">
        <v>339</v>
      </c>
      <c r="S1185" s="89" t="s">
        <v>102</v>
      </c>
      <c r="T1185" s="92">
        <v>1.8</v>
      </c>
      <c r="U1185" s="92">
        <f>Rutas[[#This Row],[Precio x Galón ($/gal)]]*Rutas[[#This Row],[Volumen de Combustible (gal)]]</f>
        <v>205.82999999999998</v>
      </c>
      <c r="V1185" s="92"/>
      <c r="W1185" s="92"/>
      <c r="X1185" s="92"/>
      <c r="Y1185" s="382">
        <f t="shared" si="348"/>
        <v>205.82999999999998</v>
      </c>
      <c r="Z1185" s="572"/>
      <c r="AA1185" s="382">
        <v>114.35</v>
      </c>
      <c r="AB1185" s="382">
        <f t="shared" si="349"/>
        <v>3.2794053344993443</v>
      </c>
      <c r="AC1185" s="382">
        <f t="shared" si="350"/>
        <v>0</v>
      </c>
      <c r="AD1185" s="89"/>
    </row>
    <row r="1186" spans="1:30" ht="16" x14ac:dyDescent="0.2">
      <c r="A1186" s="47"/>
      <c r="B1186" s="575"/>
      <c r="C1186" s="176">
        <f t="shared" si="340"/>
        <v>1183</v>
      </c>
      <c r="D1186" s="146">
        <v>45902</v>
      </c>
      <c r="E1186" s="37">
        <v>45905</v>
      </c>
      <c r="F1186" s="65" t="s">
        <v>210</v>
      </c>
      <c r="G1186" s="11" t="str">
        <f ca="1">IF(AND(E1186&lt;&gt;"",E1186&lt;TODAY()),"Disponible",IFERROR(INDEX(Vehiculos[Estado Vehiculo],MATCH(F1186,Vehiculos[Placa Vehiculo],0)),""))</f>
        <v>Disponible</v>
      </c>
      <c r="H1186" s="34" t="s">
        <v>245</v>
      </c>
      <c r="I1186" s="34" t="s">
        <v>273</v>
      </c>
      <c r="J1186" s="34"/>
      <c r="K1186" s="39">
        <v>98113</v>
      </c>
      <c r="L1186" s="39">
        <v>98628</v>
      </c>
      <c r="M1186" s="15">
        <f t="shared" si="346"/>
        <v>515</v>
      </c>
      <c r="N1186" s="15"/>
      <c r="O1186" s="39"/>
      <c r="P1186" s="36"/>
      <c r="Q1186" s="16">
        <f t="shared" si="347"/>
        <v>0</v>
      </c>
      <c r="R1186" s="34" t="s">
        <v>339</v>
      </c>
      <c r="S1186" s="34" t="s">
        <v>102</v>
      </c>
      <c r="T1186" s="36">
        <v>1.8</v>
      </c>
      <c r="U1186" s="293">
        <f>Rutas[[#This Row],[Precio x Galón ($/gal)]]*Rutas[[#This Row],[Volumen de Combustible (gal)]]</f>
        <v>152.982</v>
      </c>
      <c r="V1186" s="36"/>
      <c r="W1186" s="36"/>
      <c r="X1186" s="36"/>
      <c r="Y1186" s="145">
        <f t="shared" si="348"/>
        <v>152.982</v>
      </c>
      <c r="Z1186" s="572"/>
      <c r="AA1186" s="12">
        <v>84.99</v>
      </c>
      <c r="AB1186" s="12">
        <f t="shared" si="349"/>
        <v>6.0595364160489469</v>
      </c>
      <c r="AC1186" s="12">
        <f t="shared" si="350"/>
        <v>0</v>
      </c>
      <c r="AD1186" s="34"/>
    </row>
    <row r="1187" spans="1:30" ht="16" x14ac:dyDescent="0.2">
      <c r="A1187" s="47"/>
      <c r="B1187" s="575"/>
      <c r="C1187" s="176">
        <f t="shared" si="340"/>
        <v>1184</v>
      </c>
      <c r="D1187" s="146">
        <v>45905</v>
      </c>
      <c r="E1187" s="37">
        <v>45909</v>
      </c>
      <c r="F1187" s="65" t="s">
        <v>210</v>
      </c>
      <c r="G1187" s="11" t="str">
        <f ca="1">IF(AND(E1187&lt;&gt;"",E1187&lt;TODAY()),"Disponible",IFERROR(INDEX(Vehiculos[Estado Vehiculo],MATCH(F1187,Vehiculos[Placa Vehiculo],0)),""))</f>
        <v>Disponible</v>
      </c>
      <c r="H1187" s="34" t="s">
        <v>238</v>
      </c>
      <c r="I1187" s="34" t="s">
        <v>273</v>
      </c>
      <c r="J1187" s="34"/>
      <c r="K1187" s="39">
        <v>98628</v>
      </c>
      <c r="L1187" s="39">
        <v>99246</v>
      </c>
      <c r="M1187" s="15">
        <f t="shared" si="346"/>
        <v>618</v>
      </c>
      <c r="N1187" s="15"/>
      <c r="O1187" s="39"/>
      <c r="P1187" s="36"/>
      <c r="Q1187" s="16">
        <f t="shared" si="347"/>
        <v>0</v>
      </c>
      <c r="R1187" s="34" t="s">
        <v>339</v>
      </c>
      <c r="S1187" s="34" t="s">
        <v>102</v>
      </c>
      <c r="T1187" s="36">
        <v>1.8</v>
      </c>
      <c r="U1187" s="293">
        <f>Rutas[[#This Row],[Precio x Galón ($/gal)]]*Rutas[[#This Row],[Volumen de Combustible (gal)]]</f>
        <v>192.51000000000002</v>
      </c>
      <c r="V1187" s="36"/>
      <c r="W1187" s="36"/>
      <c r="X1187" s="36"/>
      <c r="Y1187" s="145">
        <f t="shared" si="348"/>
        <v>192.51000000000002</v>
      </c>
      <c r="Z1187" s="572"/>
      <c r="AA1187" s="12">
        <v>106.95</v>
      </c>
      <c r="AB1187" s="12">
        <f t="shared" si="349"/>
        <v>5.778401122019635</v>
      </c>
      <c r="AC1187" s="12">
        <f t="shared" si="350"/>
        <v>0</v>
      </c>
      <c r="AD1187" s="34"/>
    </row>
    <row r="1188" spans="1:30" ht="16" x14ac:dyDescent="0.2">
      <c r="A1188" s="47"/>
      <c r="B1188" s="575"/>
      <c r="C1188" s="176">
        <f t="shared" si="340"/>
        <v>1185</v>
      </c>
      <c r="D1188" s="146">
        <v>45909</v>
      </c>
      <c r="E1188" s="37">
        <v>45912</v>
      </c>
      <c r="F1188" s="65" t="s">
        <v>210</v>
      </c>
      <c r="G1188" s="11" t="str">
        <f ca="1">IF(AND(E1188&lt;&gt;"",E1188&lt;TODAY()),"Disponible",IFERROR(INDEX(Vehiculos[Estado Vehiculo],MATCH(F1188,Vehiculos[Placa Vehiculo],0)),""))</f>
        <v>Disponible</v>
      </c>
      <c r="H1188" s="34" t="s">
        <v>238</v>
      </c>
      <c r="I1188" s="34" t="s">
        <v>273</v>
      </c>
      <c r="J1188" s="34"/>
      <c r="K1188" s="39">
        <v>99246</v>
      </c>
      <c r="L1188" s="39">
        <v>99862</v>
      </c>
      <c r="M1188" s="15">
        <f t="shared" si="346"/>
        <v>616</v>
      </c>
      <c r="N1188" s="15"/>
      <c r="O1188" s="39"/>
      <c r="P1188" s="36"/>
      <c r="Q1188" s="16">
        <f t="shared" si="347"/>
        <v>0</v>
      </c>
      <c r="R1188" s="34" t="s">
        <v>339</v>
      </c>
      <c r="S1188" s="34" t="s">
        <v>102</v>
      </c>
      <c r="T1188" s="36">
        <v>1.8</v>
      </c>
      <c r="U1188" s="293">
        <f>Rutas[[#This Row],[Precio x Galón ($/gal)]]*Rutas[[#This Row],[Volumen de Combustible (gal)]]</f>
        <v>165.6</v>
      </c>
      <c r="V1188" s="36"/>
      <c r="W1188" s="36"/>
      <c r="X1188" s="36"/>
      <c r="Y1188" s="145">
        <f t="shared" si="348"/>
        <v>165.6</v>
      </c>
      <c r="Z1188" s="572"/>
      <c r="AA1188" s="12">
        <v>92</v>
      </c>
      <c r="AB1188" s="12">
        <f t="shared" si="349"/>
        <v>6.6956521739130439</v>
      </c>
      <c r="AC1188" s="12">
        <f t="shared" si="350"/>
        <v>0</v>
      </c>
      <c r="AD1188" s="34"/>
    </row>
    <row r="1189" spans="1:30" ht="16" x14ac:dyDescent="0.2">
      <c r="A1189" s="47"/>
      <c r="B1189" s="575"/>
      <c r="C1189" s="176">
        <f t="shared" si="340"/>
        <v>1186</v>
      </c>
      <c r="D1189" s="454">
        <v>45912</v>
      </c>
      <c r="E1189" s="37">
        <v>45915</v>
      </c>
      <c r="F1189" s="65" t="s">
        <v>210</v>
      </c>
      <c r="G1189" s="11" t="str">
        <f ca="1">IF(AND(E1189&lt;&gt;"",E1189&lt;TODAY()),"Disponible",IFERROR(INDEX(Vehiculos[Estado Vehiculo],MATCH(F1189,Vehiculos[Placa Vehiculo],0)),""))</f>
        <v>Disponible</v>
      </c>
      <c r="H1189" s="34" t="s">
        <v>238</v>
      </c>
      <c r="I1189" s="34" t="s">
        <v>273</v>
      </c>
      <c r="J1189" s="34"/>
      <c r="K1189" s="39">
        <v>99862</v>
      </c>
      <c r="L1189" s="39">
        <v>100372</v>
      </c>
      <c r="M1189" s="15">
        <f t="shared" ref="M1189:M1194" si="351">L1189-K1189</f>
        <v>510</v>
      </c>
      <c r="N1189" s="15"/>
      <c r="O1189" s="39"/>
      <c r="P1189" s="36"/>
      <c r="Q1189" s="16">
        <f t="shared" ref="Q1189:Q1194" si="352">M1189*P1189</f>
        <v>0</v>
      </c>
      <c r="R1189" s="34" t="s">
        <v>339</v>
      </c>
      <c r="S1189" s="34" t="s">
        <v>102</v>
      </c>
      <c r="T1189" s="36">
        <v>2.8</v>
      </c>
      <c r="U1189" s="293">
        <f>Rutas[[#This Row],[Precio x Galón ($/gal)]]*Rutas[[#This Row],[Volumen de Combustible (gal)]]</f>
        <v>264.88</v>
      </c>
      <c r="V1189" s="36"/>
      <c r="W1189" s="36"/>
      <c r="X1189" s="36"/>
      <c r="Y1189" s="145">
        <f t="shared" ref="Y1189:Y1194" si="353">U1189+SUM(V1189:X1189)</f>
        <v>264.88</v>
      </c>
      <c r="Z1189" s="572"/>
      <c r="AA1189" s="12">
        <v>94.6</v>
      </c>
      <c r="AB1189" s="12">
        <f t="shared" ref="AB1189:AB1194" si="354">IFERROR(M1189/AA1189,0)</f>
        <v>5.3911205073995774</v>
      </c>
      <c r="AC1189" s="12">
        <f t="shared" ref="AC1189:AC1194" si="355">IFERROR(Q1189/M1189,0)</f>
        <v>0</v>
      </c>
      <c r="AD1189" s="34"/>
    </row>
    <row r="1190" spans="1:30" ht="16" x14ac:dyDescent="0.2">
      <c r="A1190" s="47"/>
      <c r="B1190" s="575"/>
      <c r="C1190" s="176">
        <f t="shared" si="340"/>
        <v>1187</v>
      </c>
      <c r="D1190" s="454">
        <v>45915</v>
      </c>
      <c r="E1190" s="37">
        <v>45918</v>
      </c>
      <c r="F1190" s="65" t="s">
        <v>210</v>
      </c>
      <c r="G1190" s="11" t="str">
        <f ca="1">IF(AND(E1190&lt;&gt;"",E1190&lt;TODAY()),"Disponible",IFERROR(INDEX(Vehiculos[Estado Vehiculo],MATCH(F1190,Vehiculos[Placa Vehiculo],0)),""))</f>
        <v>Disponible</v>
      </c>
      <c r="H1190" s="34" t="s">
        <v>250</v>
      </c>
      <c r="I1190" s="34" t="s">
        <v>273</v>
      </c>
      <c r="J1190" s="34"/>
      <c r="K1190" s="39">
        <v>100372</v>
      </c>
      <c r="L1190" s="39">
        <v>100800</v>
      </c>
      <c r="M1190" s="15">
        <f t="shared" si="351"/>
        <v>428</v>
      </c>
      <c r="N1190" s="15"/>
      <c r="O1190" s="39"/>
      <c r="P1190" s="36"/>
      <c r="Q1190" s="16">
        <f t="shared" si="352"/>
        <v>0</v>
      </c>
      <c r="R1190" s="34" t="s">
        <v>339</v>
      </c>
      <c r="S1190" s="34" t="s">
        <v>102</v>
      </c>
      <c r="T1190" s="36">
        <v>2.8</v>
      </c>
      <c r="U1190" s="293">
        <f>Rutas[[#This Row],[Precio x Galón ($/gal)]]*Rutas[[#This Row],[Volumen de Combustible (gal)]]</f>
        <v>198.12800000000001</v>
      </c>
      <c r="V1190" s="36"/>
      <c r="W1190" s="36"/>
      <c r="X1190" s="36"/>
      <c r="Y1190" s="145">
        <f t="shared" si="353"/>
        <v>198.12800000000001</v>
      </c>
      <c r="Z1190" s="572">
        <v>34943</v>
      </c>
      <c r="AA1190" s="12">
        <v>70.760000000000005</v>
      </c>
      <c r="AB1190" s="12">
        <f t="shared" si="354"/>
        <v>6.0486150367439224</v>
      </c>
      <c r="AC1190" s="12">
        <f t="shared" si="355"/>
        <v>0</v>
      </c>
      <c r="AD1190" s="34"/>
    </row>
    <row r="1191" spans="1:30" ht="16" x14ac:dyDescent="0.2">
      <c r="A1191" s="47"/>
      <c r="B1191" s="575"/>
      <c r="C1191" s="176">
        <f t="shared" si="340"/>
        <v>1188</v>
      </c>
      <c r="D1191" s="454">
        <v>45918</v>
      </c>
      <c r="E1191" s="37">
        <v>45921</v>
      </c>
      <c r="F1191" s="65" t="s">
        <v>210</v>
      </c>
      <c r="G1191" s="11" t="str">
        <f ca="1">IF(AND(E1191&lt;&gt;"",E1191&lt;TODAY()),"Disponible",IFERROR(INDEX(Vehiculos[Estado Vehiculo],MATCH(F1191,Vehiculos[Placa Vehiculo],0)),""))</f>
        <v>Disponible</v>
      </c>
      <c r="H1191" s="34" t="s">
        <v>250</v>
      </c>
      <c r="I1191" s="34" t="s">
        <v>273</v>
      </c>
      <c r="J1191" s="34"/>
      <c r="K1191" s="39">
        <v>100800</v>
      </c>
      <c r="L1191" s="39">
        <v>101393</v>
      </c>
      <c r="M1191" s="15">
        <f t="shared" si="351"/>
        <v>593</v>
      </c>
      <c r="N1191" s="15"/>
      <c r="O1191" s="39"/>
      <c r="P1191" s="36"/>
      <c r="Q1191" s="16">
        <f t="shared" si="352"/>
        <v>0</v>
      </c>
      <c r="R1191" s="34" t="s">
        <v>273</v>
      </c>
      <c r="S1191" s="34" t="s">
        <v>102</v>
      </c>
      <c r="T1191" s="36">
        <v>2.8</v>
      </c>
      <c r="U1191" s="293">
        <f>Rutas[[#This Row],[Precio x Galón ($/gal)]]*Rutas[[#This Row],[Volumen de Combustible (gal)]]</f>
        <v>265.3</v>
      </c>
      <c r="V1191" s="36"/>
      <c r="W1191" s="36"/>
      <c r="X1191" s="36"/>
      <c r="Y1191" s="145">
        <f t="shared" si="353"/>
        <v>265.3</v>
      </c>
      <c r="Z1191" s="572"/>
      <c r="AA1191" s="12">
        <v>94.75</v>
      </c>
      <c r="AB1191" s="12">
        <f t="shared" si="354"/>
        <v>6.2585751978891819</v>
      </c>
      <c r="AC1191" s="12">
        <f t="shared" si="355"/>
        <v>0</v>
      </c>
      <c r="AD1191" s="34"/>
    </row>
    <row r="1192" spans="1:30" ht="16" x14ac:dyDescent="0.2">
      <c r="A1192" s="47"/>
      <c r="B1192" s="575"/>
      <c r="C1192" s="176">
        <f t="shared" si="340"/>
        <v>1189</v>
      </c>
      <c r="D1192" s="454">
        <v>45921</v>
      </c>
      <c r="E1192" s="37">
        <v>45925</v>
      </c>
      <c r="F1192" s="65" t="s">
        <v>210</v>
      </c>
      <c r="G1192" s="11" t="str">
        <f ca="1">IF(AND(E1192&lt;&gt;"",E1192&lt;TODAY()),"Disponible",IFERROR(INDEX(Vehiculos[Estado Vehiculo],MATCH(F1192,Vehiculos[Placa Vehiculo],0)),""))</f>
        <v>Disponible</v>
      </c>
      <c r="H1192" s="34" t="s">
        <v>250</v>
      </c>
      <c r="I1192" s="34" t="s">
        <v>273</v>
      </c>
      <c r="J1192" s="34"/>
      <c r="K1192" s="39">
        <v>101393</v>
      </c>
      <c r="L1192" s="39">
        <v>102110</v>
      </c>
      <c r="M1192" s="15">
        <f t="shared" si="351"/>
        <v>717</v>
      </c>
      <c r="N1192" s="15"/>
      <c r="O1192" s="39"/>
      <c r="P1192" s="36"/>
      <c r="Q1192" s="16">
        <f t="shared" si="352"/>
        <v>0</v>
      </c>
      <c r="R1192" s="34" t="s">
        <v>273</v>
      </c>
      <c r="S1192" s="34" t="s">
        <v>102</v>
      </c>
      <c r="T1192" s="36">
        <v>2.8</v>
      </c>
      <c r="U1192" s="293">
        <f>Rutas[[#This Row],[Precio x Galón ($/gal)]]*Rutas[[#This Row],[Volumen de Combustible (gal)]]</f>
        <v>320.20799999999997</v>
      </c>
      <c r="V1192" s="36"/>
      <c r="W1192" s="36"/>
      <c r="X1192" s="36"/>
      <c r="Y1192" s="145">
        <f t="shared" si="353"/>
        <v>320.20799999999997</v>
      </c>
      <c r="Z1192" s="567"/>
      <c r="AA1192" s="12">
        <v>114.36</v>
      </c>
      <c r="AB1192" s="12">
        <f t="shared" si="354"/>
        <v>6.2696747114375659</v>
      </c>
      <c r="AC1192" s="12">
        <f t="shared" si="355"/>
        <v>0</v>
      </c>
      <c r="AD1192" s="34"/>
    </row>
    <row r="1193" spans="1:30" ht="16" x14ac:dyDescent="0.2">
      <c r="A1193" s="47"/>
      <c r="B1193" s="575"/>
      <c r="C1193" s="176">
        <f t="shared" si="340"/>
        <v>1190</v>
      </c>
      <c r="D1193" s="454">
        <v>45925</v>
      </c>
      <c r="E1193" s="37">
        <v>45928</v>
      </c>
      <c r="F1193" s="65" t="s">
        <v>210</v>
      </c>
      <c r="G1193" s="11" t="str">
        <f ca="1">IF(AND(E1193&lt;&gt;"",E1193&lt;TODAY()),"Disponible",IFERROR(INDEX(Vehiculos[Estado Vehiculo],MATCH(F1193,Vehiculos[Placa Vehiculo],0)),""))</f>
        <v>Disponible</v>
      </c>
      <c r="H1193" s="34" t="s">
        <v>242</v>
      </c>
      <c r="I1193" s="34" t="s">
        <v>273</v>
      </c>
      <c r="J1193" s="34"/>
      <c r="K1193" s="39">
        <v>102110</v>
      </c>
      <c r="L1193" s="39">
        <v>102740</v>
      </c>
      <c r="M1193" s="15">
        <f t="shared" si="351"/>
        <v>630</v>
      </c>
      <c r="N1193" s="452">
        <v>600</v>
      </c>
      <c r="O1193" s="39"/>
      <c r="P1193" s="36"/>
      <c r="Q1193" s="16">
        <f t="shared" si="352"/>
        <v>0</v>
      </c>
      <c r="R1193" s="34" t="s">
        <v>339</v>
      </c>
      <c r="S1193" s="34" t="s">
        <v>102</v>
      </c>
      <c r="T1193" s="36">
        <v>2.8</v>
      </c>
      <c r="U1193" s="293"/>
      <c r="V1193" s="36"/>
      <c r="W1193" s="36"/>
      <c r="X1193" s="36"/>
      <c r="Y1193" s="145">
        <f t="shared" si="353"/>
        <v>0</v>
      </c>
      <c r="Z1193" s="567"/>
      <c r="AA1193" s="12">
        <v>93.81</v>
      </c>
      <c r="AB1193" s="12">
        <f t="shared" si="354"/>
        <v>6.7157019507515185</v>
      </c>
      <c r="AC1193" s="12">
        <f t="shared" si="355"/>
        <v>0</v>
      </c>
      <c r="AD1193" s="34"/>
    </row>
    <row r="1194" spans="1:30" ht="16" x14ac:dyDescent="0.2">
      <c r="A1194" s="47"/>
      <c r="B1194" s="575"/>
      <c r="C1194" s="176">
        <f t="shared" si="340"/>
        <v>1191</v>
      </c>
      <c r="D1194" s="454">
        <v>45928</v>
      </c>
      <c r="E1194" s="37"/>
      <c r="F1194" s="65" t="s">
        <v>210</v>
      </c>
      <c r="G1194" s="11" t="str">
        <f ca="1">IF(AND(E1194&lt;&gt;"",E1194&lt;TODAY()),"Disponible",IFERROR(INDEX(Vehiculos[Estado Vehiculo],MATCH(F1194,Vehiculos[Placa Vehiculo],0)),""))</f>
        <v>Disponible</v>
      </c>
      <c r="H1194" s="34"/>
      <c r="I1194" s="34" t="s">
        <v>273</v>
      </c>
      <c r="J1194" s="34"/>
      <c r="K1194" s="39"/>
      <c r="L1194" s="39"/>
      <c r="M1194" s="15">
        <f t="shared" si="351"/>
        <v>0</v>
      </c>
      <c r="N1194" s="15"/>
      <c r="O1194" s="39"/>
      <c r="P1194" s="36"/>
      <c r="Q1194" s="16">
        <f t="shared" si="352"/>
        <v>0</v>
      </c>
      <c r="R1194" s="34"/>
      <c r="S1194" s="34"/>
      <c r="T1194" s="36"/>
      <c r="U1194" s="293"/>
      <c r="V1194" s="36"/>
      <c r="W1194" s="36"/>
      <c r="X1194" s="36"/>
      <c r="Y1194" s="145">
        <f t="shared" si="353"/>
        <v>0</v>
      </c>
      <c r="Z1194" s="567"/>
      <c r="AA1194" s="12"/>
      <c r="AB1194" s="12">
        <f t="shared" si="354"/>
        <v>0</v>
      </c>
      <c r="AC1194" s="12">
        <f t="shared" si="355"/>
        <v>0</v>
      </c>
      <c r="AD1194" s="34"/>
    </row>
    <row r="1195" spans="1:30" ht="16" x14ac:dyDescent="0.2">
      <c r="A1195" s="47"/>
      <c r="B1195" s="575"/>
      <c r="C1195" s="176">
        <f t="shared" si="340"/>
        <v>1192</v>
      </c>
      <c r="D1195" s="146"/>
      <c r="E1195" s="37"/>
      <c r="F1195" s="65"/>
      <c r="G1195" s="11" t="str">
        <f ca="1">IF(AND(E1195&lt;&gt;"",E1195&lt;TODAY()),"Disponible",IFERROR(INDEX(Vehiculos[Estado Vehiculo],MATCH(F1195,Vehiculos[Placa Vehiculo],0)),""))</f>
        <v/>
      </c>
      <c r="H1195" s="34"/>
      <c r="I1195" s="34"/>
      <c r="J1195" s="34"/>
      <c r="K1195" s="39"/>
      <c r="L1195" s="39"/>
      <c r="M1195" s="15">
        <f t="shared" ref="M1195:M1207" si="356">L1195-K1195</f>
        <v>0</v>
      </c>
      <c r="N1195" s="15"/>
      <c r="O1195" s="39"/>
      <c r="P1195" s="36"/>
      <c r="Q1195" s="16">
        <f t="shared" ref="Q1195:Q1207" si="357">M1195*P1195</f>
        <v>0</v>
      </c>
      <c r="R1195" s="34"/>
      <c r="S1195" s="34"/>
      <c r="T1195" s="36"/>
      <c r="U1195" s="293">
        <f>Rutas[[#This Row],[Precio x Galón ($/gal)]]*Rutas[[#This Row],[Volumen de Combustible (gal)]]</f>
        <v>0</v>
      </c>
      <c r="V1195" s="36"/>
      <c r="W1195" s="36"/>
      <c r="X1195" s="36"/>
      <c r="Y1195" s="145">
        <f t="shared" ref="Y1195:Y1207" si="358">U1195+SUM(V1195:X1195)</f>
        <v>0</v>
      </c>
      <c r="Z1195" s="572"/>
      <c r="AA1195" s="12"/>
      <c r="AB1195" s="12">
        <f t="shared" ref="AB1195:AB1207" si="359">IFERROR(M1195/AA1195,0)</f>
        <v>0</v>
      </c>
      <c r="AC1195" s="12">
        <f t="shared" ref="AC1195:AC1207" si="360">IFERROR(Q1195/M1195,0)</f>
        <v>0</v>
      </c>
      <c r="AD1195" s="34"/>
    </row>
    <row r="1196" spans="1:30" ht="16" x14ac:dyDescent="0.2">
      <c r="A1196" s="47"/>
      <c r="B1196" s="575"/>
      <c r="C1196" s="176">
        <f t="shared" si="340"/>
        <v>1193</v>
      </c>
      <c r="D1196" s="90">
        <v>45901</v>
      </c>
      <c r="E1196" s="90">
        <v>45903</v>
      </c>
      <c r="F1196" s="68" t="s">
        <v>350</v>
      </c>
      <c r="G1196" s="379" t="str">
        <f ca="1">IF(AND(E1196&lt;&gt;"",E1196&lt;TODAY()),"Disponible",IFERROR(INDEX(Vehiculos[Estado Vehiculo],MATCH(F1196,Vehiculos[Placa Vehiculo],0)),""))</f>
        <v>Disponible</v>
      </c>
      <c r="H1196" s="89" t="s">
        <v>422</v>
      </c>
      <c r="I1196" s="89" t="s">
        <v>273</v>
      </c>
      <c r="J1196" s="89"/>
      <c r="K1196" s="380">
        <v>39270</v>
      </c>
      <c r="L1196" s="380">
        <v>39750</v>
      </c>
      <c r="M1196" s="381">
        <f t="shared" si="356"/>
        <v>480</v>
      </c>
      <c r="N1196" s="381"/>
      <c r="O1196" s="380"/>
      <c r="P1196" s="92"/>
      <c r="Q1196" s="382">
        <f t="shared" si="357"/>
        <v>0</v>
      </c>
      <c r="R1196" s="89" t="s">
        <v>339</v>
      </c>
      <c r="S1196" s="89" t="s">
        <v>102</v>
      </c>
      <c r="T1196" s="92">
        <v>1.8</v>
      </c>
      <c r="U1196" s="92">
        <f>Rutas[[#This Row],[Precio x Galón ($/gal)]]*Rutas[[#This Row],[Volumen de Combustible (gal)]]</f>
        <v>165.27599999999998</v>
      </c>
      <c r="V1196" s="92"/>
      <c r="W1196" s="92"/>
      <c r="X1196" s="92"/>
      <c r="Y1196" s="382">
        <f t="shared" si="358"/>
        <v>165.27599999999998</v>
      </c>
      <c r="Z1196" s="572"/>
      <c r="AA1196" s="382">
        <v>91.82</v>
      </c>
      <c r="AB1196" s="382">
        <f t="shared" si="359"/>
        <v>5.2276192550642566</v>
      </c>
      <c r="AC1196" s="382">
        <f t="shared" si="360"/>
        <v>0</v>
      </c>
      <c r="AD1196" s="89"/>
    </row>
    <row r="1197" spans="1:30" ht="16" x14ac:dyDescent="0.2">
      <c r="A1197" s="47"/>
      <c r="B1197" s="575"/>
      <c r="C1197" s="176">
        <f t="shared" si="340"/>
        <v>1194</v>
      </c>
      <c r="D1197" s="146">
        <v>45903</v>
      </c>
      <c r="E1197" s="37">
        <v>45907</v>
      </c>
      <c r="F1197" s="65" t="s">
        <v>350</v>
      </c>
      <c r="G1197" s="11" t="str">
        <f ca="1">IF(AND(E1197&lt;&gt;"",E1197&lt;TODAY()),"Disponible",IFERROR(INDEX(Vehiculos[Estado Vehiculo],MATCH(F1197,Vehiculos[Placa Vehiculo],0)),""))</f>
        <v>Disponible</v>
      </c>
      <c r="H1197" s="34" t="s">
        <v>422</v>
      </c>
      <c r="I1197" s="34" t="s">
        <v>273</v>
      </c>
      <c r="J1197" s="34"/>
      <c r="K1197" s="39">
        <v>39750</v>
      </c>
      <c r="L1197" s="39">
        <v>40314</v>
      </c>
      <c r="M1197" s="15">
        <f t="shared" si="356"/>
        <v>564</v>
      </c>
      <c r="N1197" s="15"/>
      <c r="O1197" s="39"/>
      <c r="P1197" s="36"/>
      <c r="Q1197" s="16">
        <f t="shared" si="357"/>
        <v>0</v>
      </c>
      <c r="R1197" s="34" t="s">
        <v>339</v>
      </c>
      <c r="S1197" s="34" t="s">
        <v>102</v>
      </c>
      <c r="T1197" s="36">
        <v>1.8</v>
      </c>
      <c r="U1197" s="293">
        <f>Rutas[[#This Row],[Precio x Galón ($/gal)]]*Rutas[[#This Row],[Volumen de Combustible (gal)]]</f>
        <v>180.97200000000001</v>
      </c>
      <c r="V1197" s="36"/>
      <c r="W1197" s="36"/>
      <c r="X1197" s="36"/>
      <c r="Y1197" s="145">
        <f t="shared" si="358"/>
        <v>180.97200000000001</v>
      </c>
      <c r="Z1197" s="572"/>
      <c r="AA1197" s="12">
        <v>100.54</v>
      </c>
      <c r="AB1197" s="12">
        <f t="shared" si="359"/>
        <v>5.6097075790730058</v>
      </c>
      <c r="AC1197" s="12">
        <f t="shared" si="360"/>
        <v>0</v>
      </c>
      <c r="AD1197" s="34"/>
    </row>
    <row r="1198" spans="1:30" ht="16" x14ac:dyDescent="0.2">
      <c r="A1198" s="47"/>
      <c r="B1198" s="575"/>
      <c r="C1198" s="176">
        <f t="shared" si="340"/>
        <v>1195</v>
      </c>
      <c r="D1198" s="454">
        <v>45907</v>
      </c>
      <c r="E1198" s="37">
        <v>45910</v>
      </c>
      <c r="F1198" s="65" t="s">
        <v>350</v>
      </c>
      <c r="G1198" s="11" t="str">
        <f ca="1">IF(AND(E1198&lt;&gt;"",E1198&lt;TODAY()),"Disponible",IFERROR(INDEX(Vehiculos[Estado Vehiculo],MATCH(F1198,Vehiculos[Placa Vehiculo],0)),""))</f>
        <v>Disponible</v>
      </c>
      <c r="H1198" s="34" t="s">
        <v>237</v>
      </c>
      <c r="I1198" s="34" t="s">
        <v>273</v>
      </c>
      <c r="J1198" s="34"/>
      <c r="K1198" s="39">
        <v>40314</v>
      </c>
      <c r="L1198" s="39">
        <v>40754</v>
      </c>
      <c r="M1198" s="15">
        <f t="shared" si="356"/>
        <v>440</v>
      </c>
      <c r="N1198" s="15"/>
      <c r="O1198" s="39"/>
      <c r="P1198" s="36"/>
      <c r="Q1198" s="16">
        <f t="shared" si="357"/>
        <v>0</v>
      </c>
      <c r="R1198" s="34" t="s">
        <v>339</v>
      </c>
      <c r="S1198" s="34" t="s">
        <v>102</v>
      </c>
      <c r="T1198" s="36">
        <v>1.8</v>
      </c>
      <c r="U1198" s="293">
        <f>Rutas[[#This Row],[Precio x Galón ($/gal)]]*Rutas[[#This Row],[Volumen de Combustible (gal)]]</f>
        <v>150.17400000000001</v>
      </c>
      <c r="V1198" s="36"/>
      <c r="W1198" s="36"/>
      <c r="X1198" s="36"/>
      <c r="Y1198" s="145">
        <f t="shared" si="358"/>
        <v>150.17400000000001</v>
      </c>
      <c r="Z1198" s="572"/>
      <c r="AA1198" s="12">
        <v>83.43</v>
      </c>
      <c r="AB1198" s="12">
        <f t="shared" si="359"/>
        <v>5.2738822965360175</v>
      </c>
      <c r="AC1198" s="12">
        <f t="shared" si="360"/>
        <v>0</v>
      </c>
      <c r="AD1198" s="34"/>
    </row>
    <row r="1199" spans="1:30" ht="16" x14ac:dyDescent="0.2">
      <c r="A1199" s="47"/>
      <c r="B1199" s="575"/>
      <c r="C1199" s="176">
        <f t="shared" si="340"/>
        <v>1196</v>
      </c>
      <c r="D1199" s="146">
        <v>45910</v>
      </c>
      <c r="E1199" s="37">
        <v>45914</v>
      </c>
      <c r="F1199" s="65" t="s">
        <v>350</v>
      </c>
      <c r="G1199" s="11" t="str">
        <f ca="1">IF(AND(E1199&lt;&gt;"",E1199&lt;TODAY()),"Disponible",IFERROR(INDEX(Vehiculos[Estado Vehiculo],MATCH(F1199,Vehiculos[Placa Vehiculo],0)),""))</f>
        <v>Disponible</v>
      </c>
      <c r="H1199" s="34" t="s">
        <v>237</v>
      </c>
      <c r="I1199" s="34" t="s">
        <v>273</v>
      </c>
      <c r="J1199" s="34"/>
      <c r="K1199" s="39">
        <v>40754</v>
      </c>
      <c r="L1199" s="39">
        <v>41406</v>
      </c>
      <c r="M1199" s="15">
        <f t="shared" si="356"/>
        <v>652</v>
      </c>
      <c r="N1199" s="15"/>
      <c r="O1199" s="39"/>
      <c r="P1199" s="36"/>
      <c r="Q1199" s="16">
        <f t="shared" si="357"/>
        <v>0</v>
      </c>
      <c r="R1199" s="34" t="s">
        <v>339</v>
      </c>
      <c r="S1199" s="34" t="s">
        <v>102</v>
      </c>
      <c r="T1199" s="36">
        <v>2.8</v>
      </c>
      <c r="U1199" s="293">
        <f>Rutas[[#This Row],[Precio x Galón ($/gal)]]*Rutas[[#This Row],[Volumen de Combustible (gal)]]</f>
        <v>349.41199999999998</v>
      </c>
      <c r="V1199" s="36"/>
      <c r="W1199" s="36"/>
      <c r="X1199" s="36"/>
      <c r="Y1199" s="145">
        <f t="shared" si="358"/>
        <v>349.41199999999998</v>
      </c>
      <c r="Z1199" s="572"/>
      <c r="AA1199" s="12">
        <v>124.79</v>
      </c>
      <c r="AB1199" s="12">
        <f t="shared" si="359"/>
        <v>5.2247776264123722</v>
      </c>
      <c r="AC1199" s="12">
        <f t="shared" si="360"/>
        <v>0</v>
      </c>
      <c r="AD1199" s="34"/>
    </row>
    <row r="1200" spans="1:30" ht="16" x14ac:dyDescent="0.2">
      <c r="A1200" s="47"/>
      <c r="B1200" s="575"/>
      <c r="C1200" s="176">
        <f t="shared" si="340"/>
        <v>1197</v>
      </c>
      <c r="D1200" s="146">
        <v>45914</v>
      </c>
      <c r="E1200" s="37">
        <v>45917</v>
      </c>
      <c r="F1200" s="65" t="s">
        <v>350</v>
      </c>
      <c r="G1200" s="11" t="str">
        <f ca="1">IF(AND(E1200&lt;&gt;"",E1200&lt;TODAY()),"Disponible",IFERROR(INDEX(Vehiculos[Estado Vehiculo],MATCH(F1200,Vehiculos[Placa Vehiculo],0)),""))</f>
        <v>Disponible</v>
      </c>
      <c r="H1200" s="34" t="s">
        <v>237</v>
      </c>
      <c r="I1200" s="34" t="s">
        <v>273</v>
      </c>
      <c r="J1200" s="34"/>
      <c r="K1200" s="39">
        <v>41406</v>
      </c>
      <c r="L1200" s="39">
        <v>41769</v>
      </c>
      <c r="M1200" s="15">
        <f t="shared" si="356"/>
        <v>363</v>
      </c>
      <c r="N1200" s="15"/>
      <c r="O1200" s="39"/>
      <c r="P1200" s="36"/>
      <c r="Q1200" s="16">
        <f t="shared" si="357"/>
        <v>0</v>
      </c>
      <c r="R1200" s="34" t="s">
        <v>339</v>
      </c>
      <c r="S1200" s="34" t="s">
        <v>102</v>
      </c>
      <c r="T1200" s="36">
        <v>2.8</v>
      </c>
      <c r="U1200" s="293">
        <f>Rutas[[#This Row],[Precio x Galón ($/gal)]]*Rutas[[#This Row],[Volumen de Combustible (gal)]]</f>
        <v>169.14799999999997</v>
      </c>
      <c r="V1200" s="36"/>
      <c r="W1200" s="36"/>
      <c r="X1200" s="36"/>
      <c r="Y1200" s="145">
        <f t="shared" si="358"/>
        <v>169.14799999999997</v>
      </c>
      <c r="Z1200" s="572"/>
      <c r="AA1200" s="12">
        <v>60.41</v>
      </c>
      <c r="AB1200" s="12">
        <f t="shared" si="359"/>
        <v>6.0089389173977823</v>
      </c>
      <c r="AC1200" s="12">
        <f t="shared" si="360"/>
        <v>0</v>
      </c>
      <c r="AD1200" s="34"/>
    </row>
    <row r="1201" spans="1:30" ht="16" x14ac:dyDescent="0.2">
      <c r="A1201" s="47"/>
      <c r="B1201" s="575"/>
      <c r="C1201" s="176">
        <f t="shared" si="340"/>
        <v>1198</v>
      </c>
      <c r="D1201" s="454">
        <v>45917</v>
      </c>
      <c r="E1201" s="37">
        <v>45920</v>
      </c>
      <c r="F1201" s="65" t="s">
        <v>350</v>
      </c>
      <c r="G1201" s="11" t="str">
        <f ca="1">IF(AND(E1201&lt;&gt;"",E1201&lt;TODAY()),"Disponible",IFERROR(INDEX(Vehiculos[Estado Vehiculo],MATCH(F1201,Vehiculos[Placa Vehiculo],0)),""))</f>
        <v>Disponible</v>
      </c>
      <c r="H1201" s="34" t="s">
        <v>422</v>
      </c>
      <c r="I1201" s="34" t="s">
        <v>273</v>
      </c>
      <c r="J1201" s="34"/>
      <c r="K1201" s="39">
        <v>41769</v>
      </c>
      <c r="L1201" s="39">
        <v>42255</v>
      </c>
      <c r="M1201" s="15">
        <f t="shared" si="356"/>
        <v>486</v>
      </c>
      <c r="N1201" s="15"/>
      <c r="O1201" s="39"/>
      <c r="P1201" s="36"/>
      <c r="Q1201" s="16">
        <f t="shared" si="357"/>
        <v>0</v>
      </c>
      <c r="R1201" s="34" t="s">
        <v>273</v>
      </c>
      <c r="S1201" s="34" t="s">
        <v>102</v>
      </c>
      <c r="T1201" s="36">
        <v>2.8</v>
      </c>
      <c r="U1201" s="293">
        <f>Rutas[[#This Row],[Precio x Galón ($/gal)]]*Rutas[[#This Row],[Volumen de Combustible (gal)]]</f>
        <v>228.22800000000001</v>
      </c>
      <c r="V1201" s="36"/>
      <c r="W1201" s="36"/>
      <c r="X1201" s="36"/>
      <c r="Y1201" s="145">
        <f t="shared" si="358"/>
        <v>228.22800000000001</v>
      </c>
      <c r="Z1201" s="572"/>
      <c r="AA1201" s="12">
        <v>81.510000000000005</v>
      </c>
      <c r="AB1201" s="12">
        <f t="shared" si="359"/>
        <v>5.9624585940375407</v>
      </c>
      <c r="AC1201" s="12">
        <f t="shared" si="360"/>
        <v>0</v>
      </c>
      <c r="AD1201" s="34"/>
    </row>
    <row r="1202" spans="1:30" ht="16" x14ac:dyDescent="0.2">
      <c r="A1202" s="47"/>
      <c r="B1202" s="575"/>
      <c r="C1202" s="176">
        <f t="shared" si="340"/>
        <v>1199</v>
      </c>
      <c r="D1202" s="454">
        <v>45920</v>
      </c>
      <c r="E1202" s="37">
        <v>45924</v>
      </c>
      <c r="F1202" s="65" t="s">
        <v>350</v>
      </c>
      <c r="G1202" s="11" t="str">
        <f ca="1">IF(AND(E1202&lt;&gt;"",E1202&lt;TODAY()),"Disponible",IFERROR(INDEX(Vehiculos[Estado Vehiculo],MATCH(F1202,Vehiculos[Placa Vehiculo],0)),""))</f>
        <v>Disponible</v>
      </c>
      <c r="H1202" s="34" t="s">
        <v>422</v>
      </c>
      <c r="I1202" s="34" t="s">
        <v>273</v>
      </c>
      <c r="J1202" s="34"/>
      <c r="K1202" s="39">
        <v>42255</v>
      </c>
      <c r="L1202" s="39">
        <v>42822</v>
      </c>
      <c r="M1202" s="15">
        <f t="shared" si="356"/>
        <v>567</v>
      </c>
      <c r="N1202" s="452">
        <v>500</v>
      </c>
      <c r="O1202" s="39"/>
      <c r="P1202" s="36"/>
      <c r="Q1202" s="16">
        <f t="shared" si="357"/>
        <v>0</v>
      </c>
      <c r="R1202" s="34" t="s">
        <v>273</v>
      </c>
      <c r="S1202" s="34" t="s">
        <v>102</v>
      </c>
      <c r="T1202" s="36">
        <v>2.8</v>
      </c>
      <c r="U1202" s="293">
        <f>Rutas[[#This Row],[Precio x Galón ($/gal)]]*Rutas[[#This Row],[Volumen de Combustible (gal)]]</f>
        <v>271.26399999999995</v>
      </c>
      <c r="V1202" s="36"/>
      <c r="W1202" s="36"/>
      <c r="X1202" s="36"/>
      <c r="Y1202" s="145">
        <f t="shared" si="358"/>
        <v>271.26399999999995</v>
      </c>
      <c r="Z1202" s="567"/>
      <c r="AA1202" s="12">
        <v>96.88</v>
      </c>
      <c r="AB1202" s="12">
        <f t="shared" si="359"/>
        <v>5.8526011560693645</v>
      </c>
      <c r="AC1202" s="12">
        <f t="shared" si="360"/>
        <v>0</v>
      </c>
      <c r="AD1202" s="34"/>
    </row>
    <row r="1203" spans="1:30" ht="16" x14ac:dyDescent="0.2">
      <c r="A1203" s="47"/>
      <c r="B1203" s="575"/>
      <c r="C1203" s="176">
        <f t="shared" si="340"/>
        <v>1200</v>
      </c>
      <c r="D1203" s="454">
        <v>45924</v>
      </c>
      <c r="E1203" s="37">
        <v>45928</v>
      </c>
      <c r="F1203" s="65" t="s">
        <v>350</v>
      </c>
      <c r="G1203" s="11" t="str">
        <f ca="1">IF(AND(E1203&lt;&gt;"",E1203&lt;TODAY()),"Disponible",IFERROR(INDEX(Vehiculos[Estado Vehiculo],MATCH(F1203,Vehiculos[Placa Vehiculo],0)),""))</f>
        <v>Disponible</v>
      </c>
      <c r="H1203" s="34" t="s">
        <v>234</v>
      </c>
      <c r="I1203" s="34" t="s">
        <v>273</v>
      </c>
      <c r="J1203" s="34"/>
      <c r="K1203" s="39">
        <v>42822</v>
      </c>
      <c r="L1203" s="39">
        <v>43480</v>
      </c>
      <c r="M1203" s="15">
        <f t="shared" si="356"/>
        <v>658</v>
      </c>
      <c r="N1203" s="15"/>
      <c r="O1203" s="39"/>
      <c r="P1203" s="36"/>
      <c r="Q1203" s="16">
        <f t="shared" si="357"/>
        <v>0</v>
      </c>
      <c r="R1203" s="34" t="s">
        <v>339</v>
      </c>
      <c r="S1203" s="34" t="s">
        <v>102</v>
      </c>
      <c r="T1203" s="36">
        <v>2.8</v>
      </c>
      <c r="U1203" s="293">
        <f>Rutas[[#This Row],[Precio x Galón ($/gal)]]*Rutas[[#This Row],[Volumen de Combustible (gal)]]</f>
        <v>310.01599999999996</v>
      </c>
      <c r="V1203" s="36"/>
      <c r="W1203" s="36"/>
      <c r="X1203" s="36"/>
      <c r="Y1203" s="145">
        <f t="shared" si="358"/>
        <v>310.01599999999996</v>
      </c>
      <c r="Z1203" s="567"/>
      <c r="AA1203" s="12">
        <v>110.72</v>
      </c>
      <c r="AB1203" s="12">
        <f t="shared" si="359"/>
        <v>5.9429190751445091</v>
      </c>
      <c r="AC1203" s="12">
        <f t="shared" si="360"/>
        <v>0</v>
      </c>
      <c r="AD1203" s="34"/>
    </row>
    <row r="1204" spans="1:30" ht="16" x14ac:dyDescent="0.2">
      <c r="A1204" s="47"/>
      <c r="B1204" s="575"/>
      <c r="C1204" s="176">
        <f t="shared" si="340"/>
        <v>1201</v>
      </c>
      <c r="D1204" s="454">
        <v>45928</v>
      </c>
      <c r="E1204" s="37">
        <v>45930</v>
      </c>
      <c r="F1204" s="65" t="s">
        <v>350</v>
      </c>
      <c r="G1204" s="11" t="str">
        <f ca="1">IF(AND(E1204&lt;&gt;"",E1204&lt;TODAY()),"Disponible",IFERROR(INDEX(Vehiculos[Estado Vehiculo],MATCH(F1204,Vehiculos[Placa Vehiculo],0)),""))</f>
        <v>Disponible</v>
      </c>
      <c r="H1204" s="34"/>
      <c r="I1204" s="34" t="s">
        <v>273</v>
      </c>
      <c r="J1204" s="34"/>
      <c r="K1204" s="39"/>
      <c r="L1204" s="39"/>
      <c r="M1204" s="15">
        <f t="shared" si="356"/>
        <v>0</v>
      </c>
      <c r="N1204" s="15"/>
      <c r="O1204" s="39"/>
      <c r="P1204" s="36"/>
      <c r="Q1204" s="16">
        <f t="shared" si="357"/>
        <v>0</v>
      </c>
      <c r="R1204" s="34"/>
      <c r="S1204" s="34"/>
      <c r="T1204" s="36"/>
      <c r="U1204" s="293"/>
      <c r="V1204" s="36"/>
      <c r="W1204" s="36"/>
      <c r="X1204" s="36"/>
      <c r="Y1204" s="145">
        <f t="shared" si="358"/>
        <v>0</v>
      </c>
      <c r="Z1204" s="567"/>
      <c r="AA1204" s="12"/>
      <c r="AB1204" s="12">
        <f t="shared" si="359"/>
        <v>0</v>
      </c>
      <c r="AC1204" s="12">
        <f t="shared" si="360"/>
        <v>0</v>
      </c>
      <c r="AD1204" s="34"/>
    </row>
    <row r="1205" spans="1:30" ht="16" x14ac:dyDescent="0.2">
      <c r="A1205" s="47"/>
      <c r="B1205" s="575"/>
      <c r="C1205" s="176">
        <f t="shared" si="340"/>
        <v>1202</v>
      </c>
      <c r="D1205" s="454"/>
      <c r="E1205" s="37"/>
      <c r="F1205" s="65"/>
      <c r="G1205" s="11" t="str">
        <f ca="1">IF(AND(E1205&lt;&gt;"",E1205&lt;TODAY()),"Disponible",IFERROR(INDEX(Vehiculos[Estado Vehiculo],MATCH(F1205,Vehiculos[Placa Vehiculo],0)),""))</f>
        <v/>
      </c>
      <c r="H1205" s="34"/>
      <c r="I1205" s="34"/>
      <c r="J1205" s="34"/>
      <c r="K1205" s="39"/>
      <c r="L1205" s="39"/>
      <c r="M1205" s="15">
        <f t="shared" si="356"/>
        <v>0</v>
      </c>
      <c r="N1205" s="15"/>
      <c r="O1205" s="39"/>
      <c r="P1205" s="36"/>
      <c r="Q1205" s="16">
        <f t="shared" si="357"/>
        <v>0</v>
      </c>
      <c r="R1205" s="34"/>
      <c r="S1205" s="34"/>
      <c r="T1205" s="36"/>
      <c r="U1205" s="293"/>
      <c r="V1205" s="36"/>
      <c r="W1205" s="36"/>
      <c r="X1205" s="36"/>
      <c r="Y1205" s="145">
        <f t="shared" si="358"/>
        <v>0</v>
      </c>
      <c r="Z1205" s="567"/>
      <c r="AA1205" s="12"/>
      <c r="AB1205" s="12">
        <f t="shared" si="359"/>
        <v>0</v>
      </c>
      <c r="AC1205" s="12">
        <f t="shared" si="360"/>
        <v>0</v>
      </c>
      <c r="AD1205" s="34"/>
    </row>
    <row r="1206" spans="1:30" ht="16" x14ac:dyDescent="0.2">
      <c r="A1206" s="47"/>
      <c r="B1206" s="575"/>
      <c r="C1206" s="176">
        <f t="shared" si="340"/>
        <v>1203</v>
      </c>
      <c r="D1206" s="146"/>
      <c r="E1206" s="37"/>
      <c r="F1206" s="65"/>
      <c r="G1206" s="11" t="str">
        <f ca="1">IF(AND(E1206&lt;&gt;"",E1206&lt;TODAY()),"Disponible",IFERROR(INDEX(Vehiculos[Estado Vehiculo],MATCH(F1206,Vehiculos[Placa Vehiculo],0)),""))</f>
        <v/>
      </c>
      <c r="H1206" s="34"/>
      <c r="I1206" s="34"/>
      <c r="J1206" s="34"/>
      <c r="K1206" s="39"/>
      <c r="L1206" s="39"/>
      <c r="M1206" s="15">
        <f t="shared" si="356"/>
        <v>0</v>
      </c>
      <c r="N1206" s="15"/>
      <c r="O1206" s="39"/>
      <c r="P1206" s="36"/>
      <c r="Q1206" s="16">
        <f t="shared" si="357"/>
        <v>0</v>
      </c>
      <c r="R1206" s="34"/>
      <c r="S1206" s="34"/>
      <c r="T1206" s="36"/>
      <c r="U1206" s="293">
        <f>Rutas[[#This Row],[Precio x Galón ($/gal)]]*Rutas[[#This Row],[Volumen de Combustible (gal)]]</f>
        <v>0</v>
      </c>
      <c r="V1206" s="36"/>
      <c r="W1206" s="36"/>
      <c r="X1206" s="36"/>
      <c r="Y1206" s="145">
        <f t="shared" si="358"/>
        <v>0</v>
      </c>
      <c r="Z1206" s="572"/>
      <c r="AA1206" s="12"/>
      <c r="AB1206" s="12">
        <f t="shared" si="359"/>
        <v>0</v>
      </c>
      <c r="AC1206" s="12">
        <f t="shared" si="360"/>
        <v>0</v>
      </c>
      <c r="AD1206" s="34"/>
    </row>
    <row r="1207" spans="1:30" ht="16" x14ac:dyDescent="0.2">
      <c r="A1207" s="47"/>
      <c r="B1207" s="575"/>
      <c r="C1207" s="176">
        <f t="shared" si="340"/>
        <v>1204</v>
      </c>
      <c r="D1207" s="90">
        <v>45901</v>
      </c>
      <c r="E1207" s="90">
        <v>45904</v>
      </c>
      <c r="F1207" s="68" t="s">
        <v>403</v>
      </c>
      <c r="G1207" s="379" t="str">
        <f ca="1">IF(AND(E1207&lt;&gt;"",E1207&lt;TODAY()),"Disponible",IFERROR(INDEX(Vehiculos[Estado Vehiculo],MATCH(F1207,Vehiculos[Placa Vehiculo],0)),""))</f>
        <v>Disponible</v>
      </c>
      <c r="H1207" s="89" t="s">
        <v>242</v>
      </c>
      <c r="I1207" s="89" t="s">
        <v>273</v>
      </c>
      <c r="J1207" s="89" t="s">
        <v>282</v>
      </c>
      <c r="K1207" s="380">
        <v>195273</v>
      </c>
      <c r="L1207" s="380">
        <v>195806</v>
      </c>
      <c r="M1207" s="381">
        <f t="shared" si="356"/>
        <v>533</v>
      </c>
      <c r="N1207" s="381"/>
      <c r="O1207" s="380"/>
      <c r="P1207" s="92"/>
      <c r="Q1207" s="382">
        <f t="shared" si="357"/>
        <v>0</v>
      </c>
      <c r="R1207" s="89" t="s">
        <v>471</v>
      </c>
      <c r="S1207" s="89" t="s">
        <v>102</v>
      </c>
      <c r="T1207" s="92">
        <v>1.8</v>
      </c>
      <c r="U1207" s="92">
        <f>Rutas[[#This Row],[Precio x Galón ($/gal)]]*Rutas[[#This Row],[Volumen de Combustible (gal)]]</f>
        <v>180</v>
      </c>
      <c r="V1207" s="92"/>
      <c r="W1207" s="92"/>
      <c r="X1207" s="92"/>
      <c r="Y1207" s="382">
        <f t="shared" si="358"/>
        <v>180</v>
      </c>
      <c r="Z1207" s="572"/>
      <c r="AA1207" s="382">
        <v>100</v>
      </c>
      <c r="AB1207" s="382">
        <f t="shared" si="359"/>
        <v>5.33</v>
      </c>
      <c r="AC1207" s="382">
        <f t="shared" si="360"/>
        <v>0</v>
      </c>
      <c r="AD1207" s="89"/>
    </row>
    <row r="1208" spans="1:30" ht="16" x14ac:dyDescent="0.2">
      <c r="A1208" s="47"/>
      <c r="B1208" s="575"/>
      <c r="C1208" s="176">
        <f t="shared" si="340"/>
        <v>1205</v>
      </c>
      <c r="D1208" s="146">
        <v>45904</v>
      </c>
      <c r="E1208" s="37">
        <v>45908</v>
      </c>
      <c r="F1208" s="65" t="s">
        <v>403</v>
      </c>
      <c r="G1208" s="11" t="str">
        <f ca="1">IF(AND(E1208&lt;&gt;"",E1208&lt;TODAY()),"Disponible",IFERROR(INDEX(Vehiculos[Estado Vehiculo],MATCH(F1208,Vehiculos[Placa Vehiculo],0)),""))</f>
        <v>Disponible</v>
      </c>
      <c r="H1208" s="34" t="s">
        <v>411</v>
      </c>
      <c r="I1208" s="34" t="s">
        <v>273</v>
      </c>
      <c r="J1208" s="34" t="s">
        <v>282</v>
      </c>
      <c r="K1208" s="39">
        <v>195806</v>
      </c>
      <c r="L1208" s="39">
        <v>196415</v>
      </c>
      <c r="M1208" s="15">
        <f t="shared" ref="M1208:M1217" si="361">L1208-K1208</f>
        <v>609</v>
      </c>
      <c r="N1208" s="15"/>
      <c r="O1208" s="36"/>
      <c r="P1208" s="36"/>
      <c r="Q1208" s="16">
        <f t="shared" ref="Q1208:Q1217" si="362">M1208*P1208</f>
        <v>0</v>
      </c>
      <c r="R1208" s="34" t="s">
        <v>471</v>
      </c>
      <c r="S1208" s="34" t="s">
        <v>102</v>
      </c>
      <c r="T1208" s="36">
        <v>1.8</v>
      </c>
      <c r="U1208" s="293">
        <f>Rutas[[#This Row],[Precio x Galón ($/gal)]]*Rutas[[#This Row],[Volumen de Combustible (gal)]]</f>
        <v>90</v>
      </c>
      <c r="V1208" s="36"/>
      <c r="W1208" s="36"/>
      <c r="X1208" s="36"/>
      <c r="Y1208" s="145">
        <f t="shared" ref="Y1208:Y1217" si="363">U1208+SUM(V1208:X1208)</f>
        <v>90</v>
      </c>
      <c r="Z1208" s="567"/>
      <c r="AA1208" s="12">
        <v>50</v>
      </c>
      <c r="AB1208" s="12">
        <f t="shared" ref="AB1208:AB1217" si="364">IFERROR(M1208/AA1208,0)</f>
        <v>12.18</v>
      </c>
      <c r="AC1208" s="12">
        <f t="shared" ref="AC1208:AC1217" si="365">IFERROR(Q1208/M1208,0)</f>
        <v>0</v>
      </c>
      <c r="AD1208" s="89"/>
    </row>
    <row r="1209" spans="1:30" ht="16" x14ac:dyDescent="0.2">
      <c r="A1209" s="47"/>
      <c r="B1209" s="575"/>
      <c r="C1209" s="176">
        <f t="shared" si="340"/>
        <v>1206</v>
      </c>
      <c r="D1209" s="37">
        <v>45908</v>
      </c>
      <c r="E1209" s="37">
        <v>45911</v>
      </c>
      <c r="F1209" s="65" t="s">
        <v>403</v>
      </c>
      <c r="G1209" s="11" t="str">
        <f ca="1">IF(AND(E1209&lt;&gt;"",E1209&lt;TODAY()),"Disponible",IFERROR(INDEX(Vehiculos[Estado Vehiculo],MATCH(F1209,Vehiculos[Placa Vehiculo],0)),""))</f>
        <v>Disponible</v>
      </c>
      <c r="H1209" s="34" t="s">
        <v>242</v>
      </c>
      <c r="I1209" s="34" t="s">
        <v>273</v>
      </c>
      <c r="J1209" s="34" t="s">
        <v>282</v>
      </c>
      <c r="K1209" s="39">
        <v>196415</v>
      </c>
      <c r="L1209" s="39">
        <v>196784</v>
      </c>
      <c r="M1209" s="15">
        <f t="shared" si="361"/>
        <v>369</v>
      </c>
      <c r="N1209" s="15"/>
      <c r="O1209" s="36"/>
      <c r="P1209" s="36"/>
      <c r="Q1209" s="16">
        <f t="shared" si="362"/>
        <v>0</v>
      </c>
      <c r="R1209" s="34" t="s">
        <v>471</v>
      </c>
      <c r="S1209" s="34" t="s">
        <v>102</v>
      </c>
      <c r="T1209" s="36">
        <v>1.8</v>
      </c>
      <c r="U1209" s="293">
        <f>Rutas[[#This Row],[Precio x Galón ($/gal)]]*Rutas[[#This Row],[Volumen de Combustible (gal)]]</f>
        <v>100.17</v>
      </c>
      <c r="V1209" s="36"/>
      <c r="W1209" s="36"/>
      <c r="X1209" s="36"/>
      <c r="Y1209" s="145">
        <f t="shared" si="363"/>
        <v>100.17</v>
      </c>
      <c r="Z1209" s="567"/>
      <c r="AA1209" s="12">
        <v>55.65</v>
      </c>
      <c r="AB1209" s="12">
        <f t="shared" si="364"/>
        <v>6.6307277628032351</v>
      </c>
      <c r="AC1209" s="12">
        <f t="shared" si="365"/>
        <v>0</v>
      </c>
      <c r="AD1209" s="89"/>
    </row>
    <row r="1210" spans="1:30" ht="16" x14ac:dyDescent="0.2">
      <c r="A1210" s="47"/>
      <c r="B1210" s="575"/>
      <c r="C1210" s="176">
        <f t="shared" si="340"/>
        <v>1207</v>
      </c>
      <c r="D1210" s="37">
        <v>45911</v>
      </c>
      <c r="E1210" s="37">
        <v>45913</v>
      </c>
      <c r="F1210" s="65" t="s">
        <v>403</v>
      </c>
      <c r="G1210" s="11" t="str">
        <f ca="1">IF(AND(E1210&lt;&gt;"",E1210&lt;TODAY()),"Disponible",IFERROR(INDEX(Vehiculos[Estado Vehiculo],MATCH(F1210,Vehiculos[Placa Vehiculo],0)),""))</f>
        <v>Disponible</v>
      </c>
      <c r="H1210" s="34" t="s">
        <v>242</v>
      </c>
      <c r="I1210" s="34" t="s">
        <v>273</v>
      </c>
      <c r="J1210" s="34" t="s">
        <v>282</v>
      </c>
      <c r="K1210" s="39">
        <v>196784</v>
      </c>
      <c r="L1210" s="39">
        <v>197023</v>
      </c>
      <c r="M1210" s="15">
        <f t="shared" si="361"/>
        <v>239</v>
      </c>
      <c r="N1210" s="15"/>
      <c r="O1210" s="36"/>
      <c r="P1210" s="36"/>
      <c r="Q1210" s="16">
        <f t="shared" si="362"/>
        <v>0</v>
      </c>
      <c r="R1210" s="34" t="s">
        <v>471</v>
      </c>
      <c r="S1210" s="34" t="s">
        <v>102</v>
      </c>
      <c r="T1210" s="36">
        <v>1.8</v>
      </c>
      <c r="U1210" s="293">
        <f>Rutas[[#This Row],[Precio x Galón ($/gal)]]*Rutas[[#This Row],[Volumen de Combustible (gal)]]</f>
        <v>64.278000000000006</v>
      </c>
      <c r="V1210" s="36"/>
      <c r="W1210" s="36"/>
      <c r="X1210" s="36"/>
      <c r="Y1210" s="145">
        <f t="shared" si="363"/>
        <v>64.278000000000006</v>
      </c>
      <c r="Z1210" s="567"/>
      <c r="AA1210" s="12">
        <v>35.71</v>
      </c>
      <c r="AB1210" s="12">
        <f t="shared" si="364"/>
        <v>6.6928031363763649</v>
      </c>
      <c r="AC1210" s="12">
        <f t="shared" si="365"/>
        <v>0</v>
      </c>
      <c r="AD1210" s="89"/>
    </row>
    <row r="1211" spans="1:30" ht="16" x14ac:dyDescent="0.2">
      <c r="A1211" s="47"/>
      <c r="B1211" s="575"/>
      <c r="C1211" s="176">
        <f t="shared" si="340"/>
        <v>1208</v>
      </c>
      <c r="D1211" s="37">
        <v>45913</v>
      </c>
      <c r="E1211" s="37">
        <v>45914</v>
      </c>
      <c r="F1211" s="65" t="s">
        <v>403</v>
      </c>
      <c r="G1211" s="11" t="str">
        <f ca="1">IF(AND(E1211&lt;&gt;"",E1211&lt;TODAY()),"Disponible",IFERROR(INDEX(Vehiculos[Estado Vehiculo],MATCH(F1211,Vehiculos[Placa Vehiculo],0)),""))</f>
        <v>Disponible</v>
      </c>
      <c r="H1211" s="34" t="s">
        <v>242</v>
      </c>
      <c r="I1211" s="34" t="s">
        <v>273</v>
      </c>
      <c r="J1211" s="34" t="s">
        <v>282</v>
      </c>
      <c r="K1211" s="39">
        <v>197023</v>
      </c>
      <c r="L1211" s="39">
        <v>197354</v>
      </c>
      <c r="M1211" s="15">
        <f t="shared" si="361"/>
        <v>331</v>
      </c>
      <c r="N1211" s="15"/>
      <c r="O1211" s="36"/>
      <c r="P1211" s="36"/>
      <c r="Q1211" s="16">
        <f t="shared" si="362"/>
        <v>0</v>
      </c>
      <c r="R1211" s="34" t="s">
        <v>471</v>
      </c>
      <c r="S1211" s="34" t="s">
        <v>102</v>
      </c>
      <c r="T1211" s="36">
        <v>2.8</v>
      </c>
      <c r="U1211" s="293">
        <f>Rutas[[#This Row],[Precio x Galón ($/gal)]]*Rutas[[#This Row],[Volumen de Combustible (gal)]]</f>
        <v>179.98399999999998</v>
      </c>
      <c r="V1211" s="36"/>
      <c r="W1211" s="36"/>
      <c r="X1211" s="36"/>
      <c r="Y1211" s="145">
        <f t="shared" si="363"/>
        <v>179.98399999999998</v>
      </c>
      <c r="Z1211" s="567"/>
      <c r="AA1211" s="12">
        <v>64.28</v>
      </c>
      <c r="AB1211" s="12">
        <f t="shared" si="364"/>
        <v>5.1493466085874298</v>
      </c>
      <c r="AC1211" s="12">
        <f t="shared" si="365"/>
        <v>0</v>
      </c>
      <c r="AD1211" s="89"/>
    </row>
    <row r="1212" spans="1:30" ht="16" x14ac:dyDescent="0.2">
      <c r="A1212" s="47"/>
      <c r="B1212" s="575"/>
      <c r="C1212" s="176">
        <f t="shared" si="340"/>
        <v>1209</v>
      </c>
      <c r="D1212" s="37">
        <v>45914</v>
      </c>
      <c r="E1212" s="37">
        <v>45917</v>
      </c>
      <c r="F1212" s="65" t="s">
        <v>403</v>
      </c>
      <c r="G1212" s="11" t="str">
        <f ca="1">IF(AND(E1212&lt;&gt;"",E1212&lt;TODAY()),"Disponible",IFERROR(INDEX(Vehiculos[Estado Vehiculo],MATCH(F1212,Vehiculos[Placa Vehiculo],0)),""))</f>
        <v>Disponible</v>
      </c>
      <c r="H1212" s="34" t="s">
        <v>242</v>
      </c>
      <c r="I1212" s="34" t="s">
        <v>273</v>
      </c>
      <c r="J1212" s="34" t="s">
        <v>282</v>
      </c>
      <c r="K1212" s="39">
        <v>197354</v>
      </c>
      <c r="L1212" s="39">
        <v>197695</v>
      </c>
      <c r="M1212" s="15">
        <f t="shared" si="361"/>
        <v>341</v>
      </c>
      <c r="N1212" s="15"/>
      <c r="O1212" s="36"/>
      <c r="P1212" s="36"/>
      <c r="Q1212" s="16">
        <f t="shared" si="362"/>
        <v>0</v>
      </c>
      <c r="R1212" s="34" t="s">
        <v>340</v>
      </c>
      <c r="S1212" s="34" t="s">
        <v>102</v>
      </c>
      <c r="T1212" s="36">
        <v>2.8</v>
      </c>
      <c r="U1212" s="293">
        <f>Rutas[[#This Row],[Precio x Galón ($/gal)]]*Rutas[[#This Row],[Volumen de Combustible (gal)]]</f>
        <v>99.988</v>
      </c>
      <c r="V1212" s="36"/>
      <c r="W1212" s="36"/>
      <c r="X1212" s="36"/>
      <c r="Y1212" s="145">
        <f t="shared" si="363"/>
        <v>99.988</v>
      </c>
      <c r="Z1212" s="567"/>
      <c r="AA1212" s="12">
        <v>35.71</v>
      </c>
      <c r="AB1212" s="12">
        <f t="shared" si="364"/>
        <v>9.5491458975077013</v>
      </c>
      <c r="AC1212" s="12">
        <f t="shared" si="365"/>
        <v>0</v>
      </c>
      <c r="AD1212" s="89"/>
    </row>
    <row r="1213" spans="1:30" ht="16" x14ac:dyDescent="0.2">
      <c r="A1213" s="47"/>
      <c r="B1213" s="575"/>
      <c r="C1213" s="176">
        <f t="shared" si="340"/>
        <v>1210</v>
      </c>
      <c r="D1213" s="37">
        <v>45917</v>
      </c>
      <c r="E1213" s="37">
        <v>45918</v>
      </c>
      <c r="F1213" s="65" t="s">
        <v>403</v>
      </c>
      <c r="G1213" s="11" t="str">
        <f ca="1">IF(AND(E1213&lt;&gt;"",E1213&lt;TODAY()),"Disponible",IFERROR(INDEX(Vehiculos[Estado Vehiculo],MATCH(F1213,Vehiculos[Placa Vehiculo],0)),""))</f>
        <v>Disponible</v>
      </c>
      <c r="H1213" s="34" t="s">
        <v>411</v>
      </c>
      <c r="I1213" s="34" t="s">
        <v>273</v>
      </c>
      <c r="J1213" s="34" t="s">
        <v>282</v>
      </c>
      <c r="K1213" s="39">
        <v>197695</v>
      </c>
      <c r="L1213" s="39">
        <v>197998</v>
      </c>
      <c r="M1213" s="15">
        <f t="shared" si="361"/>
        <v>303</v>
      </c>
      <c r="N1213" s="15"/>
      <c r="O1213" s="36"/>
      <c r="P1213" s="36"/>
      <c r="Q1213" s="16">
        <f t="shared" si="362"/>
        <v>0</v>
      </c>
      <c r="R1213" s="34" t="s">
        <v>340</v>
      </c>
      <c r="S1213" s="34" t="s">
        <v>102</v>
      </c>
      <c r="T1213" s="36">
        <v>2.8</v>
      </c>
      <c r="U1213" s="293">
        <f>Rutas[[#This Row],[Precio x Galón ($/gal)]]*Rutas[[#This Row],[Volumen de Combustible (gal)]]</f>
        <v>280</v>
      </c>
      <c r="V1213" s="36"/>
      <c r="W1213" s="36"/>
      <c r="X1213" s="36"/>
      <c r="Y1213" s="145">
        <f t="shared" si="363"/>
        <v>280</v>
      </c>
      <c r="Z1213" s="567"/>
      <c r="AA1213" s="12">
        <v>100</v>
      </c>
      <c r="AB1213" s="12">
        <f t="shared" si="364"/>
        <v>3.03</v>
      </c>
      <c r="AC1213" s="12">
        <f t="shared" si="365"/>
        <v>0</v>
      </c>
      <c r="AD1213" s="89"/>
    </row>
    <row r="1214" spans="1:30" ht="16" x14ac:dyDescent="0.2">
      <c r="A1214" s="47"/>
      <c r="B1214" s="575"/>
      <c r="C1214" s="176">
        <f t="shared" si="340"/>
        <v>1211</v>
      </c>
      <c r="D1214" s="37">
        <v>45918</v>
      </c>
      <c r="E1214" s="37">
        <v>45921</v>
      </c>
      <c r="F1214" s="65" t="s">
        <v>403</v>
      </c>
      <c r="G1214" s="11" t="str">
        <f ca="1">IF(AND(E1214&lt;&gt;"",E1214&lt;TODAY()),"Disponible",IFERROR(INDEX(Vehiculos[Estado Vehiculo],MATCH(F1214,Vehiculos[Placa Vehiculo],0)),""))</f>
        <v>Disponible</v>
      </c>
      <c r="H1214" s="34" t="s">
        <v>411</v>
      </c>
      <c r="I1214" s="34" t="s">
        <v>273</v>
      </c>
      <c r="J1214" s="34" t="s">
        <v>282</v>
      </c>
      <c r="K1214" s="39">
        <v>197998</v>
      </c>
      <c r="L1214" s="39">
        <v>198549</v>
      </c>
      <c r="M1214" s="15">
        <f t="shared" si="361"/>
        <v>551</v>
      </c>
      <c r="N1214" s="15"/>
      <c r="O1214" s="36"/>
      <c r="P1214" s="36"/>
      <c r="Q1214" s="16">
        <f t="shared" si="362"/>
        <v>0</v>
      </c>
      <c r="R1214" s="34" t="s">
        <v>340</v>
      </c>
      <c r="S1214" s="34" t="s">
        <v>102</v>
      </c>
      <c r="T1214" s="36">
        <v>2.8</v>
      </c>
      <c r="U1214" s="293">
        <f>Rutas[[#This Row],[Precio x Galón ($/gal)]]*Rutas[[#This Row],[Volumen de Combustible (gal)]]</f>
        <v>56</v>
      </c>
      <c r="V1214" s="36"/>
      <c r="W1214" s="36"/>
      <c r="X1214" s="36"/>
      <c r="Y1214" s="145">
        <f t="shared" si="363"/>
        <v>56</v>
      </c>
      <c r="Z1214" s="567"/>
      <c r="AA1214" s="12">
        <v>20</v>
      </c>
      <c r="AB1214" s="12">
        <f t="shared" si="364"/>
        <v>27.55</v>
      </c>
      <c r="AC1214" s="12">
        <f t="shared" si="365"/>
        <v>0</v>
      </c>
      <c r="AD1214" s="89"/>
    </row>
    <row r="1215" spans="1:30" ht="16" x14ac:dyDescent="0.2">
      <c r="A1215" s="47"/>
      <c r="B1215" s="575"/>
      <c r="C1215" s="176">
        <f t="shared" si="340"/>
        <v>1212</v>
      </c>
      <c r="D1215" s="37">
        <v>45921</v>
      </c>
      <c r="E1215" s="37">
        <v>45923</v>
      </c>
      <c r="F1215" s="65" t="s">
        <v>403</v>
      </c>
      <c r="G1215" s="11" t="str">
        <f ca="1">IF(AND(E1215&lt;&gt;"",E1215&lt;TODAY()),"Disponible",IFERROR(INDEX(Vehiculos[Estado Vehiculo],MATCH(F1215,Vehiculos[Placa Vehiculo],0)),""))</f>
        <v>Disponible</v>
      </c>
      <c r="H1215" s="34" t="s">
        <v>411</v>
      </c>
      <c r="I1215" s="34" t="s">
        <v>273</v>
      </c>
      <c r="J1215" s="34" t="s">
        <v>282</v>
      </c>
      <c r="K1215" s="39">
        <v>198549</v>
      </c>
      <c r="L1215" s="39">
        <v>198783</v>
      </c>
      <c r="M1215" s="15">
        <f t="shared" si="361"/>
        <v>234</v>
      </c>
      <c r="N1215" s="15"/>
      <c r="O1215" s="36"/>
      <c r="P1215" s="36"/>
      <c r="Q1215" s="16">
        <f t="shared" si="362"/>
        <v>0</v>
      </c>
      <c r="R1215" s="34" t="s">
        <v>340</v>
      </c>
      <c r="S1215" s="34" t="s">
        <v>102</v>
      </c>
      <c r="T1215" s="36">
        <v>2.8</v>
      </c>
      <c r="U1215" s="293">
        <f>Rutas[[#This Row],[Precio x Galón ($/gal)]]*Rutas[[#This Row],[Volumen de Combustible (gal)]]</f>
        <v>302.39999999999998</v>
      </c>
      <c r="V1215" s="36"/>
      <c r="W1215" s="36"/>
      <c r="X1215" s="36"/>
      <c r="Y1215" s="145">
        <f t="shared" si="363"/>
        <v>302.39999999999998</v>
      </c>
      <c r="Z1215" s="567"/>
      <c r="AA1215" s="12">
        <v>108</v>
      </c>
      <c r="AB1215" s="12">
        <f t="shared" si="364"/>
        <v>2.1666666666666665</v>
      </c>
      <c r="AC1215" s="12">
        <f t="shared" si="365"/>
        <v>0</v>
      </c>
      <c r="AD1215" s="89"/>
    </row>
    <row r="1216" spans="1:30" ht="16" x14ac:dyDescent="0.2">
      <c r="A1216" s="47"/>
      <c r="B1216" s="575"/>
      <c r="C1216" s="176">
        <f t="shared" si="340"/>
        <v>1213</v>
      </c>
      <c r="D1216" s="37">
        <v>45923</v>
      </c>
      <c r="E1216" s="37">
        <v>45927</v>
      </c>
      <c r="F1216" s="65" t="s">
        <v>403</v>
      </c>
      <c r="G1216" s="11" t="str">
        <f ca="1">IF(AND(E1216&lt;&gt;"",E1216&lt;TODAY()),"Disponible",IFERROR(INDEX(Vehiculos[Estado Vehiculo],MATCH(F1216,Vehiculos[Placa Vehiculo],0)),""))</f>
        <v>Disponible</v>
      </c>
      <c r="H1216" s="34" t="s">
        <v>411</v>
      </c>
      <c r="I1216" s="34" t="s">
        <v>273</v>
      </c>
      <c r="J1216" s="34" t="s">
        <v>282</v>
      </c>
      <c r="K1216" s="39">
        <v>198783</v>
      </c>
      <c r="L1216" s="39">
        <v>199460</v>
      </c>
      <c r="M1216" s="15">
        <f t="shared" si="361"/>
        <v>677</v>
      </c>
      <c r="N1216" s="15"/>
      <c r="O1216" s="36"/>
      <c r="P1216" s="36"/>
      <c r="Q1216" s="16">
        <f t="shared" si="362"/>
        <v>0</v>
      </c>
      <c r="R1216" s="34" t="s">
        <v>340</v>
      </c>
      <c r="S1216" s="34" t="s">
        <v>102</v>
      </c>
      <c r="T1216" s="36">
        <v>2.8</v>
      </c>
      <c r="U1216" s="293">
        <f>Rutas[[#This Row],[Precio x Galón ($/gal)]]*Rutas[[#This Row],[Volumen de Combustible (gal)]]</f>
        <v>112</v>
      </c>
      <c r="V1216" s="36"/>
      <c r="W1216" s="36"/>
      <c r="X1216" s="36"/>
      <c r="Y1216" s="145">
        <f t="shared" si="363"/>
        <v>112</v>
      </c>
      <c r="Z1216" s="567"/>
      <c r="AA1216" s="12">
        <v>40</v>
      </c>
      <c r="AB1216" s="12">
        <f t="shared" si="364"/>
        <v>16.925000000000001</v>
      </c>
      <c r="AC1216" s="12">
        <f t="shared" si="365"/>
        <v>0</v>
      </c>
      <c r="AD1216" s="89"/>
    </row>
    <row r="1217" spans="1:30" ht="16" x14ac:dyDescent="0.2">
      <c r="A1217" s="47"/>
      <c r="B1217" s="575"/>
      <c r="C1217" s="176">
        <f t="shared" si="340"/>
        <v>1214</v>
      </c>
      <c r="D1217" s="37">
        <v>45927</v>
      </c>
      <c r="E1217" s="37">
        <v>45930</v>
      </c>
      <c r="F1217" s="65" t="s">
        <v>403</v>
      </c>
      <c r="G1217" s="11" t="str">
        <f ca="1">IF(AND(E1217&lt;&gt;"",E1217&lt;TODAY()),"Disponible",IFERROR(INDEX(Vehiculos[Estado Vehiculo],MATCH(F1217,Vehiculos[Placa Vehiculo],0)),""))</f>
        <v>Disponible</v>
      </c>
      <c r="H1217" s="34" t="s">
        <v>411</v>
      </c>
      <c r="I1217" s="34" t="s">
        <v>273</v>
      </c>
      <c r="J1217" s="34" t="s">
        <v>282</v>
      </c>
      <c r="K1217" s="39">
        <v>199460</v>
      </c>
      <c r="L1217" s="39">
        <v>200031</v>
      </c>
      <c r="M1217" s="15">
        <f t="shared" si="361"/>
        <v>571</v>
      </c>
      <c r="N1217" s="452">
        <v>284</v>
      </c>
      <c r="O1217" s="36"/>
      <c r="P1217" s="36"/>
      <c r="Q1217" s="16">
        <f t="shared" si="362"/>
        <v>0</v>
      </c>
      <c r="R1217" s="34"/>
      <c r="S1217" s="34" t="s">
        <v>102</v>
      </c>
      <c r="T1217" s="36">
        <v>2.8</v>
      </c>
      <c r="U1217" s="293">
        <f>Rutas[[#This Row],[Precio x Galón ($/gal)]]*Rutas[[#This Row],[Volumen de Combustible (gal)]]</f>
        <v>0</v>
      </c>
      <c r="V1217" s="36"/>
      <c r="W1217" s="36"/>
      <c r="X1217" s="36"/>
      <c r="Y1217" s="145">
        <f t="shared" si="363"/>
        <v>0</v>
      </c>
      <c r="Z1217" s="567"/>
      <c r="AA1217" s="12"/>
      <c r="AB1217" s="12">
        <f t="shared" si="364"/>
        <v>0</v>
      </c>
      <c r="AC1217" s="12">
        <f t="shared" si="365"/>
        <v>0</v>
      </c>
      <c r="AD1217" s="89"/>
    </row>
    <row r="1218" spans="1:30" ht="16" x14ac:dyDescent="0.2">
      <c r="A1218" s="47"/>
      <c r="B1218" s="575"/>
      <c r="C1218" s="176">
        <f t="shared" si="340"/>
        <v>1215</v>
      </c>
      <c r="D1218" s="146"/>
      <c r="E1218" s="37"/>
      <c r="F1218" s="65"/>
      <c r="G1218" s="11" t="str">
        <f ca="1">IF(AND(E1218&lt;&gt;"",E1218&lt;TODAY()),"Disponible",IFERROR(INDEX(Vehiculos[Estado Vehiculo],MATCH(F1218,Vehiculos[Placa Vehiculo],0)),""))</f>
        <v/>
      </c>
      <c r="H1218" s="34"/>
      <c r="I1218" s="34"/>
      <c r="J1218" s="34"/>
      <c r="K1218" s="39"/>
      <c r="L1218" s="39"/>
      <c r="M1218" s="15"/>
      <c r="N1218" s="15"/>
      <c r="O1218" s="39"/>
      <c r="P1218" s="36"/>
      <c r="Q1218" s="16">
        <f t="shared" ref="Q1218:Q1229" si="366">M1218*P1218</f>
        <v>0</v>
      </c>
      <c r="R1218" s="34"/>
      <c r="S1218" s="34" t="s">
        <v>102</v>
      </c>
      <c r="T1218" s="36">
        <v>2.8</v>
      </c>
      <c r="U1218" s="293">
        <f>Rutas[[#This Row],[Precio x Galón ($/gal)]]*Rutas[[#This Row],[Volumen de Combustible (gal)]]</f>
        <v>0</v>
      </c>
      <c r="V1218" s="36"/>
      <c r="W1218" s="36"/>
      <c r="X1218" s="36"/>
      <c r="Y1218" s="145">
        <f t="shared" ref="Y1218:Y1229" si="367">U1218+SUM(V1218:X1218)</f>
        <v>0</v>
      </c>
      <c r="Z1218" s="572"/>
      <c r="AA1218" s="12"/>
      <c r="AB1218" s="12">
        <f t="shared" ref="AB1218:AB1229" si="368">IFERROR(M1218/AA1218,0)</f>
        <v>0</v>
      </c>
      <c r="AC1218" s="12">
        <f t="shared" ref="AC1218:AC1229" si="369">IFERROR(Q1218/M1218,0)</f>
        <v>0</v>
      </c>
      <c r="AD1218" s="34"/>
    </row>
    <row r="1219" spans="1:30" ht="16" x14ac:dyDescent="0.2">
      <c r="A1219" s="47"/>
      <c r="B1219" s="575"/>
      <c r="C1219" s="176">
        <f t="shared" si="340"/>
        <v>1216</v>
      </c>
      <c r="D1219" s="146"/>
      <c r="E1219" s="37"/>
      <c r="F1219" s="65"/>
      <c r="G1219" s="11" t="str">
        <f ca="1">IF(AND(E1219&lt;&gt;"",E1219&lt;TODAY()),"Disponible",IFERROR(INDEX(Vehiculos[Estado Vehiculo],MATCH(F1219,Vehiculos[Placa Vehiculo],0)),""))</f>
        <v/>
      </c>
      <c r="H1219" s="34"/>
      <c r="I1219" s="34"/>
      <c r="J1219" s="34"/>
      <c r="K1219" s="39"/>
      <c r="L1219" s="39"/>
      <c r="M1219" s="15"/>
      <c r="N1219" s="15"/>
      <c r="O1219" s="39"/>
      <c r="P1219" s="36"/>
      <c r="Q1219" s="16">
        <f t="shared" si="366"/>
        <v>0</v>
      </c>
      <c r="R1219" s="34"/>
      <c r="S1219" s="34"/>
      <c r="T1219" s="36"/>
      <c r="U1219" s="293">
        <f>Rutas[[#This Row],[Precio x Galón ($/gal)]]*Rutas[[#This Row],[Volumen de Combustible (gal)]]</f>
        <v>0</v>
      </c>
      <c r="V1219" s="36"/>
      <c r="W1219" s="36"/>
      <c r="X1219" s="36"/>
      <c r="Y1219" s="145">
        <f t="shared" si="367"/>
        <v>0</v>
      </c>
      <c r="Z1219" s="572"/>
      <c r="AA1219" s="12"/>
      <c r="AB1219" s="12">
        <f t="shared" si="368"/>
        <v>0</v>
      </c>
      <c r="AC1219" s="12">
        <f t="shared" si="369"/>
        <v>0</v>
      </c>
      <c r="AD1219" s="34"/>
    </row>
    <row r="1220" spans="1:30" ht="16" x14ac:dyDescent="0.2">
      <c r="A1220" s="47"/>
      <c r="B1220" s="575"/>
      <c r="C1220" s="176">
        <f t="shared" ref="C1220:C1283" si="370">ROW(A1217)</f>
        <v>1217</v>
      </c>
      <c r="D1220" s="90">
        <v>45901</v>
      </c>
      <c r="E1220" s="90">
        <v>45902</v>
      </c>
      <c r="F1220" s="68" t="s">
        <v>365</v>
      </c>
      <c r="G1220" s="379" t="str">
        <f ca="1">IF(AND(E1220&lt;&gt;"",E1220&lt;TODAY()),"Disponible",IFERROR(INDEX(Vehiculos[Estado Vehiculo],MATCH(F1220,Vehiculos[Placa Vehiculo],0)),""))</f>
        <v>Disponible</v>
      </c>
      <c r="H1220" s="89" t="s">
        <v>240</v>
      </c>
      <c r="I1220" s="89" t="s">
        <v>273</v>
      </c>
      <c r="J1220" s="89" t="s">
        <v>274</v>
      </c>
      <c r="K1220" s="380">
        <v>362403</v>
      </c>
      <c r="L1220" s="380">
        <v>362485</v>
      </c>
      <c r="M1220" s="381">
        <f t="shared" ref="M1220:M1229" si="371">L1220-K1220</f>
        <v>82</v>
      </c>
      <c r="N1220" s="381"/>
      <c r="O1220" s="380"/>
      <c r="P1220" s="92"/>
      <c r="Q1220" s="382">
        <f t="shared" si="366"/>
        <v>0</v>
      </c>
      <c r="R1220" s="89" t="s">
        <v>340</v>
      </c>
      <c r="S1220" s="89" t="s">
        <v>102</v>
      </c>
      <c r="T1220" s="92">
        <v>1.8</v>
      </c>
      <c r="U1220" s="92">
        <f>Rutas[[#This Row],[Precio x Galón ($/gal)]]*Rutas[[#This Row],[Volumen de Combustible (gal)]]</f>
        <v>117</v>
      </c>
      <c r="V1220" s="92"/>
      <c r="W1220" s="92"/>
      <c r="X1220" s="92"/>
      <c r="Y1220" s="382">
        <f t="shared" si="367"/>
        <v>117</v>
      </c>
      <c r="Z1220" s="572"/>
      <c r="AA1220" s="382">
        <v>65</v>
      </c>
      <c r="AB1220" s="382">
        <f t="shared" si="368"/>
        <v>1.2615384615384615</v>
      </c>
      <c r="AC1220" s="382">
        <f t="shared" si="369"/>
        <v>0</v>
      </c>
      <c r="AD1220" s="89"/>
    </row>
    <row r="1221" spans="1:30" ht="16" x14ac:dyDescent="0.2">
      <c r="A1221" s="47"/>
      <c r="B1221" s="575"/>
      <c r="C1221" s="176">
        <f t="shared" si="370"/>
        <v>1218</v>
      </c>
      <c r="D1221" s="146">
        <v>45902</v>
      </c>
      <c r="E1221" s="146">
        <v>45905</v>
      </c>
      <c r="F1221" s="65" t="s">
        <v>365</v>
      </c>
      <c r="G1221" s="11" t="str">
        <f ca="1">IF(AND(E1221&lt;&gt;"",E1221&lt;TODAY()),"Disponible",IFERROR(INDEX(Vehiculos[Estado Vehiculo],MATCH(F1221,Vehiculos[Placa Vehiculo],0)),""))</f>
        <v>Disponible</v>
      </c>
      <c r="H1221" s="34" t="s">
        <v>234</v>
      </c>
      <c r="I1221" s="34" t="s">
        <v>273</v>
      </c>
      <c r="J1221" s="34" t="s">
        <v>274</v>
      </c>
      <c r="K1221" s="39">
        <v>362485</v>
      </c>
      <c r="L1221" s="39">
        <v>362705</v>
      </c>
      <c r="M1221" s="15">
        <f t="shared" si="371"/>
        <v>220</v>
      </c>
      <c r="N1221" s="15"/>
      <c r="O1221" s="39"/>
      <c r="P1221" s="39"/>
      <c r="Q1221" s="16">
        <f t="shared" si="366"/>
        <v>0</v>
      </c>
      <c r="R1221" s="34" t="s">
        <v>340</v>
      </c>
      <c r="S1221" s="34" t="s">
        <v>102</v>
      </c>
      <c r="T1221" s="36">
        <v>1.8</v>
      </c>
      <c r="U1221" s="293">
        <f>Rutas[[#This Row],[Precio x Galón ($/gal)]]*Rutas[[#This Row],[Volumen de Combustible (gal)]]</f>
        <v>122.4</v>
      </c>
      <c r="V1221" s="34"/>
      <c r="W1221" s="34"/>
      <c r="X1221" s="34"/>
      <c r="Y1221" s="145">
        <f t="shared" si="367"/>
        <v>122.4</v>
      </c>
      <c r="Z1221" s="567"/>
      <c r="AA1221" s="12">
        <v>68</v>
      </c>
      <c r="AB1221" s="12">
        <f t="shared" si="368"/>
        <v>3.2352941176470589</v>
      </c>
      <c r="AC1221" s="12">
        <f t="shared" si="369"/>
        <v>0</v>
      </c>
      <c r="AD1221" s="89"/>
    </row>
    <row r="1222" spans="1:30" ht="16" x14ac:dyDescent="0.2">
      <c r="A1222" s="47"/>
      <c r="B1222" s="575"/>
      <c r="C1222" s="176">
        <f t="shared" si="370"/>
        <v>1219</v>
      </c>
      <c r="D1222" s="146">
        <v>45905</v>
      </c>
      <c r="E1222" s="146">
        <v>45910</v>
      </c>
      <c r="F1222" s="65" t="s">
        <v>365</v>
      </c>
      <c r="G1222" s="11" t="str">
        <f ca="1">IF(AND(E1222&lt;&gt;"",E1222&lt;TODAY()),"Disponible",IFERROR(INDEX(Vehiculos[Estado Vehiculo],MATCH(F1222,Vehiculos[Placa Vehiculo],0)),""))</f>
        <v>Disponible</v>
      </c>
      <c r="H1222" s="34" t="s">
        <v>240</v>
      </c>
      <c r="I1222" s="34" t="s">
        <v>273</v>
      </c>
      <c r="J1222" s="34" t="s">
        <v>274</v>
      </c>
      <c r="K1222" s="39">
        <v>362705</v>
      </c>
      <c r="L1222" s="39">
        <v>363012</v>
      </c>
      <c r="M1222" s="15">
        <f t="shared" si="371"/>
        <v>307</v>
      </c>
      <c r="N1222" s="15"/>
      <c r="O1222" s="39"/>
      <c r="P1222" s="39"/>
      <c r="Q1222" s="16">
        <f t="shared" si="366"/>
        <v>0</v>
      </c>
      <c r="R1222" s="34" t="s">
        <v>340</v>
      </c>
      <c r="S1222" s="34" t="s">
        <v>102</v>
      </c>
      <c r="T1222" s="36">
        <v>1.8</v>
      </c>
      <c r="U1222" s="293">
        <f>Rutas[[#This Row],[Precio x Galón ($/gal)]]*Rutas[[#This Row],[Volumen de Combustible (gal)]]</f>
        <v>120.60000000000001</v>
      </c>
      <c r="V1222" s="34"/>
      <c r="W1222" s="34"/>
      <c r="X1222" s="34"/>
      <c r="Y1222" s="145">
        <f t="shared" si="367"/>
        <v>120.60000000000001</v>
      </c>
      <c r="Z1222" s="567"/>
      <c r="AA1222" s="12">
        <v>67</v>
      </c>
      <c r="AB1222" s="12">
        <f t="shared" si="368"/>
        <v>4.5820895522388057</v>
      </c>
      <c r="AC1222" s="12">
        <f t="shared" si="369"/>
        <v>0</v>
      </c>
      <c r="AD1222" s="89"/>
    </row>
    <row r="1223" spans="1:30" ht="16" x14ac:dyDescent="0.2">
      <c r="A1223" s="47"/>
      <c r="B1223" s="575"/>
      <c r="C1223" s="176">
        <f t="shared" si="370"/>
        <v>1220</v>
      </c>
      <c r="D1223" s="146">
        <v>45910</v>
      </c>
      <c r="E1223" s="146">
        <v>45914</v>
      </c>
      <c r="F1223" s="65" t="s">
        <v>365</v>
      </c>
      <c r="G1223" s="11" t="str">
        <f ca="1">IF(AND(E1223&lt;&gt;"",E1223&lt;TODAY()),"Disponible",IFERROR(INDEX(Vehiculos[Estado Vehiculo],MATCH(F1223,Vehiculos[Placa Vehiculo],0)),""))</f>
        <v>Disponible</v>
      </c>
      <c r="H1223" s="34" t="s">
        <v>240</v>
      </c>
      <c r="I1223" s="34" t="s">
        <v>273</v>
      </c>
      <c r="J1223" s="34" t="s">
        <v>274</v>
      </c>
      <c r="K1223" s="39">
        <v>363012</v>
      </c>
      <c r="L1223" s="39">
        <v>363300</v>
      </c>
      <c r="M1223" s="15">
        <f t="shared" si="371"/>
        <v>288</v>
      </c>
      <c r="N1223" s="15"/>
      <c r="O1223" s="39"/>
      <c r="P1223" s="39"/>
      <c r="Q1223" s="16">
        <f t="shared" si="366"/>
        <v>0</v>
      </c>
      <c r="R1223" s="34" t="s">
        <v>340</v>
      </c>
      <c r="S1223" s="34" t="s">
        <v>102</v>
      </c>
      <c r="T1223" s="36">
        <v>2.8</v>
      </c>
      <c r="U1223" s="293">
        <f>Rutas[[#This Row],[Precio x Galón ($/gal)]]*Rutas[[#This Row],[Volumen de Combustible (gal)]]</f>
        <v>193.2</v>
      </c>
      <c r="V1223" s="34"/>
      <c r="W1223" s="34"/>
      <c r="X1223" s="34"/>
      <c r="Y1223" s="145">
        <f t="shared" si="367"/>
        <v>193.2</v>
      </c>
      <c r="Z1223" s="567"/>
      <c r="AA1223" s="12">
        <v>69</v>
      </c>
      <c r="AB1223" s="12">
        <f t="shared" si="368"/>
        <v>4.1739130434782608</v>
      </c>
      <c r="AC1223" s="12">
        <f t="shared" si="369"/>
        <v>0</v>
      </c>
      <c r="AD1223" s="89"/>
    </row>
    <row r="1224" spans="1:30" ht="16" x14ac:dyDescent="0.2">
      <c r="A1224" s="47"/>
      <c r="B1224" s="575"/>
      <c r="C1224" s="176">
        <f t="shared" si="370"/>
        <v>1221</v>
      </c>
      <c r="D1224" s="146">
        <v>45914</v>
      </c>
      <c r="E1224" s="146">
        <v>45919</v>
      </c>
      <c r="F1224" s="65" t="s">
        <v>365</v>
      </c>
      <c r="G1224" s="11" t="str">
        <f ca="1">IF(AND(E1224&lt;&gt;"",E1224&lt;TODAY()),"Disponible",IFERROR(INDEX(Vehiculos[Estado Vehiculo],MATCH(F1224,Vehiculos[Placa Vehiculo],0)),""))</f>
        <v>Disponible</v>
      </c>
      <c r="H1224" s="34" t="s">
        <v>234</v>
      </c>
      <c r="I1224" s="34" t="s">
        <v>273</v>
      </c>
      <c r="J1224" s="34" t="s">
        <v>274</v>
      </c>
      <c r="K1224" s="39">
        <v>363300</v>
      </c>
      <c r="L1224" s="39">
        <v>363684</v>
      </c>
      <c r="M1224" s="15">
        <f t="shared" si="371"/>
        <v>384</v>
      </c>
      <c r="N1224" s="15"/>
      <c r="O1224" s="39"/>
      <c r="P1224" s="39"/>
      <c r="Q1224" s="16">
        <f t="shared" si="366"/>
        <v>0</v>
      </c>
      <c r="R1224" s="34" t="s">
        <v>340</v>
      </c>
      <c r="S1224" s="34" t="s">
        <v>102</v>
      </c>
      <c r="T1224" s="36">
        <v>2.8</v>
      </c>
      <c r="U1224" s="293">
        <f>Rutas[[#This Row],[Precio x Galón ($/gal)]]*Rutas[[#This Row],[Volumen de Combustible (gal)]]</f>
        <v>190.39999999999998</v>
      </c>
      <c r="V1224" s="34"/>
      <c r="W1224" s="34"/>
      <c r="X1224" s="34"/>
      <c r="Y1224" s="145">
        <f t="shared" si="367"/>
        <v>190.39999999999998</v>
      </c>
      <c r="Z1224" s="567"/>
      <c r="AA1224" s="12">
        <v>68</v>
      </c>
      <c r="AB1224" s="12">
        <f t="shared" si="368"/>
        <v>5.6470588235294121</v>
      </c>
      <c r="AC1224" s="12">
        <f t="shared" si="369"/>
        <v>0</v>
      </c>
      <c r="AD1224" s="89"/>
    </row>
    <row r="1225" spans="1:30" ht="16" x14ac:dyDescent="0.2">
      <c r="A1225" s="47"/>
      <c r="B1225" s="575"/>
      <c r="C1225" s="176">
        <f t="shared" si="370"/>
        <v>1222</v>
      </c>
      <c r="D1225" s="146">
        <v>45919</v>
      </c>
      <c r="E1225" s="37">
        <v>45924</v>
      </c>
      <c r="F1225" s="65" t="s">
        <v>365</v>
      </c>
      <c r="G1225" s="11" t="str">
        <f ca="1">IF(AND(E1225&lt;&gt;"",E1225&lt;TODAY()),"Disponible",IFERROR(INDEX(Vehiculos[Estado Vehiculo],MATCH(F1225,Vehiculos[Placa Vehiculo],0)),""))</f>
        <v>Disponible</v>
      </c>
      <c r="H1225" s="34" t="s">
        <v>260</v>
      </c>
      <c r="I1225" s="34" t="s">
        <v>273</v>
      </c>
      <c r="J1225" s="34" t="s">
        <v>274</v>
      </c>
      <c r="K1225" s="39">
        <v>363684</v>
      </c>
      <c r="L1225" s="39">
        <v>363945</v>
      </c>
      <c r="M1225" s="15">
        <f t="shared" si="371"/>
        <v>261</v>
      </c>
      <c r="N1225" s="15"/>
      <c r="O1225" s="39"/>
      <c r="P1225" s="36"/>
      <c r="Q1225" s="16">
        <f t="shared" si="366"/>
        <v>0</v>
      </c>
      <c r="R1225" s="34" t="s">
        <v>340</v>
      </c>
      <c r="S1225" s="34" t="s">
        <v>102</v>
      </c>
      <c r="T1225" s="36">
        <v>2.8</v>
      </c>
      <c r="U1225" s="293">
        <f>Rutas[[#This Row],[Precio x Galón ($/gal)]]*Rutas[[#This Row],[Volumen de Combustible (gal)]]</f>
        <v>182</v>
      </c>
      <c r="V1225" s="36"/>
      <c r="W1225" s="36"/>
      <c r="X1225" s="36"/>
      <c r="Y1225" s="145">
        <f t="shared" si="367"/>
        <v>182</v>
      </c>
      <c r="Z1225" s="572"/>
      <c r="AA1225" s="12">
        <v>65</v>
      </c>
      <c r="AB1225" s="12">
        <f t="shared" si="368"/>
        <v>4.0153846153846153</v>
      </c>
      <c r="AC1225" s="12">
        <f t="shared" si="369"/>
        <v>0</v>
      </c>
      <c r="AD1225" s="34"/>
    </row>
    <row r="1226" spans="1:30" ht="16" x14ac:dyDescent="0.2">
      <c r="A1226" s="47"/>
      <c r="B1226" s="575"/>
      <c r="C1226" s="176">
        <f t="shared" si="370"/>
        <v>1223</v>
      </c>
      <c r="D1226" s="146">
        <v>45924</v>
      </c>
      <c r="E1226" s="37">
        <v>45930</v>
      </c>
      <c r="F1226" s="65" t="s">
        <v>365</v>
      </c>
      <c r="G1226" s="11" t="str">
        <f ca="1">IF(AND(E1226&lt;&gt;"",E1226&lt;TODAY()),"Disponible",IFERROR(INDEX(Vehiculos[Estado Vehiculo],MATCH(F1226,Vehiculos[Placa Vehiculo],0)),""))</f>
        <v>Disponible</v>
      </c>
      <c r="H1226" s="34" t="s">
        <v>234</v>
      </c>
      <c r="I1226" s="34" t="s">
        <v>273</v>
      </c>
      <c r="J1226" s="34" t="s">
        <v>274</v>
      </c>
      <c r="K1226" s="39">
        <v>363945</v>
      </c>
      <c r="L1226" s="39">
        <v>364292</v>
      </c>
      <c r="M1226" s="15">
        <f t="shared" si="371"/>
        <v>347</v>
      </c>
      <c r="N1226" s="452">
        <v>301</v>
      </c>
      <c r="O1226" s="39"/>
      <c r="P1226" s="36"/>
      <c r="Q1226" s="16">
        <f t="shared" si="366"/>
        <v>0</v>
      </c>
      <c r="R1226" s="34" t="s">
        <v>340</v>
      </c>
      <c r="S1226" s="34" t="s">
        <v>102</v>
      </c>
      <c r="T1226" s="36">
        <v>2.8</v>
      </c>
      <c r="U1226" s="293">
        <f>Rutas[[#This Row],[Precio x Galón ($/gal)]]*Rutas[[#This Row],[Volumen de Combustible (gal)]]</f>
        <v>190.39999999999998</v>
      </c>
      <c r="V1226" s="36"/>
      <c r="W1226" s="36"/>
      <c r="X1226" s="36"/>
      <c r="Y1226" s="145">
        <f t="shared" si="367"/>
        <v>190.39999999999998</v>
      </c>
      <c r="Z1226" s="572"/>
      <c r="AA1226" s="12">
        <v>68</v>
      </c>
      <c r="AB1226" s="12">
        <f t="shared" si="368"/>
        <v>5.1029411764705879</v>
      </c>
      <c r="AC1226" s="12">
        <f t="shared" si="369"/>
        <v>0</v>
      </c>
      <c r="AD1226" s="34"/>
    </row>
    <row r="1227" spans="1:30" ht="16" x14ac:dyDescent="0.2">
      <c r="A1227" s="47"/>
      <c r="B1227" s="575"/>
      <c r="C1227" s="176">
        <f t="shared" si="370"/>
        <v>1224</v>
      </c>
      <c r="D1227" s="146"/>
      <c r="E1227" s="37"/>
      <c r="F1227" s="65"/>
      <c r="G1227" s="11" t="str">
        <f ca="1">IF(AND(E1227&lt;&gt;"",E1227&lt;TODAY()),"Disponible",IFERROR(INDEX(Vehiculos[Estado Vehiculo],MATCH(F1227,Vehiculos[Placa Vehiculo],0)),""))</f>
        <v/>
      </c>
      <c r="H1227" s="34"/>
      <c r="I1227" s="34"/>
      <c r="J1227" s="34"/>
      <c r="K1227" s="39"/>
      <c r="L1227" s="39"/>
      <c r="M1227" s="15">
        <f t="shared" si="371"/>
        <v>0</v>
      </c>
      <c r="N1227" s="15"/>
      <c r="O1227" s="39"/>
      <c r="P1227" s="36"/>
      <c r="Q1227" s="16">
        <f t="shared" si="366"/>
        <v>0</v>
      </c>
      <c r="R1227" s="34"/>
      <c r="S1227" s="34"/>
      <c r="T1227" s="36"/>
      <c r="U1227" s="293">
        <f>Rutas[[#This Row],[Precio x Galón ($/gal)]]*Rutas[[#This Row],[Volumen de Combustible (gal)]]</f>
        <v>0</v>
      </c>
      <c r="V1227" s="36"/>
      <c r="W1227" s="36"/>
      <c r="X1227" s="36"/>
      <c r="Y1227" s="145">
        <f t="shared" si="367"/>
        <v>0</v>
      </c>
      <c r="Z1227" s="572"/>
      <c r="AA1227" s="12"/>
      <c r="AB1227" s="12">
        <f t="shared" si="368"/>
        <v>0</v>
      </c>
      <c r="AC1227" s="12">
        <f t="shared" si="369"/>
        <v>0</v>
      </c>
      <c r="AD1227" s="34"/>
    </row>
    <row r="1228" spans="1:30" ht="16" x14ac:dyDescent="0.2">
      <c r="A1228" s="47"/>
      <c r="B1228" s="575"/>
      <c r="C1228" s="176">
        <f t="shared" si="370"/>
        <v>1225</v>
      </c>
      <c r="D1228" s="146"/>
      <c r="E1228" s="37"/>
      <c r="F1228" s="65"/>
      <c r="G1228" s="11" t="str">
        <f ca="1">IF(AND(E1228&lt;&gt;"",E1228&lt;TODAY()),"Disponible",IFERROR(INDEX(Vehiculos[Estado Vehiculo],MATCH(F1228,Vehiculos[Placa Vehiculo],0)),""))</f>
        <v/>
      </c>
      <c r="H1228" s="34"/>
      <c r="I1228" s="34"/>
      <c r="J1228" s="34"/>
      <c r="K1228" s="39"/>
      <c r="L1228" s="39"/>
      <c r="M1228" s="15">
        <f t="shared" si="371"/>
        <v>0</v>
      </c>
      <c r="N1228" s="15"/>
      <c r="O1228" s="39"/>
      <c r="P1228" s="36"/>
      <c r="Q1228" s="16">
        <f t="shared" si="366"/>
        <v>0</v>
      </c>
      <c r="R1228" s="34"/>
      <c r="S1228" s="34"/>
      <c r="T1228" s="36"/>
      <c r="U1228" s="293">
        <f>Rutas[[#This Row],[Precio x Galón ($/gal)]]*Rutas[[#This Row],[Volumen de Combustible (gal)]]</f>
        <v>0</v>
      </c>
      <c r="V1228" s="36"/>
      <c r="W1228" s="36"/>
      <c r="X1228" s="36"/>
      <c r="Y1228" s="145">
        <f t="shared" si="367"/>
        <v>0</v>
      </c>
      <c r="Z1228" s="572"/>
      <c r="AA1228" s="12"/>
      <c r="AB1228" s="12">
        <f t="shared" si="368"/>
        <v>0</v>
      </c>
      <c r="AC1228" s="12">
        <f t="shared" si="369"/>
        <v>0</v>
      </c>
      <c r="AD1228" s="34"/>
    </row>
    <row r="1229" spans="1:30" ht="16" x14ac:dyDescent="0.2">
      <c r="A1229" s="47"/>
      <c r="B1229" s="575"/>
      <c r="C1229" s="176">
        <f t="shared" si="370"/>
        <v>1226</v>
      </c>
      <c r="D1229" s="90">
        <v>45901</v>
      </c>
      <c r="E1229" s="90">
        <v>45905</v>
      </c>
      <c r="F1229" s="68" t="s">
        <v>213</v>
      </c>
      <c r="G1229" s="379" t="str">
        <f ca="1">IF(AND(E1229&lt;&gt;"",E1229&lt;TODAY()),"Disponible",IFERROR(INDEX(Vehiculos[Estado Vehiculo],MATCH(F1229,Vehiculos[Placa Vehiculo],0)),""))</f>
        <v>Disponible</v>
      </c>
      <c r="H1229" s="89" t="s">
        <v>232</v>
      </c>
      <c r="I1229" s="89" t="s">
        <v>273</v>
      </c>
      <c r="J1229" s="89"/>
      <c r="K1229" s="380">
        <v>416880</v>
      </c>
      <c r="L1229" s="380">
        <v>417572</v>
      </c>
      <c r="M1229" s="381">
        <f t="shared" si="371"/>
        <v>692</v>
      </c>
      <c r="N1229" s="381"/>
      <c r="O1229" s="380"/>
      <c r="P1229" s="92"/>
      <c r="Q1229" s="382">
        <f t="shared" si="366"/>
        <v>0</v>
      </c>
      <c r="R1229" s="89" t="s">
        <v>472</v>
      </c>
      <c r="S1229" s="89" t="s">
        <v>102</v>
      </c>
      <c r="T1229" s="92">
        <v>1.8</v>
      </c>
      <c r="U1229" s="92">
        <f>Rutas[[#This Row],[Precio x Galón ($/gal)]]*Rutas[[#This Row],[Volumen de Combustible (gal)]]</f>
        <v>162.36000000000001</v>
      </c>
      <c r="V1229" s="92"/>
      <c r="W1229" s="92"/>
      <c r="X1229" s="92"/>
      <c r="Y1229" s="382">
        <f t="shared" si="367"/>
        <v>162.36000000000001</v>
      </c>
      <c r="Z1229" s="572"/>
      <c r="AA1229" s="382">
        <v>90.2</v>
      </c>
      <c r="AB1229" s="382">
        <f t="shared" si="368"/>
        <v>7.6718403547671841</v>
      </c>
      <c r="AC1229" s="382">
        <f t="shared" si="369"/>
        <v>0</v>
      </c>
      <c r="AD1229" s="89"/>
    </row>
    <row r="1230" spans="1:30" ht="16" x14ac:dyDescent="0.2">
      <c r="A1230" s="47"/>
      <c r="B1230" s="575"/>
      <c r="C1230" s="176">
        <f t="shared" si="370"/>
        <v>1227</v>
      </c>
      <c r="D1230" s="37">
        <v>45905</v>
      </c>
      <c r="E1230" s="37">
        <v>45908</v>
      </c>
      <c r="F1230" s="65" t="s">
        <v>213</v>
      </c>
      <c r="G1230" s="11" t="str">
        <f ca="1">IF(AND(E1230&lt;&gt;"",E1230&lt;TODAY()),"Disponible",IFERROR(INDEX(Vehiculos[Estado Vehiculo],MATCH(F1230,Vehiculos[Placa Vehiculo],0)),""))</f>
        <v>Disponible</v>
      </c>
      <c r="H1230" s="34" t="s">
        <v>232</v>
      </c>
      <c r="I1230" s="34" t="s">
        <v>273</v>
      </c>
      <c r="J1230" s="34"/>
      <c r="K1230" s="39">
        <v>417572</v>
      </c>
      <c r="L1230" s="39">
        <v>417848</v>
      </c>
      <c r="M1230" s="15">
        <f t="shared" ref="M1230:M1235" si="372">L1230-K1230</f>
        <v>276</v>
      </c>
      <c r="N1230" s="15"/>
      <c r="O1230" s="39"/>
      <c r="P1230" s="39"/>
      <c r="Q1230" s="16">
        <f t="shared" ref="Q1230:Q1235" si="373">M1230*P1230</f>
        <v>0</v>
      </c>
      <c r="R1230" s="34" t="s">
        <v>472</v>
      </c>
      <c r="S1230" s="34" t="s">
        <v>102</v>
      </c>
      <c r="T1230" s="36">
        <v>1.8</v>
      </c>
      <c r="U1230" s="293">
        <f>Rutas[[#This Row],[Precio x Galón ($/gal)]]*Rutas[[#This Row],[Volumen de Combustible (gal)]]</f>
        <v>94.103999999999999</v>
      </c>
      <c r="V1230" s="36"/>
      <c r="W1230" s="36"/>
      <c r="X1230" s="36"/>
      <c r="Y1230" s="145">
        <f t="shared" ref="Y1230:Y1235" si="374">U1230+SUM(V1230:X1230)</f>
        <v>94.103999999999999</v>
      </c>
      <c r="Z1230" s="567"/>
      <c r="AA1230" s="12">
        <v>52.28</v>
      </c>
      <c r="AB1230" s="12">
        <f t="shared" ref="AB1230:AB1235" si="375">IFERROR(M1230/AA1230,0)</f>
        <v>5.279265493496557</v>
      </c>
      <c r="AC1230" s="12">
        <f t="shared" ref="AC1230:AC1235" si="376">IFERROR(Q1230/M1230,0)</f>
        <v>0</v>
      </c>
      <c r="AD1230" s="89"/>
    </row>
    <row r="1231" spans="1:30" ht="16" x14ac:dyDescent="0.2">
      <c r="A1231" s="47"/>
      <c r="B1231" s="575"/>
      <c r="C1231" s="176">
        <f t="shared" si="370"/>
        <v>1228</v>
      </c>
      <c r="D1231" s="37">
        <v>45908</v>
      </c>
      <c r="E1231" s="37">
        <v>45914</v>
      </c>
      <c r="F1231" s="65" t="s">
        <v>213</v>
      </c>
      <c r="G1231" s="11" t="str">
        <f ca="1">IF(AND(E1231&lt;&gt;"",E1231&lt;TODAY()),"Disponible",IFERROR(INDEX(Vehiculos[Estado Vehiculo],MATCH(F1231,Vehiculos[Placa Vehiculo],0)),""))</f>
        <v>Disponible</v>
      </c>
      <c r="H1231" s="34" t="s">
        <v>232</v>
      </c>
      <c r="I1231" s="34" t="s">
        <v>273</v>
      </c>
      <c r="J1231" s="34"/>
      <c r="K1231" s="39">
        <v>417848</v>
      </c>
      <c r="L1231" s="39">
        <v>418528</v>
      </c>
      <c r="M1231" s="15">
        <f t="shared" si="372"/>
        <v>680</v>
      </c>
      <c r="N1231" s="15"/>
      <c r="O1231" s="39"/>
      <c r="P1231" s="39"/>
      <c r="Q1231" s="16">
        <f t="shared" si="373"/>
        <v>0</v>
      </c>
      <c r="R1231" s="34" t="s">
        <v>472</v>
      </c>
      <c r="S1231" s="34" t="s">
        <v>102</v>
      </c>
      <c r="T1231" s="36">
        <v>2.8</v>
      </c>
      <c r="U1231" s="293">
        <f>Rutas[[#This Row],[Precio x Galón ($/gal)]]*Rutas[[#This Row],[Volumen de Combustible (gal)]]</f>
        <v>118.74799999999998</v>
      </c>
      <c r="V1231" s="36"/>
      <c r="W1231" s="36"/>
      <c r="X1231" s="36"/>
      <c r="Y1231" s="145">
        <f t="shared" si="374"/>
        <v>118.74799999999998</v>
      </c>
      <c r="Z1231" s="567"/>
      <c r="AA1231" s="12">
        <v>42.41</v>
      </c>
      <c r="AB1231" s="12">
        <f t="shared" si="375"/>
        <v>16.033954256071681</v>
      </c>
      <c r="AC1231" s="12">
        <f t="shared" si="376"/>
        <v>0</v>
      </c>
      <c r="AD1231" s="89"/>
    </row>
    <row r="1232" spans="1:30" ht="16" x14ac:dyDescent="0.2">
      <c r="A1232" s="47"/>
      <c r="B1232" s="575"/>
      <c r="C1232" s="176">
        <f t="shared" si="370"/>
        <v>1229</v>
      </c>
      <c r="D1232" s="37">
        <v>45914</v>
      </c>
      <c r="E1232" s="37">
        <v>45916</v>
      </c>
      <c r="F1232" s="65" t="s">
        <v>213</v>
      </c>
      <c r="G1232" s="11" t="str">
        <f ca="1">IF(AND(E1232&lt;&gt;"",E1232&lt;TODAY()),"Disponible",IFERROR(INDEX(Vehiculos[Estado Vehiculo],MATCH(F1232,Vehiculos[Placa Vehiculo],0)),""))</f>
        <v>Disponible</v>
      </c>
      <c r="H1232" s="34" t="s">
        <v>232</v>
      </c>
      <c r="I1232" s="34" t="s">
        <v>273</v>
      </c>
      <c r="J1232" s="34"/>
      <c r="K1232" s="39">
        <v>418528</v>
      </c>
      <c r="L1232" s="39">
        <v>418672</v>
      </c>
      <c r="M1232" s="15">
        <f t="shared" si="372"/>
        <v>144</v>
      </c>
      <c r="N1232" s="15"/>
      <c r="O1232" s="39"/>
      <c r="P1232" s="39"/>
      <c r="Q1232" s="16">
        <f t="shared" si="373"/>
        <v>0</v>
      </c>
      <c r="R1232" s="34" t="s">
        <v>472</v>
      </c>
      <c r="S1232" s="34" t="s">
        <v>102</v>
      </c>
      <c r="T1232" s="36">
        <v>2.8</v>
      </c>
      <c r="U1232" s="293">
        <f>Rutas[[#This Row],[Precio x Galón ($/gal)]]*Rutas[[#This Row],[Volumen de Combustible (gal)]]</f>
        <v>115.83599999999998</v>
      </c>
      <c r="V1232" s="36"/>
      <c r="W1232" s="36"/>
      <c r="X1232" s="36"/>
      <c r="Y1232" s="145">
        <f t="shared" si="374"/>
        <v>115.83599999999998</v>
      </c>
      <c r="Z1232" s="567"/>
      <c r="AA1232" s="12">
        <v>41.37</v>
      </c>
      <c r="AB1232" s="12">
        <f t="shared" si="375"/>
        <v>3.4807831762146484</v>
      </c>
      <c r="AC1232" s="12">
        <f t="shared" si="376"/>
        <v>0</v>
      </c>
      <c r="AD1232" s="89"/>
    </row>
    <row r="1233" spans="1:30" ht="16" x14ac:dyDescent="0.2">
      <c r="A1233" s="47"/>
      <c r="B1233" s="575"/>
      <c r="C1233" s="176">
        <f t="shared" si="370"/>
        <v>1230</v>
      </c>
      <c r="D1233" s="37">
        <v>45916</v>
      </c>
      <c r="E1233" s="37">
        <v>45920</v>
      </c>
      <c r="F1233" s="65" t="s">
        <v>213</v>
      </c>
      <c r="G1233" s="11" t="str">
        <f ca="1">IF(AND(E1233&lt;&gt;"",E1233&lt;TODAY()),"Disponible",IFERROR(INDEX(Vehiculos[Estado Vehiculo],MATCH(F1233,Vehiculos[Placa Vehiculo],0)),""))</f>
        <v>Disponible</v>
      </c>
      <c r="H1233" s="34" t="s">
        <v>232</v>
      </c>
      <c r="I1233" s="34" t="s">
        <v>273</v>
      </c>
      <c r="J1233" s="34"/>
      <c r="K1233" s="39">
        <v>418672</v>
      </c>
      <c r="L1233" s="39">
        <v>418960</v>
      </c>
      <c r="M1233" s="15">
        <f t="shared" si="372"/>
        <v>288</v>
      </c>
      <c r="N1233" s="15"/>
      <c r="O1233" s="39"/>
      <c r="P1233" s="39"/>
      <c r="Q1233" s="16">
        <f t="shared" si="373"/>
        <v>0</v>
      </c>
      <c r="R1233" s="34" t="s">
        <v>472</v>
      </c>
      <c r="S1233" s="34" t="s">
        <v>102</v>
      </c>
      <c r="T1233" s="36">
        <v>2.8</v>
      </c>
      <c r="U1233" s="293">
        <f>Rutas[[#This Row],[Precio x Galón ($/gal)]]*Rutas[[#This Row],[Volumen de Combustible (gal)]]</f>
        <v>149.68799999999999</v>
      </c>
      <c r="V1233" s="36"/>
      <c r="W1233" s="36"/>
      <c r="X1233" s="36"/>
      <c r="Y1233" s="145">
        <f t="shared" si="374"/>
        <v>149.68799999999999</v>
      </c>
      <c r="Z1233" s="567"/>
      <c r="AA1233" s="12">
        <v>53.46</v>
      </c>
      <c r="AB1233" s="12">
        <f t="shared" si="375"/>
        <v>5.3872053872053876</v>
      </c>
      <c r="AC1233" s="12">
        <f t="shared" si="376"/>
        <v>0</v>
      </c>
      <c r="AD1233" s="89"/>
    </row>
    <row r="1234" spans="1:30" ht="16" x14ac:dyDescent="0.2">
      <c r="A1234" s="47"/>
      <c r="B1234" s="575"/>
      <c r="C1234" s="176">
        <f t="shared" si="370"/>
        <v>1231</v>
      </c>
      <c r="D1234" s="37">
        <v>45920</v>
      </c>
      <c r="E1234" s="37">
        <v>45925</v>
      </c>
      <c r="F1234" s="65" t="s">
        <v>213</v>
      </c>
      <c r="G1234" s="11" t="str">
        <f ca="1">IF(AND(E1234&lt;&gt;"",E1234&lt;TODAY()),"Disponible",IFERROR(INDEX(Vehiculos[Estado Vehiculo],MATCH(F1234,Vehiculos[Placa Vehiculo],0)),""))</f>
        <v>Disponible</v>
      </c>
      <c r="H1234" s="34" t="s">
        <v>240</v>
      </c>
      <c r="I1234" s="34" t="s">
        <v>273</v>
      </c>
      <c r="J1234" s="34"/>
      <c r="K1234" s="39">
        <v>418960</v>
      </c>
      <c r="L1234" s="39">
        <v>419392</v>
      </c>
      <c r="M1234" s="15">
        <f t="shared" si="372"/>
        <v>432</v>
      </c>
      <c r="N1234" s="15"/>
      <c r="O1234" s="39"/>
      <c r="P1234" s="36"/>
      <c r="Q1234" s="16">
        <f t="shared" si="373"/>
        <v>0</v>
      </c>
      <c r="R1234" s="34" t="s">
        <v>472</v>
      </c>
      <c r="S1234" s="34" t="s">
        <v>102</v>
      </c>
      <c r="T1234" s="36">
        <v>2.8</v>
      </c>
      <c r="U1234" s="293">
        <f>Rutas[[#This Row],[Precio x Galón ($/gal)]]*Rutas[[#This Row],[Volumen de Combustible (gal)]]</f>
        <v>160.49599999999998</v>
      </c>
      <c r="V1234" s="36"/>
      <c r="W1234" s="36"/>
      <c r="X1234" s="36"/>
      <c r="Y1234" s="145">
        <f t="shared" si="374"/>
        <v>160.49599999999998</v>
      </c>
      <c r="Z1234" s="567"/>
      <c r="AA1234" s="12">
        <v>57.32</v>
      </c>
      <c r="AB1234" s="12">
        <f t="shared" si="375"/>
        <v>7.536636427076064</v>
      </c>
      <c r="AC1234" s="12">
        <f t="shared" si="376"/>
        <v>0</v>
      </c>
      <c r="AD1234" s="89"/>
    </row>
    <row r="1235" spans="1:30" ht="16" x14ac:dyDescent="0.2">
      <c r="A1235" s="47"/>
      <c r="B1235" s="575"/>
      <c r="C1235" s="176">
        <f t="shared" si="370"/>
        <v>1232</v>
      </c>
      <c r="D1235" s="37">
        <v>45925</v>
      </c>
      <c r="E1235" s="37">
        <v>45930</v>
      </c>
      <c r="F1235" s="65" t="s">
        <v>213</v>
      </c>
      <c r="G1235" s="11" t="str">
        <f ca="1">IF(AND(E1235&lt;&gt;"",E1235&lt;TODAY()),"Disponible",IFERROR(INDEX(Vehiculos[Estado Vehiculo],MATCH(F1235,Vehiculos[Placa Vehiculo],0)),""))</f>
        <v>Disponible</v>
      </c>
      <c r="H1235" s="34" t="s">
        <v>240</v>
      </c>
      <c r="I1235" s="34" t="s">
        <v>273</v>
      </c>
      <c r="J1235" s="34"/>
      <c r="K1235" s="39">
        <v>419392</v>
      </c>
      <c r="L1235" s="39">
        <v>419609</v>
      </c>
      <c r="M1235" s="15">
        <f t="shared" si="372"/>
        <v>217</v>
      </c>
      <c r="N1235" s="452">
        <v>304</v>
      </c>
      <c r="O1235" s="39"/>
      <c r="P1235" s="36"/>
      <c r="Q1235" s="16">
        <f t="shared" si="373"/>
        <v>0</v>
      </c>
      <c r="R1235" s="34" t="s">
        <v>472</v>
      </c>
      <c r="S1235" s="34" t="s">
        <v>102</v>
      </c>
      <c r="T1235" s="36">
        <v>2.8</v>
      </c>
      <c r="U1235" s="293">
        <f>Rutas[[#This Row],[Precio x Galón ($/gal)]]*Rutas[[#This Row],[Volumen de Combustible (gal)]]</f>
        <v>138.23599999999999</v>
      </c>
      <c r="V1235" s="36"/>
      <c r="W1235" s="36"/>
      <c r="X1235" s="36"/>
      <c r="Y1235" s="145">
        <f t="shared" si="374"/>
        <v>138.23599999999999</v>
      </c>
      <c r="Z1235" s="567"/>
      <c r="AA1235" s="12">
        <v>49.37</v>
      </c>
      <c r="AB1235" s="12">
        <f t="shared" si="375"/>
        <v>4.3953818108162857</v>
      </c>
      <c r="AC1235" s="12">
        <f t="shared" si="376"/>
        <v>0</v>
      </c>
      <c r="AD1235" s="89"/>
    </row>
    <row r="1236" spans="1:30" ht="16" x14ac:dyDescent="0.2">
      <c r="A1236" s="47"/>
      <c r="B1236" s="575"/>
      <c r="C1236" s="176">
        <f t="shared" si="370"/>
        <v>1233</v>
      </c>
      <c r="D1236" s="146"/>
      <c r="E1236" s="37"/>
      <c r="F1236" s="65"/>
      <c r="G1236" s="11" t="str">
        <f ca="1">IF(AND(E1236&lt;&gt;"",E1236&lt;TODAY()),"Disponible",IFERROR(INDEX(Vehiculos[Estado Vehiculo],MATCH(F1236,Vehiculos[Placa Vehiculo],0)),""))</f>
        <v/>
      </c>
      <c r="H1236" s="34"/>
      <c r="I1236" s="34"/>
      <c r="J1236" s="34"/>
      <c r="K1236" s="39"/>
      <c r="L1236" s="39"/>
      <c r="M1236" s="15">
        <f t="shared" ref="M1236:M1241" si="377">L1236-K1236</f>
        <v>0</v>
      </c>
      <c r="N1236" s="15"/>
      <c r="O1236" s="39"/>
      <c r="P1236" s="36"/>
      <c r="Q1236" s="16">
        <f t="shared" ref="Q1236:Q1241" si="378">M1236*P1236</f>
        <v>0</v>
      </c>
      <c r="R1236" s="34"/>
      <c r="S1236" s="34"/>
      <c r="T1236" s="36"/>
      <c r="U1236" s="293">
        <f>Rutas[[#This Row],[Precio x Galón ($/gal)]]*Rutas[[#This Row],[Volumen de Combustible (gal)]]</f>
        <v>0</v>
      </c>
      <c r="V1236" s="36"/>
      <c r="W1236" s="36"/>
      <c r="X1236" s="36"/>
      <c r="Y1236" s="145">
        <f t="shared" ref="Y1236:Y1241" si="379">U1236+SUM(V1236:X1236)</f>
        <v>0</v>
      </c>
      <c r="Z1236" s="572"/>
      <c r="AA1236" s="12"/>
      <c r="AB1236" s="12">
        <f t="shared" ref="AB1236:AB1241" si="380">IFERROR(M1236/AA1236,0)</f>
        <v>0</v>
      </c>
      <c r="AC1236" s="12">
        <f t="shared" ref="AC1236:AC1241" si="381">IFERROR(Q1236/M1236,0)</f>
        <v>0</v>
      </c>
      <c r="AD1236" s="34"/>
    </row>
    <row r="1237" spans="1:30" ht="16" x14ac:dyDescent="0.2">
      <c r="A1237" s="47"/>
      <c r="B1237" s="575"/>
      <c r="C1237" s="176">
        <f t="shared" si="370"/>
        <v>1234</v>
      </c>
      <c r="D1237" s="146"/>
      <c r="E1237" s="37"/>
      <c r="F1237" s="65"/>
      <c r="G1237" s="11" t="str">
        <f ca="1">IF(AND(E1237&lt;&gt;"",E1237&lt;TODAY()),"Disponible",IFERROR(INDEX(Vehiculos[Estado Vehiculo],MATCH(F1237,Vehiculos[Placa Vehiculo],0)),""))</f>
        <v/>
      </c>
      <c r="H1237" s="34"/>
      <c r="I1237" s="34"/>
      <c r="J1237" s="34"/>
      <c r="K1237" s="39"/>
      <c r="L1237" s="39"/>
      <c r="M1237" s="15">
        <f t="shared" si="377"/>
        <v>0</v>
      </c>
      <c r="N1237" s="15"/>
      <c r="O1237" s="39"/>
      <c r="P1237" s="36"/>
      <c r="Q1237" s="16">
        <f t="shared" si="378"/>
        <v>0</v>
      </c>
      <c r="R1237" s="34"/>
      <c r="S1237" s="34"/>
      <c r="T1237" s="36"/>
      <c r="U1237" s="293">
        <f>Rutas[[#This Row],[Precio x Galón ($/gal)]]*Rutas[[#This Row],[Volumen de Combustible (gal)]]</f>
        <v>0</v>
      </c>
      <c r="V1237" s="36"/>
      <c r="W1237" s="36"/>
      <c r="X1237" s="36"/>
      <c r="Y1237" s="145">
        <f t="shared" si="379"/>
        <v>0</v>
      </c>
      <c r="Z1237" s="572"/>
      <c r="AA1237" s="12"/>
      <c r="AB1237" s="12">
        <f t="shared" si="380"/>
        <v>0</v>
      </c>
      <c r="AC1237" s="12">
        <f t="shared" si="381"/>
        <v>0</v>
      </c>
      <c r="AD1237" s="34"/>
    </row>
    <row r="1238" spans="1:30" ht="16" x14ac:dyDescent="0.2">
      <c r="A1238" s="47"/>
      <c r="B1238" s="575"/>
      <c r="C1238" s="176">
        <f t="shared" si="370"/>
        <v>1235</v>
      </c>
      <c r="D1238" s="90">
        <v>45901</v>
      </c>
      <c r="E1238" s="90">
        <v>45903</v>
      </c>
      <c r="F1238" s="68" t="s">
        <v>286</v>
      </c>
      <c r="G1238" s="379" t="str">
        <f ca="1">IF(AND(E1238&lt;&gt;"",E1238&lt;TODAY()),"Disponible",IFERROR(INDEX(Vehiculos[Estado Vehiculo],MATCH(F1238,Vehiculos[Placa Vehiculo],0)),""))</f>
        <v>Disponible</v>
      </c>
      <c r="H1238" s="89" t="s">
        <v>288</v>
      </c>
      <c r="I1238" s="89" t="s">
        <v>273</v>
      </c>
      <c r="J1238" s="89"/>
      <c r="K1238" s="380">
        <v>100016</v>
      </c>
      <c r="L1238" s="380">
        <v>100483</v>
      </c>
      <c r="M1238" s="381">
        <f t="shared" si="377"/>
        <v>467</v>
      </c>
      <c r="N1238" s="381"/>
      <c r="O1238" s="380"/>
      <c r="P1238" s="92"/>
      <c r="Q1238" s="382">
        <f t="shared" si="378"/>
        <v>0</v>
      </c>
      <c r="R1238" s="89" t="s">
        <v>339</v>
      </c>
      <c r="S1238" s="89" t="s">
        <v>102</v>
      </c>
      <c r="T1238" s="92">
        <v>1.8</v>
      </c>
      <c r="U1238" s="92">
        <f>Rutas[[#This Row],[Precio x Galón ($/gal)]]*Rutas[[#This Row],[Volumen de Combustible (gal)]]</f>
        <v>25.038</v>
      </c>
      <c r="V1238" s="92"/>
      <c r="W1238" s="92"/>
      <c r="X1238" s="92"/>
      <c r="Y1238" s="382">
        <f t="shared" si="379"/>
        <v>25.038</v>
      </c>
      <c r="Z1238" s="572"/>
      <c r="AA1238" s="382">
        <v>13.91</v>
      </c>
      <c r="AB1238" s="382">
        <f t="shared" si="380"/>
        <v>33.572969086987776</v>
      </c>
      <c r="AC1238" s="382">
        <f t="shared" si="381"/>
        <v>0</v>
      </c>
      <c r="AD1238" s="89"/>
    </row>
    <row r="1239" spans="1:30" ht="16" x14ac:dyDescent="0.2">
      <c r="A1239" s="47"/>
      <c r="B1239" s="575"/>
      <c r="C1239" s="176">
        <f t="shared" si="370"/>
        <v>1236</v>
      </c>
      <c r="D1239" s="146">
        <v>45903</v>
      </c>
      <c r="E1239" s="37">
        <v>45907</v>
      </c>
      <c r="F1239" s="65" t="s">
        <v>286</v>
      </c>
      <c r="G1239" s="11" t="str">
        <f ca="1">IF(AND(E1239&lt;&gt;"",E1239&lt;TODAY()),"Disponible",IFERROR(INDEX(Vehiculos[Estado Vehiculo],MATCH(F1239,Vehiculos[Placa Vehiculo],0)),""))</f>
        <v>Disponible</v>
      </c>
      <c r="H1239" s="34" t="s">
        <v>288</v>
      </c>
      <c r="I1239" s="34" t="s">
        <v>273</v>
      </c>
      <c r="J1239" s="34"/>
      <c r="K1239" s="39">
        <v>100483</v>
      </c>
      <c r="L1239" s="39">
        <v>100883</v>
      </c>
      <c r="M1239" s="15">
        <f t="shared" si="377"/>
        <v>400</v>
      </c>
      <c r="N1239" s="15"/>
      <c r="O1239" s="39"/>
      <c r="P1239" s="36"/>
      <c r="Q1239" s="16">
        <f t="shared" si="378"/>
        <v>0</v>
      </c>
      <c r="R1239" s="34" t="s">
        <v>339</v>
      </c>
      <c r="S1239" s="34" t="s">
        <v>102</v>
      </c>
      <c r="T1239" s="36">
        <v>1.8</v>
      </c>
      <c r="U1239" s="293">
        <f>Rutas[[#This Row],[Precio x Galón ($/gal)]]*Rutas[[#This Row],[Volumen de Combustible (gal)]]</f>
        <v>19.494</v>
      </c>
      <c r="V1239" s="36"/>
      <c r="W1239" s="36"/>
      <c r="X1239" s="36"/>
      <c r="Y1239" s="145">
        <f t="shared" si="379"/>
        <v>19.494</v>
      </c>
      <c r="Z1239" s="572"/>
      <c r="AA1239" s="12">
        <v>10.83</v>
      </c>
      <c r="AB1239" s="12">
        <f t="shared" si="380"/>
        <v>36.934441366574333</v>
      </c>
      <c r="AC1239" s="12">
        <f t="shared" si="381"/>
        <v>0</v>
      </c>
      <c r="AD1239" s="34"/>
    </row>
    <row r="1240" spans="1:30" ht="16" x14ac:dyDescent="0.2">
      <c r="A1240" s="47"/>
      <c r="B1240" s="575"/>
      <c r="C1240" s="176">
        <f t="shared" si="370"/>
        <v>1237</v>
      </c>
      <c r="D1240" s="454">
        <v>45907</v>
      </c>
      <c r="E1240" s="37">
        <v>45910</v>
      </c>
      <c r="F1240" s="65" t="s">
        <v>286</v>
      </c>
      <c r="G1240" s="11" t="str">
        <f ca="1">IF(AND(E1240&lt;&gt;"",E1240&lt;TODAY()),"Disponible",IFERROR(INDEX(Vehiculos[Estado Vehiculo],MATCH(F1240,Vehiculos[Placa Vehiculo],0)),""))</f>
        <v>Disponible</v>
      </c>
      <c r="H1240" s="34" t="s">
        <v>288</v>
      </c>
      <c r="I1240" s="34" t="s">
        <v>273</v>
      </c>
      <c r="J1240" s="34"/>
      <c r="K1240" s="39">
        <v>100883</v>
      </c>
      <c r="L1240" s="39">
        <v>101304</v>
      </c>
      <c r="M1240" s="15">
        <f t="shared" si="377"/>
        <v>421</v>
      </c>
      <c r="N1240" s="15"/>
      <c r="O1240" s="39"/>
      <c r="P1240" s="36"/>
      <c r="Q1240" s="16">
        <f t="shared" si="378"/>
        <v>0</v>
      </c>
      <c r="R1240" s="34" t="s">
        <v>339</v>
      </c>
      <c r="S1240" s="34" t="s">
        <v>102</v>
      </c>
      <c r="T1240" s="36">
        <v>1.8</v>
      </c>
      <c r="U1240" s="293">
        <f>Rutas[[#This Row],[Precio x Galón ($/gal)]]*Rutas[[#This Row],[Volumen de Combustible (gal)]]</f>
        <v>23.13</v>
      </c>
      <c r="V1240" s="36"/>
      <c r="W1240" s="36"/>
      <c r="X1240" s="36"/>
      <c r="Y1240" s="145">
        <f t="shared" si="379"/>
        <v>23.13</v>
      </c>
      <c r="Z1240" s="572"/>
      <c r="AA1240" s="12">
        <v>12.85</v>
      </c>
      <c r="AB1240" s="12">
        <f t="shared" si="380"/>
        <v>32.762645914396892</v>
      </c>
      <c r="AC1240" s="12">
        <f t="shared" si="381"/>
        <v>0</v>
      </c>
      <c r="AD1240" s="34"/>
    </row>
    <row r="1241" spans="1:30" ht="16" x14ac:dyDescent="0.2">
      <c r="A1241" s="47"/>
      <c r="B1241" s="575"/>
      <c r="C1241" s="176">
        <f t="shared" si="370"/>
        <v>1238</v>
      </c>
      <c r="D1241" s="146">
        <v>45910</v>
      </c>
      <c r="E1241" s="37">
        <v>45914</v>
      </c>
      <c r="F1241" s="65" t="s">
        <v>286</v>
      </c>
      <c r="G1241" s="11" t="str">
        <f ca="1">IF(AND(E1241&lt;&gt;"",E1241&lt;TODAY()),"Disponible",IFERROR(INDEX(Vehiculos[Estado Vehiculo],MATCH(F1241,Vehiculos[Placa Vehiculo],0)),""))</f>
        <v>Disponible</v>
      </c>
      <c r="H1241" s="34" t="s">
        <v>427</v>
      </c>
      <c r="I1241" s="34" t="s">
        <v>273</v>
      </c>
      <c r="J1241" s="34"/>
      <c r="K1241" s="39">
        <v>101304</v>
      </c>
      <c r="L1241" s="39">
        <v>101713</v>
      </c>
      <c r="M1241" s="15">
        <f t="shared" si="377"/>
        <v>409</v>
      </c>
      <c r="N1241" s="15"/>
      <c r="O1241" s="39"/>
      <c r="P1241" s="36"/>
      <c r="Q1241" s="16">
        <f t="shared" si="378"/>
        <v>0</v>
      </c>
      <c r="R1241" s="34" t="s">
        <v>339</v>
      </c>
      <c r="S1241" s="34" t="s">
        <v>102</v>
      </c>
      <c r="T1241" s="36">
        <v>2.8</v>
      </c>
      <c r="U1241" s="293">
        <f>Rutas[[#This Row],[Precio x Galón ($/gal)]]*Rutas[[#This Row],[Volumen de Combustible (gal)]]</f>
        <v>30.855999999999998</v>
      </c>
      <c r="V1241" s="36"/>
      <c r="W1241" s="36"/>
      <c r="X1241" s="36"/>
      <c r="Y1241" s="145">
        <f t="shared" si="379"/>
        <v>30.855999999999998</v>
      </c>
      <c r="Z1241" s="572"/>
      <c r="AA1241" s="12">
        <v>11.02</v>
      </c>
      <c r="AB1241" s="12">
        <f t="shared" si="380"/>
        <v>37.114337568058076</v>
      </c>
      <c r="AC1241" s="12">
        <f t="shared" si="381"/>
        <v>0</v>
      </c>
      <c r="AD1241" s="34"/>
    </row>
    <row r="1242" spans="1:30" ht="16" x14ac:dyDescent="0.2">
      <c r="A1242" s="47"/>
      <c r="B1242" s="575"/>
      <c r="C1242" s="176">
        <f t="shared" si="370"/>
        <v>1239</v>
      </c>
      <c r="D1242" s="454">
        <v>45914</v>
      </c>
      <c r="E1242" s="37">
        <v>45917</v>
      </c>
      <c r="F1242" s="65" t="s">
        <v>286</v>
      </c>
      <c r="G1242" s="11" t="str">
        <f ca="1">IF(AND(E1242&lt;&gt;"",E1242&lt;TODAY()),"Disponible",IFERROR(INDEX(Vehiculos[Estado Vehiculo],MATCH(F1242,Vehiculos[Placa Vehiculo],0)),""))</f>
        <v>Disponible</v>
      </c>
      <c r="H1242" s="34" t="s">
        <v>288</v>
      </c>
      <c r="I1242" s="34" t="s">
        <v>273</v>
      </c>
      <c r="J1242" s="34"/>
      <c r="K1242" s="39">
        <v>101713</v>
      </c>
      <c r="L1242" s="39">
        <v>102202</v>
      </c>
      <c r="M1242" s="15">
        <f t="shared" ref="M1242:M1249" si="382">L1242-K1242</f>
        <v>489</v>
      </c>
      <c r="N1242" s="15"/>
      <c r="O1242" s="39"/>
      <c r="P1242" s="36"/>
      <c r="Q1242" s="16">
        <f t="shared" ref="Q1242:Q1249" si="383">M1242*P1242</f>
        <v>0</v>
      </c>
      <c r="R1242" s="34" t="s">
        <v>339</v>
      </c>
      <c r="S1242" s="34" t="s">
        <v>102</v>
      </c>
      <c r="T1242" s="36">
        <v>2.8</v>
      </c>
      <c r="U1242" s="293">
        <f>Rutas[[#This Row],[Precio x Galón ($/gal)]]*Rutas[[#This Row],[Volumen de Combustible (gal)]]</f>
        <v>33.599999999999994</v>
      </c>
      <c r="V1242" s="36"/>
      <c r="W1242" s="36"/>
      <c r="X1242" s="36"/>
      <c r="Y1242" s="145">
        <f t="shared" ref="Y1242:Y1249" si="384">U1242+SUM(V1242:X1242)</f>
        <v>33.599999999999994</v>
      </c>
      <c r="Z1242" s="567"/>
      <c r="AA1242" s="12">
        <v>12</v>
      </c>
      <c r="AB1242" s="12">
        <f t="shared" ref="AB1242:AB1249" si="385">IFERROR(M1242/AA1242,0)</f>
        <v>40.75</v>
      </c>
      <c r="AC1242" s="12">
        <f t="shared" ref="AC1242:AC1249" si="386">IFERROR(Q1242/M1242,0)</f>
        <v>0</v>
      </c>
      <c r="AD1242" s="34"/>
    </row>
    <row r="1243" spans="1:30" ht="16" x14ac:dyDescent="0.2">
      <c r="A1243" s="47"/>
      <c r="B1243" s="575"/>
      <c r="C1243" s="176">
        <f t="shared" si="370"/>
        <v>1240</v>
      </c>
      <c r="D1243" s="146">
        <v>45917</v>
      </c>
      <c r="E1243" s="37">
        <v>45921</v>
      </c>
      <c r="F1243" s="65" t="s">
        <v>286</v>
      </c>
      <c r="G1243" s="11" t="str">
        <f ca="1">IF(AND(E1243&lt;&gt;"",E1243&lt;TODAY()),"Disponible",IFERROR(INDEX(Vehiculos[Estado Vehiculo],MATCH(F1243,Vehiculos[Placa Vehiculo],0)),""))</f>
        <v>Disponible</v>
      </c>
      <c r="H1243" s="34" t="s">
        <v>288</v>
      </c>
      <c r="I1243" s="34" t="s">
        <v>273</v>
      </c>
      <c r="J1243" s="34"/>
      <c r="K1243" s="39">
        <v>102202</v>
      </c>
      <c r="L1243" s="39">
        <v>102778</v>
      </c>
      <c r="M1243" s="15">
        <f t="shared" si="382"/>
        <v>576</v>
      </c>
      <c r="N1243" s="15"/>
      <c r="O1243" s="39"/>
      <c r="P1243" s="36"/>
      <c r="Q1243" s="16">
        <f t="shared" si="383"/>
        <v>0</v>
      </c>
      <c r="R1243" s="34" t="s">
        <v>273</v>
      </c>
      <c r="S1243" s="34" t="s">
        <v>102</v>
      </c>
      <c r="T1243" s="36">
        <v>2.8</v>
      </c>
      <c r="U1243" s="293">
        <f>Rutas[[#This Row],[Precio x Galón ($/gal)]]*Rutas[[#This Row],[Volumen de Combustible (gal)]]</f>
        <v>43.035999999999994</v>
      </c>
      <c r="V1243" s="36"/>
      <c r="W1243" s="36"/>
      <c r="X1243" s="36"/>
      <c r="Y1243" s="145">
        <f t="shared" si="384"/>
        <v>43.035999999999994</v>
      </c>
      <c r="Z1243" s="572"/>
      <c r="AA1243" s="12">
        <v>15.37</v>
      </c>
      <c r="AB1243" s="12">
        <f t="shared" si="385"/>
        <v>37.475601821730649</v>
      </c>
      <c r="AC1243" s="12">
        <f t="shared" si="386"/>
        <v>0</v>
      </c>
      <c r="AD1243" s="34"/>
    </row>
    <row r="1244" spans="1:30" ht="16" x14ac:dyDescent="0.2">
      <c r="A1244" s="47"/>
      <c r="B1244" s="575"/>
      <c r="C1244" s="176">
        <f t="shared" si="370"/>
        <v>1241</v>
      </c>
      <c r="D1244" s="454">
        <v>45921</v>
      </c>
      <c r="E1244" s="37">
        <v>45926</v>
      </c>
      <c r="F1244" s="65" t="s">
        <v>286</v>
      </c>
      <c r="G1244" s="11" t="str">
        <f ca="1">IF(AND(E1244&lt;&gt;"",E1244&lt;TODAY()),"Disponible",IFERROR(INDEX(Vehiculos[Estado Vehiculo],MATCH(F1244,Vehiculos[Placa Vehiculo],0)),""))</f>
        <v>Disponible</v>
      </c>
      <c r="H1244" s="34" t="s">
        <v>288</v>
      </c>
      <c r="I1244" s="34" t="s">
        <v>273</v>
      </c>
      <c r="J1244" s="34"/>
      <c r="K1244" s="39">
        <v>102778</v>
      </c>
      <c r="L1244" s="39">
        <v>103123</v>
      </c>
      <c r="M1244" s="15">
        <f t="shared" si="382"/>
        <v>345</v>
      </c>
      <c r="N1244" s="15"/>
      <c r="O1244" s="39"/>
      <c r="P1244" s="36"/>
      <c r="Q1244" s="16">
        <f t="shared" si="383"/>
        <v>0</v>
      </c>
      <c r="R1244" s="34" t="s">
        <v>273</v>
      </c>
      <c r="S1244" s="34" t="s">
        <v>102</v>
      </c>
      <c r="T1244" s="36">
        <v>2.8</v>
      </c>
      <c r="U1244" s="293">
        <f>Rutas[[#This Row],[Precio x Galón ($/gal)]]*Rutas[[#This Row],[Volumen de Combustible (gal)]]</f>
        <v>33.431999999999995</v>
      </c>
      <c r="V1244" s="36"/>
      <c r="W1244" s="36"/>
      <c r="X1244" s="36"/>
      <c r="Y1244" s="145">
        <f t="shared" si="384"/>
        <v>33.431999999999995</v>
      </c>
      <c r="Z1244" s="567"/>
      <c r="AA1244" s="12">
        <v>11.94</v>
      </c>
      <c r="AB1244" s="12">
        <f t="shared" si="385"/>
        <v>28.894472361809047</v>
      </c>
      <c r="AC1244" s="12">
        <f t="shared" si="386"/>
        <v>0</v>
      </c>
      <c r="AD1244" s="34"/>
    </row>
    <row r="1245" spans="1:30" ht="16" x14ac:dyDescent="0.2">
      <c r="A1245" s="47"/>
      <c r="B1245" s="575"/>
      <c r="C1245" s="176">
        <f t="shared" si="370"/>
        <v>1242</v>
      </c>
      <c r="D1245" s="454">
        <v>45926</v>
      </c>
      <c r="E1245" s="37">
        <v>45930</v>
      </c>
      <c r="F1245" s="65" t="s">
        <v>286</v>
      </c>
      <c r="G1245" s="11" t="str">
        <f ca="1">IF(AND(E1245&lt;&gt;"",E1245&lt;TODAY()),"Disponible",IFERROR(INDEX(Vehiculos[Estado Vehiculo],MATCH(F1245,Vehiculos[Placa Vehiculo],0)),""))</f>
        <v>Disponible</v>
      </c>
      <c r="H1245" s="34" t="s">
        <v>288</v>
      </c>
      <c r="I1245" s="34" t="s">
        <v>273</v>
      </c>
      <c r="J1245" s="34"/>
      <c r="K1245" s="39">
        <v>103123</v>
      </c>
      <c r="L1245" s="39">
        <v>103550</v>
      </c>
      <c r="M1245" s="15">
        <f t="shared" si="382"/>
        <v>427</v>
      </c>
      <c r="N1245" s="15"/>
      <c r="O1245" s="39"/>
      <c r="P1245" s="36"/>
      <c r="Q1245" s="16">
        <f t="shared" si="383"/>
        <v>0</v>
      </c>
      <c r="R1245" s="34" t="s">
        <v>339</v>
      </c>
      <c r="S1245" s="34" t="s">
        <v>102</v>
      </c>
      <c r="T1245" s="36">
        <v>2.8</v>
      </c>
      <c r="U1245" s="293">
        <f>Rutas[[#This Row],[Precio x Galón ($/gal)]]*Rutas[[#This Row],[Volumen de Combustible (gal)]]</f>
        <v>37.099999999999994</v>
      </c>
      <c r="V1245" s="36"/>
      <c r="W1245" s="36"/>
      <c r="X1245" s="36"/>
      <c r="Y1245" s="145">
        <f t="shared" si="384"/>
        <v>37.099999999999994</v>
      </c>
      <c r="Z1245" s="567"/>
      <c r="AA1245" s="12">
        <v>13.25</v>
      </c>
      <c r="AB1245" s="12">
        <f t="shared" si="385"/>
        <v>32.226415094339622</v>
      </c>
      <c r="AC1245" s="12">
        <f t="shared" si="386"/>
        <v>0</v>
      </c>
      <c r="AD1245" s="34"/>
    </row>
    <row r="1246" spans="1:30" ht="16" x14ac:dyDescent="0.2">
      <c r="A1246" s="47"/>
      <c r="B1246" s="575"/>
      <c r="C1246" s="176">
        <f t="shared" si="370"/>
        <v>1243</v>
      </c>
      <c r="D1246" s="146"/>
      <c r="E1246" s="37"/>
      <c r="F1246" s="65"/>
      <c r="G1246" s="11" t="str">
        <f ca="1">IF(AND(E1246&lt;&gt;"",E1246&lt;TODAY()),"Disponible",IFERROR(INDEX(Vehiculos[Estado Vehiculo],MATCH(F1246,Vehiculos[Placa Vehiculo],0)),""))</f>
        <v/>
      </c>
      <c r="H1246" s="34"/>
      <c r="I1246" s="34"/>
      <c r="J1246" s="34"/>
      <c r="K1246" s="39"/>
      <c r="L1246" s="39"/>
      <c r="M1246" s="15">
        <f t="shared" si="382"/>
        <v>0</v>
      </c>
      <c r="N1246" s="15"/>
      <c r="O1246" s="39"/>
      <c r="P1246" s="36"/>
      <c r="Q1246" s="16">
        <f t="shared" si="383"/>
        <v>0</v>
      </c>
      <c r="R1246" s="34"/>
      <c r="S1246" s="34"/>
      <c r="T1246" s="36"/>
      <c r="U1246" s="293">
        <f>Rutas[[#This Row],[Precio x Galón ($/gal)]]*Rutas[[#This Row],[Volumen de Combustible (gal)]]</f>
        <v>0</v>
      </c>
      <c r="V1246" s="36"/>
      <c r="W1246" s="36"/>
      <c r="X1246" s="36"/>
      <c r="Y1246" s="145">
        <f t="shared" si="384"/>
        <v>0</v>
      </c>
      <c r="Z1246" s="572"/>
      <c r="AA1246" s="12"/>
      <c r="AB1246" s="12">
        <f t="shared" si="385"/>
        <v>0</v>
      </c>
      <c r="AC1246" s="12">
        <f t="shared" si="386"/>
        <v>0</v>
      </c>
      <c r="AD1246" s="34"/>
    </row>
    <row r="1247" spans="1:30" ht="16" x14ac:dyDescent="0.2">
      <c r="A1247" s="47"/>
      <c r="B1247" s="575"/>
      <c r="C1247" s="176">
        <f t="shared" si="370"/>
        <v>1244</v>
      </c>
      <c r="D1247" s="90">
        <v>45901</v>
      </c>
      <c r="E1247" s="90">
        <v>45902</v>
      </c>
      <c r="F1247" s="68" t="s">
        <v>320</v>
      </c>
      <c r="G1247" s="379" t="str">
        <f ca="1">IF(AND(E1247&lt;&gt;"",E1247&lt;TODAY()),"Disponible",IFERROR(INDEX(Vehiculos[Estado Vehiculo],MATCH(F1247,Vehiculos[Placa Vehiculo],0)),""))</f>
        <v>Disponible</v>
      </c>
      <c r="H1247" s="89" t="s">
        <v>241</v>
      </c>
      <c r="I1247" s="89" t="s">
        <v>273</v>
      </c>
      <c r="J1247" s="89"/>
      <c r="K1247" s="380">
        <v>3187</v>
      </c>
      <c r="L1247" s="380">
        <v>3191</v>
      </c>
      <c r="M1247" s="381">
        <f t="shared" si="382"/>
        <v>4</v>
      </c>
      <c r="N1247" s="381">
        <f>Rutas[[#This Row],[Kms Recorridos]]</f>
        <v>4</v>
      </c>
      <c r="O1247" s="380"/>
      <c r="P1247" s="92"/>
      <c r="Q1247" s="382">
        <f t="shared" si="383"/>
        <v>0</v>
      </c>
      <c r="R1247" s="89" t="s">
        <v>196</v>
      </c>
      <c r="S1247" s="89" t="s">
        <v>102</v>
      </c>
      <c r="T1247" s="92">
        <v>1.8</v>
      </c>
      <c r="U1247" s="92">
        <f>Rutas[[#This Row],[Precio x Galón ($/gal)]]*Rutas[[#This Row],[Volumen de Combustible (gal)]]</f>
        <v>36</v>
      </c>
      <c r="V1247" s="92"/>
      <c r="W1247" s="92"/>
      <c r="X1247" s="92"/>
      <c r="Y1247" s="382">
        <f t="shared" si="384"/>
        <v>36</v>
      </c>
      <c r="Z1247" s="572"/>
      <c r="AA1247" s="382">
        <v>20</v>
      </c>
      <c r="AB1247" s="382">
        <f t="shared" si="385"/>
        <v>0.2</v>
      </c>
      <c r="AC1247" s="382">
        <f t="shared" si="386"/>
        <v>0</v>
      </c>
      <c r="AD1247" s="89"/>
    </row>
    <row r="1248" spans="1:30" ht="16" x14ac:dyDescent="0.2">
      <c r="A1248" s="47"/>
      <c r="B1248" s="575"/>
      <c r="C1248" s="176">
        <f t="shared" si="370"/>
        <v>1245</v>
      </c>
      <c r="D1248" s="146">
        <v>45902</v>
      </c>
      <c r="E1248" s="37">
        <v>45904</v>
      </c>
      <c r="F1248" s="65" t="s">
        <v>320</v>
      </c>
      <c r="G1248" s="11" t="str">
        <f ca="1">IF(AND(E1248&lt;&gt;"",E1248&lt;TODAY()),"Disponible",IFERROR(INDEX(Vehiculos[Estado Vehiculo],MATCH(F1248,Vehiculos[Placa Vehiculo],0)),""))</f>
        <v>Disponible</v>
      </c>
      <c r="H1248" s="34" t="s">
        <v>241</v>
      </c>
      <c r="I1248" s="34" t="s">
        <v>273</v>
      </c>
      <c r="J1248" s="34"/>
      <c r="K1248" s="39">
        <v>3191</v>
      </c>
      <c r="L1248" s="39">
        <v>3211</v>
      </c>
      <c r="M1248" s="15">
        <f t="shared" si="382"/>
        <v>20</v>
      </c>
      <c r="N1248" s="381">
        <f>Rutas[[#This Row],[Kms Recorridos]]</f>
        <v>20</v>
      </c>
      <c r="O1248" s="39"/>
      <c r="P1248" s="36"/>
      <c r="Q1248" s="16">
        <f t="shared" si="383"/>
        <v>0</v>
      </c>
      <c r="R1248" s="34" t="s">
        <v>339</v>
      </c>
      <c r="S1248" s="34" t="s">
        <v>102</v>
      </c>
      <c r="T1248" s="36">
        <v>1.8</v>
      </c>
      <c r="U1248" s="293">
        <f>Rutas[[#This Row],[Precio x Galón ($/gal)]]*Rutas[[#This Row],[Volumen de Combustible (gal)]]</f>
        <v>66.69</v>
      </c>
      <c r="V1248" s="36"/>
      <c r="W1248" s="36"/>
      <c r="X1248" s="36"/>
      <c r="Y1248" s="145">
        <f t="shared" si="384"/>
        <v>66.69</v>
      </c>
      <c r="Z1248" s="572"/>
      <c r="AA1248" s="12">
        <v>37.049999999999997</v>
      </c>
      <c r="AB1248" s="12">
        <f t="shared" si="385"/>
        <v>0.53981106612685559</v>
      </c>
      <c r="AC1248" s="12">
        <f t="shared" si="386"/>
        <v>0</v>
      </c>
      <c r="AD1248" s="34"/>
    </row>
    <row r="1249" spans="1:30" ht="16" x14ac:dyDescent="0.2">
      <c r="A1249" s="47"/>
      <c r="B1249" s="575"/>
      <c r="C1249" s="176">
        <f t="shared" si="370"/>
        <v>1246</v>
      </c>
      <c r="D1249" s="146">
        <v>45904</v>
      </c>
      <c r="E1249" s="37">
        <v>45908</v>
      </c>
      <c r="F1249" s="65" t="s">
        <v>320</v>
      </c>
      <c r="G1249" s="11" t="str">
        <f ca="1">IF(AND(E1249&lt;&gt;"",E1249&lt;TODAY()),"Disponible",IFERROR(INDEX(Vehiculos[Estado Vehiculo],MATCH(F1249,Vehiculos[Placa Vehiculo],0)),""))</f>
        <v>Disponible</v>
      </c>
      <c r="H1249" s="34" t="s">
        <v>239</v>
      </c>
      <c r="I1249" s="34" t="s">
        <v>273</v>
      </c>
      <c r="J1249" s="34"/>
      <c r="K1249" s="39">
        <v>3211</v>
      </c>
      <c r="L1249" s="39">
        <v>3235</v>
      </c>
      <c r="M1249" s="15">
        <f t="shared" si="382"/>
        <v>24</v>
      </c>
      <c r="N1249" s="381">
        <f>Rutas[[#This Row],[Kms Recorridos]]</f>
        <v>24</v>
      </c>
      <c r="O1249" s="39"/>
      <c r="P1249" s="36"/>
      <c r="Q1249" s="16">
        <f t="shared" si="383"/>
        <v>0</v>
      </c>
      <c r="R1249" s="34" t="s">
        <v>339</v>
      </c>
      <c r="S1249" s="34" t="s">
        <v>102</v>
      </c>
      <c r="T1249" s="36">
        <v>1.8</v>
      </c>
      <c r="U1249" s="293">
        <f>Rutas[[#This Row],[Precio x Galón ($/gal)]]*Rutas[[#This Row],[Volumen de Combustible (gal)]]</f>
        <v>36</v>
      </c>
      <c r="V1249" s="36"/>
      <c r="W1249" s="36"/>
      <c r="X1249" s="36"/>
      <c r="Y1249" s="145">
        <f t="shared" si="384"/>
        <v>36</v>
      </c>
      <c r="Z1249" s="572"/>
      <c r="AA1249" s="12">
        <v>20</v>
      </c>
      <c r="AB1249" s="12">
        <f t="shared" si="385"/>
        <v>1.2</v>
      </c>
      <c r="AC1249" s="12">
        <f t="shared" si="386"/>
        <v>0</v>
      </c>
      <c r="AD1249" s="34"/>
    </row>
    <row r="1250" spans="1:30" ht="16" x14ac:dyDescent="0.2">
      <c r="A1250" s="47"/>
      <c r="B1250" s="575"/>
      <c r="C1250" s="176">
        <f t="shared" si="370"/>
        <v>1247</v>
      </c>
      <c r="D1250" s="454">
        <v>45908</v>
      </c>
      <c r="E1250" s="37">
        <v>45912</v>
      </c>
      <c r="F1250" s="65" t="s">
        <v>320</v>
      </c>
      <c r="G1250" s="11" t="str">
        <f ca="1">IF(AND(E1250&lt;&gt;"",E1250&lt;TODAY()),"Disponible",IFERROR(INDEX(Vehiculos[Estado Vehiculo],MATCH(F1250,Vehiculos[Placa Vehiculo],0)),""))</f>
        <v>Disponible</v>
      </c>
      <c r="H1250" s="34" t="s">
        <v>239</v>
      </c>
      <c r="I1250" s="34" t="s">
        <v>273</v>
      </c>
      <c r="J1250" s="34"/>
      <c r="K1250" s="39">
        <v>3235</v>
      </c>
      <c r="L1250" s="39">
        <v>3261</v>
      </c>
      <c r="M1250" s="15">
        <f t="shared" ref="M1250:M1255" si="387">L1250-K1250</f>
        <v>26</v>
      </c>
      <c r="N1250" s="381">
        <f>Rutas[[#This Row],[Kms Recorridos]]</f>
        <v>26</v>
      </c>
      <c r="O1250" s="39"/>
      <c r="P1250" s="36"/>
      <c r="Q1250" s="16">
        <f t="shared" ref="Q1250:Q1255" si="388">M1250*P1250</f>
        <v>0</v>
      </c>
      <c r="R1250" s="34" t="s">
        <v>196</v>
      </c>
      <c r="S1250" s="34" t="s">
        <v>102</v>
      </c>
      <c r="T1250" s="36">
        <v>1.8</v>
      </c>
      <c r="U1250" s="293">
        <f>Rutas[[#This Row],[Precio x Galón ($/gal)]]*Rutas[[#This Row],[Volumen de Combustible (gal)]]</f>
        <v>36</v>
      </c>
      <c r="V1250" s="36"/>
      <c r="W1250" s="36"/>
      <c r="X1250" s="36"/>
      <c r="Y1250" s="145">
        <f t="shared" ref="Y1250:Y1255" si="389">U1250+SUM(V1250:X1250)</f>
        <v>36</v>
      </c>
      <c r="Z1250" s="572"/>
      <c r="AA1250" s="12">
        <v>20</v>
      </c>
      <c r="AB1250" s="12">
        <f t="shared" ref="AB1250:AB1255" si="390">IFERROR(M1250/AA1250,0)</f>
        <v>1.3</v>
      </c>
      <c r="AC1250" s="12">
        <f t="shared" ref="AC1250:AC1255" si="391">IFERROR(Q1250/M1250,0)</f>
        <v>0</v>
      </c>
      <c r="AD1250" s="34"/>
    </row>
    <row r="1251" spans="1:30" ht="16" x14ac:dyDescent="0.2">
      <c r="A1251" s="47"/>
      <c r="B1251" s="575"/>
      <c r="C1251" s="176">
        <f t="shared" si="370"/>
        <v>1248</v>
      </c>
      <c r="D1251" s="454">
        <v>45912</v>
      </c>
      <c r="E1251" s="37">
        <v>45915</v>
      </c>
      <c r="F1251" s="65" t="s">
        <v>320</v>
      </c>
      <c r="G1251" s="11" t="str">
        <f ca="1">IF(AND(E1251&lt;&gt;"",E1251&lt;TODAY()),"Disponible",IFERROR(INDEX(Vehiculos[Estado Vehiculo],MATCH(F1251,Vehiculos[Placa Vehiculo],0)),""))</f>
        <v>Disponible</v>
      </c>
      <c r="H1251" s="34" t="s">
        <v>239</v>
      </c>
      <c r="I1251" s="34" t="s">
        <v>273</v>
      </c>
      <c r="J1251" s="34"/>
      <c r="K1251" s="39">
        <v>3261</v>
      </c>
      <c r="L1251" s="39">
        <v>3285</v>
      </c>
      <c r="M1251" s="15">
        <f t="shared" si="387"/>
        <v>24</v>
      </c>
      <c r="N1251" s="381">
        <f>Rutas[[#This Row],[Kms Recorridos]]</f>
        <v>24</v>
      </c>
      <c r="O1251" s="39"/>
      <c r="P1251" s="36"/>
      <c r="Q1251" s="16">
        <f t="shared" si="388"/>
        <v>0</v>
      </c>
      <c r="R1251" s="34" t="s">
        <v>339</v>
      </c>
      <c r="S1251" s="34" t="s">
        <v>102</v>
      </c>
      <c r="T1251" s="36">
        <v>2.8</v>
      </c>
      <c r="U1251" s="293">
        <f>Rutas[[#This Row],[Precio x Galón ($/gal)]]*Rutas[[#This Row],[Volumen de Combustible (gal)]]</f>
        <v>33.543999999999997</v>
      </c>
      <c r="V1251" s="36"/>
      <c r="W1251" s="36"/>
      <c r="X1251" s="36"/>
      <c r="Y1251" s="145">
        <f t="shared" si="389"/>
        <v>33.543999999999997</v>
      </c>
      <c r="Z1251" s="572"/>
      <c r="AA1251" s="12">
        <v>11.98</v>
      </c>
      <c r="AB1251" s="12">
        <f t="shared" si="390"/>
        <v>2.003338898163606</v>
      </c>
      <c r="AC1251" s="12">
        <f t="shared" si="391"/>
        <v>0</v>
      </c>
      <c r="AD1251" s="34"/>
    </row>
    <row r="1252" spans="1:30" ht="16" x14ac:dyDescent="0.2">
      <c r="A1252" s="47"/>
      <c r="B1252" s="575"/>
      <c r="C1252" s="176">
        <f t="shared" si="370"/>
        <v>1249</v>
      </c>
      <c r="D1252" s="454">
        <v>45915</v>
      </c>
      <c r="E1252" s="37">
        <v>45917</v>
      </c>
      <c r="F1252" s="65" t="s">
        <v>320</v>
      </c>
      <c r="G1252" s="11" t="str">
        <f ca="1">IF(AND(E1252&lt;&gt;"",E1252&lt;TODAY()),"Disponible",IFERROR(INDEX(Vehiculos[Estado Vehiculo],MATCH(F1252,Vehiculos[Placa Vehiculo],0)),""))</f>
        <v>Disponible</v>
      </c>
      <c r="H1252" s="34" t="s">
        <v>239</v>
      </c>
      <c r="I1252" s="34" t="s">
        <v>273</v>
      </c>
      <c r="J1252" s="34"/>
      <c r="K1252" s="39">
        <v>3285</v>
      </c>
      <c r="L1252" s="39">
        <v>3300</v>
      </c>
      <c r="M1252" s="15">
        <f t="shared" si="387"/>
        <v>15</v>
      </c>
      <c r="N1252" s="381">
        <f>Rutas[[#This Row],[Kms Recorridos]]</f>
        <v>15</v>
      </c>
      <c r="O1252" s="39"/>
      <c r="P1252" s="36"/>
      <c r="Q1252" s="16">
        <f t="shared" si="388"/>
        <v>0</v>
      </c>
      <c r="R1252" s="34" t="s">
        <v>196</v>
      </c>
      <c r="S1252" s="34" t="s">
        <v>102</v>
      </c>
      <c r="T1252" s="36">
        <v>2.8</v>
      </c>
      <c r="U1252" s="293">
        <f>Rutas[[#This Row],[Precio x Galón ($/gal)]]*Rutas[[#This Row],[Volumen de Combustible (gal)]]</f>
        <v>28</v>
      </c>
      <c r="V1252" s="36"/>
      <c r="W1252" s="36"/>
      <c r="X1252" s="36"/>
      <c r="Y1252" s="145">
        <f t="shared" si="389"/>
        <v>28</v>
      </c>
      <c r="Z1252" s="572"/>
      <c r="AA1252" s="12">
        <v>10</v>
      </c>
      <c r="AB1252" s="12">
        <f t="shared" si="390"/>
        <v>1.5</v>
      </c>
      <c r="AC1252" s="12">
        <f t="shared" si="391"/>
        <v>0</v>
      </c>
      <c r="AD1252" s="34"/>
    </row>
    <row r="1253" spans="1:30" ht="16" x14ac:dyDescent="0.2">
      <c r="A1253" s="47"/>
      <c r="B1253" s="575"/>
      <c r="C1253" s="176">
        <f t="shared" si="370"/>
        <v>1250</v>
      </c>
      <c r="D1253" s="454">
        <v>45917</v>
      </c>
      <c r="E1253" s="37">
        <v>45919</v>
      </c>
      <c r="F1253" s="65" t="s">
        <v>320</v>
      </c>
      <c r="G1253" s="11" t="str">
        <f ca="1">IF(AND(E1253&lt;&gt;"",E1253&lt;TODAY()),"Disponible",IFERROR(INDEX(Vehiculos[Estado Vehiculo],MATCH(F1253,Vehiculos[Placa Vehiculo],0)),""))</f>
        <v>Disponible</v>
      </c>
      <c r="H1253" s="34" t="s">
        <v>234</v>
      </c>
      <c r="I1253" s="34" t="s">
        <v>273</v>
      </c>
      <c r="J1253" s="34"/>
      <c r="K1253" s="39">
        <v>3300</v>
      </c>
      <c r="L1253" s="39">
        <v>3310</v>
      </c>
      <c r="M1253" s="15">
        <f t="shared" si="387"/>
        <v>10</v>
      </c>
      <c r="N1253" s="381">
        <f>Rutas[[#This Row],[Kms Recorridos]]</f>
        <v>10</v>
      </c>
      <c r="O1253" s="39"/>
      <c r="P1253" s="36"/>
      <c r="Q1253" s="16">
        <f t="shared" si="388"/>
        <v>0</v>
      </c>
      <c r="R1253" s="34" t="s">
        <v>339</v>
      </c>
      <c r="S1253" s="34" t="s">
        <v>102</v>
      </c>
      <c r="T1253" s="36">
        <v>2.8</v>
      </c>
      <c r="U1253" s="293">
        <f>Rutas[[#This Row],[Precio x Galón ($/gal)]]*Rutas[[#This Row],[Volumen de Combustible (gal)]]</f>
        <v>68.963999999999999</v>
      </c>
      <c r="V1253" s="36"/>
      <c r="W1253" s="36"/>
      <c r="X1253" s="36"/>
      <c r="Y1253" s="145">
        <f t="shared" si="389"/>
        <v>68.963999999999999</v>
      </c>
      <c r="Z1253" s="572">
        <v>3498</v>
      </c>
      <c r="AA1253" s="12">
        <v>24.63</v>
      </c>
      <c r="AB1253" s="12">
        <f t="shared" si="390"/>
        <v>0.40600893219650835</v>
      </c>
      <c r="AC1253" s="12">
        <f t="shared" si="391"/>
        <v>0</v>
      </c>
      <c r="AD1253" s="34"/>
    </row>
    <row r="1254" spans="1:30" ht="16" x14ac:dyDescent="0.2">
      <c r="A1254" s="47"/>
      <c r="B1254" s="575"/>
      <c r="C1254" s="176">
        <f t="shared" si="370"/>
        <v>1251</v>
      </c>
      <c r="D1254" s="454">
        <v>45919</v>
      </c>
      <c r="E1254" s="37">
        <v>45923</v>
      </c>
      <c r="F1254" s="65" t="s">
        <v>320</v>
      </c>
      <c r="G1254" s="11" t="str">
        <f ca="1">IF(AND(E1254&lt;&gt;"",E1254&lt;TODAY()),"Disponible",IFERROR(INDEX(Vehiculos[Estado Vehiculo],MATCH(F1254,Vehiculos[Placa Vehiculo],0)),""))</f>
        <v>Disponible</v>
      </c>
      <c r="H1254" s="34" t="s">
        <v>234</v>
      </c>
      <c r="I1254" s="34" t="s">
        <v>273</v>
      </c>
      <c r="J1254" s="34"/>
      <c r="K1254" s="39">
        <v>3310</v>
      </c>
      <c r="L1254" s="39">
        <v>3345</v>
      </c>
      <c r="M1254" s="15">
        <f t="shared" si="387"/>
        <v>35</v>
      </c>
      <c r="N1254" s="381">
        <f>Rutas[[#This Row],[Kms Recorridos]]</f>
        <v>35</v>
      </c>
      <c r="O1254" s="39"/>
      <c r="P1254" s="36"/>
      <c r="Q1254" s="16">
        <f t="shared" si="388"/>
        <v>0</v>
      </c>
      <c r="R1254" s="34" t="s">
        <v>273</v>
      </c>
      <c r="S1254" s="34" t="s">
        <v>102</v>
      </c>
      <c r="T1254" s="36">
        <v>2.8</v>
      </c>
      <c r="U1254" s="293">
        <f>Rutas[[#This Row],[Precio x Galón ($/gal)]]*Rutas[[#This Row],[Volumen de Combustible (gal)]]</f>
        <v>63.14</v>
      </c>
      <c r="V1254" s="36"/>
      <c r="W1254" s="36"/>
      <c r="X1254" s="36"/>
      <c r="Y1254" s="145">
        <f t="shared" si="389"/>
        <v>63.14</v>
      </c>
      <c r="Z1254" s="572"/>
      <c r="AA1254" s="12">
        <v>22.55</v>
      </c>
      <c r="AB1254" s="12">
        <f t="shared" si="390"/>
        <v>1.5521064301552105</v>
      </c>
      <c r="AC1254" s="12">
        <f t="shared" si="391"/>
        <v>0</v>
      </c>
      <c r="AD1254" s="34"/>
    </row>
    <row r="1255" spans="1:30" ht="16" x14ac:dyDescent="0.2">
      <c r="A1255" s="47"/>
      <c r="B1255" s="575"/>
      <c r="C1255" s="176">
        <f t="shared" si="370"/>
        <v>1252</v>
      </c>
      <c r="D1255" s="454">
        <v>45923</v>
      </c>
      <c r="E1255" s="37">
        <v>45928</v>
      </c>
      <c r="F1255" s="65" t="s">
        <v>320</v>
      </c>
      <c r="G1255" s="11" t="str">
        <f ca="1">IF(AND(E1255&lt;&gt;"",E1255&lt;TODAY()),"Disponible",IFERROR(INDEX(Vehiculos[Estado Vehiculo],MATCH(F1255,Vehiculos[Placa Vehiculo],0)),""))</f>
        <v>Disponible</v>
      </c>
      <c r="H1255" s="34"/>
      <c r="I1255" s="34" t="s">
        <v>273</v>
      </c>
      <c r="J1255" s="34"/>
      <c r="K1255" s="39">
        <v>3345</v>
      </c>
      <c r="L1255" s="39">
        <v>3383</v>
      </c>
      <c r="M1255" s="15">
        <f t="shared" si="387"/>
        <v>38</v>
      </c>
      <c r="N1255" s="381">
        <f>Rutas[[#This Row],[Kms Recorridos]]</f>
        <v>38</v>
      </c>
      <c r="O1255" s="39"/>
      <c r="P1255" s="36"/>
      <c r="Q1255" s="16">
        <f t="shared" si="388"/>
        <v>0</v>
      </c>
      <c r="R1255" s="34" t="s">
        <v>339</v>
      </c>
      <c r="S1255" s="34" t="s">
        <v>102</v>
      </c>
      <c r="T1255" s="36">
        <v>2.8</v>
      </c>
      <c r="U1255" s="293">
        <f>Rutas[[#This Row],[Precio x Galón ($/gal)]]*Rutas[[#This Row],[Volumen de Combustible (gal)]]</f>
        <v>67.199999999999989</v>
      </c>
      <c r="V1255" s="36"/>
      <c r="W1255" s="36"/>
      <c r="X1255" s="36"/>
      <c r="Y1255" s="145">
        <f t="shared" si="389"/>
        <v>67.199999999999989</v>
      </c>
      <c r="Z1255" s="572"/>
      <c r="AA1255" s="12">
        <v>24</v>
      </c>
      <c r="AB1255" s="12">
        <f t="shared" si="390"/>
        <v>1.5833333333333333</v>
      </c>
      <c r="AC1255" s="12">
        <f t="shared" si="391"/>
        <v>0</v>
      </c>
      <c r="AD1255" s="34"/>
    </row>
    <row r="1256" spans="1:30" ht="16" x14ac:dyDescent="0.2">
      <c r="A1256" s="47"/>
      <c r="B1256" s="575"/>
      <c r="C1256" s="176">
        <f t="shared" si="370"/>
        <v>1253</v>
      </c>
      <c r="D1256" s="454">
        <v>45928</v>
      </c>
      <c r="E1256" s="37">
        <v>45930</v>
      </c>
      <c r="F1256" s="65" t="s">
        <v>320</v>
      </c>
      <c r="G1256" s="11" t="str">
        <f ca="1">IF(AND(E1256&lt;&gt;"",E1256&lt;TODAY()),"Disponible",IFERROR(INDEX(Vehiculos[Estado Vehiculo],MATCH(F1256,Vehiculos[Placa Vehiculo],0)),""))</f>
        <v>Disponible</v>
      </c>
      <c r="H1256" s="34"/>
      <c r="I1256" s="34" t="s">
        <v>273</v>
      </c>
      <c r="J1256" s="34"/>
      <c r="K1256" s="39">
        <v>3383</v>
      </c>
      <c r="L1256" s="39">
        <v>3400</v>
      </c>
      <c r="M1256" s="15">
        <f>L1256-K1256</f>
        <v>17</v>
      </c>
      <c r="N1256" s="381">
        <f>Rutas[[#This Row],[Kms Recorridos]]</f>
        <v>17</v>
      </c>
      <c r="O1256" s="39"/>
      <c r="P1256" s="36"/>
      <c r="Q1256" s="16">
        <f>M1256*P1256</f>
        <v>0</v>
      </c>
      <c r="R1256" s="34"/>
      <c r="S1256" s="34"/>
      <c r="T1256" s="36"/>
      <c r="U1256" s="293"/>
      <c r="V1256" s="36"/>
      <c r="W1256" s="36"/>
      <c r="X1256" s="36"/>
      <c r="Y1256" s="145">
        <f>U1256+SUM(V1256:X1256)</f>
        <v>0</v>
      </c>
      <c r="Z1256" s="567"/>
      <c r="AA1256" s="12"/>
      <c r="AB1256" s="12">
        <f>IFERROR(M1256/AA1256,0)</f>
        <v>0</v>
      </c>
      <c r="AC1256" s="12">
        <f>IFERROR(Q1256/M1256,0)</f>
        <v>0</v>
      </c>
      <c r="AD1256" s="34"/>
    </row>
    <row r="1257" spans="1:30" ht="16" x14ac:dyDescent="0.2">
      <c r="A1257" s="47"/>
      <c r="B1257" s="575"/>
      <c r="C1257" s="176">
        <f t="shared" si="370"/>
        <v>1254</v>
      </c>
      <c r="D1257" s="454"/>
      <c r="E1257" s="37"/>
      <c r="F1257" s="65"/>
      <c r="G1257" s="11" t="str">
        <f ca="1">IF(AND(E1257&lt;&gt;"",E1257&lt;TODAY()),"Disponible",IFERROR(INDEX(Vehiculos[Estado Vehiculo],MATCH(F1257,Vehiculos[Placa Vehiculo],0)),""))</f>
        <v/>
      </c>
      <c r="H1257" s="34"/>
      <c r="I1257" s="34"/>
      <c r="J1257" s="34"/>
      <c r="K1257" s="39"/>
      <c r="L1257" s="39"/>
      <c r="M1257" s="15">
        <f>L1257-K1257</f>
        <v>0</v>
      </c>
      <c r="N1257" s="15"/>
      <c r="O1257" s="39"/>
      <c r="P1257" s="36"/>
      <c r="Q1257" s="16">
        <f>M1257*P1257</f>
        <v>0</v>
      </c>
      <c r="R1257" s="34"/>
      <c r="S1257" s="34"/>
      <c r="T1257" s="36"/>
      <c r="U1257" s="293"/>
      <c r="V1257" s="36"/>
      <c r="W1257" s="36"/>
      <c r="X1257" s="36"/>
      <c r="Y1257" s="145">
        <f>U1257+SUM(V1257:X1257)</f>
        <v>0</v>
      </c>
      <c r="Z1257" s="567"/>
      <c r="AA1257" s="12"/>
      <c r="AB1257" s="12">
        <f>IFERROR(M1257/AA1257,0)</f>
        <v>0</v>
      </c>
      <c r="AC1257" s="12">
        <f>IFERROR(Q1257/M1257,0)</f>
        <v>0</v>
      </c>
      <c r="AD1257" s="34"/>
    </row>
    <row r="1258" spans="1:30" ht="16" x14ac:dyDescent="0.2">
      <c r="A1258" s="47"/>
      <c r="B1258" s="575"/>
      <c r="C1258" s="176">
        <f t="shared" si="370"/>
        <v>1255</v>
      </c>
      <c r="D1258" s="146"/>
      <c r="E1258" s="37"/>
      <c r="F1258" s="65"/>
      <c r="G1258" s="11" t="str">
        <f ca="1">IF(AND(E1258&lt;&gt;"",E1258&lt;TODAY()),"Disponible",IFERROR(INDEX(Vehiculos[Estado Vehiculo],MATCH(F1258,Vehiculos[Placa Vehiculo],0)),""))</f>
        <v/>
      </c>
      <c r="H1258" s="34"/>
      <c r="I1258" s="34"/>
      <c r="J1258" s="34"/>
      <c r="K1258" s="39"/>
      <c r="L1258" s="39"/>
      <c r="M1258" s="15">
        <f>L1258-K1258</f>
        <v>0</v>
      </c>
      <c r="N1258" s="15"/>
      <c r="O1258" s="39"/>
      <c r="P1258" s="36"/>
      <c r="Q1258" s="16">
        <f>M1258*P1258</f>
        <v>0</v>
      </c>
      <c r="R1258" s="34"/>
      <c r="S1258" s="34"/>
      <c r="T1258" s="36"/>
      <c r="U1258" s="293">
        <f>Rutas[[#This Row],[Precio x Galón ($/gal)]]*Rutas[[#This Row],[Volumen de Combustible (gal)]]</f>
        <v>0</v>
      </c>
      <c r="V1258" s="36"/>
      <c r="W1258" s="36"/>
      <c r="X1258" s="36"/>
      <c r="Y1258" s="145">
        <f>U1258+SUM(V1258:X1258)</f>
        <v>0</v>
      </c>
      <c r="Z1258" s="572"/>
      <c r="AA1258" s="12"/>
      <c r="AB1258" s="12">
        <f>IFERROR(M1258/AA1258,0)</f>
        <v>0</v>
      </c>
      <c r="AC1258" s="12">
        <f>IFERROR(Q1258/M1258,0)</f>
        <v>0</v>
      </c>
      <c r="AD1258" s="34"/>
    </row>
    <row r="1259" spans="1:30" ht="16" x14ac:dyDescent="0.2">
      <c r="A1259" s="47"/>
      <c r="B1259" s="575"/>
      <c r="C1259" s="176">
        <f t="shared" si="370"/>
        <v>1256</v>
      </c>
      <c r="D1259" s="90">
        <v>45901</v>
      </c>
      <c r="E1259" s="90">
        <v>45902</v>
      </c>
      <c r="F1259" s="68" t="s">
        <v>312</v>
      </c>
      <c r="G1259" s="379" t="str">
        <f ca="1">IF(AND(E1259&lt;&gt;"",E1259&lt;TODAY()),"Disponible",IFERROR(INDEX(Vehiculos[Estado Vehiculo],MATCH(F1259,Vehiculos[Placa Vehiculo],0)),""))</f>
        <v>Disponible</v>
      </c>
      <c r="H1259" s="89" t="s">
        <v>245</v>
      </c>
      <c r="I1259" s="89" t="s">
        <v>273</v>
      </c>
      <c r="J1259" s="89"/>
      <c r="K1259" s="380">
        <v>241</v>
      </c>
      <c r="L1259" s="380">
        <v>262</v>
      </c>
      <c r="M1259" s="381">
        <f>L1259-K1259</f>
        <v>21</v>
      </c>
      <c r="N1259" s="381">
        <f>Rutas[[#This Row],[Kms Recorridos]]</f>
        <v>21</v>
      </c>
      <c r="O1259" s="380"/>
      <c r="P1259" s="92"/>
      <c r="Q1259" s="382">
        <f>M1259*P1259</f>
        <v>0</v>
      </c>
      <c r="R1259" s="89" t="s">
        <v>339</v>
      </c>
      <c r="S1259" s="89" t="s">
        <v>102</v>
      </c>
      <c r="T1259" s="92">
        <v>1.8</v>
      </c>
      <c r="U1259" s="92">
        <f>Rutas[[#This Row],[Precio x Galón ($/gal)]]*Rutas[[#This Row],[Volumen de Combustible (gal)]]</f>
        <v>36.180000000000007</v>
      </c>
      <c r="V1259" s="92"/>
      <c r="W1259" s="92"/>
      <c r="X1259" s="92"/>
      <c r="Y1259" s="382">
        <f>U1259+SUM(V1259:X1259)</f>
        <v>36.180000000000007</v>
      </c>
      <c r="Z1259" s="572"/>
      <c r="AA1259" s="382">
        <v>20.100000000000001</v>
      </c>
      <c r="AB1259" s="382">
        <f>IFERROR(M1259/AA1259,0)</f>
        <v>1.044776119402985</v>
      </c>
      <c r="AC1259" s="382">
        <f>IFERROR(Q1259/M1259,0)</f>
        <v>0</v>
      </c>
      <c r="AD1259" s="89"/>
    </row>
    <row r="1260" spans="1:30" ht="16" x14ac:dyDescent="0.2">
      <c r="A1260" s="47"/>
      <c r="B1260" s="575"/>
      <c r="C1260" s="176">
        <f t="shared" si="370"/>
        <v>1257</v>
      </c>
      <c r="D1260" s="146">
        <v>45902</v>
      </c>
      <c r="E1260" s="37">
        <v>45905</v>
      </c>
      <c r="F1260" s="65" t="s">
        <v>312</v>
      </c>
      <c r="G1260" s="11" t="str">
        <f ca="1">IF(AND(E1260&lt;&gt;"",E1260&lt;TODAY()),"Disponible",IFERROR(INDEX(Vehiculos[Estado Vehiculo],MATCH(F1260,Vehiculos[Placa Vehiculo],0)),""))</f>
        <v>Disponible</v>
      </c>
      <c r="H1260" s="34" t="s">
        <v>245</v>
      </c>
      <c r="I1260" s="34" t="s">
        <v>273</v>
      </c>
      <c r="J1260" s="34"/>
      <c r="K1260" s="39">
        <v>262</v>
      </c>
      <c r="L1260" s="39">
        <v>287</v>
      </c>
      <c r="M1260" s="15">
        <f>L1260-K1260</f>
        <v>25</v>
      </c>
      <c r="N1260" s="381">
        <f>Rutas[[#This Row],[Kms Recorridos]]</f>
        <v>25</v>
      </c>
      <c r="O1260" s="39"/>
      <c r="P1260" s="36"/>
      <c r="Q1260" s="16">
        <f>M1260*P1260</f>
        <v>0</v>
      </c>
      <c r="R1260" s="34" t="s">
        <v>273</v>
      </c>
      <c r="S1260" s="34" t="s">
        <v>102</v>
      </c>
      <c r="T1260" s="36">
        <v>1.8</v>
      </c>
      <c r="U1260" s="293">
        <f>Rutas[[#This Row],[Precio x Galón ($/gal)]]*Rutas[[#This Row],[Volumen de Combustible (gal)]]</f>
        <v>25.614000000000001</v>
      </c>
      <c r="V1260" s="36"/>
      <c r="W1260" s="36"/>
      <c r="X1260" s="36"/>
      <c r="Y1260" s="145">
        <f>U1260+SUM(V1260:X1260)</f>
        <v>25.614000000000001</v>
      </c>
      <c r="Z1260" s="572"/>
      <c r="AA1260" s="12">
        <v>14.23</v>
      </c>
      <c r="AB1260" s="12">
        <f>IFERROR(M1260/AA1260,0)</f>
        <v>1.7568517217146873</v>
      </c>
      <c r="AC1260" s="12">
        <f>IFERROR(Q1260/M1260,0)</f>
        <v>0</v>
      </c>
      <c r="AD1260" s="34"/>
    </row>
    <row r="1261" spans="1:30" ht="16" x14ac:dyDescent="0.2">
      <c r="A1261" s="47"/>
      <c r="B1261" s="575"/>
      <c r="C1261" s="176">
        <f t="shared" si="370"/>
        <v>1258</v>
      </c>
      <c r="D1261" s="146">
        <v>45905</v>
      </c>
      <c r="E1261" s="37">
        <v>45909</v>
      </c>
      <c r="F1261" s="65" t="s">
        <v>312</v>
      </c>
      <c r="G1261" s="11" t="str">
        <f ca="1">IF(AND(E1261&lt;&gt;"",E1261&lt;TODAY()),"Disponible",IFERROR(INDEX(Vehiculos[Estado Vehiculo],MATCH(F1261,Vehiculos[Placa Vehiculo],0)),""))</f>
        <v>Disponible</v>
      </c>
      <c r="H1261" s="34" t="s">
        <v>238</v>
      </c>
      <c r="I1261" s="34" t="s">
        <v>273</v>
      </c>
      <c r="J1261" s="34"/>
      <c r="K1261" s="39">
        <v>287</v>
      </c>
      <c r="L1261" s="39">
        <v>310</v>
      </c>
      <c r="M1261" s="15">
        <f t="shared" ref="M1261:M1286" si="392">L1261-K1261</f>
        <v>23</v>
      </c>
      <c r="N1261" s="381">
        <f>Rutas[[#This Row],[Kms Recorridos]]</f>
        <v>23</v>
      </c>
      <c r="O1261" s="39"/>
      <c r="P1261" s="36"/>
      <c r="Q1261" s="16">
        <f t="shared" ref="Q1261:Q1286" si="393">M1261*P1261</f>
        <v>0</v>
      </c>
      <c r="R1261" s="34" t="s">
        <v>339</v>
      </c>
      <c r="S1261" s="34" t="s">
        <v>102</v>
      </c>
      <c r="T1261" s="36">
        <v>1.8</v>
      </c>
      <c r="U1261" s="293">
        <f>Rutas[[#This Row],[Precio x Galón ($/gal)]]*Rutas[[#This Row],[Volumen de Combustible (gal)]]</f>
        <v>28.692</v>
      </c>
      <c r="V1261" s="36"/>
      <c r="W1261" s="36"/>
      <c r="X1261" s="36"/>
      <c r="Y1261" s="145">
        <f t="shared" ref="Y1261:Y1286" si="394">U1261+SUM(V1261:X1261)</f>
        <v>28.692</v>
      </c>
      <c r="Z1261" s="572"/>
      <c r="AA1261" s="12">
        <v>15.94</v>
      </c>
      <c r="AB1261" s="12">
        <f t="shared" ref="AB1261:AB1286" si="395">IFERROR(M1261/AA1261,0)</f>
        <v>1.4429109159347553</v>
      </c>
      <c r="AC1261" s="12">
        <f t="shared" ref="AC1261:AC1286" si="396">IFERROR(Q1261/M1261,0)</f>
        <v>0</v>
      </c>
      <c r="AD1261" s="34"/>
    </row>
    <row r="1262" spans="1:30" ht="16" x14ac:dyDescent="0.2">
      <c r="A1262" s="47"/>
      <c r="B1262" s="575"/>
      <c r="C1262" s="176">
        <f t="shared" si="370"/>
        <v>1259</v>
      </c>
      <c r="D1262" s="454">
        <v>45909</v>
      </c>
      <c r="E1262" s="37">
        <v>45912</v>
      </c>
      <c r="F1262" s="65" t="s">
        <v>312</v>
      </c>
      <c r="G1262" s="11" t="str">
        <f ca="1">IF(AND(E1262&lt;&gt;"",E1262&lt;TODAY()),"Disponible",IFERROR(INDEX(Vehiculos[Estado Vehiculo],MATCH(F1262,Vehiculos[Placa Vehiculo],0)),""))</f>
        <v>Disponible</v>
      </c>
      <c r="H1262" s="34" t="s">
        <v>238</v>
      </c>
      <c r="I1262" s="34" t="s">
        <v>273</v>
      </c>
      <c r="J1262" s="34"/>
      <c r="K1262" s="39">
        <v>310</v>
      </c>
      <c r="L1262" s="39">
        <v>346</v>
      </c>
      <c r="M1262" s="15">
        <f t="shared" ref="M1262:M1268" si="397">L1262-K1262</f>
        <v>36</v>
      </c>
      <c r="N1262" s="381">
        <f>Rutas[[#This Row],[Kms Recorridos]]</f>
        <v>36</v>
      </c>
      <c r="O1262" s="39"/>
      <c r="P1262" s="36"/>
      <c r="Q1262" s="16">
        <f t="shared" ref="Q1262:Q1268" si="398">M1262*P1262</f>
        <v>0</v>
      </c>
      <c r="R1262" s="34" t="s">
        <v>196</v>
      </c>
      <c r="S1262" s="34" t="s">
        <v>102</v>
      </c>
      <c r="T1262" s="36">
        <v>1.8</v>
      </c>
      <c r="U1262" s="293">
        <f>Rutas[[#This Row],[Precio x Galón ($/gal)]]*Rutas[[#This Row],[Volumen de Combustible (gal)]]</f>
        <v>27</v>
      </c>
      <c r="V1262" s="36"/>
      <c r="W1262" s="36"/>
      <c r="X1262" s="36"/>
      <c r="Y1262" s="145">
        <f t="shared" ref="Y1262:Y1268" si="399">U1262+SUM(V1262:X1262)</f>
        <v>27</v>
      </c>
      <c r="Z1262" s="572"/>
      <c r="AA1262" s="12">
        <v>15</v>
      </c>
      <c r="AB1262" s="12">
        <f t="shared" ref="AB1262:AB1268" si="400">IFERROR(M1262/AA1262,0)</f>
        <v>2.4</v>
      </c>
      <c r="AC1262" s="12">
        <f t="shared" ref="AC1262:AC1268" si="401">IFERROR(Q1262/M1262,0)</f>
        <v>0</v>
      </c>
      <c r="AD1262" s="34"/>
    </row>
    <row r="1263" spans="1:30" ht="16" x14ac:dyDescent="0.2">
      <c r="A1263" s="47"/>
      <c r="B1263" s="575"/>
      <c r="C1263" s="176">
        <f t="shared" si="370"/>
        <v>1260</v>
      </c>
      <c r="D1263" s="454">
        <v>45912</v>
      </c>
      <c r="E1263" s="37">
        <v>45915</v>
      </c>
      <c r="F1263" s="65" t="s">
        <v>312</v>
      </c>
      <c r="G1263" s="11" t="str">
        <f ca="1">IF(AND(E1263&lt;&gt;"",E1263&lt;TODAY()),"Disponible",IFERROR(INDEX(Vehiculos[Estado Vehiculo],MATCH(F1263,Vehiculos[Placa Vehiculo],0)),""))</f>
        <v>Disponible</v>
      </c>
      <c r="H1263" s="34" t="s">
        <v>238</v>
      </c>
      <c r="I1263" s="34" t="s">
        <v>273</v>
      </c>
      <c r="J1263" s="34"/>
      <c r="K1263" s="39">
        <v>346</v>
      </c>
      <c r="L1263" s="39">
        <v>358</v>
      </c>
      <c r="M1263" s="15">
        <f t="shared" si="397"/>
        <v>12</v>
      </c>
      <c r="N1263" s="381">
        <f>Rutas[[#This Row],[Kms Recorridos]]</f>
        <v>12</v>
      </c>
      <c r="O1263" s="39"/>
      <c r="P1263" s="36"/>
      <c r="Q1263" s="16">
        <f t="shared" si="398"/>
        <v>0</v>
      </c>
      <c r="R1263" s="34" t="s">
        <v>339</v>
      </c>
      <c r="S1263" s="34" t="s">
        <v>102</v>
      </c>
      <c r="T1263" s="36">
        <v>2.8</v>
      </c>
      <c r="U1263" s="293">
        <f>Rutas[[#This Row],[Precio x Galón ($/gal)]]*Rutas[[#This Row],[Volumen de Combustible (gal)]]</f>
        <v>56</v>
      </c>
      <c r="V1263" s="36"/>
      <c r="W1263" s="36"/>
      <c r="X1263" s="36"/>
      <c r="Y1263" s="145">
        <f t="shared" si="399"/>
        <v>56</v>
      </c>
      <c r="Z1263" s="572"/>
      <c r="AA1263" s="12">
        <v>20</v>
      </c>
      <c r="AB1263" s="12">
        <f t="shared" si="400"/>
        <v>0.6</v>
      </c>
      <c r="AC1263" s="12">
        <f t="shared" si="401"/>
        <v>0</v>
      </c>
      <c r="AD1263" s="34"/>
    </row>
    <row r="1264" spans="1:30" ht="16" x14ac:dyDescent="0.2">
      <c r="A1264" s="47"/>
      <c r="B1264" s="575"/>
      <c r="C1264" s="176">
        <f t="shared" si="370"/>
        <v>1261</v>
      </c>
      <c r="D1264" s="454">
        <v>45915</v>
      </c>
      <c r="E1264" s="37">
        <v>45917</v>
      </c>
      <c r="F1264" s="65" t="s">
        <v>312</v>
      </c>
      <c r="G1264" s="11" t="str">
        <f ca="1">IF(AND(E1264&lt;&gt;"",E1264&lt;TODAY()),"Disponible",IFERROR(INDEX(Vehiculos[Estado Vehiculo],MATCH(F1264,Vehiculos[Placa Vehiculo],0)),""))</f>
        <v>Disponible</v>
      </c>
      <c r="H1264" s="34" t="s">
        <v>250</v>
      </c>
      <c r="I1264" s="34" t="s">
        <v>273</v>
      </c>
      <c r="J1264" s="34"/>
      <c r="K1264" s="39">
        <v>358</v>
      </c>
      <c r="L1264" s="39">
        <v>377</v>
      </c>
      <c r="M1264" s="15">
        <f t="shared" si="397"/>
        <v>19</v>
      </c>
      <c r="N1264" s="381">
        <f>Rutas[[#This Row],[Kms Recorridos]]</f>
        <v>19</v>
      </c>
      <c r="O1264" s="39"/>
      <c r="P1264" s="36"/>
      <c r="Q1264" s="16">
        <f t="shared" si="398"/>
        <v>0</v>
      </c>
      <c r="R1264" s="34" t="s">
        <v>339</v>
      </c>
      <c r="S1264" s="34" t="s">
        <v>102</v>
      </c>
      <c r="T1264" s="36">
        <v>2.8</v>
      </c>
      <c r="U1264" s="293">
        <f>Rutas[[#This Row],[Precio x Galón ($/gal)]]*Rutas[[#This Row],[Volumen de Combustible (gal)]]</f>
        <v>45.443999999999996</v>
      </c>
      <c r="V1264" s="36"/>
      <c r="W1264" s="36"/>
      <c r="X1264" s="36"/>
      <c r="Y1264" s="145">
        <f t="shared" si="399"/>
        <v>45.443999999999996</v>
      </c>
      <c r="Z1264" s="572"/>
      <c r="AA1264" s="12">
        <v>16.23</v>
      </c>
      <c r="AB1264" s="12">
        <f t="shared" si="400"/>
        <v>1.1706715958102278</v>
      </c>
      <c r="AC1264" s="12">
        <f t="shared" si="401"/>
        <v>0</v>
      </c>
      <c r="AD1264" s="34"/>
    </row>
    <row r="1265" spans="1:30" ht="16" x14ac:dyDescent="0.2">
      <c r="A1265" s="47"/>
      <c r="B1265" s="575"/>
      <c r="C1265" s="176">
        <f t="shared" si="370"/>
        <v>1262</v>
      </c>
      <c r="D1265" s="454">
        <v>45917</v>
      </c>
      <c r="E1265" s="37">
        <v>45921</v>
      </c>
      <c r="F1265" s="65" t="s">
        <v>312</v>
      </c>
      <c r="G1265" s="11" t="str">
        <f ca="1">IF(AND(E1265&lt;&gt;"",E1265&lt;TODAY()),"Disponible",IFERROR(INDEX(Vehiculos[Estado Vehiculo],MATCH(F1265,Vehiculos[Placa Vehiculo],0)),""))</f>
        <v>Disponible</v>
      </c>
      <c r="H1265" s="34" t="s">
        <v>250</v>
      </c>
      <c r="I1265" s="34" t="s">
        <v>273</v>
      </c>
      <c r="J1265" s="34"/>
      <c r="K1265" s="39">
        <v>377</v>
      </c>
      <c r="L1265" s="39">
        <v>401</v>
      </c>
      <c r="M1265" s="15">
        <f t="shared" si="397"/>
        <v>24</v>
      </c>
      <c r="N1265" s="381">
        <f>Rutas[[#This Row],[Kms Recorridos]]</f>
        <v>24</v>
      </c>
      <c r="O1265" s="39"/>
      <c r="P1265" s="36"/>
      <c r="Q1265" s="16">
        <f t="shared" si="398"/>
        <v>0</v>
      </c>
      <c r="R1265" s="34" t="s">
        <v>273</v>
      </c>
      <c r="S1265" s="34" t="s">
        <v>102</v>
      </c>
      <c r="T1265" s="36">
        <v>2.8</v>
      </c>
      <c r="U1265" s="293">
        <f>Rutas[[#This Row],[Precio x Galón ($/gal)]]*Rutas[[#This Row],[Volumen de Combustible (gal)]]</f>
        <v>48.636000000000003</v>
      </c>
      <c r="V1265" s="36"/>
      <c r="W1265" s="36"/>
      <c r="X1265" s="36"/>
      <c r="Y1265" s="145">
        <f t="shared" si="399"/>
        <v>48.636000000000003</v>
      </c>
      <c r="Z1265" s="572"/>
      <c r="AA1265" s="12">
        <v>17.37</v>
      </c>
      <c r="AB1265" s="12">
        <f t="shared" si="400"/>
        <v>1.3816925734024179</v>
      </c>
      <c r="AC1265" s="12">
        <f t="shared" si="401"/>
        <v>0</v>
      </c>
      <c r="AD1265" s="34"/>
    </row>
    <row r="1266" spans="1:30" ht="16" x14ac:dyDescent="0.2">
      <c r="A1266" s="47"/>
      <c r="B1266" s="575"/>
      <c r="C1266" s="176">
        <f t="shared" si="370"/>
        <v>1263</v>
      </c>
      <c r="D1266" s="454">
        <v>45921</v>
      </c>
      <c r="E1266" s="37">
        <v>45925</v>
      </c>
      <c r="F1266" s="65" t="s">
        <v>312</v>
      </c>
      <c r="G1266" s="11" t="str">
        <f ca="1">IF(AND(E1266&lt;&gt;"",E1266&lt;TODAY()),"Disponible",IFERROR(INDEX(Vehiculos[Estado Vehiculo],MATCH(F1266,Vehiculos[Placa Vehiculo],0)),""))</f>
        <v>Disponible</v>
      </c>
      <c r="H1266" s="34" t="s">
        <v>250</v>
      </c>
      <c r="I1266" s="34" t="s">
        <v>273</v>
      </c>
      <c r="J1266" s="34"/>
      <c r="K1266" s="39">
        <v>401</v>
      </c>
      <c r="L1266" s="39">
        <v>428</v>
      </c>
      <c r="M1266" s="15">
        <f t="shared" si="397"/>
        <v>27</v>
      </c>
      <c r="N1266" s="381">
        <f>Rutas[[#This Row],[Kms Recorridos]]</f>
        <v>27</v>
      </c>
      <c r="O1266" s="39"/>
      <c r="P1266" s="36"/>
      <c r="Q1266" s="16">
        <f t="shared" si="398"/>
        <v>0</v>
      </c>
      <c r="R1266" s="34"/>
      <c r="S1266" s="34" t="s">
        <v>102</v>
      </c>
      <c r="T1266" s="36">
        <v>2.8</v>
      </c>
      <c r="U1266" s="293">
        <f>Rutas[[#This Row],[Precio x Galón ($/gal)]]*Rutas[[#This Row],[Volumen de Combustible (gal)]]</f>
        <v>50.819999999999993</v>
      </c>
      <c r="V1266" s="36"/>
      <c r="W1266" s="36"/>
      <c r="X1266" s="36"/>
      <c r="Y1266" s="145">
        <f t="shared" si="399"/>
        <v>50.819999999999993</v>
      </c>
      <c r="Z1266" s="567"/>
      <c r="AA1266" s="12">
        <v>18.149999999999999</v>
      </c>
      <c r="AB1266" s="12">
        <f t="shared" si="400"/>
        <v>1.4876033057851241</v>
      </c>
      <c r="AC1266" s="12">
        <f t="shared" si="401"/>
        <v>0</v>
      </c>
      <c r="AD1266" s="34"/>
    </row>
    <row r="1267" spans="1:30" ht="16" x14ac:dyDescent="0.2">
      <c r="A1267" s="47"/>
      <c r="B1267" s="575"/>
      <c r="C1267" s="176">
        <f t="shared" si="370"/>
        <v>1264</v>
      </c>
      <c r="D1267" s="454">
        <v>45925</v>
      </c>
      <c r="E1267" s="37">
        <v>45928</v>
      </c>
      <c r="F1267" s="65" t="s">
        <v>312</v>
      </c>
      <c r="G1267" s="11" t="str">
        <f ca="1">IF(AND(E1267&lt;&gt;"",E1267&lt;TODAY()),"Disponible",IFERROR(INDEX(Vehiculos[Estado Vehiculo],MATCH(F1267,Vehiculos[Placa Vehiculo],0)),""))</f>
        <v>Disponible</v>
      </c>
      <c r="H1267" s="34" t="s">
        <v>242</v>
      </c>
      <c r="I1267" s="34" t="s">
        <v>273</v>
      </c>
      <c r="J1267" s="34"/>
      <c r="K1267" s="39">
        <v>428</v>
      </c>
      <c r="L1267" s="39">
        <v>452</v>
      </c>
      <c r="M1267" s="15">
        <f t="shared" si="397"/>
        <v>24</v>
      </c>
      <c r="N1267" s="381">
        <f>Rutas[[#This Row],[Kms Recorridos]]</f>
        <v>24</v>
      </c>
      <c r="O1267" s="39"/>
      <c r="P1267" s="36"/>
      <c r="Q1267" s="16">
        <f t="shared" si="398"/>
        <v>0</v>
      </c>
      <c r="R1267" s="34" t="s">
        <v>339</v>
      </c>
      <c r="S1267" s="34" t="s">
        <v>102</v>
      </c>
      <c r="T1267" s="36">
        <v>2.8</v>
      </c>
      <c r="U1267" s="293">
        <f>Rutas[[#This Row],[Precio x Galón ($/gal)]]*Rutas[[#This Row],[Volumen de Combustible (gal)]]</f>
        <v>42.391999999999996</v>
      </c>
      <c r="V1267" s="36"/>
      <c r="W1267" s="36"/>
      <c r="X1267" s="36"/>
      <c r="Y1267" s="145">
        <f t="shared" si="399"/>
        <v>42.391999999999996</v>
      </c>
      <c r="Z1267" s="572"/>
      <c r="AA1267" s="12">
        <v>15.14</v>
      </c>
      <c r="AB1267" s="12">
        <f t="shared" si="400"/>
        <v>1.5852047556142668</v>
      </c>
      <c r="AC1267" s="12">
        <f t="shared" si="401"/>
        <v>0</v>
      </c>
      <c r="AD1267" s="34"/>
    </row>
    <row r="1268" spans="1:30" ht="16" x14ac:dyDescent="0.2">
      <c r="A1268" s="47"/>
      <c r="B1268" s="575"/>
      <c r="C1268" s="176">
        <f t="shared" si="370"/>
        <v>1265</v>
      </c>
      <c r="D1268" s="454">
        <v>45928</v>
      </c>
      <c r="E1268" s="37">
        <v>45930</v>
      </c>
      <c r="F1268" s="65" t="s">
        <v>312</v>
      </c>
      <c r="G1268" s="11" t="str">
        <f ca="1">IF(AND(E1268&lt;&gt;"",E1268&lt;TODAY()),"Disponible",IFERROR(INDEX(Vehiculos[Estado Vehiculo],MATCH(F1268,Vehiculos[Placa Vehiculo],0)),""))</f>
        <v>Disponible</v>
      </c>
      <c r="H1268" s="34"/>
      <c r="I1268" s="34" t="s">
        <v>273</v>
      </c>
      <c r="J1268" s="34"/>
      <c r="K1268" s="39">
        <v>452</v>
      </c>
      <c r="L1268" s="39">
        <v>463</v>
      </c>
      <c r="M1268" s="15">
        <f t="shared" si="397"/>
        <v>11</v>
      </c>
      <c r="N1268" s="381">
        <f>Rutas[[#This Row],[Kms Recorridos]]</f>
        <v>11</v>
      </c>
      <c r="O1268" s="39"/>
      <c r="P1268" s="36"/>
      <c r="Q1268" s="16">
        <f t="shared" si="398"/>
        <v>0</v>
      </c>
      <c r="R1268" s="34"/>
      <c r="S1268" s="34"/>
      <c r="T1268" s="36"/>
      <c r="U1268" s="293"/>
      <c r="V1268" s="36"/>
      <c r="W1268" s="36"/>
      <c r="X1268" s="36"/>
      <c r="Y1268" s="145">
        <f t="shared" si="399"/>
        <v>0</v>
      </c>
      <c r="Z1268" s="567"/>
      <c r="AA1268" s="12"/>
      <c r="AB1268" s="12">
        <f t="shared" si="400"/>
        <v>0</v>
      </c>
      <c r="AC1268" s="12">
        <f t="shared" si="401"/>
        <v>0</v>
      </c>
      <c r="AD1268" s="34"/>
    </row>
    <row r="1269" spans="1:30" ht="16" x14ac:dyDescent="0.2">
      <c r="A1269" s="47"/>
      <c r="B1269" s="575"/>
      <c r="C1269" s="176">
        <f t="shared" si="370"/>
        <v>1266</v>
      </c>
      <c r="D1269" s="146"/>
      <c r="E1269" s="37"/>
      <c r="F1269" s="65"/>
      <c r="G1269" s="11" t="str">
        <f ca="1">IF(AND(E1269&lt;&gt;"",E1269&lt;TODAY()),"Disponible",IFERROR(INDEX(Vehiculos[Estado Vehiculo],MATCH(F1269,Vehiculos[Placa Vehiculo],0)),""))</f>
        <v/>
      </c>
      <c r="H1269" s="34"/>
      <c r="I1269" s="34"/>
      <c r="J1269" s="34"/>
      <c r="K1269" s="39"/>
      <c r="L1269" s="39"/>
      <c r="M1269" s="15">
        <f t="shared" si="392"/>
        <v>0</v>
      </c>
      <c r="N1269" s="15"/>
      <c r="O1269" s="39"/>
      <c r="P1269" s="36"/>
      <c r="Q1269" s="16">
        <f t="shared" si="393"/>
        <v>0</v>
      </c>
      <c r="R1269" s="34"/>
      <c r="S1269" s="34"/>
      <c r="T1269" s="36"/>
      <c r="U1269" s="293">
        <f>Rutas[[#This Row],[Precio x Galón ($/gal)]]*Rutas[[#This Row],[Volumen de Combustible (gal)]]</f>
        <v>0</v>
      </c>
      <c r="V1269" s="36"/>
      <c r="W1269" s="36"/>
      <c r="X1269" s="36"/>
      <c r="Y1269" s="145">
        <f t="shared" si="394"/>
        <v>0</v>
      </c>
      <c r="Z1269" s="572"/>
      <c r="AA1269" s="12"/>
      <c r="AB1269" s="12">
        <f t="shared" si="395"/>
        <v>0</v>
      </c>
      <c r="AC1269" s="12">
        <f t="shared" si="396"/>
        <v>0</v>
      </c>
      <c r="AD1269" s="34"/>
    </row>
    <row r="1270" spans="1:30" ht="16" x14ac:dyDescent="0.2">
      <c r="A1270" s="47"/>
      <c r="B1270" s="575"/>
      <c r="C1270" s="176">
        <f t="shared" si="370"/>
        <v>1267</v>
      </c>
      <c r="D1270" s="90">
        <v>45901</v>
      </c>
      <c r="E1270" s="90">
        <v>45907</v>
      </c>
      <c r="F1270" s="68" t="s">
        <v>307</v>
      </c>
      <c r="G1270" s="379" t="str">
        <f ca="1">IF(AND(E1270&lt;&gt;"",E1270&lt;TODAY()),"Disponible",IFERROR(INDEX(Vehiculos[Estado Vehiculo],MATCH(F1270,Vehiculos[Placa Vehiculo],0)),""))</f>
        <v>Disponible</v>
      </c>
      <c r="H1270" s="89" t="s">
        <v>242</v>
      </c>
      <c r="I1270" s="89" t="s">
        <v>273</v>
      </c>
      <c r="J1270" s="89"/>
      <c r="K1270" s="380">
        <v>4649</v>
      </c>
      <c r="L1270" s="380">
        <v>4669</v>
      </c>
      <c r="M1270" s="381">
        <f t="shared" si="392"/>
        <v>20</v>
      </c>
      <c r="N1270" s="381">
        <f>Rutas[[#This Row],[Kms Recorridos]]</f>
        <v>20</v>
      </c>
      <c r="O1270" s="380"/>
      <c r="P1270" s="92"/>
      <c r="Q1270" s="382">
        <f t="shared" si="393"/>
        <v>0</v>
      </c>
      <c r="R1270" s="89" t="s">
        <v>339</v>
      </c>
      <c r="S1270" s="89" t="s">
        <v>102</v>
      </c>
      <c r="T1270" s="92">
        <v>1.8</v>
      </c>
      <c r="U1270" s="92">
        <f>Rutas[[#This Row],[Precio x Galón ($/gal)]]*Rutas[[#This Row],[Volumen de Combustible (gal)]]</f>
        <v>21.942</v>
      </c>
      <c r="V1270" s="92"/>
      <c r="W1270" s="92"/>
      <c r="X1270" s="92"/>
      <c r="Y1270" s="382">
        <f t="shared" si="394"/>
        <v>21.942</v>
      </c>
      <c r="Z1270" s="572"/>
      <c r="AA1270" s="382">
        <v>12.19</v>
      </c>
      <c r="AB1270" s="382">
        <f t="shared" si="395"/>
        <v>1.6406890894175554</v>
      </c>
      <c r="AC1270" s="382">
        <f t="shared" si="396"/>
        <v>0</v>
      </c>
      <c r="AD1270" s="89"/>
    </row>
    <row r="1271" spans="1:30" ht="16" x14ac:dyDescent="0.2">
      <c r="A1271" s="47"/>
      <c r="B1271" s="575"/>
      <c r="C1271" s="176">
        <f t="shared" si="370"/>
        <v>1268</v>
      </c>
      <c r="D1271" s="146">
        <v>45907</v>
      </c>
      <c r="E1271" s="37">
        <v>45919</v>
      </c>
      <c r="F1271" s="65" t="s">
        <v>307</v>
      </c>
      <c r="G1271" s="11" t="str">
        <f ca="1">IF(AND(E1271&lt;&gt;"",E1271&lt;TODAY()),"Disponible",IFERROR(INDEX(Vehiculos[Estado Vehiculo],MATCH(F1271,Vehiculos[Placa Vehiculo],0)),""))</f>
        <v>Disponible</v>
      </c>
      <c r="H1271" s="34" t="s">
        <v>425</v>
      </c>
      <c r="I1271" s="34" t="s">
        <v>273</v>
      </c>
      <c r="J1271" s="34"/>
      <c r="K1271" s="39">
        <v>4669</v>
      </c>
      <c r="L1271" s="39">
        <v>4703</v>
      </c>
      <c r="M1271" s="15">
        <f t="shared" si="392"/>
        <v>34</v>
      </c>
      <c r="N1271" s="381">
        <f>Rutas[[#This Row],[Kms Recorridos]]</f>
        <v>34</v>
      </c>
      <c r="O1271" s="39"/>
      <c r="P1271" s="36"/>
      <c r="Q1271" s="16">
        <f t="shared" si="393"/>
        <v>0</v>
      </c>
      <c r="R1271" s="34" t="s">
        <v>339</v>
      </c>
      <c r="S1271" s="34" t="s">
        <v>102</v>
      </c>
      <c r="T1271" s="36">
        <v>2.8</v>
      </c>
      <c r="U1271" s="293">
        <f>Rutas[[#This Row],[Precio x Galón ($/gal)]]*Rutas[[#This Row],[Volumen de Combustible (gal)]]</f>
        <v>53.199999999999996</v>
      </c>
      <c r="V1271" s="36"/>
      <c r="W1271" s="36"/>
      <c r="X1271" s="36"/>
      <c r="Y1271" s="145">
        <f t="shared" si="394"/>
        <v>53.199999999999996</v>
      </c>
      <c r="Z1271" s="572">
        <v>34946</v>
      </c>
      <c r="AA1271" s="12">
        <v>19</v>
      </c>
      <c r="AB1271" s="12">
        <f t="shared" si="395"/>
        <v>1.7894736842105263</v>
      </c>
      <c r="AC1271" s="12">
        <f t="shared" si="396"/>
        <v>0</v>
      </c>
      <c r="AD1271" s="34"/>
    </row>
    <row r="1272" spans="1:30" ht="16" x14ac:dyDescent="0.2">
      <c r="A1272" s="47"/>
      <c r="B1272" s="575"/>
      <c r="C1272" s="176">
        <f t="shared" si="370"/>
        <v>1269</v>
      </c>
      <c r="D1272" s="146">
        <v>45919</v>
      </c>
      <c r="E1272" s="37">
        <v>45926</v>
      </c>
      <c r="F1272" s="65" t="s">
        <v>307</v>
      </c>
      <c r="G1272" s="11" t="str">
        <f ca="1">IF(AND(E1272&lt;&gt;"",E1272&lt;TODAY()),"Disponible",IFERROR(INDEX(Vehiculos[Estado Vehiculo],MATCH(F1272,Vehiculos[Placa Vehiculo],0)),""))</f>
        <v>Disponible</v>
      </c>
      <c r="H1272" s="34" t="s">
        <v>425</v>
      </c>
      <c r="I1272" s="34" t="s">
        <v>273</v>
      </c>
      <c r="J1272" s="34"/>
      <c r="K1272" s="39">
        <v>4703</v>
      </c>
      <c r="L1272" s="39">
        <v>4726</v>
      </c>
      <c r="M1272" s="15">
        <f t="shared" si="392"/>
        <v>23</v>
      </c>
      <c r="N1272" s="381">
        <f>Rutas[[#This Row],[Kms Recorridos]]</f>
        <v>23</v>
      </c>
      <c r="O1272" s="39"/>
      <c r="P1272" s="36"/>
      <c r="Q1272" s="16">
        <f t="shared" si="393"/>
        <v>0</v>
      </c>
      <c r="R1272" s="34" t="s">
        <v>273</v>
      </c>
      <c r="S1272" s="34" t="s">
        <v>102</v>
      </c>
      <c r="T1272" s="36">
        <v>2.8</v>
      </c>
      <c r="U1272" s="293">
        <f>Rutas[[#This Row],[Precio x Galón ($/gal)]]*Rutas[[#This Row],[Volumen de Combustible (gal)]]</f>
        <v>31.695999999999998</v>
      </c>
      <c r="V1272" s="36"/>
      <c r="W1272" s="36"/>
      <c r="X1272" s="36"/>
      <c r="Y1272" s="145">
        <f t="shared" si="394"/>
        <v>31.695999999999998</v>
      </c>
      <c r="Z1272" s="572"/>
      <c r="AA1272" s="12">
        <v>11.32</v>
      </c>
      <c r="AB1272" s="12">
        <f t="shared" si="395"/>
        <v>2.0318021201413425</v>
      </c>
      <c r="AC1272" s="12">
        <f t="shared" si="396"/>
        <v>0</v>
      </c>
      <c r="AD1272" s="34"/>
    </row>
    <row r="1273" spans="1:30" ht="16" x14ac:dyDescent="0.2">
      <c r="A1273" s="47"/>
      <c r="B1273" s="575"/>
      <c r="C1273" s="176">
        <f t="shared" si="370"/>
        <v>1270</v>
      </c>
      <c r="D1273" s="146"/>
      <c r="E1273" s="37"/>
      <c r="F1273" s="65"/>
      <c r="G1273" s="11" t="str">
        <f ca="1">IF(AND(E1273&lt;&gt;"",E1273&lt;TODAY()),"Disponible",IFERROR(INDEX(Vehiculos[Estado Vehiculo],MATCH(F1273,Vehiculos[Placa Vehiculo],0)),""))</f>
        <v/>
      </c>
      <c r="H1273" s="34"/>
      <c r="I1273" s="34"/>
      <c r="J1273" s="34"/>
      <c r="K1273" s="39"/>
      <c r="L1273" s="39"/>
      <c r="M1273" s="15">
        <f t="shared" si="392"/>
        <v>0</v>
      </c>
      <c r="N1273" s="15"/>
      <c r="O1273" s="39"/>
      <c r="P1273" s="36"/>
      <c r="Q1273" s="16">
        <f t="shared" si="393"/>
        <v>0</v>
      </c>
      <c r="R1273" s="34"/>
      <c r="S1273" s="34"/>
      <c r="T1273" s="36"/>
      <c r="U1273" s="293">
        <f>Rutas[[#This Row],[Precio x Galón ($/gal)]]*Rutas[[#This Row],[Volumen de Combustible (gal)]]</f>
        <v>0</v>
      </c>
      <c r="V1273" s="36"/>
      <c r="W1273" s="36"/>
      <c r="X1273" s="36"/>
      <c r="Y1273" s="145">
        <f t="shared" si="394"/>
        <v>0</v>
      </c>
      <c r="Z1273" s="572"/>
      <c r="AA1273" s="12"/>
      <c r="AB1273" s="12">
        <f t="shared" si="395"/>
        <v>0</v>
      </c>
      <c r="AC1273" s="12">
        <f t="shared" si="396"/>
        <v>0</v>
      </c>
      <c r="AD1273" s="34"/>
    </row>
    <row r="1274" spans="1:30" ht="16" x14ac:dyDescent="0.2">
      <c r="A1274" s="47"/>
      <c r="B1274" s="575"/>
      <c r="C1274" s="176">
        <f t="shared" si="370"/>
        <v>1271</v>
      </c>
      <c r="D1274" s="146"/>
      <c r="E1274" s="37"/>
      <c r="F1274" s="65"/>
      <c r="G1274" s="11" t="str">
        <f ca="1">IF(AND(E1274&lt;&gt;"",E1274&lt;TODAY()),"Disponible",IFERROR(INDEX(Vehiculos[Estado Vehiculo],MATCH(F1274,Vehiculos[Placa Vehiculo],0)),""))</f>
        <v/>
      </c>
      <c r="H1274" s="34"/>
      <c r="I1274" s="34"/>
      <c r="J1274" s="34"/>
      <c r="K1274" s="39"/>
      <c r="L1274" s="39"/>
      <c r="M1274" s="15">
        <f t="shared" si="392"/>
        <v>0</v>
      </c>
      <c r="N1274" s="15"/>
      <c r="O1274" s="39"/>
      <c r="P1274" s="36"/>
      <c r="Q1274" s="16">
        <f t="shared" si="393"/>
        <v>0</v>
      </c>
      <c r="R1274" s="34"/>
      <c r="S1274" s="34"/>
      <c r="T1274" s="36"/>
      <c r="U1274" s="293">
        <f>Rutas[[#This Row],[Precio x Galón ($/gal)]]*Rutas[[#This Row],[Volumen de Combustible (gal)]]</f>
        <v>0</v>
      </c>
      <c r="V1274" s="36"/>
      <c r="W1274" s="36"/>
      <c r="X1274" s="36"/>
      <c r="Y1274" s="145">
        <f t="shared" si="394"/>
        <v>0</v>
      </c>
      <c r="Z1274" s="572"/>
      <c r="AA1274" s="12"/>
      <c r="AB1274" s="12">
        <f t="shared" si="395"/>
        <v>0</v>
      </c>
      <c r="AC1274" s="12">
        <f t="shared" si="396"/>
        <v>0</v>
      </c>
      <c r="AD1274" s="34"/>
    </row>
    <row r="1275" spans="1:30" ht="16" x14ac:dyDescent="0.2">
      <c r="A1275" s="47"/>
      <c r="B1275" s="575"/>
      <c r="C1275" s="176">
        <f t="shared" si="370"/>
        <v>1272</v>
      </c>
      <c r="D1275" s="90">
        <v>45901</v>
      </c>
      <c r="E1275" s="90">
        <v>45904</v>
      </c>
      <c r="F1275" s="68" t="s">
        <v>318</v>
      </c>
      <c r="G1275" s="379" t="str">
        <f ca="1">IF(AND(E1275&lt;&gt;"",E1275&lt;TODAY()),"Disponible",IFERROR(INDEX(Vehiculos[Estado Vehiculo],MATCH(F1275,Vehiculos[Placa Vehiculo],0)),""))</f>
        <v>Disponible</v>
      </c>
      <c r="H1275" s="89" t="s">
        <v>269</v>
      </c>
      <c r="I1275" s="89" t="s">
        <v>273</v>
      </c>
      <c r="J1275" s="89"/>
      <c r="K1275" s="380">
        <v>831</v>
      </c>
      <c r="L1275" s="380">
        <v>847</v>
      </c>
      <c r="M1275" s="381">
        <f t="shared" si="392"/>
        <v>16</v>
      </c>
      <c r="N1275" s="381">
        <f>Rutas[[#This Row],[Kms Recorridos]]</f>
        <v>16</v>
      </c>
      <c r="O1275" s="380"/>
      <c r="P1275" s="92"/>
      <c r="Q1275" s="382">
        <f t="shared" si="393"/>
        <v>0</v>
      </c>
      <c r="R1275" s="89" t="s">
        <v>339</v>
      </c>
      <c r="S1275" s="89" t="s">
        <v>102</v>
      </c>
      <c r="T1275" s="92">
        <v>1.8</v>
      </c>
      <c r="U1275" s="92">
        <f>Rutas[[#This Row],[Precio x Galón ($/gal)]]*Rutas[[#This Row],[Volumen de Combustible (gal)]]</f>
        <v>40.193999999999996</v>
      </c>
      <c r="V1275" s="92"/>
      <c r="W1275" s="92"/>
      <c r="X1275" s="92"/>
      <c r="Y1275" s="382">
        <f t="shared" si="394"/>
        <v>40.193999999999996</v>
      </c>
      <c r="Z1275" s="572"/>
      <c r="AA1275" s="382">
        <v>22.33</v>
      </c>
      <c r="AB1275" s="382">
        <f t="shared" si="395"/>
        <v>0.71652485445588898</v>
      </c>
      <c r="AC1275" s="382">
        <f t="shared" si="396"/>
        <v>0</v>
      </c>
      <c r="AD1275" s="89"/>
    </row>
    <row r="1276" spans="1:30" ht="16" x14ac:dyDescent="0.2">
      <c r="A1276" s="47"/>
      <c r="B1276" s="575"/>
      <c r="C1276" s="176">
        <f t="shared" si="370"/>
        <v>1273</v>
      </c>
      <c r="D1276" s="454">
        <v>45904</v>
      </c>
      <c r="E1276" s="90">
        <v>45909</v>
      </c>
      <c r="F1276" s="68" t="s">
        <v>318</v>
      </c>
      <c r="G1276" s="11" t="str">
        <f ca="1">IF(AND(E1276&lt;&gt;"",E1276&lt;TODAY()),"Disponible",IFERROR(INDEX(Vehiculos[Estado Vehiculo],MATCH(F1276,Vehiculos[Placa Vehiculo],0)),""))</f>
        <v>Disponible</v>
      </c>
      <c r="H1276" s="89" t="s">
        <v>259</v>
      </c>
      <c r="I1276" s="89" t="s">
        <v>273</v>
      </c>
      <c r="J1276" s="89"/>
      <c r="K1276" s="380">
        <v>847</v>
      </c>
      <c r="L1276" s="380">
        <v>869</v>
      </c>
      <c r="M1276" s="15">
        <f>L1276-K1276</f>
        <v>22</v>
      </c>
      <c r="N1276" s="381">
        <f>Rutas[[#This Row],[Kms Recorridos]]</f>
        <v>22</v>
      </c>
      <c r="O1276" s="380"/>
      <c r="P1276" s="92"/>
      <c r="Q1276" s="16">
        <f>M1276*P1276</f>
        <v>0</v>
      </c>
      <c r="R1276" s="89" t="s">
        <v>273</v>
      </c>
      <c r="S1276" s="89"/>
      <c r="T1276" s="92">
        <v>1.8</v>
      </c>
      <c r="U1276" s="92">
        <f>Rutas[[#This Row],[Precio x Galón ($/gal)]]*Rutas[[#This Row],[Volumen de Combustible (gal)]]</f>
        <v>25.038</v>
      </c>
      <c r="V1276" s="92"/>
      <c r="W1276" s="92"/>
      <c r="X1276" s="92"/>
      <c r="Y1276" s="145">
        <f>U1276+SUM(V1276:X1276)</f>
        <v>25.038</v>
      </c>
      <c r="Z1276" s="572"/>
      <c r="AA1276" s="12">
        <v>13.91</v>
      </c>
      <c r="AB1276" s="12">
        <f>IFERROR(M1276/AA1276,0)</f>
        <v>1.5815959741193386</v>
      </c>
      <c r="AC1276" s="12">
        <f>IFERROR(Q1276/M1276,0)</f>
        <v>0</v>
      </c>
      <c r="AD1276" s="89"/>
    </row>
    <row r="1277" spans="1:30" ht="16" x14ac:dyDescent="0.2">
      <c r="A1277" s="47"/>
      <c r="B1277" s="575"/>
      <c r="C1277" s="176">
        <f t="shared" si="370"/>
        <v>1274</v>
      </c>
      <c r="D1277" s="146">
        <v>45909</v>
      </c>
      <c r="E1277" s="37">
        <v>45914</v>
      </c>
      <c r="F1277" s="65" t="s">
        <v>318</v>
      </c>
      <c r="G1277" s="11" t="str">
        <f ca="1">IF(AND(E1277&lt;&gt;"",E1277&lt;TODAY()),"Disponible",IFERROR(INDEX(Vehiculos[Estado Vehiculo],MATCH(F1277,Vehiculos[Placa Vehiculo],0)),""))</f>
        <v>Disponible</v>
      </c>
      <c r="H1277" s="34" t="s">
        <v>422</v>
      </c>
      <c r="I1277" s="34" t="s">
        <v>273</v>
      </c>
      <c r="J1277" s="34"/>
      <c r="K1277" s="39">
        <v>869</v>
      </c>
      <c r="L1277" s="39">
        <v>899</v>
      </c>
      <c r="M1277" s="15">
        <f t="shared" si="392"/>
        <v>30</v>
      </c>
      <c r="N1277" s="381">
        <f>Rutas[[#This Row],[Kms Recorridos]]</f>
        <v>30</v>
      </c>
      <c r="O1277" s="39"/>
      <c r="P1277" s="36"/>
      <c r="Q1277" s="16">
        <f t="shared" si="393"/>
        <v>0</v>
      </c>
      <c r="R1277" s="34" t="s">
        <v>196</v>
      </c>
      <c r="S1277" s="34" t="s">
        <v>102</v>
      </c>
      <c r="T1277" s="36">
        <v>2.8</v>
      </c>
      <c r="U1277" s="293">
        <f>Rutas[[#This Row],[Precio x Galón ($/gal)]]*Rutas[[#This Row],[Volumen de Combustible (gal)]]</f>
        <v>28</v>
      </c>
      <c r="V1277" s="36"/>
      <c r="W1277" s="36"/>
      <c r="X1277" s="36"/>
      <c r="Y1277" s="145">
        <f t="shared" si="394"/>
        <v>28</v>
      </c>
      <c r="Z1277" s="572"/>
      <c r="AA1277" s="12">
        <v>10</v>
      </c>
      <c r="AB1277" s="12">
        <f t="shared" si="395"/>
        <v>3</v>
      </c>
      <c r="AC1277" s="12">
        <f t="shared" si="396"/>
        <v>0</v>
      </c>
      <c r="AD1277" s="34"/>
    </row>
    <row r="1278" spans="1:30" ht="16" x14ac:dyDescent="0.2">
      <c r="A1278" s="47"/>
      <c r="B1278" s="575"/>
      <c r="C1278" s="176">
        <f t="shared" si="370"/>
        <v>1275</v>
      </c>
      <c r="D1278" s="146">
        <v>45914</v>
      </c>
      <c r="E1278" s="37">
        <v>45914</v>
      </c>
      <c r="F1278" s="65" t="s">
        <v>318</v>
      </c>
      <c r="G1278" s="11" t="str">
        <f ca="1">IF(AND(E1278&lt;&gt;"",E1278&lt;TODAY()),"Disponible",IFERROR(INDEX(Vehiculos[Estado Vehiculo],MATCH(F1278,Vehiculos[Placa Vehiculo],0)),""))</f>
        <v>Disponible</v>
      </c>
      <c r="H1278" s="34" t="s">
        <v>422</v>
      </c>
      <c r="I1278" s="34" t="s">
        <v>273</v>
      </c>
      <c r="J1278" s="34"/>
      <c r="K1278" s="39">
        <v>899</v>
      </c>
      <c r="L1278" s="39">
        <v>900</v>
      </c>
      <c r="M1278" s="15">
        <f t="shared" si="392"/>
        <v>1</v>
      </c>
      <c r="N1278" s="381">
        <f>Rutas[[#This Row],[Kms Recorridos]]</f>
        <v>1</v>
      </c>
      <c r="O1278" s="39"/>
      <c r="P1278" s="36"/>
      <c r="Q1278" s="16">
        <f t="shared" si="393"/>
        <v>0</v>
      </c>
      <c r="R1278" s="34" t="s">
        <v>339</v>
      </c>
      <c r="S1278" s="34" t="s">
        <v>102</v>
      </c>
      <c r="T1278" s="36">
        <v>2.8</v>
      </c>
      <c r="U1278" s="293">
        <f>Rutas[[#This Row],[Precio x Galón ($/gal)]]*Rutas[[#This Row],[Volumen de Combustible (gal)]]</f>
        <v>33.459999999999994</v>
      </c>
      <c r="V1278" s="36"/>
      <c r="W1278" s="36"/>
      <c r="X1278" s="36"/>
      <c r="Y1278" s="145">
        <f t="shared" si="394"/>
        <v>33.459999999999994</v>
      </c>
      <c r="Z1278" s="572"/>
      <c r="AA1278" s="12">
        <v>11.95</v>
      </c>
      <c r="AB1278" s="12">
        <f t="shared" si="395"/>
        <v>8.3682008368200847E-2</v>
      </c>
      <c r="AC1278" s="12">
        <f t="shared" si="396"/>
        <v>0</v>
      </c>
      <c r="AD1278" s="34"/>
    </row>
    <row r="1279" spans="1:30" ht="16" x14ac:dyDescent="0.2">
      <c r="A1279" s="47"/>
      <c r="B1279" s="575"/>
      <c r="C1279" s="176">
        <f t="shared" si="370"/>
        <v>1276</v>
      </c>
      <c r="D1279" s="146">
        <v>45914</v>
      </c>
      <c r="E1279" s="37">
        <v>45917</v>
      </c>
      <c r="F1279" s="65" t="s">
        <v>318</v>
      </c>
      <c r="G1279" s="11" t="str">
        <f ca="1">IF(AND(E1279&lt;&gt;"",E1279&lt;TODAY()),"Disponible",IFERROR(INDEX(Vehiculos[Estado Vehiculo],MATCH(F1279,Vehiculos[Placa Vehiculo],0)),""))</f>
        <v>Disponible</v>
      </c>
      <c r="H1279" s="34" t="s">
        <v>422</v>
      </c>
      <c r="I1279" s="34" t="s">
        <v>273</v>
      </c>
      <c r="J1279" s="34"/>
      <c r="K1279" s="39">
        <v>900</v>
      </c>
      <c r="L1279" s="39">
        <v>919</v>
      </c>
      <c r="M1279" s="15">
        <f t="shared" si="392"/>
        <v>19</v>
      </c>
      <c r="N1279" s="381">
        <f>Rutas[[#This Row],[Kms Recorridos]]</f>
        <v>19</v>
      </c>
      <c r="O1279" s="39"/>
      <c r="P1279" s="36"/>
      <c r="Q1279" s="16">
        <f t="shared" si="393"/>
        <v>0</v>
      </c>
      <c r="R1279" s="34" t="s">
        <v>339</v>
      </c>
      <c r="S1279" s="34" t="s">
        <v>102</v>
      </c>
      <c r="T1279" s="36">
        <v>2.8</v>
      </c>
      <c r="U1279" s="293">
        <f>Rutas[[#This Row],[Precio x Galón ($/gal)]]*Rutas[[#This Row],[Volumen de Combustible (gal)]]</f>
        <v>32.955999999999996</v>
      </c>
      <c r="V1279" s="36"/>
      <c r="W1279" s="36"/>
      <c r="X1279" s="36"/>
      <c r="Y1279" s="145">
        <f t="shared" si="394"/>
        <v>32.955999999999996</v>
      </c>
      <c r="Z1279" s="572">
        <v>34942</v>
      </c>
      <c r="AA1279" s="12">
        <v>11.77</v>
      </c>
      <c r="AB1279" s="12">
        <f t="shared" si="395"/>
        <v>1.6142735768903993</v>
      </c>
      <c r="AC1279" s="12">
        <f t="shared" si="396"/>
        <v>0</v>
      </c>
      <c r="AD1279" s="34"/>
    </row>
    <row r="1280" spans="1:30" ht="16" x14ac:dyDescent="0.2">
      <c r="A1280" s="47"/>
      <c r="B1280" s="575"/>
      <c r="C1280" s="176">
        <f t="shared" si="370"/>
        <v>1277</v>
      </c>
      <c r="D1280" s="454">
        <v>45917</v>
      </c>
      <c r="E1280" s="37">
        <v>45920</v>
      </c>
      <c r="F1280" s="65" t="s">
        <v>318</v>
      </c>
      <c r="G1280" s="11" t="str">
        <f ca="1">IF(AND(E1280&lt;&gt;"",E1280&lt;TODAY()),"Disponible",IFERROR(INDEX(Vehiculos[Estado Vehiculo],MATCH(F1280,Vehiculos[Placa Vehiculo],0)),""))</f>
        <v>Disponible</v>
      </c>
      <c r="H1280" s="34" t="s">
        <v>259</v>
      </c>
      <c r="I1280" s="34" t="s">
        <v>273</v>
      </c>
      <c r="J1280" s="34"/>
      <c r="K1280" s="39">
        <v>919</v>
      </c>
      <c r="L1280" s="39">
        <v>940</v>
      </c>
      <c r="M1280" s="15">
        <f>L1280-K1280</f>
        <v>21</v>
      </c>
      <c r="N1280" s="381">
        <f>Rutas[[#This Row],[Kms Recorridos]]</f>
        <v>21</v>
      </c>
      <c r="O1280" s="39"/>
      <c r="P1280" s="36"/>
      <c r="Q1280" s="16">
        <f>M1280*P1280</f>
        <v>0</v>
      </c>
      <c r="R1280" s="34" t="s">
        <v>273</v>
      </c>
      <c r="S1280" s="34" t="s">
        <v>102</v>
      </c>
      <c r="T1280" s="36">
        <v>2.8</v>
      </c>
      <c r="U1280" s="293">
        <f>Rutas[[#This Row],[Precio x Galón ($/gal)]]*Rutas[[#This Row],[Volumen de Combustible (gal)]]</f>
        <v>51.94</v>
      </c>
      <c r="V1280" s="36"/>
      <c r="W1280" s="36"/>
      <c r="X1280" s="36"/>
      <c r="Y1280" s="145">
        <f>U1280+SUM(V1280:X1280)</f>
        <v>51.94</v>
      </c>
      <c r="Z1280" s="572"/>
      <c r="AA1280" s="12">
        <v>18.55</v>
      </c>
      <c r="AB1280" s="12">
        <f>IFERROR(M1280/AA1280,0)</f>
        <v>1.1320754716981132</v>
      </c>
      <c r="AC1280" s="12">
        <f>IFERROR(Q1280/M1280,0)</f>
        <v>0</v>
      </c>
      <c r="AD1280" s="34"/>
    </row>
    <row r="1281" spans="1:30" ht="16" x14ac:dyDescent="0.2">
      <c r="A1281" s="47"/>
      <c r="B1281" s="575"/>
      <c r="C1281" s="176">
        <f t="shared" si="370"/>
        <v>1278</v>
      </c>
      <c r="D1281" s="454">
        <v>45920</v>
      </c>
      <c r="E1281" s="37">
        <v>45923</v>
      </c>
      <c r="F1281" s="65" t="s">
        <v>318</v>
      </c>
      <c r="G1281" s="11" t="str">
        <f ca="1">IF(AND(E1281&lt;&gt;"",E1281&lt;TODAY()),"Disponible",IFERROR(INDEX(Vehiculos[Estado Vehiculo],MATCH(F1281,Vehiculos[Placa Vehiculo],0)),""))</f>
        <v>Disponible</v>
      </c>
      <c r="H1281" s="34" t="s">
        <v>259</v>
      </c>
      <c r="I1281" s="34" t="s">
        <v>273</v>
      </c>
      <c r="J1281" s="34"/>
      <c r="K1281" s="39">
        <v>940</v>
      </c>
      <c r="L1281" s="39">
        <v>961</v>
      </c>
      <c r="M1281" s="15">
        <f>L1281-K1281</f>
        <v>21</v>
      </c>
      <c r="N1281" s="381">
        <f>Rutas[[#This Row],[Kms Recorridos]]</f>
        <v>21</v>
      </c>
      <c r="O1281" s="39"/>
      <c r="P1281" s="36"/>
      <c r="Q1281" s="16">
        <f>M1281*P1281</f>
        <v>0</v>
      </c>
      <c r="R1281" s="34" t="s">
        <v>273</v>
      </c>
      <c r="S1281" s="34" t="s">
        <v>102</v>
      </c>
      <c r="T1281" s="36">
        <v>2.8</v>
      </c>
      <c r="U1281" s="293">
        <f>Rutas[[#This Row],[Precio x Galón ($/gal)]]*Rutas[[#This Row],[Volumen de Combustible (gal)]]</f>
        <v>40.795999999999999</v>
      </c>
      <c r="V1281" s="36"/>
      <c r="W1281" s="36"/>
      <c r="X1281" s="36"/>
      <c r="Y1281" s="145">
        <f>U1281+SUM(V1281:X1281)</f>
        <v>40.795999999999999</v>
      </c>
      <c r="Z1281" s="572"/>
      <c r="AA1281" s="12">
        <v>14.57</v>
      </c>
      <c r="AB1281" s="12">
        <f>IFERROR(M1281/AA1281,0)</f>
        <v>1.4413177762525737</v>
      </c>
      <c r="AC1281" s="12">
        <f>IFERROR(Q1281/M1281,0)</f>
        <v>0</v>
      </c>
      <c r="AD1281" s="34"/>
    </row>
    <row r="1282" spans="1:30" ht="16" x14ac:dyDescent="0.2">
      <c r="A1282" s="47"/>
      <c r="B1282" s="575"/>
      <c r="C1282" s="176">
        <f t="shared" si="370"/>
        <v>1279</v>
      </c>
      <c r="D1282" s="454">
        <v>45923</v>
      </c>
      <c r="E1282" s="37">
        <v>45926</v>
      </c>
      <c r="F1282" s="65" t="s">
        <v>318</v>
      </c>
      <c r="G1282" s="11" t="str">
        <f ca="1">IF(AND(E1282&lt;&gt;"",E1282&lt;TODAY()),"Disponible",IFERROR(INDEX(Vehiculos[Estado Vehiculo],MATCH(F1282,Vehiculos[Placa Vehiculo],0)),""))</f>
        <v>Disponible</v>
      </c>
      <c r="H1282" s="34" t="s">
        <v>259</v>
      </c>
      <c r="I1282" s="34" t="s">
        <v>273</v>
      </c>
      <c r="J1282" s="34"/>
      <c r="K1282" s="39">
        <v>961</v>
      </c>
      <c r="L1282" s="39">
        <v>982</v>
      </c>
      <c r="M1282" s="15">
        <f>L1282-K1282</f>
        <v>21</v>
      </c>
      <c r="N1282" s="381">
        <f>Rutas[[#This Row],[Kms Recorridos]]</f>
        <v>21</v>
      </c>
      <c r="O1282" s="39"/>
      <c r="P1282" s="36"/>
      <c r="Q1282" s="16">
        <f>M1282*P1282</f>
        <v>0</v>
      </c>
      <c r="R1282" s="34" t="s">
        <v>273</v>
      </c>
      <c r="S1282" s="34" t="s">
        <v>102</v>
      </c>
      <c r="T1282" s="36">
        <v>2.8</v>
      </c>
      <c r="U1282" s="293">
        <f>Rutas[[#This Row],[Precio x Galón ($/gal)]]*Rutas[[#This Row],[Volumen de Combustible (gal)]]</f>
        <v>41.244</v>
      </c>
      <c r="V1282" s="36"/>
      <c r="W1282" s="36"/>
      <c r="X1282" s="36"/>
      <c r="Y1282" s="145">
        <f>U1282+SUM(V1282:X1282)</f>
        <v>41.244</v>
      </c>
      <c r="Z1282" s="567"/>
      <c r="AA1282" s="12">
        <v>14.73</v>
      </c>
      <c r="AB1282" s="12">
        <f>IFERROR(M1282/AA1282,0)</f>
        <v>1.4256619144602851</v>
      </c>
      <c r="AC1282" s="12">
        <f>IFERROR(Q1282/M1282,0)</f>
        <v>0</v>
      </c>
      <c r="AD1282" s="34"/>
    </row>
    <row r="1283" spans="1:30" ht="16" x14ac:dyDescent="0.2">
      <c r="A1283" s="47"/>
      <c r="B1283" s="575"/>
      <c r="C1283" s="176">
        <f t="shared" si="370"/>
        <v>1280</v>
      </c>
      <c r="D1283" s="454">
        <v>45926</v>
      </c>
      <c r="E1283" s="37">
        <v>45928</v>
      </c>
      <c r="F1283" s="65" t="s">
        <v>318</v>
      </c>
      <c r="G1283" s="11" t="str">
        <f ca="1">IF(AND(E1283&lt;&gt;"",E1283&lt;TODAY()),"Disponible",IFERROR(INDEX(Vehiculos[Estado Vehiculo],MATCH(F1283,Vehiculos[Placa Vehiculo],0)),""))</f>
        <v>Disponible</v>
      </c>
      <c r="H1283" s="34" t="s">
        <v>269</v>
      </c>
      <c r="I1283" s="34" t="s">
        <v>273</v>
      </c>
      <c r="J1283" s="34"/>
      <c r="K1283" s="39">
        <v>982</v>
      </c>
      <c r="L1283" s="39">
        <v>999</v>
      </c>
      <c r="M1283" s="15">
        <f>L1283-K1283</f>
        <v>17</v>
      </c>
      <c r="N1283" s="381">
        <f>Rutas[[#This Row],[Kms Recorridos]]</f>
        <v>17</v>
      </c>
      <c r="O1283" s="39"/>
      <c r="P1283" s="36"/>
      <c r="Q1283" s="16">
        <f>M1283*P1283</f>
        <v>0</v>
      </c>
      <c r="R1283" s="34" t="s">
        <v>339</v>
      </c>
      <c r="S1283" s="34" t="s">
        <v>102</v>
      </c>
      <c r="T1283" s="36">
        <v>2.8</v>
      </c>
      <c r="U1283" s="293">
        <f>Rutas[[#This Row],[Precio x Galón ($/gal)]]*Rutas[[#This Row],[Volumen de Combustible (gal)]]</f>
        <v>45.415999999999997</v>
      </c>
      <c r="V1283" s="36"/>
      <c r="W1283" s="36"/>
      <c r="X1283" s="36"/>
      <c r="Y1283" s="145">
        <f>U1283+SUM(V1283:X1283)</f>
        <v>45.415999999999997</v>
      </c>
      <c r="Z1283" s="567"/>
      <c r="AA1283" s="12">
        <v>16.22</v>
      </c>
      <c r="AB1283" s="12">
        <f>IFERROR(M1283/AA1283,0)</f>
        <v>1.0480887792848337</v>
      </c>
      <c r="AC1283" s="12">
        <f>IFERROR(Q1283/M1283,0)</f>
        <v>0</v>
      </c>
      <c r="AD1283" s="34"/>
    </row>
    <row r="1284" spans="1:30" ht="16" x14ac:dyDescent="0.2">
      <c r="A1284" s="47"/>
      <c r="B1284" s="575"/>
      <c r="C1284" s="176">
        <f t="shared" ref="C1284:C1347" si="402">ROW(A1281)</f>
        <v>1281</v>
      </c>
      <c r="D1284" s="454">
        <v>45928</v>
      </c>
      <c r="E1284" s="37">
        <v>45930</v>
      </c>
      <c r="F1284" s="65" t="s">
        <v>318</v>
      </c>
      <c r="G1284" s="11" t="str">
        <f ca="1">IF(AND(E1284&lt;&gt;"",E1284&lt;TODAY()),"Disponible",IFERROR(INDEX(Vehiculos[Estado Vehiculo],MATCH(F1284,Vehiculos[Placa Vehiculo],0)),""))</f>
        <v>Disponible</v>
      </c>
      <c r="H1284" s="34"/>
      <c r="I1284" s="34"/>
      <c r="J1284" s="34"/>
      <c r="K1284" s="39">
        <v>999</v>
      </c>
      <c r="L1284" s="39">
        <v>1009</v>
      </c>
      <c r="M1284" s="15">
        <f>L1284-K1284</f>
        <v>10</v>
      </c>
      <c r="N1284" s="381">
        <f>Rutas[[#This Row],[Kms Recorridos]]</f>
        <v>10</v>
      </c>
      <c r="O1284" s="39"/>
      <c r="P1284" s="36"/>
      <c r="Q1284" s="16">
        <f>M1284*P1284</f>
        <v>0</v>
      </c>
      <c r="R1284" s="34"/>
      <c r="S1284" s="34"/>
      <c r="T1284" s="36"/>
      <c r="U1284" s="293"/>
      <c r="V1284" s="36"/>
      <c r="W1284" s="36"/>
      <c r="X1284" s="36"/>
      <c r="Y1284" s="145">
        <f>U1284+SUM(V1284:X1284)</f>
        <v>0</v>
      </c>
      <c r="Z1284" s="567"/>
      <c r="AA1284" s="12"/>
      <c r="AB1284" s="12">
        <f>IFERROR(M1284/AA1284,0)</f>
        <v>0</v>
      </c>
      <c r="AC1284" s="12">
        <f>IFERROR(Q1284/M1284,0)</f>
        <v>0</v>
      </c>
      <c r="AD1284" s="34"/>
    </row>
    <row r="1285" spans="1:30" ht="16" x14ac:dyDescent="0.2">
      <c r="A1285" s="47"/>
      <c r="B1285" s="575"/>
      <c r="C1285" s="176">
        <f t="shared" si="402"/>
        <v>1282</v>
      </c>
      <c r="D1285" s="146"/>
      <c r="E1285" s="37"/>
      <c r="F1285" s="65"/>
      <c r="G1285" s="11" t="str">
        <f ca="1">IF(AND(E1285&lt;&gt;"",E1285&lt;TODAY()),"Disponible",IFERROR(INDEX(Vehiculos[Estado Vehiculo],MATCH(F1285,Vehiculos[Placa Vehiculo],0)),""))</f>
        <v/>
      </c>
      <c r="H1285" s="34"/>
      <c r="I1285" s="34"/>
      <c r="J1285" s="34"/>
      <c r="K1285" s="39"/>
      <c r="L1285" s="39"/>
      <c r="M1285" s="15">
        <f t="shared" si="392"/>
        <v>0</v>
      </c>
      <c r="N1285" s="15"/>
      <c r="O1285" s="39"/>
      <c r="P1285" s="36"/>
      <c r="Q1285" s="16">
        <f t="shared" si="393"/>
        <v>0</v>
      </c>
      <c r="R1285" s="34"/>
      <c r="S1285" s="34"/>
      <c r="T1285" s="36"/>
      <c r="U1285" s="293">
        <f>Rutas[[#This Row],[Precio x Galón ($/gal)]]*Rutas[[#This Row],[Volumen de Combustible (gal)]]</f>
        <v>0</v>
      </c>
      <c r="V1285" s="36"/>
      <c r="W1285" s="36"/>
      <c r="X1285" s="36"/>
      <c r="Y1285" s="145">
        <f t="shared" si="394"/>
        <v>0</v>
      </c>
      <c r="Z1285" s="572"/>
      <c r="AA1285" s="12"/>
      <c r="AB1285" s="12">
        <f t="shared" si="395"/>
        <v>0</v>
      </c>
      <c r="AC1285" s="12">
        <f t="shared" si="396"/>
        <v>0</v>
      </c>
      <c r="AD1285" s="34"/>
    </row>
    <row r="1286" spans="1:30" ht="16" x14ac:dyDescent="0.2">
      <c r="A1286" s="47"/>
      <c r="B1286" s="575"/>
      <c r="C1286" s="176">
        <f t="shared" si="402"/>
        <v>1283</v>
      </c>
      <c r="D1286" s="90">
        <v>45901</v>
      </c>
      <c r="E1286" s="90">
        <v>45907</v>
      </c>
      <c r="F1286" s="68" t="s">
        <v>352</v>
      </c>
      <c r="G1286" s="379" t="str">
        <f ca="1">IF(AND(E1286&lt;&gt;"",E1286&lt;TODAY()),"Disponible",IFERROR(INDEX(Vehiculos[Estado Vehiculo],MATCH(F1286,Vehiculos[Placa Vehiculo],0)),""))</f>
        <v>Disponible</v>
      </c>
      <c r="H1286" s="89" t="s">
        <v>422</v>
      </c>
      <c r="I1286" s="89" t="s">
        <v>273</v>
      </c>
      <c r="J1286" s="89"/>
      <c r="K1286" s="380">
        <v>2258</v>
      </c>
      <c r="L1286" s="380">
        <v>2262</v>
      </c>
      <c r="M1286" s="381">
        <f t="shared" si="392"/>
        <v>4</v>
      </c>
      <c r="N1286" s="381">
        <v>21</v>
      </c>
      <c r="O1286" s="380"/>
      <c r="P1286" s="92"/>
      <c r="Q1286" s="382">
        <f t="shared" si="393"/>
        <v>0</v>
      </c>
      <c r="R1286" s="89" t="s">
        <v>273</v>
      </c>
      <c r="S1286" s="89" t="s">
        <v>102</v>
      </c>
      <c r="T1286" s="92">
        <v>1.8</v>
      </c>
      <c r="U1286" s="92">
        <f>Rutas[[#This Row],[Precio x Galón ($/gal)]]*Rutas[[#This Row],[Volumen de Combustible (gal)]]</f>
        <v>36</v>
      </c>
      <c r="V1286" s="92"/>
      <c r="W1286" s="92"/>
      <c r="X1286" s="92"/>
      <c r="Y1286" s="382">
        <f t="shared" si="394"/>
        <v>36</v>
      </c>
      <c r="Z1286" s="572"/>
      <c r="AA1286" s="382">
        <v>20</v>
      </c>
      <c r="AB1286" s="382">
        <f t="shared" si="395"/>
        <v>0.2</v>
      </c>
      <c r="AC1286" s="382">
        <f t="shared" si="396"/>
        <v>0</v>
      </c>
      <c r="AD1286" s="89"/>
    </row>
    <row r="1287" spans="1:30" ht="16" x14ac:dyDescent="0.2">
      <c r="A1287" s="47"/>
      <c r="B1287" s="575"/>
      <c r="C1287" s="176">
        <f t="shared" si="402"/>
        <v>1284</v>
      </c>
      <c r="D1287" s="146">
        <v>45907</v>
      </c>
      <c r="E1287" s="37">
        <v>45909</v>
      </c>
      <c r="F1287" s="65" t="s">
        <v>352</v>
      </c>
      <c r="G1287" s="11" t="str">
        <f ca="1">IF(AND(E1287&lt;&gt;"",E1287&lt;TODAY()),"Disponible",IFERROR(INDEX(Vehiculos[Estado Vehiculo],MATCH(F1287,Vehiculos[Placa Vehiculo],0)),""))</f>
        <v>Disponible</v>
      </c>
      <c r="H1287" s="34" t="s">
        <v>242</v>
      </c>
      <c r="I1287" s="34" t="s">
        <v>273</v>
      </c>
      <c r="J1287" s="34"/>
      <c r="K1287" s="39">
        <v>2262</v>
      </c>
      <c r="L1287" s="39">
        <v>2262</v>
      </c>
      <c r="M1287" s="15">
        <f t="shared" ref="M1287:M1339" si="403">L1287-K1287</f>
        <v>0</v>
      </c>
      <c r="N1287" s="15">
        <v>21</v>
      </c>
      <c r="O1287" s="39"/>
      <c r="P1287" s="36"/>
      <c r="Q1287" s="16">
        <f t="shared" ref="Q1287:Q1339" si="404">M1287*P1287</f>
        <v>0</v>
      </c>
      <c r="R1287" s="34" t="s">
        <v>339</v>
      </c>
      <c r="S1287" s="34" t="s">
        <v>102</v>
      </c>
      <c r="T1287" s="36">
        <v>1.8</v>
      </c>
      <c r="U1287" s="293">
        <f>Rutas[[#This Row],[Precio x Galón ($/gal)]]*Rutas[[#This Row],[Volumen de Combustible (gal)]]</f>
        <v>26.838000000000001</v>
      </c>
      <c r="V1287" s="36"/>
      <c r="W1287" s="36"/>
      <c r="X1287" s="36"/>
      <c r="Y1287" s="145">
        <f t="shared" ref="Y1287:Y1339" si="405">U1287+SUM(V1287:X1287)</f>
        <v>26.838000000000001</v>
      </c>
      <c r="Z1287" s="572"/>
      <c r="AA1287" s="12">
        <v>14.91</v>
      </c>
      <c r="AB1287" s="12">
        <f t="shared" ref="AB1287:AB1339" si="406">IFERROR(M1287/AA1287,0)</f>
        <v>0</v>
      </c>
      <c r="AC1287" s="12">
        <f t="shared" ref="AC1287:AC1339" si="407">IFERROR(Q1287/M1287,0)</f>
        <v>0</v>
      </c>
      <c r="AD1287" s="34"/>
    </row>
    <row r="1288" spans="1:30" ht="16" x14ac:dyDescent="0.2">
      <c r="A1288" s="47"/>
      <c r="B1288" s="575"/>
      <c r="C1288" s="176">
        <f t="shared" si="402"/>
        <v>1285</v>
      </c>
      <c r="D1288" s="146">
        <v>45909</v>
      </c>
      <c r="E1288" s="37">
        <v>45913</v>
      </c>
      <c r="F1288" s="65" t="s">
        <v>352</v>
      </c>
      <c r="G1288" s="11" t="str">
        <f ca="1">IF(AND(E1288&lt;&gt;"",E1288&lt;TODAY()),"Disponible",IFERROR(INDEX(Vehiculos[Estado Vehiculo],MATCH(F1288,Vehiculos[Placa Vehiculo],0)),""))</f>
        <v>Disponible</v>
      </c>
      <c r="H1288" s="34" t="s">
        <v>426</v>
      </c>
      <c r="I1288" s="34" t="s">
        <v>273</v>
      </c>
      <c r="J1288" s="34"/>
      <c r="K1288" s="39">
        <v>2262</v>
      </c>
      <c r="L1288" s="39">
        <v>2265</v>
      </c>
      <c r="M1288" s="15">
        <f t="shared" si="403"/>
        <v>3</v>
      </c>
      <c r="N1288" s="15">
        <v>21</v>
      </c>
      <c r="O1288" s="39"/>
      <c r="P1288" s="36"/>
      <c r="Q1288" s="16">
        <f t="shared" si="404"/>
        <v>0</v>
      </c>
      <c r="R1288" s="34" t="s">
        <v>196</v>
      </c>
      <c r="S1288" s="34" t="s">
        <v>102</v>
      </c>
      <c r="T1288" s="36">
        <v>1.8</v>
      </c>
      <c r="U1288" s="293">
        <f>Rutas[[#This Row],[Precio x Galón ($/gal)]]*Rutas[[#This Row],[Volumen de Combustible (gal)]]</f>
        <v>27</v>
      </c>
      <c r="V1288" s="36"/>
      <c r="W1288" s="36"/>
      <c r="X1288" s="36"/>
      <c r="Y1288" s="145">
        <f t="shared" si="405"/>
        <v>27</v>
      </c>
      <c r="Z1288" s="572"/>
      <c r="AA1288" s="12">
        <v>15</v>
      </c>
      <c r="AB1288" s="12">
        <f t="shared" si="406"/>
        <v>0.2</v>
      </c>
      <c r="AC1288" s="12">
        <f t="shared" si="407"/>
        <v>0</v>
      </c>
      <c r="AD1288" s="34"/>
    </row>
    <row r="1289" spans="1:30" ht="16" x14ac:dyDescent="0.2">
      <c r="A1289" s="47"/>
      <c r="B1289" s="575"/>
      <c r="C1289" s="176">
        <f t="shared" si="402"/>
        <v>1286</v>
      </c>
      <c r="D1289" s="454">
        <v>45913</v>
      </c>
      <c r="E1289" s="37">
        <v>45916</v>
      </c>
      <c r="F1289" s="65" t="s">
        <v>352</v>
      </c>
      <c r="G1289" s="11" t="str">
        <f ca="1">IF(AND(E1289&lt;&gt;"",E1289&lt;TODAY()),"Disponible",IFERROR(INDEX(Vehiculos[Estado Vehiculo],MATCH(F1289,Vehiculos[Placa Vehiculo],0)),""))</f>
        <v>Disponible</v>
      </c>
      <c r="H1289" s="34" t="s">
        <v>426</v>
      </c>
      <c r="I1289" s="34" t="s">
        <v>273</v>
      </c>
      <c r="J1289" s="34"/>
      <c r="K1289" s="39">
        <v>2265</v>
      </c>
      <c r="L1289" s="39">
        <v>2265</v>
      </c>
      <c r="M1289" s="15">
        <f>L1289-K1289</f>
        <v>0</v>
      </c>
      <c r="N1289" s="15">
        <v>21</v>
      </c>
      <c r="O1289" s="39"/>
      <c r="P1289" s="36"/>
      <c r="Q1289" s="16">
        <f>M1289*P1289</f>
        <v>0</v>
      </c>
      <c r="R1289" s="34" t="s">
        <v>339</v>
      </c>
      <c r="S1289" s="34" t="s">
        <v>102</v>
      </c>
      <c r="T1289" s="36">
        <v>2.8</v>
      </c>
      <c r="U1289" s="293">
        <f>Rutas[[#This Row],[Precio x Galón ($/gal)]]*Rutas[[#This Row],[Volumen de Combustible (gal)]]</f>
        <v>33.207999999999998</v>
      </c>
      <c r="V1289" s="36"/>
      <c r="W1289" s="36"/>
      <c r="X1289" s="36"/>
      <c r="Y1289" s="145">
        <f>U1289+SUM(V1289:X1289)</f>
        <v>33.207999999999998</v>
      </c>
      <c r="Z1289" s="572"/>
      <c r="AA1289" s="12">
        <v>11.86</v>
      </c>
      <c r="AB1289" s="12">
        <f>IFERROR(M1289/AA1289,0)</f>
        <v>0</v>
      </c>
      <c r="AC1289" s="12">
        <f>IFERROR(Q1289/M1289,0)</f>
        <v>0</v>
      </c>
      <c r="AD1289" s="34"/>
    </row>
    <row r="1290" spans="1:30" ht="16" x14ac:dyDescent="0.2">
      <c r="A1290" s="47"/>
      <c r="B1290" s="575"/>
      <c r="C1290" s="176">
        <f t="shared" si="402"/>
        <v>1287</v>
      </c>
      <c r="D1290" s="146">
        <v>45916</v>
      </c>
      <c r="E1290" s="37">
        <v>45919</v>
      </c>
      <c r="F1290" s="65" t="s">
        <v>352</v>
      </c>
      <c r="G1290" s="11" t="str">
        <f ca="1">IF(AND(E1290&lt;&gt;"",E1290&lt;TODAY()),"Disponible",IFERROR(INDEX(Vehiculos[Estado Vehiculo],MATCH(F1290,Vehiculos[Placa Vehiculo],0)),""))</f>
        <v>Disponible</v>
      </c>
      <c r="H1290" s="34" t="s">
        <v>231</v>
      </c>
      <c r="I1290" s="34" t="s">
        <v>273</v>
      </c>
      <c r="J1290" s="34"/>
      <c r="K1290" s="39">
        <v>2265</v>
      </c>
      <c r="L1290" s="39">
        <v>2266</v>
      </c>
      <c r="M1290" s="15">
        <f t="shared" si="403"/>
        <v>1</v>
      </c>
      <c r="N1290" s="15">
        <v>21</v>
      </c>
      <c r="O1290" s="39"/>
      <c r="P1290" s="36"/>
      <c r="Q1290" s="16">
        <f t="shared" si="404"/>
        <v>0</v>
      </c>
      <c r="R1290" s="34" t="s">
        <v>273</v>
      </c>
      <c r="S1290" s="34" t="s">
        <v>102</v>
      </c>
      <c r="T1290" s="36">
        <v>2.8</v>
      </c>
      <c r="U1290" s="293">
        <f>Rutas[[#This Row],[Precio x Galón ($/gal)]]*Rutas[[#This Row],[Volumen de Combustible (gal)]]</f>
        <v>64.483999999999995</v>
      </c>
      <c r="V1290" s="36"/>
      <c r="W1290" s="36"/>
      <c r="X1290" s="36"/>
      <c r="Y1290" s="145">
        <f t="shared" si="405"/>
        <v>64.483999999999995</v>
      </c>
      <c r="Z1290" s="572"/>
      <c r="AA1290" s="12">
        <v>23.03</v>
      </c>
      <c r="AB1290" s="12">
        <f t="shared" si="406"/>
        <v>4.3421623968736431E-2</v>
      </c>
      <c r="AC1290" s="12">
        <f t="shared" si="407"/>
        <v>0</v>
      </c>
      <c r="AD1290" s="34"/>
    </row>
    <row r="1291" spans="1:30" ht="16" x14ac:dyDescent="0.2">
      <c r="A1291" s="47"/>
      <c r="B1291" s="575"/>
      <c r="C1291" s="176">
        <f t="shared" si="402"/>
        <v>1288</v>
      </c>
      <c r="D1291" s="454">
        <v>45919</v>
      </c>
      <c r="E1291" s="37">
        <v>45923</v>
      </c>
      <c r="F1291" s="65" t="s">
        <v>352</v>
      </c>
      <c r="G1291" s="11" t="str">
        <f ca="1">IF(AND(E1291&lt;&gt;"",E1291&lt;TODAY()),"Disponible",IFERROR(INDEX(Vehiculos[Estado Vehiculo],MATCH(F1291,Vehiculos[Placa Vehiculo],0)),""))</f>
        <v>Disponible</v>
      </c>
      <c r="H1291" s="34" t="s">
        <v>231</v>
      </c>
      <c r="I1291" s="34" t="s">
        <v>273</v>
      </c>
      <c r="J1291" s="34"/>
      <c r="K1291" s="39">
        <v>1</v>
      </c>
      <c r="L1291" s="39">
        <v>8</v>
      </c>
      <c r="M1291" s="15">
        <f>L1291-K1291</f>
        <v>7</v>
      </c>
      <c r="N1291" s="15">
        <f>Rutas[[#This Row],[Kms Recorridos]]</f>
        <v>7</v>
      </c>
      <c r="O1291" s="39"/>
      <c r="P1291" s="36"/>
      <c r="Q1291" s="16">
        <f>M1291*P1291</f>
        <v>0</v>
      </c>
      <c r="R1291" s="34" t="s">
        <v>273</v>
      </c>
      <c r="S1291" s="34" t="s">
        <v>102</v>
      </c>
      <c r="T1291" s="36">
        <v>2.8</v>
      </c>
      <c r="U1291" s="293">
        <f>Rutas[[#This Row],[Precio x Galón ($/gal)]]*Rutas[[#This Row],[Volumen de Combustible (gal)]]</f>
        <v>70.084000000000003</v>
      </c>
      <c r="V1291" s="36"/>
      <c r="W1291" s="36"/>
      <c r="X1291" s="36"/>
      <c r="Y1291" s="145">
        <f>U1291+SUM(V1291:X1291)</f>
        <v>70.084000000000003</v>
      </c>
      <c r="Z1291" s="567"/>
      <c r="AA1291" s="12">
        <v>25.03</v>
      </c>
      <c r="AB1291" s="12">
        <f>IFERROR(M1291/AA1291,0)</f>
        <v>0.27966440271673992</v>
      </c>
      <c r="AC1291" s="12">
        <f>IFERROR(Q1291/M1291,0)</f>
        <v>0</v>
      </c>
      <c r="AD1291" s="34"/>
    </row>
    <row r="1292" spans="1:30" ht="16" x14ac:dyDescent="0.2">
      <c r="A1292" s="47"/>
      <c r="B1292" s="575"/>
      <c r="C1292" s="176">
        <f t="shared" si="402"/>
        <v>1289</v>
      </c>
      <c r="D1292" s="454">
        <v>45923</v>
      </c>
      <c r="E1292" s="37">
        <v>45926</v>
      </c>
      <c r="F1292" s="65" t="s">
        <v>352</v>
      </c>
      <c r="G1292" s="11" t="str">
        <f ca="1">IF(AND(E1292&lt;&gt;"",E1292&lt;TODAY()),"Disponible",IFERROR(INDEX(Vehiculos[Estado Vehiculo],MATCH(F1292,Vehiculos[Placa Vehiculo],0)),""))</f>
        <v>Disponible</v>
      </c>
      <c r="H1292" s="34" t="s">
        <v>231</v>
      </c>
      <c r="I1292" s="34" t="s">
        <v>273</v>
      </c>
      <c r="J1292" s="34"/>
      <c r="K1292" s="39">
        <v>8</v>
      </c>
      <c r="L1292" s="39">
        <v>30</v>
      </c>
      <c r="M1292" s="15">
        <f>L1292-K1292</f>
        <v>22</v>
      </c>
      <c r="N1292" s="15">
        <f>Rutas[[#This Row],[Kms Recorridos]]</f>
        <v>22</v>
      </c>
      <c r="O1292" s="39"/>
      <c r="P1292" s="36"/>
      <c r="Q1292" s="16">
        <f>M1292*P1292</f>
        <v>0</v>
      </c>
      <c r="R1292" s="34" t="s">
        <v>273</v>
      </c>
      <c r="S1292" s="34" t="s">
        <v>102</v>
      </c>
      <c r="T1292" s="36">
        <v>2.8</v>
      </c>
      <c r="U1292" s="293">
        <f>Rutas[[#This Row],[Precio x Galón ($/gal)]]*Rutas[[#This Row],[Volumen de Combustible (gal)]]</f>
        <v>64.259999999999991</v>
      </c>
      <c r="V1292" s="36"/>
      <c r="W1292" s="36"/>
      <c r="X1292" s="36"/>
      <c r="Y1292" s="145">
        <f>U1292+SUM(V1292:X1292)</f>
        <v>64.259999999999991</v>
      </c>
      <c r="Z1292" s="572"/>
      <c r="AA1292" s="12">
        <v>22.95</v>
      </c>
      <c r="AB1292" s="12">
        <f>IFERROR(M1292/AA1292,0)</f>
        <v>0.95860566448801743</v>
      </c>
      <c r="AC1292" s="12">
        <f>IFERROR(Q1292/M1292,0)</f>
        <v>0</v>
      </c>
      <c r="AD1292" s="34"/>
    </row>
    <row r="1293" spans="1:30" ht="16" x14ac:dyDescent="0.2">
      <c r="A1293" s="47"/>
      <c r="B1293" s="575"/>
      <c r="C1293" s="176">
        <f t="shared" si="402"/>
        <v>1290</v>
      </c>
      <c r="D1293" s="454">
        <v>45926</v>
      </c>
      <c r="E1293" s="37">
        <v>45929</v>
      </c>
      <c r="F1293" s="65" t="s">
        <v>352</v>
      </c>
      <c r="G1293" s="11" t="str">
        <f ca="1">IF(AND(E1293&lt;&gt;"",E1293&lt;TODAY()),"Disponible",IFERROR(INDEX(Vehiculos[Estado Vehiculo],MATCH(F1293,Vehiculos[Placa Vehiculo],0)),""))</f>
        <v>Disponible</v>
      </c>
      <c r="H1293" s="34" t="s">
        <v>231</v>
      </c>
      <c r="I1293" s="34" t="s">
        <v>273</v>
      </c>
      <c r="J1293" s="34"/>
      <c r="K1293" s="39">
        <v>30</v>
      </c>
      <c r="L1293" s="39">
        <v>52</v>
      </c>
      <c r="M1293" s="15">
        <f>L1293-K1293</f>
        <v>22</v>
      </c>
      <c r="N1293" s="15">
        <f>Rutas[[#This Row],[Kms Recorridos]]</f>
        <v>22</v>
      </c>
      <c r="O1293" s="39"/>
      <c r="P1293" s="36"/>
      <c r="Q1293" s="16">
        <f>M1293*P1293</f>
        <v>0</v>
      </c>
      <c r="R1293" s="34" t="s">
        <v>196</v>
      </c>
      <c r="S1293" s="34" t="s">
        <v>102</v>
      </c>
      <c r="T1293" s="36">
        <v>2.8</v>
      </c>
      <c r="U1293" s="293">
        <f>Rutas[[#This Row],[Precio x Galón ($/gal)]]*Rutas[[#This Row],[Volumen de Combustible (gal)]]</f>
        <v>51.8</v>
      </c>
      <c r="V1293" s="36"/>
      <c r="W1293" s="36"/>
      <c r="X1293" s="36"/>
      <c r="Y1293" s="145">
        <f>U1293+SUM(V1293:X1293)</f>
        <v>51.8</v>
      </c>
      <c r="Z1293" s="567"/>
      <c r="AA1293" s="12">
        <v>18.5</v>
      </c>
      <c r="AB1293" s="12">
        <f>IFERROR(M1293/AA1293,0)</f>
        <v>1.1891891891891893</v>
      </c>
      <c r="AC1293" s="12">
        <f>IFERROR(Q1293/M1293,0)</f>
        <v>0</v>
      </c>
      <c r="AD1293" s="34"/>
    </row>
    <row r="1294" spans="1:30" ht="16" x14ac:dyDescent="0.2">
      <c r="A1294" s="47"/>
      <c r="B1294" s="575"/>
      <c r="C1294" s="176">
        <f t="shared" si="402"/>
        <v>1291</v>
      </c>
      <c r="D1294" s="454">
        <v>45929</v>
      </c>
      <c r="E1294" s="37">
        <v>45930</v>
      </c>
      <c r="F1294" s="65" t="s">
        <v>352</v>
      </c>
      <c r="G1294" s="11" t="str">
        <f ca="1">IF(AND(E1294&lt;&gt;"",E1294&lt;TODAY()),"Disponible",IFERROR(INDEX(Vehiculos[Estado Vehiculo],MATCH(F1294,Vehiculos[Placa Vehiculo],0)),""))</f>
        <v>Disponible</v>
      </c>
      <c r="H1294" s="34"/>
      <c r="I1294" s="34" t="s">
        <v>273</v>
      </c>
      <c r="J1294" s="34"/>
      <c r="K1294" s="39">
        <v>52</v>
      </c>
      <c r="L1294" s="39">
        <v>58</v>
      </c>
      <c r="M1294" s="15">
        <f>L1294-K1294</f>
        <v>6</v>
      </c>
      <c r="N1294" s="15">
        <f>Rutas[[#This Row],[Kms Recorridos]]</f>
        <v>6</v>
      </c>
      <c r="O1294" s="39"/>
      <c r="P1294" s="36"/>
      <c r="Q1294" s="16">
        <f>M1294*P1294</f>
        <v>0</v>
      </c>
      <c r="R1294" s="34"/>
      <c r="S1294" s="34"/>
      <c r="T1294" s="36"/>
      <c r="U1294" s="293"/>
      <c r="V1294" s="36"/>
      <c r="W1294" s="36"/>
      <c r="X1294" s="36"/>
      <c r="Y1294" s="145">
        <f>U1294+SUM(V1294:X1294)</f>
        <v>0</v>
      </c>
      <c r="Z1294" s="567"/>
      <c r="AA1294" s="12"/>
      <c r="AB1294" s="12">
        <f>IFERROR(M1294/AA1294,0)</f>
        <v>0</v>
      </c>
      <c r="AC1294" s="12">
        <f>IFERROR(Q1294/M1294,0)</f>
        <v>0</v>
      </c>
      <c r="AD1294" s="34"/>
    </row>
    <row r="1295" spans="1:30" ht="16" x14ac:dyDescent="0.2">
      <c r="A1295" s="47"/>
      <c r="B1295" s="575"/>
      <c r="C1295" s="176">
        <f t="shared" si="402"/>
        <v>1292</v>
      </c>
      <c r="D1295" s="146"/>
      <c r="E1295" s="37"/>
      <c r="F1295" s="65"/>
      <c r="G1295" s="11" t="str">
        <f ca="1">IF(AND(E1295&lt;&gt;"",E1295&lt;TODAY()),"Disponible",IFERROR(INDEX(Vehiculos[Estado Vehiculo],MATCH(F1295,Vehiculos[Placa Vehiculo],0)),""))</f>
        <v/>
      </c>
      <c r="H1295" s="34"/>
      <c r="I1295" s="34"/>
      <c r="J1295" s="34"/>
      <c r="K1295" s="39"/>
      <c r="L1295" s="39"/>
      <c r="M1295" s="15">
        <f t="shared" si="403"/>
        <v>0</v>
      </c>
      <c r="N1295" s="15"/>
      <c r="O1295" s="39"/>
      <c r="P1295" s="36"/>
      <c r="Q1295" s="16">
        <f t="shared" si="404"/>
        <v>0</v>
      </c>
      <c r="R1295" s="34"/>
      <c r="S1295" s="34"/>
      <c r="T1295" s="36"/>
      <c r="U1295" s="293">
        <f>Rutas[[#This Row],[Precio x Galón ($/gal)]]*Rutas[[#This Row],[Volumen de Combustible (gal)]]</f>
        <v>0</v>
      </c>
      <c r="V1295" s="36"/>
      <c r="W1295" s="36"/>
      <c r="X1295" s="36"/>
      <c r="Y1295" s="145">
        <f t="shared" si="405"/>
        <v>0</v>
      </c>
      <c r="Z1295" s="572"/>
      <c r="AA1295" s="12"/>
      <c r="AB1295" s="12">
        <f t="shared" si="406"/>
        <v>0</v>
      </c>
      <c r="AC1295" s="12">
        <f t="shared" si="407"/>
        <v>0</v>
      </c>
      <c r="AD1295" s="34"/>
    </row>
    <row r="1296" spans="1:30" ht="16" x14ac:dyDescent="0.2">
      <c r="A1296" s="47"/>
      <c r="B1296" s="575"/>
      <c r="C1296" s="176">
        <f t="shared" si="402"/>
        <v>1293</v>
      </c>
      <c r="D1296" s="90">
        <v>45901</v>
      </c>
      <c r="E1296" s="90">
        <v>45902</v>
      </c>
      <c r="F1296" s="68" t="s">
        <v>308</v>
      </c>
      <c r="G1296" s="379" t="str">
        <f ca="1">IF(AND(E1296&lt;&gt;"",E1296&lt;TODAY()),"Disponible",IFERROR(INDEX(Vehiculos[Estado Vehiculo],MATCH(F1296,Vehiculos[Placa Vehiculo],0)),""))</f>
        <v>Disponible</v>
      </c>
      <c r="H1296" s="89" t="s">
        <v>422</v>
      </c>
      <c r="I1296" s="89" t="s">
        <v>273</v>
      </c>
      <c r="J1296" s="89"/>
      <c r="K1296" s="380">
        <v>1027</v>
      </c>
      <c r="L1296" s="380">
        <v>1068</v>
      </c>
      <c r="M1296" s="381">
        <f t="shared" si="403"/>
        <v>41</v>
      </c>
      <c r="N1296" s="381">
        <f>Rutas[[#This Row],[Kms Recorridos]]</f>
        <v>41</v>
      </c>
      <c r="O1296" s="380"/>
      <c r="P1296" s="92"/>
      <c r="Q1296" s="382">
        <f t="shared" si="404"/>
        <v>0</v>
      </c>
      <c r="R1296" s="89" t="s">
        <v>196</v>
      </c>
      <c r="S1296" s="89" t="s">
        <v>102</v>
      </c>
      <c r="T1296" s="92">
        <v>1.8</v>
      </c>
      <c r="U1296" s="92">
        <f>Rutas[[#This Row],[Precio x Galón ($/gal)]]*Rutas[[#This Row],[Volumen de Combustible (gal)]]</f>
        <v>27</v>
      </c>
      <c r="V1296" s="92"/>
      <c r="W1296" s="92"/>
      <c r="X1296" s="92"/>
      <c r="Y1296" s="382">
        <f t="shared" si="405"/>
        <v>27</v>
      </c>
      <c r="Z1296" s="572"/>
      <c r="AA1296" s="382">
        <v>15</v>
      </c>
      <c r="AB1296" s="382">
        <f t="shared" si="406"/>
        <v>2.7333333333333334</v>
      </c>
      <c r="AC1296" s="382">
        <f t="shared" si="407"/>
        <v>0</v>
      </c>
      <c r="AD1296" s="89"/>
    </row>
    <row r="1297" spans="1:30" ht="16" x14ac:dyDescent="0.2">
      <c r="A1297" s="47"/>
      <c r="B1297" s="575"/>
      <c r="C1297" s="176">
        <f t="shared" si="402"/>
        <v>1294</v>
      </c>
      <c r="D1297" s="454">
        <v>45902</v>
      </c>
      <c r="E1297" s="90">
        <v>45903</v>
      </c>
      <c r="F1297" s="68" t="s">
        <v>308</v>
      </c>
      <c r="G1297" s="11" t="str">
        <f ca="1">IF(AND(E1297&lt;&gt;"",E1297&lt;TODAY()),"Disponible",IFERROR(INDEX(Vehiculos[Estado Vehiculo],MATCH(F1297,Vehiculos[Placa Vehiculo],0)),""))</f>
        <v>Disponible</v>
      </c>
      <c r="H1297" s="89" t="s">
        <v>422</v>
      </c>
      <c r="I1297" s="89" t="s">
        <v>273</v>
      </c>
      <c r="J1297" s="89"/>
      <c r="K1297" s="380">
        <v>1068</v>
      </c>
      <c r="L1297" s="380">
        <v>1073</v>
      </c>
      <c r="M1297" s="15">
        <f>L1297-K1297</f>
        <v>5</v>
      </c>
      <c r="N1297" s="381">
        <f>Rutas[[#This Row],[Kms Recorridos]]</f>
        <v>5</v>
      </c>
      <c r="O1297" s="380"/>
      <c r="P1297" s="92"/>
      <c r="Q1297" s="16">
        <f>M1297*P1297</f>
        <v>0</v>
      </c>
      <c r="R1297" s="89" t="s">
        <v>339</v>
      </c>
      <c r="S1297" s="89" t="s">
        <v>102</v>
      </c>
      <c r="T1297" s="92">
        <v>1.8</v>
      </c>
      <c r="U1297" s="92">
        <f>Rutas[[#This Row],[Precio x Galón ($/gal)]]*Rutas[[#This Row],[Volumen de Combustible (gal)]]</f>
        <v>27.071999999999999</v>
      </c>
      <c r="V1297" s="92"/>
      <c r="W1297" s="92"/>
      <c r="X1297" s="92"/>
      <c r="Y1297" s="145">
        <f>U1297+SUM(V1297:X1297)</f>
        <v>27.071999999999999</v>
      </c>
      <c r="Z1297" s="572"/>
      <c r="AA1297" s="12">
        <v>15.04</v>
      </c>
      <c r="AB1297" s="12">
        <f>IFERROR(M1297/AA1297,0)</f>
        <v>0.33244680851063829</v>
      </c>
      <c r="AC1297" s="12">
        <f>IFERROR(Q1297/M1297,0)</f>
        <v>0</v>
      </c>
      <c r="AD1297" s="89"/>
    </row>
    <row r="1298" spans="1:30" ht="16" x14ac:dyDescent="0.2">
      <c r="A1298" s="47"/>
      <c r="B1298" s="575"/>
      <c r="C1298" s="176">
        <f t="shared" si="402"/>
        <v>1295</v>
      </c>
      <c r="D1298" s="146">
        <v>45903</v>
      </c>
      <c r="E1298" s="37">
        <v>45907</v>
      </c>
      <c r="F1298" s="65" t="s">
        <v>308</v>
      </c>
      <c r="G1298" s="11" t="str">
        <f ca="1">IF(AND(E1298&lt;&gt;"",E1298&lt;TODAY()),"Disponible",IFERROR(INDEX(Vehiculos[Estado Vehiculo],MATCH(F1298,Vehiculos[Placa Vehiculo],0)),""))</f>
        <v>Disponible</v>
      </c>
      <c r="H1298" s="34" t="s">
        <v>422</v>
      </c>
      <c r="I1298" s="34" t="s">
        <v>273</v>
      </c>
      <c r="J1298" s="34"/>
      <c r="K1298" s="39">
        <v>1073</v>
      </c>
      <c r="L1298" s="39">
        <v>1104</v>
      </c>
      <c r="M1298" s="15">
        <f t="shared" si="403"/>
        <v>31</v>
      </c>
      <c r="N1298" s="381">
        <f>Rutas[[#This Row],[Kms Recorridos]]</f>
        <v>31</v>
      </c>
      <c r="O1298" s="39"/>
      <c r="P1298" s="36"/>
      <c r="Q1298" s="16">
        <f t="shared" si="404"/>
        <v>0</v>
      </c>
      <c r="R1298" s="34" t="s">
        <v>339</v>
      </c>
      <c r="S1298" s="34" t="s">
        <v>102</v>
      </c>
      <c r="T1298" s="36">
        <v>1.8</v>
      </c>
      <c r="U1298" s="293">
        <f>Rutas[[#This Row],[Precio x Galón ($/gal)]]*Rutas[[#This Row],[Volumen de Combustible (gal)]]</f>
        <v>35.064</v>
      </c>
      <c r="V1298" s="36"/>
      <c r="W1298" s="36"/>
      <c r="X1298" s="36"/>
      <c r="Y1298" s="145">
        <f t="shared" si="405"/>
        <v>35.064</v>
      </c>
      <c r="Z1298" s="572"/>
      <c r="AA1298" s="12">
        <v>19.48</v>
      </c>
      <c r="AB1298" s="12">
        <f t="shared" si="406"/>
        <v>1.5913757700205338</v>
      </c>
      <c r="AC1298" s="12">
        <f t="shared" si="407"/>
        <v>0</v>
      </c>
      <c r="AD1298" s="34"/>
    </row>
    <row r="1299" spans="1:30" ht="16" x14ac:dyDescent="0.2">
      <c r="A1299" s="47"/>
      <c r="B1299" s="575"/>
      <c r="C1299" s="176">
        <f t="shared" si="402"/>
        <v>1296</v>
      </c>
      <c r="D1299" s="454">
        <v>45907</v>
      </c>
      <c r="E1299" s="37">
        <v>45910</v>
      </c>
      <c r="F1299" s="65" t="s">
        <v>308</v>
      </c>
      <c r="G1299" s="11" t="str">
        <f ca="1">IF(AND(E1299&lt;&gt;"",E1299&lt;TODAY()),"Disponible",IFERROR(INDEX(Vehiculos[Estado Vehiculo],MATCH(F1299,Vehiculos[Placa Vehiculo],0)),""))</f>
        <v>Disponible</v>
      </c>
      <c r="H1299" s="34" t="s">
        <v>237</v>
      </c>
      <c r="I1299" s="34" t="s">
        <v>273</v>
      </c>
      <c r="J1299" s="34"/>
      <c r="K1299" s="39">
        <v>1104</v>
      </c>
      <c r="L1299" s="39">
        <v>1128</v>
      </c>
      <c r="M1299" s="15">
        <f>L1299-K1299</f>
        <v>24</v>
      </c>
      <c r="N1299" s="381">
        <f>Rutas[[#This Row],[Kms Recorridos]]</f>
        <v>24</v>
      </c>
      <c r="O1299" s="39"/>
      <c r="P1299" s="36"/>
      <c r="Q1299" s="16">
        <f>M1299*P1299</f>
        <v>0</v>
      </c>
      <c r="R1299" s="34" t="s">
        <v>339</v>
      </c>
      <c r="S1299" s="34" t="s">
        <v>102</v>
      </c>
      <c r="T1299" s="36">
        <v>1.8</v>
      </c>
      <c r="U1299" s="293">
        <f>Rutas[[#This Row],[Precio x Galón ($/gal)]]*Rutas[[#This Row],[Volumen de Combustible (gal)]]</f>
        <v>27.432000000000002</v>
      </c>
      <c r="V1299" s="36"/>
      <c r="W1299" s="36"/>
      <c r="X1299" s="36"/>
      <c r="Y1299" s="145">
        <f>U1299+SUM(V1299:X1299)</f>
        <v>27.432000000000002</v>
      </c>
      <c r="Z1299" s="567"/>
      <c r="AA1299" s="12">
        <v>15.24</v>
      </c>
      <c r="AB1299" s="12">
        <f>IFERROR(M1299/AA1299,0)</f>
        <v>1.5748031496062991</v>
      </c>
      <c r="AC1299" s="12">
        <f>IFERROR(Q1299/M1299,0)</f>
        <v>0</v>
      </c>
      <c r="AD1299" s="34"/>
    </row>
    <row r="1300" spans="1:30" ht="16" x14ac:dyDescent="0.2">
      <c r="A1300" s="47"/>
      <c r="B1300" s="575"/>
      <c r="C1300" s="176">
        <f t="shared" si="402"/>
        <v>1297</v>
      </c>
      <c r="D1300" s="146">
        <v>45910</v>
      </c>
      <c r="E1300" s="37">
        <v>45914</v>
      </c>
      <c r="F1300" s="65" t="s">
        <v>308</v>
      </c>
      <c r="G1300" s="11" t="str">
        <f ca="1">IF(AND(E1300&lt;&gt;"",E1300&lt;TODAY()),"Disponible",IFERROR(INDEX(Vehiculos[Estado Vehiculo],MATCH(F1300,Vehiculos[Placa Vehiculo],0)),""))</f>
        <v>Disponible</v>
      </c>
      <c r="H1300" s="34" t="s">
        <v>237</v>
      </c>
      <c r="I1300" s="34" t="s">
        <v>273</v>
      </c>
      <c r="J1300" s="34"/>
      <c r="K1300" s="39">
        <v>1128</v>
      </c>
      <c r="L1300" s="39">
        <v>1168</v>
      </c>
      <c r="M1300" s="15">
        <f t="shared" si="403"/>
        <v>40</v>
      </c>
      <c r="N1300" s="381">
        <f>Rutas[[#This Row],[Kms Recorridos]]</f>
        <v>40</v>
      </c>
      <c r="O1300" s="39"/>
      <c r="P1300" s="36"/>
      <c r="Q1300" s="16">
        <f t="shared" si="404"/>
        <v>0</v>
      </c>
      <c r="R1300" s="34" t="s">
        <v>339</v>
      </c>
      <c r="S1300" s="34" t="s">
        <v>102</v>
      </c>
      <c r="T1300" s="36">
        <v>1.8</v>
      </c>
      <c r="U1300" s="293">
        <f>Rutas[[#This Row],[Precio x Galón ($/gal)]]*Rutas[[#This Row],[Volumen de Combustible (gal)]]</f>
        <v>10.764000000000001</v>
      </c>
      <c r="V1300" s="36"/>
      <c r="W1300" s="36"/>
      <c r="X1300" s="36"/>
      <c r="Y1300" s="145">
        <f t="shared" si="405"/>
        <v>10.764000000000001</v>
      </c>
      <c r="Z1300" s="572"/>
      <c r="AA1300" s="12">
        <v>5.98</v>
      </c>
      <c r="AB1300" s="12">
        <f t="shared" si="406"/>
        <v>6.6889632107023402</v>
      </c>
      <c r="AC1300" s="12">
        <f t="shared" si="407"/>
        <v>0</v>
      </c>
      <c r="AD1300" s="34"/>
    </row>
    <row r="1301" spans="1:30" ht="16" x14ac:dyDescent="0.2">
      <c r="A1301" s="47"/>
      <c r="B1301" s="575"/>
      <c r="C1301" s="176">
        <f t="shared" si="402"/>
        <v>1298</v>
      </c>
      <c r="D1301" s="146">
        <v>45914</v>
      </c>
      <c r="E1301" s="37">
        <v>45915</v>
      </c>
      <c r="F1301" s="65" t="s">
        <v>308</v>
      </c>
      <c r="G1301" s="11" t="str">
        <f ca="1">IF(AND(E1301&lt;&gt;"",E1301&lt;TODAY()),"Disponible",IFERROR(INDEX(Vehiculos[Estado Vehiculo],MATCH(F1301,Vehiculos[Placa Vehiculo],0)),""))</f>
        <v>Disponible</v>
      </c>
      <c r="H1301" s="34" t="s">
        <v>237</v>
      </c>
      <c r="I1301" s="34" t="s">
        <v>273</v>
      </c>
      <c r="J1301" s="34"/>
      <c r="K1301" s="39">
        <v>1168</v>
      </c>
      <c r="L1301" s="39">
        <v>1175</v>
      </c>
      <c r="M1301" s="15">
        <f t="shared" si="403"/>
        <v>7</v>
      </c>
      <c r="N1301" s="381">
        <f>Rutas[[#This Row],[Kms Recorridos]]</f>
        <v>7</v>
      </c>
      <c r="O1301" s="39"/>
      <c r="P1301" s="36"/>
      <c r="Q1301" s="16">
        <f t="shared" si="404"/>
        <v>0</v>
      </c>
      <c r="R1301" s="34" t="s">
        <v>196</v>
      </c>
      <c r="S1301" s="34" t="s">
        <v>102</v>
      </c>
      <c r="T1301" s="36">
        <v>2.8</v>
      </c>
      <c r="U1301" s="293">
        <f>Rutas[[#This Row],[Precio x Galón ($/gal)]]*Rutas[[#This Row],[Volumen de Combustible (gal)]]</f>
        <v>28</v>
      </c>
      <c r="V1301" s="36"/>
      <c r="W1301" s="36"/>
      <c r="X1301" s="36"/>
      <c r="Y1301" s="145">
        <f t="shared" si="405"/>
        <v>28</v>
      </c>
      <c r="Z1301" s="572"/>
      <c r="AA1301" s="12">
        <v>10</v>
      </c>
      <c r="AB1301" s="12">
        <f t="shared" si="406"/>
        <v>0.7</v>
      </c>
      <c r="AC1301" s="12">
        <f t="shared" si="407"/>
        <v>0</v>
      </c>
      <c r="AD1301" s="34"/>
    </row>
    <row r="1302" spans="1:30" ht="16" x14ac:dyDescent="0.2">
      <c r="A1302" s="47"/>
      <c r="B1302" s="575"/>
      <c r="C1302" s="176">
        <f t="shared" si="402"/>
        <v>1299</v>
      </c>
      <c r="D1302" s="146">
        <v>45915</v>
      </c>
      <c r="E1302" s="37">
        <v>45917</v>
      </c>
      <c r="F1302" s="65" t="s">
        <v>308</v>
      </c>
      <c r="G1302" s="11" t="str">
        <f ca="1">IF(AND(E1302&lt;&gt;"",E1302&lt;TODAY()),"Disponible",IFERROR(INDEX(Vehiculos[Estado Vehiculo],MATCH(F1302,Vehiculos[Placa Vehiculo],0)),""))</f>
        <v>Disponible</v>
      </c>
      <c r="H1302" s="34" t="s">
        <v>237</v>
      </c>
      <c r="I1302" s="34" t="s">
        <v>273</v>
      </c>
      <c r="J1302" s="34"/>
      <c r="K1302" s="39">
        <v>1175</v>
      </c>
      <c r="L1302" s="39">
        <v>1187</v>
      </c>
      <c r="M1302" s="15">
        <f t="shared" si="403"/>
        <v>12</v>
      </c>
      <c r="N1302" s="381">
        <f>Rutas[[#This Row],[Kms Recorridos]]</f>
        <v>12</v>
      </c>
      <c r="O1302" s="39"/>
      <c r="P1302" s="36"/>
      <c r="Q1302" s="16">
        <f t="shared" si="404"/>
        <v>0</v>
      </c>
      <c r="R1302" s="34" t="s">
        <v>339</v>
      </c>
      <c r="S1302" s="34" t="s">
        <v>102</v>
      </c>
      <c r="T1302" s="36">
        <v>2.8</v>
      </c>
      <c r="U1302" s="293">
        <f>Rutas[[#This Row],[Precio x Galón ($/gal)]]*Rutas[[#This Row],[Volumen de Combustible (gal)]]</f>
        <v>51.491999999999997</v>
      </c>
      <c r="V1302" s="36"/>
      <c r="W1302" s="36"/>
      <c r="X1302" s="36"/>
      <c r="Y1302" s="145">
        <f t="shared" si="405"/>
        <v>51.491999999999997</v>
      </c>
      <c r="Z1302" s="572"/>
      <c r="AA1302" s="12">
        <v>18.39</v>
      </c>
      <c r="AB1302" s="12">
        <f t="shared" si="406"/>
        <v>0.65252854812398042</v>
      </c>
      <c r="AC1302" s="12">
        <f t="shared" si="407"/>
        <v>0</v>
      </c>
      <c r="AD1302" s="34"/>
    </row>
    <row r="1303" spans="1:30" ht="16" x14ac:dyDescent="0.2">
      <c r="A1303" s="47"/>
      <c r="B1303" s="575"/>
      <c r="C1303" s="176">
        <f t="shared" si="402"/>
        <v>1300</v>
      </c>
      <c r="D1303" s="454">
        <v>45917</v>
      </c>
      <c r="E1303" s="37">
        <v>45920</v>
      </c>
      <c r="F1303" s="65" t="s">
        <v>308</v>
      </c>
      <c r="G1303" s="11" t="str">
        <f ca="1">IF(AND(E1303&lt;&gt;"",E1303&lt;TODAY()),"Disponible",IFERROR(INDEX(Vehiculos[Estado Vehiculo],MATCH(F1303,Vehiculos[Placa Vehiculo],0)),""))</f>
        <v>Disponible</v>
      </c>
      <c r="H1303" s="34" t="s">
        <v>422</v>
      </c>
      <c r="I1303" s="34" t="s">
        <v>273</v>
      </c>
      <c r="J1303" s="34"/>
      <c r="K1303" s="39">
        <v>1187</v>
      </c>
      <c r="L1303" s="39">
        <v>1218</v>
      </c>
      <c r="M1303" s="15">
        <f>L1303-K1303</f>
        <v>31</v>
      </c>
      <c r="N1303" s="381">
        <f>Rutas[[#This Row],[Kms Recorridos]]</f>
        <v>31</v>
      </c>
      <c r="O1303" s="39"/>
      <c r="P1303" s="36"/>
      <c r="Q1303" s="16">
        <f>M1303*P1303</f>
        <v>0</v>
      </c>
      <c r="R1303" s="34" t="s">
        <v>273</v>
      </c>
      <c r="S1303" s="34" t="s">
        <v>102</v>
      </c>
      <c r="T1303" s="36">
        <v>2.8</v>
      </c>
      <c r="U1303" s="293">
        <f>Rutas[[#This Row],[Precio x Galón ($/gal)]]*Rutas[[#This Row],[Volumen de Combustible (gal)]]</f>
        <v>51.884</v>
      </c>
      <c r="V1303" s="36"/>
      <c r="W1303" s="36"/>
      <c r="X1303" s="36"/>
      <c r="Y1303" s="145">
        <f>U1303+SUM(V1303:X1303)</f>
        <v>51.884</v>
      </c>
      <c r="Z1303" s="572"/>
      <c r="AA1303" s="12">
        <v>18.53</v>
      </c>
      <c r="AB1303" s="12">
        <f>IFERROR(M1303/AA1303,0)</f>
        <v>1.672962763086886</v>
      </c>
      <c r="AC1303" s="12">
        <f>IFERROR(Q1303/M1303,0)</f>
        <v>0</v>
      </c>
      <c r="AD1303" s="34"/>
    </row>
    <row r="1304" spans="1:30" ht="16" x14ac:dyDescent="0.2">
      <c r="A1304" s="47"/>
      <c r="B1304" s="575"/>
      <c r="C1304" s="176">
        <f t="shared" si="402"/>
        <v>1301</v>
      </c>
      <c r="D1304" s="454">
        <v>45920</v>
      </c>
      <c r="E1304" s="37">
        <v>45924</v>
      </c>
      <c r="F1304" s="65" t="s">
        <v>308</v>
      </c>
      <c r="G1304" s="11" t="str">
        <f ca="1">IF(AND(E1304&lt;&gt;"",E1304&lt;TODAY()),"Disponible",IFERROR(INDEX(Vehiculos[Estado Vehiculo],MATCH(F1304,Vehiculos[Placa Vehiculo],0)),""))</f>
        <v>Disponible</v>
      </c>
      <c r="H1304" s="34" t="s">
        <v>422</v>
      </c>
      <c r="I1304" s="34" t="s">
        <v>273</v>
      </c>
      <c r="J1304" s="34"/>
      <c r="K1304" s="39">
        <v>1218</v>
      </c>
      <c r="L1304" s="39">
        <v>1250</v>
      </c>
      <c r="M1304" s="15">
        <f>L1304-K1304</f>
        <v>32</v>
      </c>
      <c r="N1304" s="381">
        <f>Rutas[[#This Row],[Kms Recorridos]]</f>
        <v>32</v>
      </c>
      <c r="O1304" s="39"/>
      <c r="P1304" s="36"/>
      <c r="Q1304" s="16">
        <f>M1304*P1304</f>
        <v>0</v>
      </c>
      <c r="R1304" s="34" t="s">
        <v>273</v>
      </c>
      <c r="S1304" s="34" t="s">
        <v>102</v>
      </c>
      <c r="T1304" s="36">
        <v>2.8</v>
      </c>
      <c r="U1304" s="293">
        <f>Rutas[[#This Row],[Precio x Galón ($/gal)]]*Rutas[[#This Row],[Volumen de Combustible (gal)]]</f>
        <v>57.567999999999991</v>
      </c>
      <c r="V1304" s="36"/>
      <c r="W1304" s="36"/>
      <c r="X1304" s="36"/>
      <c r="Y1304" s="145">
        <f>U1304+SUM(V1304:X1304)</f>
        <v>57.567999999999991</v>
      </c>
      <c r="Z1304" s="567"/>
      <c r="AA1304" s="12">
        <v>20.56</v>
      </c>
      <c r="AB1304" s="12">
        <f>IFERROR(M1304/AA1304,0)</f>
        <v>1.556420233463035</v>
      </c>
      <c r="AC1304" s="12">
        <f>IFERROR(Q1304/M1304,0)</f>
        <v>0</v>
      </c>
      <c r="AD1304" s="34"/>
    </row>
    <row r="1305" spans="1:30" ht="16" x14ac:dyDescent="0.2">
      <c r="A1305" s="47"/>
      <c r="B1305" s="575"/>
      <c r="C1305" s="176">
        <f t="shared" si="402"/>
        <v>1302</v>
      </c>
      <c r="D1305" s="454">
        <v>45924</v>
      </c>
      <c r="E1305" s="37">
        <v>45928</v>
      </c>
      <c r="F1305" s="65" t="s">
        <v>308</v>
      </c>
      <c r="G1305" s="11" t="str">
        <f ca="1">IF(AND(E1305&lt;&gt;"",E1305&lt;TODAY()),"Disponible",IFERROR(INDEX(Vehiculos[Estado Vehiculo],MATCH(F1305,Vehiculos[Placa Vehiculo],0)),""))</f>
        <v>Disponible</v>
      </c>
      <c r="H1305" s="34" t="s">
        <v>234</v>
      </c>
      <c r="I1305" s="34" t="s">
        <v>273</v>
      </c>
      <c r="J1305" s="34"/>
      <c r="K1305" s="39">
        <v>1250</v>
      </c>
      <c r="L1305" s="39">
        <v>1280</v>
      </c>
      <c r="M1305" s="15">
        <f>L1305-K1305</f>
        <v>30</v>
      </c>
      <c r="N1305" s="381">
        <f>Rutas[[#This Row],[Kms Recorridos]]</f>
        <v>30</v>
      </c>
      <c r="O1305" s="39"/>
      <c r="P1305" s="36"/>
      <c r="Q1305" s="16">
        <f>M1305*P1305</f>
        <v>0</v>
      </c>
      <c r="R1305" s="34"/>
      <c r="S1305" s="34" t="s">
        <v>102</v>
      </c>
      <c r="T1305" s="36">
        <v>2.8</v>
      </c>
      <c r="U1305" s="293">
        <f>Rutas[[#This Row],[Precio x Galón ($/gal)]]*Rutas[[#This Row],[Volumen de Combustible (gal)]]</f>
        <v>51.8</v>
      </c>
      <c r="V1305" s="36"/>
      <c r="W1305" s="36"/>
      <c r="X1305" s="36"/>
      <c r="Y1305" s="145">
        <f>U1305+SUM(V1305:X1305)</f>
        <v>51.8</v>
      </c>
      <c r="Z1305" s="567"/>
      <c r="AA1305" s="12">
        <v>18.5</v>
      </c>
      <c r="AB1305" s="12">
        <f>IFERROR(M1305/AA1305,0)</f>
        <v>1.6216216216216217</v>
      </c>
      <c r="AC1305" s="12">
        <f>IFERROR(Q1305/M1305,0)</f>
        <v>0</v>
      </c>
      <c r="AD1305" s="34"/>
    </row>
    <row r="1306" spans="1:30" ht="16" x14ac:dyDescent="0.2">
      <c r="A1306" s="47"/>
      <c r="B1306" s="575"/>
      <c r="C1306" s="176">
        <f t="shared" si="402"/>
        <v>1303</v>
      </c>
      <c r="D1306" s="454">
        <v>45928</v>
      </c>
      <c r="E1306" s="37">
        <v>45930</v>
      </c>
      <c r="F1306" s="65" t="s">
        <v>308</v>
      </c>
      <c r="G1306" s="11" t="str">
        <f ca="1">IF(AND(E1306&lt;&gt;"",E1306&lt;TODAY()),"Disponible",IFERROR(INDEX(Vehiculos[Estado Vehiculo],MATCH(F1306,Vehiculos[Placa Vehiculo],0)),""))</f>
        <v>Disponible</v>
      </c>
      <c r="H1306" s="34"/>
      <c r="I1306" s="34" t="s">
        <v>273</v>
      </c>
      <c r="J1306" s="34"/>
      <c r="K1306" s="39">
        <v>1280</v>
      </c>
      <c r="L1306" s="39">
        <v>1299</v>
      </c>
      <c r="M1306" s="15">
        <f>L1306-K1306</f>
        <v>19</v>
      </c>
      <c r="N1306" s="381">
        <f>Rutas[[#This Row],[Kms Recorridos]]</f>
        <v>19</v>
      </c>
      <c r="O1306" s="39"/>
      <c r="P1306" s="36"/>
      <c r="Q1306" s="16">
        <f>M1306*P1306</f>
        <v>0</v>
      </c>
      <c r="R1306" s="34"/>
      <c r="S1306" s="34"/>
      <c r="T1306" s="36"/>
      <c r="U1306" s="293"/>
      <c r="V1306" s="36"/>
      <c r="W1306" s="36"/>
      <c r="X1306" s="36"/>
      <c r="Y1306" s="145">
        <f>U1306+SUM(V1306:X1306)</f>
        <v>0</v>
      </c>
      <c r="Z1306" s="567"/>
      <c r="AA1306" s="12">
        <f>IFERROR(U1306/T1306,0)</f>
        <v>0</v>
      </c>
      <c r="AB1306" s="12">
        <f>IFERROR(M1306/AA1306,0)</f>
        <v>0</v>
      </c>
      <c r="AC1306" s="12">
        <f>IFERROR(Q1306/M1306,0)</f>
        <v>0</v>
      </c>
      <c r="AD1306" s="34"/>
    </row>
    <row r="1307" spans="1:30" ht="16" x14ac:dyDescent="0.2">
      <c r="A1307" s="47"/>
      <c r="B1307" s="575"/>
      <c r="C1307" s="176">
        <f t="shared" si="402"/>
        <v>1304</v>
      </c>
      <c r="D1307" s="146"/>
      <c r="E1307" s="37"/>
      <c r="F1307" s="65"/>
      <c r="G1307" s="11" t="str">
        <f ca="1">IF(AND(E1307&lt;&gt;"",E1307&lt;TODAY()),"Disponible",IFERROR(INDEX(Vehiculos[Estado Vehiculo],MATCH(F1307,Vehiculos[Placa Vehiculo],0)),""))</f>
        <v/>
      </c>
      <c r="H1307" s="34"/>
      <c r="I1307" s="34"/>
      <c r="J1307" s="34"/>
      <c r="K1307" s="39"/>
      <c r="L1307" s="39"/>
      <c r="M1307" s="15">
        <f t="shared" si="403"/>
        <v>0</v>
      </c>
      <c r="N1307" s="15"/>
      <c r="O1307" s="39"/>
      <c r="P1307" s="36"/>
      <c r="Q1307" s="16">
        <f t="shared" si="404"/>
        <v>0</v>
      </c>
      <c r="R1307" s="34"/>
      <c r="S1307" s="34"/>
      <c r="T1307" s="36"/>
      <c r="U1307" s="293">
        <f>Rutas[[#This Row],[Precio x Galón ($/gal)]]*Rutas[[#This Row],[Volumen de Combustible (gal)]]</f>
        <v>0</v>
      </c>
      <c r="V1307" s="36"/>
      <c r="W1307" s="36"/>
      <c r="X1307" s="36"/>
      <c r="Y1307" s="145">
        <f t="shared" si="405"/>
        <v>0</v>
      </c>
      <c r="Z1307" s="572"/>
      <c r="AA1307" s="12"/>
      <c r="AB1307" s="12">
        <f t="shared" si="406"/>
        <v>0</v>
      </c>
      <c r="AC1307" s="12">
        <f t="shared" si="407"/>
        <v>0</v>
      </c>
      <c r="AD1307" s="34"/>
    </row>
    <row r="1308" spans="1:30" ht="16" x14ac:dyDescent="0.2">
      <c r="A1308" s="47"/>
      <c r="B1308" s="575"/>
      <c r="C1308" s="176">
        <f t="shared" si="402"/>
        <v>1305</v>
      </c>
      <c r="D1308" s="90">
        <v>45901</v>
      </c>
      <c r="E1308" s="90">
        <v>45910</v>
      </c>
      <c r="F1308" s="68" t="s">
        <v>414</v>
      </c>
      <c r="G1308" s="379" t="str">
        <f ca="1">IF(AND(E1308&lt;&gt;"",E1308&lt;TODAY()),"Disponible",IFERROR(INDEX(Vehiculos[Estado Vehiculo],MATCH(F1308,Vehiculos[Placa Vehiculo],0)),""))</f>
        <v>Disponible</v>
      </c>
      <c r="H1308" s="89" t="s">
        <v>242</v>
      </c>
      <c r="I1308" s="89" t="s">
        <v>273</v>
      </c>
      <c r="J1308" s="89"/>
      <c r="K1308" s="380">
        <v>130</v>
      </c>
      <c r="L1308" s="380">
        <v>146</v>
      </c>
      <c r="M1308" s="381">
        <f t="shared" si="403"/>
        <v>16</v>
      </c>
      <c r="N1308" s="381">
        <f>Rutas[[#This Row],[Kms Recorridos]]</f>
        <v>16</v>
      </c>
      <c r="O1308" s="380"/>
      <c r="P1308" s="92"/>
      <c r="Q1308" s="382">
        <f t="shared" si="404"/>
        <v>0</v>
      </c>
      <c r="R1308" s="89"/>
      <c r="S1308" s="89" t="s">
        <v>102</v>
      </c>
      <c r="T1308" s="92">
        <v>1.8</v>
      </c>
      <c r="U1308" s="266">
        <f>Rutas[[#This Row],[Precio x Galón ($/gal)]]*Rutas[[#This Row],[Volumen de Combustible (gal)]]</f>
        <v>0</v>
      </c>
      <c r="V1308" s="92"/>
      <c r="W1308" s="92"/>
      <c r="X1308" s="92"/>
      <c r="Y1308" s="382">
        <f t="shared" si="405"/>
        <v>0</v>
      </c>
      <c r="Z1308" s="572"/>
      <c r="AA1308" s="382"/>
      <c r="AB1308" s="382">
        <f t="shared" si="406"/>
        <v>0</v>
      </c>
      <c r="AC1308" s="382">
        <f t="shared" si="407"/>
        <v>0</v>
      </c>
      <c r="AD1308" s="89"/>
    </row>
    <row r="1309" spans="1:30" ht="16" x14ac:dyDescent="0.2">
      <c r="A1309" s="47"/>
      <c r="B1309" s="575"/>
      <c r="C1309" s="176">
        <f t="shared" si="402"/>
        <v>1306</v>
      </c>
      <c r="D1309" s="146">
        <v>45910</v>
      </c>
      <c r="E1309" s="37">
        <v>45920</v>
      </c>
      <c r="F1309" s="65" t="s">
        <v>414</v>
      </c>
      <c r="G1309" s="11" t="str">
        <f ca="1">IF(AND(E1309&lt;&gt;"",E1309&lt;TODAY()),"Disponible",IFERROR(INDEX(Vehiculos[Estado Vehiculo],MATCH(F1309,Vehiculos[Placa Vehiculo],0)),""))</f>
        <v>Disponible</v>
      </c>
      <c r="H1309" s="34" t="s">
        <v>411</v>
      </c>
      <c r="I1309" s="34" t="s">
        <v>273</v>
      </c>
      <c r="J1309" s="34"/>
      <c r="K1309" s="39">
        <v>146</v>
      </c>
      <c r="L1309" s="39">
        <v>169</v>
      </c>
      <c r="M1309" s="15">
        <f t="shared" si="403"/>
        <v>23</v>
      </c>
      <c r="N1309" s="381">
        <f>Rutas[[#This Row],[Kms Recorridos]]</f>
        <v>23</v>
      </c>
      <c r="O1309" s="39"/>
      <c r="P1309" s="36"/>
      <c r="Q1309" s="16">
        <f t="shared" si="404"/>
        <v>0</v>
      </c>
      <c r="R1309" s="34"/>
      <c r="S1309" s="34" t="s">
        <v>102</v>
      </c>
      <c r="T1309" s="36">
        <v>2.8</v>
      </c>
      <c r="U1309" s="36">
        <f>Rutas[[#This Row],[Precio x Galón ($/gal)]]*Rutas[[#This Row],[Volumen de Combustible (gal)]]</f>
        <v>0</v>
      </c>
      <c r="V1309" s="36"/>
      <c r="W1309" s="36"/>
      <c r="X1309" s="36"/>
      <c r="Y1309" s="145">
        <f t="shared" si="405"/>
        <v>0</v>
      </c>
      <c r="Z1309" s="572"/>
      <c r="AA1309" s="12"/>
      <c r="AB1309" s="12">
        <f t="shared" si="406"/>
        <v>0</v>
      </c>
      <c r="AC1309" s="12">
        <f t="shared" si="407"/>
        <v>0</v>
      </c>
      <c r="AD1309" s="34"/>
    </row>
    <row r="1310" spans="1:30" ht="16" x14ac:dyDescent="0.2">
      <c r="A1310" s="47"/>
      <c r="B1310" s="575"/>
      <c r="C1310" s="176">
        <f t="shared" si="402"/>
        <v>1307</v>
      </c>
      <c r="D1310" s="146">
        <v>45920</v>
      </c>
      <c r="E1310" s="37">
        <v>45930</v>
      </c>
      <c r="F1310" s="65" t="s">
        <v>414</v>
      </c>
      <c r="G1310" s="11" t="str">
        <f ca="1">IF(AND(E1310&lt;&gt;"",E1310&lt;TODAY()),"Disponible",IFERROR(INDEX(Vehiculos[Estado Vehiculo],MATCH(F1310,Vehiculos[Placa Vehiculo],0)),""))</f>
        <v>Disponible</v>
      </c>
      <c r="H1310" s="34" t="s">
        <v>411</v>
      </c>
      <c r="I1310" s="34" t="s">
        <v>273</v>
      </c>
      <c r="J1310" s="34"/>
      <c r="K1310" s="39">
        <v>169</v>
      </c>
      <c r="L1310" s="39">
        <v>197</v>
      </c>
      <c r="M1310" s="15">
        <f t="shared" si="403"/>
        <v>28</v>
      </c>
      <c r="N1310" s="381">
        <f>Rutas[[#This Row],[Kms Recorridos]]</f>
        <v>28</v>
      </c>
      <c r="O1310" s="39"/>
      <c r="P1310" s="36"/>
      <c r="Q1310" s="16">
        <f t="shared" si="404"/>
        <v>0</v>
      </c>
      <c r="R1310" s="34"/>
      <c r="S1310" s="34" t="s">
        <v>102</v>
      </c>
      <c r="T1310" s="36">
        <v>2.8</v>
      </c>
      <c r="U1310" s="36">
        <f>Rutas[[#This Row],[Precio x Galón ($/gal)]]*Rutas[[#This Row],[Volumen de Combustible (gal)]]</f>
        <v>0</v>
      </c>
      <c r="V1310" s="36"/>
      <c r="W1310" s="36"/>
      <c r="X1310" s="36"/>
      <c r="Y1310" s="145">
        <f t="shared" si="405"/>
        <v>0</v>
      </c>
      <c r="Z1310" s="572"/>
      <c r="AA1310" s="12"/>
      <c r="AB1310" s="12">
        <f t="shared" si="406"/>
        <v>0</v>
      </c>
      <c r="AC1310" s="12">
        <f t="shared" si="407"/>
        <v>0</v>
      </c>
      <c r="AD1310" s="34"/>
    </row>
    <row r="1311" spans="1:30" ht="16" x14ac:dyDescent="0.2">
      <c r="A1311" s="47"/>
      <c r="B1311" s="575"/>
      <c r="C1311" s="176">
        <f t="shared" si="402"/>
        <v>1308</v>
      </c>
      <c r="D1311" s="146"/>
      <c r="E1311" s="37"/>
      <c r="F1311" s="65"/>
      <c r="G1311" s="11" t="str">
        <f ca="1">IF(AND(E1311&lt;&gt;"",E1311&lt;TODAY()),"Disponible",IFERROR(INDEX(Vehiculos[Estado Vehiculo],MATCH(F1311,Vehiculos[Placa Vehiculo],0)),""))</f>
        <v/>
      </c>
      <c r="H1311" s="34"/>
      <c r="I1311" s="34"/>
      <c r="J1311" s="34"/>
      <c r="K1311" s="39"/>
      <c r="L1311" s="39"/>
      <c r="M1311" s="15">
        <f t="shared" si="403"/>
        <v>0</v>
      </c>
      <c r="N1311" s="15"/>
      <c r="O1311" s="39"/>
      <c r="P1311" s="36"/>
      <c r="Q1311" s="16">
        <f t="shared" si="404"/>
        <v>0</v>
      </c>
      <c r="R1311" s="34"/>
      <c r="S1311" s="34"/>
      <c r="T1311" s="36"/>
      <c r="U1311" s="36">
        <f>Rutas[[#This Row],[Precio x Galón ($/gal)]]*Rutas[[#This Row],[Volumen de Combustible (gal)]]</f>
        <v>0</v>
      </c>
      <c r="V1311" s="36"/>
      <c r="W1311" s="36"/>
      <c r="X1311" s="36"/>
      <c r="Y1311" s="145">
        <f t="shared" si="405"/>
        <v>0</v>
      </c>
      <c r="Z1311" s="572"/>
      <c r="AA1311" s="12"/>
      <c r="AB1311" s="12">
        <f t="shared" si="406"/>
        <v>0</v>
      </c>
      <c r="AC1311" s="12">
        <f t="shared" si="407"/>
        <v>0</v>
      </c>
      <c r="AD1311" s="34"/>
    </row>
    <row r="1312" spans="1:30" ht="17" thickBot="1" x14ac:dyDescent="0.25">
      <c r="A1312" s="563"/>
      <c r="B1312" s="576"/>
      <c r="C1312" s="176">
        <f t="shared" si="402"/>
        <v>1309</v>
      </c>
      <c r="D1312" s="156"/>
      <c r="E1312" s="157"/>
      <c r="F1312" s="158"/>
      <c r="G1312" s="159" t="str">
        <f ca="1">IF(AND(E1312&lt;&gt;"",E1312&lt;TODAY()),"Disponible",IFERROR(INDEX(Vehiculos[Estado Vehiculo],MATCH(F1312,Vehiculos[Placa Vehiculo],0)),""))</f>
        <v/>
      </c>
      <c r="H1312" s="160"/>
      <c r="I1312" s="160"/>
      <c r="J1312" s="160"/>
      <c r="K1312" s="161"/>
      <c r="L1312" s="161"/>
      <c r="M1312" s="162">
        <f t="shared" si="403"/>
        <v>0</v>
      </c>
      <c r="N1312" s="162"/>
      <c r="O1312" s="161"/>
      <c r="P1312" s="163"/>
      <c r="Q1312" s="164">
        <f t="shared" si="404"/>
        <v>0</v>
      </c>
      <c r="R1312" s="160"/>
      <c r="S1312" s="160"/>
      <c r="T1312" s="163"/>
      <c r="U1312" s="163">
        <f>Rutas[[#This Row],[Precio x Galón ($/gal)]]*Rutas[[#This Row],[Volumen de Combustible (gal)]]</f>
        <v>0</v>
      </c>
      <c r="V1312" s="163"/>
      <c r="W1312" s="163"/>
      <c r="X1312" s="163"/>
      <c r="Y1312" s="165">
        <f t="shared" si="405"/>
        <v>0</v>
      </c>
      <c r="Z1312" s="573"/>
      <c r="AA1312" s="166"/>
      <c r="AB1312" s="166">
        <f t="shared" si="406"/>
        <v>0</v>
      </c>
      <c r="AC1312" s="166">
        <f t="shared" si="407"/>
        <v>0</v>
      </c>
      <c r="AD1312" s="160"/>
    </row>
    <row r="1313" spans="1:30" ht="17" thickTop="1" x14ac:dyDescent="0.2">
      <c r="A1313" s="47"/>
      <c r="C1313" s="176">
        <f t="shared" si="402"/>
        <v>1310</v>
      </c>
      <c r="D1313" s="90">
        <v>45931</v>
      </c>
      <c r="E1313" s="90">
        <v>45933</v>
      </c>
      <c r="F1313" s="68" t="s">
        <v>204</v>
      </c>
      <c r="G1313" s="379" t="str">
        <f ca="1">IF(AND(E1313&lt;&gt;"",E1313&lt;TODAY()),"Disponible",IFERROR(INDEX(Vehiculos[Estado Vehiculo],MATCH(F1313,Vehiculos[Placa Vehiculo],0)),""))</f>
        <v>Disponible</v>
      </c>
      <c r="H1313" s="89"/>
      <c r="I1313" s="89" t="s">
        <v>273</v>
      </c>
      <c r="J1313" s="89" t="s">
        <v>282</v>
      </c>
      <c r="K1313" s="380">
        <v>38386</v>
      </c>
      <c r="L1313" s="380">
        <v>39008</v>
      </c>
      <c r="M1313" s="381">
        <f t="shared" si="403"/>
        <v>622</v>
      </c>
      <c r="N1313" s="381"/>
      <c r="O1313" s="380"/>
      <c r="P1313" s="92">
        <v>0.76</v>
      </c>
      <c r="Q1313" s="382">
        <f t="shared" si="404"/>
        <v>472.72</v>
      </c>
      <c r="R1313" s="89" t="s">
        <v>273</v>
      </c>
      <c r="S1313" s="89" t="s">
        <v>102</v>
      </c>
      <c r="T1313" s="92">
        <v>2.8</v>
      </c>
      <c r="U1313" s="92">
        <f>Rutas[[#This Row],[Precio x Galón ($/gal)]]*Rutas[[#This Row],[Volumen de Combustible (gal)]]</f>
        <v>249.95599999999996</v>
      </c>
      <c r="V1313" s="92"/>
      <c r="W1313" s="92"/>
      <c r="X1313" s="92"/>
      <c r="Y1313" s="382">
        <f t="shared" si="405"/>
        <v>249.95599999999996</v>
      </c>
      <c r="Z1313" s="572"/>
      <c r="AA1313" s="382">
        <v>89.27</v>
      </c>
      <c r="AB1313" s="382">
        <f t="shared" si="406"/>
        <v>6.9676263022291929</v>
      </c>
      <c r="AC1313" s="382">
        <f t="shared" si="407"/>
        <v>0.76</v>
      </c>
      <c r="AD1313" s="89"/>
    </row>
    <row r="1314" spans="1:30" ht="16" x14ac:dyDescent="0.2">
      <c r="A1314" s="47"/>
      <c r="C1314" s="176">
        <f t="shared" si="402"/>
        <v>1311</v>
      </c>
      <c r="D1314" s="146">
        <v>45933</v>
      </c>
      <c r="E1314" s="37">
        <v>45941</v>
      </c>
      <c r="F1314" s="65" t="s">
        <v>204</v>
      </c>
      <c r="G1314" s="11" t="str">
        <f ca="1">IF(AND(E1314&lt;&gt;"",E1314&lt;TODAY()),"Disponible",IFERROR(INDEX(Vehiculos[Estado Vehiculo],MATCH(F1314,Vehiculos[Placa Vehiculo],0)),""))</f>
        <v>Disponible</v>
      </c>
      <c r="H1314" s="34"/>
      <c r="I1314" s="34" t="s">
        <v>273</v>
      </c>
      <c r="J1314" s="34" t="s">
        <v>282</v>
      </c>
      <c r="K1314" s="39">
        <v>39008</v>
      </c>
      <c r="L1314" s="39">
        <v>39649</v>
      </c>
      <c r="M1314" s="15">
        <f t="shared" si="403"/>
        <v>641</v>
      </c>
      <c r="N1314" s="15"/>
      <c r="O1314" s="39"/>
      <c r="P1314" s="36">
        <v>0.76</v>
      </c>
      <c r="Q1314" s="16">
        <f t="shared" si="404"/>
        <v>487.16</v>
      </c>
      <c r="R1314" s="34" t="s">
        <v>273</v>
      </c>
      <c r="S1314" s="34" t="s">
        <v>102</v>
      </c>
      <c r="T1314" s="36">
        <v>2.8</v>
      </c>
      <c r="U1314" s="36">
        <f>Rutas[[#This Row],[Precio x Galón ($/gal)]]*Rutas[[#This Row],[Volumen de Combustible (gal)]]</f>
        <v>258.94400000000002</v>
      </c>
      <c r="V1314" s="36"/>
      <c r="W1314" s="36"/>
      <c r="X1314" s="36"/>
      <c r="Y1314" s="145">
        <f t="shared" si="405"/>
        <v>258.94400000000002</v>
      </c>
      <c r="Z1314" s="572"/>
      <c r="AA1314" s="12">
        <v>92.48</v>
      </c>
      <c r="AB1314" s="12">
        <f t="shared" si="406"/>
        <v>6.9312283737024218</v>
      </c>
      <c r="AC1314" s="12">
        <f t="shared" si="407"/>
        <v>0.76</v>
      </c>
      <c r="AD1314" s="34"/>
    </row>
    <row r="1315" spans="1:30" ht="16" x14ac:dyDescent="0.2">
      <c r="A1315" s="47"/>
      <c r="C1315" s="176">
        <f t="shared" si="402"/>
        <v>1312</v>
      </c>
      <c r="D1315" s="146">
        <v>45941</v>
      </c>
      <c r="E1315" s="37">
        <v>45951</v>
      </c>
      <c r="F1315" s="65" t="s">
        <v>204</v>
      </c>
      <c r="G1315" s="11" t="str">
        <f ca="1">IF(AND(E1315&lt;&gt;"",E1315&lt;TODAY()),"Disponible",IFERROR(INDEX(Vehiculos[Estado Vehiculo],MATCH(F1315,Vehiculos[Placa Vehiculo],0)),""))</f>
        <v>Disponible</v>
      </c>
      <c r="H1315" s="34"/>
      <c r="I1315" s="34" t="s">
        <v>273</v>
      </c>
      <c r="J1315" s="34" t="s">
        <v>282</v>
      </c>
      <c r="K1315" s="39">
        <v>39649</v>
      </c>
      <c r="L1315" s="39">
        <v>40462</v>
      </c>
      <c r="M1315" s="15">
        <f t="shared" si="403"/>
        <v>813</v>
      </c>
      <c r="N1315" s="15"/>
      <c r="O1315" s="39"/>
      <c r="P1315" s="36">
        <v>0.76</v>
      </c>
      <c r="Q1315" s="16">
        <f t="shared" si="404"/>
        <v>617.88</v>
      </c>
      <c r="R1315" s="34" t="s">
        <v>273</v>
      </c>
      <c r="S1315" s="34" t="s">
        <v>102</v>
      </c>
      <c r="T1315" s="36">
        <v>2.8</v>
      </c>
      <c r="U1315" s="36">
        <f>Rutas[[#This Row],[Precio x Galón ($/gal)]]*Rutas[[#This Row],[Volumen de Combustible (gal)]]</f>
        <v>296.79999999999995</v>
      </c>
      <c r="V1315" s="36"/>
      <c r="W1315" s="36"/>
      <c r="X1315" s="36"/>
      <c r="Y1315" s="145">
        <f t="shared" si="405"/>
        <v>296.79999999999995</v>
      </c>
      <c r="Z1315" s="572"/>
      <c r="AA1315" s="12">
        <v>106</v>
      </c>
      <c r="AB1315" s="12">
        <f t="shared" si="406"/>
        <v>7.6698113207547172</v>
      </c>
      <c r="AC1315" s="12">
        <f t="shared" si="407"/>
        <v>0.76</v>
      </c>
      <c r="AD1315" s="34"/>
    </row>
    <row r="1316" spans="1:30" ht="16" x14ac:dyDescent="0.2">
      <c r="A1316" s="47"/>
      <c r="C1316" s="176">
        <f t="shared" si="402"/>
        <v>1313</v>
      </c>
      <c r="D1316" s="454">
        <v>45951</v>
      </c>
      <c r="E1316" s="37">
        <v>45961</v>
      </c>
      <c r="F1316" s="65" t="s">
        <v>204</v>
      </c>
      <c r="G1316" s="11" t="str">
        <f ca="1">IF(AND(E1316&lt;&gt;"",E1316&lt;TODAY()),"Disponible",IFERROR(INDEX(Vehiculos[Estado Vehiculo],MATCH(F1316,Vehiculos[Placa Vehiculo],0)),""))</f>
        <v>Disponible</v>
      </c>
      <c r="H1316" s="34"/>
      <c r="I1316" s="34" t="s">
        <v>273</v>
      </c>
      <c r="J1316" s="34" t="s">
        <v>282</v>
      </c>
      <c r="K1316" s="39">
        <v>40462</v>
      </c>
      <c r="L1316" s="39">
        <v>41185</v>
      </c>
      <c r="M1316" s="15">
        <f>L1316-K1316</f>
        <v>723</v>
      </c>
      <c r="N1316" s="452">
        <v>321</v>
      </c>
      <c r="O1316" s="39"/>
      <c r="P1316" s="36">
        <v>0.76</v>
      </c>
      <c r="Q1316" s="16">
        <f>M1316*P1316</f>
        <v>549.48</v>
      </c>
      <c r="R1316" s="34" t="s">
        <v>273</v>
      </c>
      <c r="S1316" s="34" t="s">
        <v>102</v>
      </c>
      <c r="T1316" s="36">
        <v>2.8</v>
      </c>
      <c r="U1316" s="36">
        <f>Rutas[[#This Row],[Precio x Galón ($/gal)]]*Rutas[[#This Row],[Volumen de Combustible (gal)]]</f>
        <v>324.09999999999997</v>
      </c>
      <c r="V1316" s="36"/>
      <c r="W1316" s="36"/>
      <c r="X1316" s="36"/>
      <c r="Y1316" s="145">
        <f>U1316+SUM(V1316:X1316)</f>
        <v>324.09999999999997</v>
      </c>
      <c r="Z1316" s="567"/>
      <c r="AA1316" s="12">
        <v>115.75</v>
      </c>
      <c r="AB1316" s="12">
        <f>IFERROR(M1316/AA1316,0)</f>
        <v>6.2462203023758098</v>
      </c>
      <c r="AC1316" s="12">
        <f>IFERROR(Q1316/M1316,0)</f>
        <v>0.76</v>
      </c>
      <c r="AD1316" s="34"/>
    </row>
    <row r="1317" spans="1:30" ht="16" x14ac:dyDescent="0.2">
      <c r="A1317" s="47"/>
      <c r="C1317" s="176">
        <f t="shared" si="402"/>
        <v>1314</v>
      </c>
      <c r="D1317" s="454"/>
      <c r="E1317" s="37"/>
      <c r="F1317" s="65"/>
      <c r="G1317" s="11" t="str">
        <f ca="1">IF(AND(E1317&lt;&gt;"",E1317&lt;TODAY()),"Disponible",IFERROR(INDEX(Vehiculos[Estado Vehiculo],MATCH(F1317,Vehiculos[Placa Vehiculo],0)),""))</f>
        <v/>
      </c>
      <c r="H1317" s="34"/>
      <c r="I1317" s="34"/>
      <c r="J1317" s="34"/>
      <c r="K1317" s="39"/>
      <c r="L1317" s="39"/>
      <c r="M1317" s="15">
        <f>L1317-K1317</f>
        <v>0</v>
      </c>
      <c r="N1317" s="15"/>
      <c r="O1317" s="39"/>
      <c r="P1317" s="36"/>
      <c r="Q1317" s="16">
        <f>M1317*P1317</f>
        <v>0</v>
      </c>
      <c r="R1317" s="34"/>
      <c r="S1317" s="34"/>
      <c r="T1317" s="36"/>
      <c r="U1317" s="36"/>
      <c r="V1317" s="36"/>
      <c r="W1317" s="36"/>
      <c r="X1317" s="36"/>
      <c r="Y1317" s="145">
        <f>U1317+SUM(V1317:X1317)</f>
        <v>0</v>
      </c>
      <c r="Z1317" s="567"/>
      <c r="AA1317" s="12"/>
      <c r="AB1317" s="12">
        <f>IFERROR(M1317/AA1317,0)</f>
        <v>0</v>
      </c>
      <c r="AC1317" s="12">
        <f>IFERROR(Q1317/M1317,0)</f>
        <v>0</v>
      </c>
      <c r="AD1317" s="34"/>
    </row>
    <row r="1318" spans="1:30" ht="16" x14ac:dyDescent="0.2">
      <c r="A1318" s="47"/>
      <c r="C1318" s="176">
        <f t="shared" si="402"/>
        <v>1315</v>
      </c>
      <c r="D1318" s="146"/>
      <c r="E1318" s="37"/>
      <c r="F1318" s="65"/>
      <c r="G1318" s="11" t="str">
        <f ca="1">IF(AND(E1318&lt;&gt;"",E1318&lt;TODAY()),"Disponible",IFERROR(INDEX(Vehiculos[Estado Vehiculo],MATCH(F1318,Vehiculos[Placa Vehiculo],0)),""))</f>
        <v/>
      </c>
      <c r="H1318" s="34"/>
      <c r="I1318" s="34"/>
      <c r="J1318" s="34"/>
      <c r="K1318" s="39"/>
      <c r="L1318" s="39"/>
      <c r="M1318" s="15">
        <f t="shared" si="403"/>
        <v>0</v>
      </c>
      <c r="N1318" s="15"/>
      <c r="O1318" s="39"/>
      <c r="P1318" s="36"/>
      <c r="Q1318" s="16">
        <f t="shared" si="404"/>
        <v>0</v>
      </c>
      <c r="R1318" s="34"/>
      <c r="S1318" s="34"/>
      <c r="T1318" s="36"/>
      <c r="U1318" s="36">
        <f>Rutas[[#This Row],[Precio x Galón ($/gal)]]*Rutas[[#This Row],[Volumen de Combustible (gal)]]</f>
        <v>0</v>
      </c>
      <c r="V1318" s="36"/>
      <c r="W1318" s="36"/>
      <c r="X1318" s="36"/>
      <c r="Y1318" s="145">
        <f t="shared" si="405"/>
        <v>0</v>
      </c>
      <c r="Z1318" s="572"/>
      <c r="AA1318" s="12"/>
      <c r="AB1318" s="12">
        <f t="shared" si="406"/>
        <v>0</v>
      </c>
      <c r="AC1318" s="12">
        <f t="shared" si="407"/>
        <v>0</v>
      </c>
      <c r="AD1318" s="34"/>
    </row>
    <row r="1319" spans="1:30" ht="16" x14ac:dyDescent="0.2">
      <c r="A1319" s="47"/>
      <c r="C1319" s="176">
        <f t="shared" si="402"/>
        <v>1316</v>
      </c>
      <c r="D1319" s="90">
        <v>45931</v>
      </c>
      <c r="E1319" s="90">
        <v>45932</v>
      </c>
      <c r="F1319" s="68" t="s">
        <v>211</v>
      </c>
      <c r="G1319" s="379" t="str">
        <f ca="1">IF(AND(E1319&lt;&gt;"",E1319&lt;TODAY()),"Disponible",IFERROR(INDEX(Vehiculos[Estado Vehiculo],MATCH(F1319,Vehiculos[Placa Vehiculo],0)),""))</f>
        <v>Disponible</v>
      </c>
      <c r="H1319" s="89" t="s">
        <v>269</v>
      </c>
      <c r="I1319" s="89" t="s">
        <v>273</v>
      </c>
      <c r="J1319" s="89" t="s">
        <v>274</v>
      </c>
      <c r="K1319" s="380">
        <v>53862</v>
      </c>
      <c r="L1319" s="380">
        <v>54643</v>
      </c>
      <c r="M1319" s="381">
        <f t="shared" si="403"/>
        <v>781</v>
      </c>
      <c r="N1319" s="381"/>
      <c r="O1319" s="380"/>
      <c r="P1319" s="92">
        <v>0.76</v>
      </c>
      <c r="Q1319" s="382">
        <f t="shared" si="404"/>
        <v>593.56000000000006</v>
      </c>
      <c r="R1319" s="89" t="s">
        <v>339</v>
      </c>
      <c r="S1319" s="89" t="s">
        <v>102</v>
      </c>
      <c r="T1319" s="92">
        <v>2.8</v>
      </c>
      <c r="U1319" s="92">
        <f>Rutas[[#This Row],[Precio x Galón ($/gal)]]*Rutas[[#This Row],[Volumen de Combustible (gal)]]</f>
        <v>429.072</v>
      </c>
      <c r="V1319" s="92"/>
      <c r="W1319" s="92"/>
      <c r="X1319" s="92"/>
      <c r="Y1319" s="382">
        <f t="shared" si="405"/>
        <v>429.072</v>
      </c>
      <c r="Z1319" s="572">
        <v>34989</v>
      </c>
      <c r="AA1319" s="382">
        <v>153.24</v>
      </c>
      <c r="AB1319" s="382">
        <f t="shared" si="406"/>
        <v>5.0965805272774727</v>
      </c>
      <c r="AC1319" s="382">
        <f t="shared" si="407"/>
        <v>0.76000000000000012</v>
      </c>
      <c r="AD1319" s="89"/>
    </row>
    <row r="1320" spans="1:30" ht="16" x14ac:dyDescent="0.2">
      <c r="A1320" s="47"/>
      <c r="C1320" s="176">
        <f t="shared" si="402"/>
        <v>1317</v>
      </c>
      <c r="D1320" s="146">
        <v>45932</v>
      </c>
      <c r="E1320" s="37">
        <v>45947</v>
      </c>
      <c r="F1320" s="65" t="s">
        <v>211</v>
      </c>
      <c r="G1320" s="11" t="str">
        <f ca="1">IF(AND(E1320&lt;&gt;"",E1320&lt;TODAY()),"Disponible",IFERROR(INDEX(Vehiculos[Estado Vehiculo],MATCH(F1320,Vehiculos[Placa Vehiculo],0)),""))</f>
        <v>Disponible</v>
      </c>
      <c r="H1320" s="34"/>
      <c r="I1320" s="34" t="s">
        <v>273</v>
      </c>
      <c r="J1320" s="34" t="s">
        <v>274</v>
      </c>
      <c r="K1320" s="39">
        <v>54643</v>
      </c>
      <c r="L1320" s="39">
        <v>55996</v>
      </c>
      <c r="M1320" s="15">
        <f t="shared" si="403"/>
        <v>1353</v>
      </c>
      <c r="N1320" s="15"/>
      <c r="O1320" s="39"/>
      <c r="P1320" s="36">
        <v>0.76</v>
      </c>
      <c r="Q1320" s="16">
        <f t="shared" si="404"/>
        <v>1028.28</v>
      </c>
      <c r="R1320" s="34" t="s">
        <v>273</v>
      </c>
      <c r="S1320" s="34" t="s">
        <v>102</v>
      </c>
      <c r="T1320" s="36">
        <v>2.8</v>
      </c>
      <c r="U1320" s="36">
        <f>Rutas[[#This Row],[Precio x Galón ($/gal)]]*Rutas[[#This Row],[Volumen de Combustible (gal)]]</f>
        <v>150.5</v>
      </c>
      <c r="V1320" s="36"/>
      <c r="W1320" s="36"/>
      <c r="X1320" s="36"/>
      <c r="Y1320" s="145">
        <f t="shared" si="405"/>
        <v>150.5</v>
      </c>
      <c r="Z1320" s="572"/>
      <c r="AA1320" s="12">
        <v>53.75</v>
      </c>
      <c r="AB1320" s="12">
        <f t="shared" si="406"/>
        <v>25.172093023255815</v>
      </c>
      <c r="AC1320" s="12">
        <f t="shared" si="407"/>
        <v>0.76</v>
      </c>
      <c r="AD1320" s="34"/>
    </row>
    <row r="1321" spans="1:30" ht="16" x14ac:dyDescent="0.2">
      <c r="A1321" s="47"/>
      <c r="C1321" s="176">
        <f t="shared" si="402"/>
        <v>1318</v>
      </c>
      <c r="D1321" s="146">
        <v>45947</v>
      </c>
      <c r="E1321" s="37">
        <v>45949</v>
      </c>
      <c r="F1321" s="65" t="s">
        <v>211</v>
      </c>
      <c r="G1321" s="11" t="str">
        <f ca="1">IF(AND(E1321&lt;&gt;"",E1321&lt;TODAY()),"Disponible",IFERROR(INDEX(Vehiculos[Estado Vehiculo],MATCH(F1321,Vehiculos[Placa Vehiculo],0)),""))</f>
        <v>Disponible</v>
      </c>
      <c r="H1321" s="34"/>
      <c r="I1321" s="34" t="s">
        <v>273</v>
      </c>
      <c r="J1321" s="34" t="s">
        <v>274</v>
      </c>
      <c r="K1321" s="39">
        <v>55996</v>
      </c>
      <c r="L1321" s="39">
        <v>56335</v>
      </c>
      <c r="M1321" s="15">
        <f t="shared" si="403"/>
        <v>339</v>
      </c>
      <c r="N1321" s="15"/>
      <c r="O1321" s="39"/>
      <c r="P1321" s="36">
        <v>0.76</v>
      </c>
      <c r="Q1321" s="16">
        <f t="shared" si="404"/>
        <v>257.64</v>
      </c>
      <c r="R1321" s="34" t="s">
        <v>273</v>
      </c>
      <c r="S1321" s="34" t="s">
        <v>102</v>
      </c>
      <c r="T1321" s="36">
        <v>2.8</v>
      </c>
      <c r="U1321" s="36">
        <f>Rutas[[#This Row],[Precio x Galón ($/gal)]]*Rutas[[#This Row],[Volumen de Combustible (gal)]]</f>
        <v>150.44399999999999</v>
      </c>
      <c r="V1321" s="36"/>
      <c r="W1321" s="36"/>
      <c r="X1321" s="36"/>
      <c r="Y1321" s="145">
        <f t="shared" si="405"/>
        <v>150.44399999999999</v>
      </c>
      <c r="Z1321" s="572"/>
      <c r="AA1321" s="12">
        <v>53.73</v>
      </c>
      <c r="AB1321" s="12">
        <f t="shared" si="406"/>
        <v>6.3093243997766617</v>
      </c>
      <c r="AC1321" s="12">
        <f t="shared" si="407"/>
        <v>0.76</v>
      </c>
      <c r="AD1321" s="34"/>
    </row>
    <row r="1322" spans="1:30" ht="16" x14ac:dyDescent="0.2">
      <c r="A1322" s="47"/>
      <c r="C1322" s="176">
        <f t="shared" si="402"/>
        <v>1319</v>
      </c>
      <c r="D1322" s="146">
        <v>45949</v>
      </c>
      <c r="E1322" s="37">
        <v>45952</v>
      </c>
      <c r="F1322" s="65" t="s">
        <v>211</v>
      </c>
      <c r="G1322" s="11" t="str">
        <f ca="1">IF(AND(E1322&lt;&gt;"",E1322&lt;TODAY()),"Disponible",IFERROR(INDEX(Vehiculos[Estado Vehiculo],MATCH(F1322,Vehiculos[Placa Vehiculo],0)),""))</f>
        <v>Disponible</v>
      </c>
      <c r="H1322" s="34"/>
      <c r="I1322" s="34" t="s">
        <v>273</v>
      </c>
      <c r="J1322" s="34" t="s">
        <v>274</v>
      </c>
      <c r="K1322" s="39">
        <v>56335</v>
      </c>
      <c r="L1322" s="39">
        <v>56842</v>
      </c>
      <c r="M1322" s="15">
        <f t="shared" si="403"/>
        <v>507</v>
      </c>
      <c r="N1322" s="15"/>
      <c r="O1322" s="39"/>
      <c r="P1322" s="36">
        <v>0.76</v>
      </c>
      <c r="Q1322" s="16">
        <f t="shared" si="404"/>
        <v>385.32</v>
      </c>
      <c r="R1322" s="34" t="s">
        <v>273</v>
      </c>
      <c r="S1322" s="34" t="s">
        <v>102</v>
      </c>
      <c r="T1322" s="36">
        <v>2.8</v>
      </c>
      <c r="U1322" s="36">
        <f>Rutas[[#This Row],[Precio x Galón ($/gal)]]*Rutas[[#This Row],[Volumen de Combustible (gal)]]</f>
        <v>227.02399999999997</v>
      </c>
      <c r="V1322" s="36"/>
      <c r="W1322" s="36"/>
      <c r="X1322" s="36"/>
      <c r="Y1322" s="145">
        <f t="shared" si="405"/>
        <v>227.02399999999997</v>
      </c>
      <c r="Z1322" s="572"/>
      <c r="AA1322" s="12">
        <v>81.08</v>
      </c>
      <c r="AB1322" s="12">
        <f t="shared" si="406"/>
        <v>6.2530833744449925</v>
      </c>
      <c r="AC1322" s="12">
        <f t="shared" si="407"/>
        <v>0.76</v>
      </c>
      <c r="AD1322" s="34"/>
    </row>
    <row r="1323" spans="1:30" ht="16" x14ac:dyDescent="0.2">
      <c r="A1323" s="47"/>
      <c r="C1323" s="176">
        <f t="shared" si="402"/>
        <v>1320</v>
      </c>
      <c r="D1323" s="454">
        <v>45952</v>
      </c>
      <c r="E1323" s="37">
        <v>45956</v>
      </c>
      <c r="F1323" s="65" t="s">
        <v>211</v>
      </c>
      <c r="G1323" s="11" t="str">
        <f ca="1">IF(AND(E1323&lt;&gt;"",E1323&lt;TODAY()),"Disponible",IFERROR(INDEX(Vehiculos[Estado Vehiculo],MATCH(F1323,Vehiculos[Placa Vehiculo],0)),""))</f>
        <v>Disponible</v>
      </c>
      <c r="H1323" s="34"/>
      <c r="I1323" s="34" t="s">
        <v>273</v>
      </c>
      <c r="J1323" s="34" t="s">
        <v>274</v>
      </c>
      <c r="K1323" s="39">
        <v>56842</v>
      </c>
      <c r="L1323" s="39">
        <v>57606</v>
      </c>
      <c r="M1323" s="15">
        <f>L1323-K1323</f>
        <v>764</v>
      </c>
      <c r="N1323" s="15"/>
      <c r="O1323" s="39"/>
      <c r="P1323" s="36">
        <v>0.76</v>
      </c>
      <c r="Q1323" s="16">
        <f>M1323*P1323</f>
        <v>580.64</v>
      </c>
      <c r="R1323" s="34" t="s">
        <v>339</v>
      </c>
      <c r="S1323" s="34" t="s">
        <v>102</v>
      </c>
      <c r="T1323" s="36">
        <v>2.8</v>
      </c>
      <c r="U1323" s="36">
        <f>Rutas[[#This Row],[Precio x Galón ($/gal)]]*Rutas[[#This Row],[Volumen de Combustible (gal)]]</f>
        <v>349.24399999999997</v>
      </c>
      <c r="V1323" s="36"/>
      <c r="W1323" s="36"/>
      <c r="X1323" s="36"/>
      <c r="Y1323" s="145">
        <f>U1323+SUM(V1323:X1323)</f>
        <v>349.24399999999997</v>
      </c>
      <c r="Z1323" s="567"/>
      <c r="AA1323" s="12">
        <v>124.73</v>
      </c>
      <c r="AB1323" s="12">
        <f>IFERROR(M1323/AA1323,0)</f>
        <v>6.1252304978754104</v>
      </c>
      <c r="AC1323" s="12">
        <f>IFERROR(Q1323/M1323,0)</f>
        <v>0.76</v>
      </c>
      <c r="AD1323" s="34"/>
    </row>
    <row r="1324" spans="1:30" ht="16" x14ac:dyDescent="0.2">
      <c r="A1324" s="47"/>
      <c r="C1324" s="176">
        <f t="shared" si="402"/>
        <v>1321</v>
      </c>
      <c r="D1324" s="454"/>
      <c r="E1324" s="37"/>
      <c r="F1324" s="65"/>
      <c r="G1324" s="11" t="str">
        <f ca="1">IF(AND(E1324&lt;&gt;"",E1324&lt;TODAY()),"Disponible",IFERROR(INDEX(Vehiculos[Estado Vehiculo],MATCH(F1324,Vehiculos[Placa Vehiculo],0)),""))</f>
        <v/>
      </c>
      <c r="H1324" s="34"/>
      <c r="I1324" s="34"/>
      <c r="J1324" s="34"/>
      <c r="K1324" s="39"/>
      <c r="L1324" s="39"/>
      <c r="M1324" s="15">
        <f>L1324-K1324</f>
        <v>0</v>
      </c>
      <c r="N1324" s="452">
        <v>210</v>
      </c>
      <c r="O1324" s="39"/>
      <c r="P1324" s="36"/>
      <c r="Q1324" s="16">
        <f>M1324*P1324</f>
        <v>0</v>
      </c>
      <c r="R1324" s="34"/>
      <c r="S1324" s="34"/>
      <c r="T1324" s="36"/>
      <c r="U1324" s="36"/>
      <c r="V1324" s="36"/>
      <c r="W1324" s="36"/>
      <c r="X1324" s="36"/>
      <c r="Y1324" s="145">
        <f>U1324+SUM(V1324:X1324)</f>
        <v>0</v>
      </c>
      <c r="Z1324" s="567"/>
      <c r="AA1324" s="12"/>
      <c r="AB1324" s="12">
        <f>IFERROR(M1324/AA1324,0)</f>
        <v>0</v>
      </c>
      <c r="AC1324" s="12">
        <f>IFERROR(Q1324/M1324,0)</f>
        <v>0</v>
      </c>
      <c r="AD1324" s="34"/>
    </row>
    <row r="1325" spans="1:30" ht="16" x14ac:dyDescent="0.2">
      <c r="A1325" s="47"/>
      <c r="C1325" s="176">
        <f t="shared" si="402"/>
        <v>1322</v>
      </c>
      <c r="D1325" s="146"/>
      <c r="E1325" s="37"/>
      <c r="F1325" s="65"/>
      <c r="G1325" s="11" t="str">
        <f ca="1">IF(AND(E1325&lt;&gt;"",E1325&lt;TODAY()),"Disponible",IFERROR(INDEX(Vehiculos[Estado Vehiculo],MATCH(F1325,Vehiculos[Placa Vehiculo],0)),""))</f>
        <v/>
      </c>
      <c r="H1325" s="34"/>
      <c r="I1325" s="34"/>
      <c r="J1325" s="34"/>
      <c r="K1325" s="39"/>
      <c r="L1325" s="39"/>
      <c r="M1325" s="15">
        <f t="shared" si="403"/>
        <v>0</v>
      </c>
      <c r="N1325" s="15"/>
      <c r="O1325" s="39"/>
      <c r="P1325" s="36"/>
      <c r="Q1325" s="16">
        <f t="shared" si="404"/>
        <v>0</v>
      </c>
      <c r="R1325" s="34"/>
      <c r="S1325" s="34"/>
      <c r="T1325" s="36"/>
      <c r="U1325" s="36">
        <f>Rutas[[#This Row],[Precio x Galón ($/gal)]]*Rutas[[#This Row],[Volumen de Combustible (gal)]]</f>
        <v>0</v>
      </c>
      <c r="V1325" s="36"/>
      <c r="W1325" s="36"/>
      <c r="X1325" s="36"/>
      <c r="Y1325" s="145">
        <f t="shared" si="405"/>
        <v>0</v>
      </c>
      <c r="Z1325" s="572"/>
      <c r="AA1325" s="12"/>
      <c r="AB1325" s="12">
        <f t="shared" si="406"/>
        <v>0</v>
      </c>
      <c r="AC1325" s="12">
        <f t="shared" si="407"/>
        <v>0</v>
      </c>
      <c r="AD1325" s="34"/>
    </row>
    <row r="1326" spans="1:30" ht="16" x14ac:dyDescent="0.2">
      <c r="A1326" s="47"/>
      <c r="C1326" s="176">
        <f t="shared" si="402"/>
        <v>1323</v>
      </c>
      <c r="D1326" s="90">
        <v>45926</v>
      </c>
      <c r="E1326" s="90">
        <v>45932</v>
      </c>
      <c r="F1326" s="68" t="s">
        <v>208</v>
      </c>
      <c r="G1326" s="379" t="str">
        <f ca="1">IF(AND(E1326&lt;&gt;"",E1326&lt;TODAY()),"Disponible",IFERROR(INDEX(Vehiculos[Estado Vehiculo],MATCH(F1326,Vehiculos[Placa Vehiculo],0)),""))</f>
        <v>Disponible</v>
      </c>
      <c r="H1326" s="89"/>
      <c r="I1326" s="89" t="s">
        <v>273</v>
      </c>
      <c r="J1326" s="89" t="s">
        <v>274</v>
      </c>
      <c r="K1326" s="380">
        <v>115400</v>
      </c>
      <c r="L1326" s="380">
        <v>116202</v>
      </c>
      <c r="M1326" s="381">
        <f t="shared" si="403"/>
        <v>802</v>
      </c>
      <c r="N1326" s="381"/>
      <c r="O1326" s="380"/>
      <c r="P1326" s="92">
        <v>0.76</v>
      </c>
      <c r="Q1326" s="382">
        <f t="shared" si="404"/>
        <v>609.52</v>
      </c>
      <c r="R1326" s="89" t="s">
        <v>339</v>
      </c>
      <c r="S1326" s="89" t="s">
        <v>102</v>
      </c>
      <c r="T1326" s="92">
        <v>2.8</v>
      </c>
      <c r="U1326" s="92">
        <f>Rutas[[#This Row],[Precio x Galón ($/gal)]]*Rutas[[#This Row],[Volumen de Combustible (gal)]]</f>
        <v>366.77199999999999</v>
      </c>
      <c r="V1326" s="92"/>
      <c r="W1326" s="92"/>
      <c r="X1326" s="92"/>
      <c r="Y1326" s="382">
        <f t="shared" si="405"/>
        <v>366.77199999999999</v>
      </c>
      <c r="Z1326" s="572">
        <v>34990</v>
      </c>
      <c r="AA1326" s="382">
        <v>130.99</v>
      </c>
      <c r="AB1326" s="382">
        <f t="shared" si="406"/>
        <v>6.1226047789907625</v>
      </c>
      <c r="AC1326" s="382">
        <f t="shared" si="407"/>
        <v>0.76</v>
      </c>
      <c r="AD1326" s="89"/>
    </row>
    <row r="1327" spans="1:30" ht="16" x14ac:dyDescent="0.2">
      <c r="A1327" s="47"/>
      <c r="C1327" s="176">
        <f t="shared" si="402"/>
        <v>1324</v>
      </c>
      <c r="D1327" s="146">
        <v>45932</v>
      </c>
      <c r="E1327" s="37">
        <v>45935</v>
      </c>
      <c r="F1327" s="65" t="s">
        <v>208</v>
      </c>
      <c r="G1327" s="11" t="str">
        <f ca="1">IF(AND(E1327&lt;&gt;"",E1327&lt;TODAY()),"Disponible",IFERROR(INDEX(Vehiculos[Estado Vehiculo],MATCH(F1327,Vehiculos[Placa Vehiculo],0)),""))</f>
        <v>Disponible</v>
      </c>
      <c r="H1327" s="34"/>
      <c r="I1327" s="34" t="s">
        <v>273</v>
      </c>
      <c r="J1327" s="34" t="s">
        <v>274</v>
      </c>
      <c r="K1327" s="39">
        <v>116202</v>
      </c>
      <c r="L1327" s="39">
        <v>117021</v>
      </c>
      <c r="M1327" s="15">
        <f t="shared" si="403"/>
        <v>819</v>
      </c>
      <c r="N1327" s="15"/>
      <c r="O1327" s="39"/>
      <c r="P1327" s="36">
        <v>0.76</v>
      </c>
      <c r="Q1327" s="16">
        <f t="shared" si="404"/>
        <v>622.44000000000005</v>
      </c>
      <c r="R1327" s="34" t="s">
        <v>273</v>
      </c>
      <c r="S1327" s="34" t="s">
        <v>102</v>
      </c>
      <c r="T1327" s="36">
        <v>2.8</v>
      </c>
      <c r="U1327" s="36">
        <f>Rutas[[#This Row],[Precio x Galón ($/gal)]]*Rutas[[#This Row],[Volumen de Combustible (gal)]]</f>
        <v>400.12</v>
      </c>
      <c r="V1327" s="36"/>
      <c r="W1327" s="36"/>
      <c r="X1327" s="36"/>
      <c r="Y1327" s="145">
        <f t="shared" si="405"/>
        <v>400.12</v>
      </c>
      <c r="Z1327" s="572"/>
      <c r="AA1327" s="12">
        <v>142.9</v>
      </c>
      <c r="AB1327" s="12">
        <f t="shared" si="406"/>
        <v>5.7312806158152556</v>
      </c>
      <c r="AC1327" s="12">
        <f t="shared" si="407"/>
        <v>0.76000000000000012</v>
      </c>
      <c r="AD1327" s="34"/>
    </row>
    <row r="1328" spans="1:30" ht="16" x14ac:dyDescent="0.2">
      <c r="A1328" s="47"/>
      <c r="C1328" s="176">
        <f t="shared" si="402"/>
        <v>1325</v>
      </c>
      <c r="D1328" s="146">
        <v>45935</v>
      </c>
      <c r="E1328" s="37">
        <v>45938</v>
      </c>
      <c r="F1328" s="65" t="s">
        <v>208</v>
      </c>
      <c r="G1328" s="11" t="str">
        <f ca="1">IF(AND(E1328&lt;&gt;"",E1328&lt;TODAY()),"Disponible",IFERROR(INDEX(Vehiculos[Estado Vehiculo],MATCH(F1328,Vehiculos[Placa Vehiculo],0)),""))</f>
        <v>Disponible</v>
      </c>
      <c r="H1328" s="34"/>
      <c r="I1328" s="34" t="s">
        <v>273</v>
      </c>
      <c r="J1328" s="34" t="s">
        <v>274</v>
      </c>
      <c r="K1328" s="39">
        <v>117021</v>
      </c>
      <c r="L1328" s="39">
        <v>117573</v>
      </c>
      <c r="M1328" s="15">
        <f t="shared" si="403"/>
        <v>552</v>
      </c>
      <c r="N1328" s="15"/>
      <c r="O1328" s="39"/>
      <c r="P1328" s="36">
        <v>0.76</v>
      </c>
      <c r="Q1328" s="16">
        <f t="shared" si="404"/>
        <v>419.52</v>
      </c>
      <c r="R1328" s="34" t="s">
        <v>273</v>
      </c>
      <c r="S1328" s="34" t="s">
        <v>102</v>
      </c>
      <c r="T1328" s="36">
        <v>2.8</v>
      </c>
      <c r="U1328" s="36">
        <f>Rutas[[#This Row],[Precio x Galón ($/gal)]]*Rutas[[#This Row],[Volumen de Combustible (gal)]]</f>
        <v>261.32399999999996</v>
      </c>
      <c r="V1328" s="36"/>
      <c r="W1328" s="36"/>
      <c r="X1328" s="36"/>
      <c r="Y1328" s="145">
        <f t="shared" si="405"/>
        <v>261.32399999999996</v>
      </c>
      <c r="Z1328" s="572"/>
      <c r="AA1328" s="12">
        <v>93.33</v>
      </c>
      <c r="AB1328" s="12">
        <f t="shared" si="406"/>
        <v>5.9144969463195114</v>
      </c>
      <c r="AC1328" s="12">
        <f t="shared" si="407"/>
        <v>0.76</v>
      </c>
      <c r="AD1328" s="34"/>
    </row>
    <row r="1329" spans="1:30" ht="16" x14ac:dyDescent="0.2">
      <c r="A1329" s="47"/>
      <c r="C1329" s="176">
        <f t="shared" si="402"/>
        <v>1326</v>
      </c>
      <c r="D1329" s="146">
        <v>45938</v>
      </c>
      <c r="E1329" s="37">
        <v>45941</v>
      </c>
      <c r="F1329" s="65" t="s">
        <v>208</v>
      </c>
      <c r="G1329" s="11" t="str">
        <f ca="1">IF(AND(E1329&lt;&gt;"",E1329&lt;TODAY()),"Disponible",IFERROR(INDEX(Vehiculos[Estado Vehiculo],MATCH(F1329,Vehiculos[Placa Vehiculo],0)),""))</f>
        <v>Disponible</v>
      </c>
      <c r="H1329" s="34"/>
      <c r="I1329" s="34" t="s">
        <v>273</v>
      </c>
      <c r="J1329" s="34" t="s">
        <v>274</v>
      </c>
      <c r="K1329" s="39">
        <v>117573</v>
      </c>
      <c r="L1329" s="39">
        <v>118174</v>
      </c>
      <c r="M1329" s="15">
        <f t="shared" si="403"/>
        <v>601</v>
      </c>
      <c r="N1329" s="15"/>
      <c r="O1329" s="39"/>
      <c r="P1329" s="36">
        <v>0.76</v>
      </c>
      <c r="Q1329" s="16">
        <f t="shared" si="404"/>
        <v>456.76</v>
      </c>
      <c r="R1329" s="34" t="s">
        <v>273</v>
      </c>
      <c r="S1329" s="34" t="s">
        <v>102</v>
      </c>
      <c r="T1329" s="36">
        <v>2.8</v>
      </c>
      <c r="U1329" s="36">
        <f>Rutas[[#This Row],[Precio x Galón ($/gal)]]*Rutas[[#This Row],[Volumen de Combustible (gal)]]</f>
        <v>305.76</v>
      </c>
      <c r="V1329" s="36"/>
      <c r="W1329" s="36"/>
      <c r="X1329" s="36"/>
      <c r="Y1329" s="145">
        <f t="shared" si="405"/>
        <v>305.76</v>
      </c>
      <c r="Z1329" s="572"/>
      <c r="AA1329" s="12">
        <v>109.2</v>
      </c>
      <c r="AB1329" s="12">
        <f t="shared" si="406"/>
        <v>5.5036630036630036</v>
      </c>
      <c r="AC1329" s="12">
        <f t="shared" si="407"/>
        <v>0.76</v>
      </c>
      <c r="AD1329" s="34"/>
    </row>
    <row r="1330" spans="1:30" ht="16" x14ac:dyDescent="0.2">
      <c r="A1330" s="47"/>
      <c r="C1330" s="176">
        <f t="shared" si="402"/>
        <v>1327</v>
      </c>
      <c r="D1330" s="454">
        <v>45941</v>
      </c>
      <c r="E1330" s="37">
        <v>45945</v>
      </c>
      <c r="F1330" s="65" t="s">
        <v>208</v>
      </c>
      <c r="G1330" s="11" t="str">
        <f ca="1">IF(AND(E1330&lt;&gt;"",E1330&lt;TODAY()),"Disponible",IFERROR(INDEX(Vehiculos[Estado Vehiculo],MATCH(F1330,Vehiculos[Placa Vehiculo],0)),""))</f>
        <v>Disponible</v>
      </c>
      <c r="H1330" s="34"/>
      <c r="I1330" s="34" t="s">
        <v>273</v>
      </c>
      <c r="J1330" s="34" t="s">
        <v>274</v>
      </c>
      <c r="K1330" s="39">
        <v>118174</v>
      </c>
      <c r="L1330" s="39">
        <v>118842</v>
      </c>
      <c r="M1330" s="15">
        <f t="shared" ref="M1330:M1335" si="408">L1330-K1330</f>
        <v>668</v>
      </c>
      <c r="N1330" s="15"/>
      <c r="O1330" s="39"/>
      <c r="P1330" s="36">
        <v>0.76</v>
      </c>
      <c r="Q1330" s="16">
        <f t="shared" ref="Q1330:Q1335" si="409">M1330*P1330</f>
        <v>507.68</v>
      </c>
      <c r="R1330" s="34" t="s">
        <v>273</v>
      </c>
      <c r="S1330" s="34" t="s">
        <v>102</v>
      </c>
      <c r="T1330" s="36">
        <v>2.8</v>
      </c>
      <c r="U1330" s="36">
        <f>Rutas[[#This Row],[Precio x Galón ($/gal)]]*Rutas[[#This Row],[Volumen de Combustible (gal)]]</f>
        <v>335.80399999999997</v>
      </c>
      <c r="V1330" s="36"/>
      <c r="W1330" s="36"/>
      <c r="X1330" s="36"/>
      <c r="Y1330" s="145">
        <f t="shared" ref="Y1330:Y1335" si="410">U1330+SUM(V1330:X1330)</f>
        <v>335.80399999999997</v>
      </c>
      <c r="Z1330" s="567"/>
      <c r="AA1330" s="12">
        <v>119.93</v>
      </c>
      <c r="AB1330" s="12">
        <f t="shared" ref="AB1330:AB1335" si="411">IFERROR(M1330/AA1330,0)</f>
        <v>5.5699157842074536</v>
      </c>
      <c r="AC1330" s="12">
        <f t="shared" ref="AC1330:AC1335" si="412">IFERROR(Q1330/M1330,0)</f>
        <v>0.76</v>
      </c>
      <c r="AD1330" s="34"/>
    </row>
    <row r="1331" spans="1:30" ht="16" x14ac:dyDescent="0.2">
      <c r="A1331" s="47"/>
      <c r="C1331" s="176">
        <f t="shared" si="402"/>
        <v>1328</v>
      </c>
      <c r="D1331" s="454">
        <v>45945</v>
      </c>
      <c r="E1331" s="37">
        <v>45948</v>
      </c>
      <c r="F1331" s="65" t="s">
        <v>208</v>
      </c>
      <c r="G1331" s="11" t="str">
        <f ca="1">IF(AND(E1331&lt;&gt;"",E1331&lt;TODAY()),"Disponible",IFERROR(INDEX(Vehiculos[Estado Vehiculo],MATCH(F1331,Vehiculos[Placa Vehiculo],0)),""))</f>
        <v>Disponible</v>
      </c>
      <c r="H1331" s="34"/>
      <c r="I1331" s="34" t="s">
        <v>273</v>
      </c>
      <c r="J1331" s="34" t="s">
        <v>274</v>
      </c>
      <c r="K1331" s="39">
        <v>118842</v>
      </c>
      <c r="L1331" s="39">
        <v>119349</v>
      </c>
      <c r="M1331" s="15">
        <f t="shared" si="408"/>
        <v>507</v>
      </c>
      <c r="N1331" s="15"/>
      <c r="O1331" s="39"/>
      <c r="P1331" s="36">
        <v>0.76</v>
      </c>
      <c r="Q1331" s="16">
        <f t="shared" si="409"/>
        <v>385.32</v>
      </c>
      <c r="R1331" s="34" t="s">
        <v>273</v>
      </c>
      <c r="S1331" s="34" t="s">
        <v>102</v>
      </c>
      <c r="T1331" s="36">
        <v>2.8</v>
      </c>
      <c r="U1331" s="36">
        <f>Rutas[[#This Row],[Precio x Galón ($/gal)]]*Rutas[[#This Row],[Volumen de Combustible (gal)]]</f>
        <v>256.06</v>
      </c>
      <c r="V1331" s="36"/>
      <c r="W1331" s="36"/>
      <c r="X1331" s="36"/>
      <c r="Y1331" s="145">
        <f t="shared" si="410"/>
        <v>256.06</v>
      </c>
      <c r="Z1331" s="567"/>
      <c r="AA1331" s="12">
        <v>91.45</v>
      </c>
      <c r="AB1331" s="12">
        <f t="shared" si="411"/>
        <v>5.5440131219245492</v>
      </c>
      <c r="AC1331" s="12">
        <f t="shared" si="412"/>
        <v>0.76</v>
      </c>
      <c r="AD1331" s="34"/>
    </row>
    <row r="1332" spans="1:30" ht="16" x14ac:dyDescent="0.2">
      <c r="A1332" s="47"/>
      <c r="C1332" s="176">
        <f t="shared" si="402"/>
        <v>1329</v>
      </c>
      <c r="D1332" s="454">
        <v>45948</v>
      </c>
      <c r="E1332" s="37">
        <v>45952</v>
      </c>
      <c r="F1332" s="65" t="s">
        <v>208</v>
      </c>
      <c r="G1332" s="11" t="str">
        <f ca="1">IF(AND(E1332&lt;&gt;"",E1332&lt;TODAY()),"Disponible",IFERROR(INDEX(Vehiculos[Estado Vehiculo],MATCH(F1332,Vehiculos[Placa Vehiculo],0)),""))</f>
        <v>Disponible</v>
      </c>
      <c r="H1332" s="34"/>
      <c r="I1332" s="34" t="s">
        <v>273</v>
      </c>
      <c r="J1332" s="34" t="s">
        <v>274</v>
      </c>
      <c r="K1332" s="39">
        <v>119349</v>
      </c>
      <c r="L1332" s="39">
        <v>119992</v>
      </c>
      <c r="M1332" s="15">
        <f t="shared" si="408"/>
        <v>643</v>
      </c>
      <c r="N1332" s="15"/>
      <c r="O1332" s="39"/>
      <c r="P1332" s="36">
        <v>0.76</v>
      </c>
      <c r="Q1332" s="16">
        <f t="shared" si="409"/>
        <v>488.68</v>
      </c>
      <c r="R1332" s="34" t="s">
        <v>273</v>
      </c>
      <c r="S1332" s="34" t="s">
        <v>102</v>
      </c>
      <c r="T1332" s="36">
        <v>2.8</v>
      </c>
      <c r="U1332" s="36">
        <f>Rutas[[#This Row],[Precio x Galón ($/gal)]]*Rutas[[#This Row],[Volumen de Combustible (gal)]]</f>
        <v>289.65999999999997</v>
      </c>
      <c r="V1332" s="36"/>
      <c r="W1332" s="36"/>
      <c r="X1332" s="36"/>
      <c r="Y1332" s="145">
        <f t="shared" si="410"/>
        <v>289.65999999999997</v>
      </c>
      <c r="Z1332" s="567"/>
      <c r="AA1332" s="12">
        <v>103.45</v>
      </c>
      <c r="AB1332" s="12">
        <f t="shared" si="411"/>
        <v>6.2155630739487675</v>
      </c>
      <c r="AC1332" s="12">
        <f t="shared" si="412"/>
        <v>0.76</v>
      </c>
      <c r="AD1332" s="34"/>
    </row>
    <row r="1333" spans="1:30" ht="16" x14ac:dyDescent="0.2">
      <c r="A1333" s="47"/>
      <c r="C1333" s="176">
        <f t="shared" si="402"/>
        <v>1330</v>
      </c>
      <c r="D1333" s="454">
        <v>45952</v>
      </c>
      <c r="E1333" s="37">
        <v>45956</v>
      </c>
      <c r="F1333" s="65" t="s">
        <v>208</v>
      </c>
      <c r="G1333" s="11" t="str">
        <f ca="1">IF(AND(E1333&lt;&gt;"",E1333&lt;TODAY()),"Disponible",IFERROR(INDEX(Vehiculos[Estado Vehiculo],MATCH(F1333,Vehiculos[Placa Vehiculo],0)),""))</f>
        <v>Disponible</v>
      </c>
      <c r="H1333" s="34"/>
      <c r="I1333" s="34" t="s">
        <v>273</v>
      </c>
      <c r="J1333" s="34" t="s">
        <v>274</v>
      </c>
      <c r="K1333" s="39">
        <v>119992</v>
      </c>
      <c r="L1333" s="39">
        <v>120748</v>
      </c>
      <c r="M1333" s="15">
        <f t="shared" si="408"/>
        <v>756</v>
      </c>
      <c r="N1333" s="452"/>
      <c r="O1333" s="39"/>
      <c r="P1333" s="36">
        <v>0.76</v>
      </c>
      <c r="Q1333" s="16">
        <f t="shared" si="409"/>
        <v>574.56000000000006</v>
      </c>
      <c r="R1333" s="34" t="s">
        <v>273</v>
      </c>
      <c r="S1333" s="34" t="s">
        <v>102</v>
      </c>
      <c r="T1333" s="36">
        <v>2.8</v>
      </c>
      <c r="U1333" s="36">
        <f>Rutas[[#This Row],[Precio x Galón ($/gal)]]*Rutas[[#This Row],[Volumen de Combustible (gal)]]</f>
        <v>342.84319999999997</v>
      </c>
      <c r="V1333" s="36"/>
      <c r="W1333" s="36"/>
      <c r="X1333" s="36"/>
      <c r="Y1333" s="145">
        <f t="shared" si="410"/>
        <v>342.84319999999997</v>
      </c>
      <c r="Z1333" s="567"/>
      <c r="AA1333" s="12">
        <v>122.444</v>
      </c>
      <c r="AB1333" s="12">
        <f t="shared" si="411"/>
        <v>6.1742510862108393</v>
      </c>
      <c r="AC1333" s="12">
        <f t="shared" si="412"/>
        <v>0.76000000000000012</v>
      </c>
      <c r="AD1333" s="34"/>
    </row>
    <row r="1334" spans="1:30" ht="16" x14ac:dyDescent="0.2">
      <c r="A1334" s="47"/>
      <c r="C1334" s="176">
        <f t="shared" si="402"/>
        <v>1331</v>
      </c>
      <c r="D1334" s="454">
        <v>45956</v>
      </c>
      <c r="E1334" s="37">
        <v>45959</v>
      </c>
      <c r="F1334" s="65" t="s">
        <v>208</v>
      </c>
      <c r="G1334" s="11" t="str">
        <f ca="1">IF(AND(E1334&lt;&gt;"",E1334&lt;TODAY()),"Disponible",IFERROR(INDEX(Vehiculos[Estado Vehiculo],MATCH(F1334,Vehiculos[Placa Vehiculo],0)),""))</f>
        <v>Disponible</v>
      </c>
      <c r="H1334" s="34"/>
      <c r="I1334" s="34" t="s">
        <v>273</v>
      </c>
      <c r="J1334" s="34" t="s">
        <v>274</v>
      </c>
      <c r="K1334" s="39">
        <v>120748</v>
      </c>
      <c r="L1334" s="39">
        <v>121276</v>
      </c>
      <c r="M1334" s="15">
        <f t="shared" si="408"/>
        <v>528</v>
      </c>
      <c r="N1334" s="452">
        <v>620</v>
      </c>
      <c r="O1334" s="39"/>
      <c r="P1334" s="36">
        <v>0.76</v>
      </c>
      <c r="Q1334" s="16">
        <f t="shared" si="409"/>
        <v>401.28000000000003</v>
      </c>
      <c r="R1334" s="34" t="s">
        <v>273</v>
      </c>
      <c r="S1334" s="34" t="s">
        <v>102</v>
      </c>
      <c r="T1334" s="36">
        <v>2.8</v>
      </c>
      <c r="U1334" s="36">
        <f>Rutas[[#This Row],[Precio x Galón ($/gal)]]*Rutas[[#This Row],[Volumen de Combustible (gal)]]</f>
        <v>236.09599999999998</v>
      </c>
      <c r="V1334" s="36"/>
      <c r="W1334" s="36"/>
      <c r="X1334" s="36"/>
      <c r="Y1334" s="145">
        <f t="shared" si="410"/>
        <v>236.09599999999998</v>
      </c>
      <c r="Z1334" s="567"/>
      <c r="AA1334" s="12">
        <v>84.32</v>
      </c>
      <c r="AB1334" s="12">
        <f t="shared" si="411"/>
        <v>6.2618595825426953</v>
      </c>
      <c r="AC1334" s="12">
        <f t="shared" si="412"/>
        <v>0.76</v>
      </c>
      <c r="AD1334" s="34"/>
    </row>
    <row r="1335" spans="1:30" ht="16" x14ac:dyDescent="0.2">
      <c r="A1335" s="47"/>
      <c r="C1335" s="176">
        <f t="shared" si="402"/>
        <v>1332</v>
      </c>
      <c r="D1335" s="454"/>
      <c r="E1335" s="37"/>
      <c r="F1335" s="65"/>
      <c r="G1335" s="11" t="str">
        <f ca="1">IF(AND(E1335&lt;&gt;"",E1335&lt;TODAY()),"Disponible",IFERROR(INDEX(Vehiculos[Estado Vehiculo],MATCH(F1335,Vehiculos[Placa Vehiculo],0)),""))</f>
        <v/>
      </c>
      <c r="H1335" s="34"/>
      <c r="I1335" s="34"/>
      <c r="J1335" s="34"/>
      <c r="K1335" s="39"/>
      <c r="L1335" s="39"/>
      <c r="M1335" s="15">
        <f t="shared" si="408"/>
        <v>0</v>
      </c>
      <c r="N1335" s="15"/>
      <c r="O1335" s="39"/>
      <c r="P1335" s="36"/>
      <c r="Q1335" s="16">
        <f t="shared" si="409"/>
        <v>0</v>
      </c>
      <c r="R1335" s="34"/>
      <c r="S1335" s="34"/>
      <c r="T1335" s="36"/>
      <c r="U1335" s="36"/>
      <c r="V1335" s="36"/>
      <c r="W1335" s="36"/>
      <c r="X1335" s="36"/>
      <c r="Y1335" s="145">
        <f t="shared" si="410"/>
        <v>0</v>
      </c>
      <c r="Z1335" s="567"/>
      <c r="AA1335" s="12"/>
      <c r="AB1335" s="12">
        <f t="shared" si="411"/>
        <v>0</v>
      </c>
      <c r="AC1335" s="12">
        <f t="shared" si="412"/>
        <v>0</v>
      </c>
      <c r="AD1335" s="34"/>
    </row>
    <row r="1336" spans="1:30" ht="16" x14ac:dyDescent="0.2">
      <c r="A1336" s="47"/>
      <c r="C1336" s="176">
        <f t="shared" si="402"/>
        <v>1333</v>
      </c>
      <c r="D1336" s="146"/>
      <c r="E1336" s="37"/>
      <c r="F1336" s="65"/>
      <c r="G1336" s="11" t="str">
        <f ca="1">IF(AND(E1336&lt;&gt;"",E1336&lt;TODAY()),"Disponible",IFERROR(INDEX(Vehiculos[Estado Vehiculo],MATCH(F1336,Vehiculos[Placa Vehiculo],0)),""))</f>
        <v/>
      </c>
      <c r="H1336" s="34"/>
      <c r="I1336" s="34"/>
      <c r="J1336" s="34"/>
      <c r="K1336" s="39"/>
      <c r="L1336" s="39"/>
      <c r="M1336" s="15">
        <f t="shared" si="403"/>
        <v>0</v>
      </c>
      <c r="N1336" s="15"/>
      <c r="O1336" s="39"/>
      <c r="P1336" s="36"/>
      <c r="Q1336" s="16">
        <f t="shared" si="404"/>
        <v>0</v>
      </c>
      <c r="R1336" s="34"/>
      <c r="S1336" s="34"/>
      <c r="T1336" s="36"/>
      <c r="U1336" s="36">
        <f>Rutas[[#This Row],[Precio x Galón ($/gal)]]*Rutas[[#This Row],[Volumen de Combustible (gal)]]</f>
        <v>0</v>
      </c>
      <c r="V1336" s="36"/>
      <c r="W1336" s="36"/>
      <c r="X1336" s="36"/>
      <c r="Y1336" s="145">
        <f t="shared" si="405"/>
        <v>0</v>
      </c>
      <c r="Z1336" s="572"/>
      <c r="AA1336" s="12"/>
      <c r="AB1336" s="12">
        <f t="shared" si="406"/>
        <v>0</v>
      </c>
      <c r="AC1336" s="12">
        <f t="shared" si="407"/>
        <v>0</v>
      </c>
      <c r="AD1336" s="34"/>
    </row>
    <row r="1337" spans="1:30" ht="16" x14ac:dyDescent="0.2">
      <c r="A1337" s="47"/>
      <c r="C1337" s="176">
        <f t="shared" si="402"/>
        <v>1334</v>
      </c>
      <c r="D1337" s="90">
        <v>45931</v>
      </c>
      <c r="E1337" s="90">
        <v>45933</v>
      </c>
      <c r="F1337" s="68" t="s">
        <v>209</v>
      </c>
      <c r="G1337" s="379" t="str">
        <f ca="1">IF(AND(E1337&lt;&gt;"",E1337&lt;TODAY()),"Disponible",IFERROR(INDEX(Vehiculos[Estado Vehiculo],MATCH(F1337,Vehiculos[Placa Vehiculo],0)),""))</f>
        <v>Disponible</v>
      </c>
      <c r="H1337" s="89"/>
      <c r="I1337" s="89" t="s">
        <v>273</v>
      </c>
      <c r="J1337" s="89" t="s">
        <v>274</v>
      </c>
      <c r="K1337" s="380">
        <v>117190</v>
      </c>
      <c r="L1337" s="380">
        <v>117943</v>
      </c>
      <c r="M1337" s="381">
        <f t="shared" si="403"/>
        <v>753</v>
      </c>
      <c r="N1337" s="381"/>
      <c r="O1337" s="380"/>
      <c r="P1337" s="92">
        <v>0.76</v>
      </c>
      <c r="Q1337" s="382">
        <f t="shared" si="404"/>
        <v>572.28</v>
      </c>
      <c r="R1337" s="89" t="s">
        <v>273</v>
      </c>
      <c r="S1337" s="89" t="s">
        <v>102</v>
      </c>
      <c r="T1337" s="92">
        <v>2.8</v>
      </c>
      <c r="U1337" s="92">
        <f>Rutas[[#This Row],[Precio x Galón ($/gal)]]*Rutas[[#This Row],[Volumen de Combustible (gal)]]</f>
        <v>320.65599999999995</v>
      </c>
      <c r="V1337" s="92"/>
      <c r="W1337" s="92"/>
      <c r="X1337" s="92"/>
      <c r="Y1337" s="382">
        <f t="shared" si="405"/>
        <v>320.65599999999995</v>
      </c>
      <c r="Z1337" s="572"/>
      <c r="AA1337" s="382">
        <v>114.52</v>
      </c>
      <c r="AB1337" s="382">
        <f t="shared" si="406"/>
        <v>6.5752706950750959</v>
      </c>
      <c r="AC1337" s="382">
        <f t="shared" si="407"/>
        <v>0.76</v>
      </c>
      <c r="AD1337" s="89"/>
    </row>
    <row r="1338" spans="1:30" ht="16" x14ac:dyDescent="0.2">
      <c r="A1338" s="47"/>
      <c r="C1338" s="176">
        <f t="shared" si="402"/>
        <v>1335</v>
      </c>
      <c r="D1338" s="146">
        <v>45933</v>
      </c>
      <c r="E1338" s="37">
        <v>45936</v>
      </c>
      <c r="F1338" s="65" t="s">
        <v>209</v>
      </c>
      <c r="G1338" s="11" t="str">
        <f ca="1">IF(AND(E1338&lt;&gt;"",E1338&lt;TODAY()),"Disponible",IFERROR(INDEX(Vehiculos[Estado Vehiculo],MATCH(F1338,Vehiculos[Placa Vehiculo],0)),""))</f>
        <v>Disponible</v>
      </c>
      <c r="H1338" s="34"/>
      <c r="I1338" s="34" t="s">
        <v>273</v>
      </c>
      <c r="J1338" s="34" t="s">
        <v>274</v>
      </c>
      <c r="K1338" s="39">
        <v>117943</v>
      </c>
      <c r="L1338" s="39">
        <v>118568</v>
      </c>
      <c r="M1338" s="15">
        <f t="shared" si="403"/>
        <v>625</v>
      </c>
      <c r="N1338" s="15"/>
      <c r="O1338" s="39"/>
      <c r="P1338" s="36">
        <v>0.76</v>
      </c>
      <c r="Q1338" s="16">
        <f t="shared" si="404"/>
        <v>475</v>
      </c>
      <c r="R1338" s="34" t="s">
        <v>273</v>
      </c>
      <c r="S1338" s="34" t="s">
        <v>102</v>
      </c>
      <c r="T1338" s="36">
        <v>2.8</v>
      </c>
      <c r="U1338" s="36">
        <f>Rutas[[#This Row],[Precio x Galón ($/gal)]]*Rutas[[#This Row],[Volumen de Combustible (gal)]]</f>
        <v>281.12</v>
      </c>
      <c r="V1338" s="36"/>
      <c r="W1338" s="36"/>
      <c r="X1338" s="36"/>
      <c r="Y1338" s="145">
        <f t="shared" si="405"/>
        <v>281.12</v>
      </c>
      <c r="Z1338" s="572"/>
      <c r="AA1338" s="12">
        <v>100.4</v>
      </c>
      <c r="AB1338" s="12">
        <f t="shared" si="406"/>
        <v>6.2250996015936249</v>
      </c>
      <c r="AC1338" s="12">
        <f t="shared" si="407"/>
        <v>0.76</v>
      </c>
      <c r="AD1338" s="34"/>
    </row>
    <row r="1339" spans="1:30" ht="16" x14ac:dyDescent="0.2">
      <c r="A1339" s="47"/>
      <c r="C1339" s="176">
        <f t="shared" si="402"/>
        <v>1336</v>
      </c>
      <c r="D1339" s="146">
        <v>45936</v>
      </c>
      <c r="E1339" s="37">
        <v>45939</v>
      </c>
      <c r="F1339" s="65" t="s">
        <v>209</v>
      </c>
      <c r="G1339" s="11" t="str">
        <f ca="1">IF(AND(E1339&lt;&gt;"",E1339&lt;TODAY()),"Disponible",IFERROR(INDEX(Vehiculos[Estado Vehiculo],MATCH(F1339,Vehiculos[Placa Vehiculo],0)),""))</f>
        <v>Disponible</v>
      </c>
      <c r="H1339" s="34"/>
      <c r="I1339" s="34" t="s">
        <v>273</v>
      </c>
      <c r="J1339" s="34" t="s">
        <v>274</v>
      </c>
      <c r="K1339" s="39">
        <v>118568</v>
      </c>
      <c r="L1339" s="39">
        <v>119119</v>
      </c>
      <c r="M1339" s="15">
        <f t="shared" si="403"/>
        <v>551</v>
      </c>
      <c r="N1339" s="15"/>
      <c r="O1339" s="39"/>
      <c r="P1339" s="36">
        <v>0.76</v>
      </c>
      <c r="Q1339" s="16">
        <f t="shared" si="404"/>
        <v>418.76</v>
      </c>
      <c r="R1339" s="34" t="s">
        <v>273</v>
      </c>
      <c r="S1339" s="34" t="s">
        <v>102</v>
      </c>
      <c r="T1339" s="36">
        <v>2.8</v>
      </c>
      <c r="U1339" s="36">
        <f>Rutas[[#This Row],[Precio x Galón ($/gal)]]*Rutas[[#This Row],[Volumen de Combustible (gal)]]</f>
        <v>261.26799999999997</v>
      </c>
      <c r="V1339" s="36"/>
      <c r="W1339" s="36"/>
      <c r="X1339" s="36"/>
      <c r="Y1339" s="145">
        <f t="shared" si="405"/>
        <v>261.26799999999997</v>
      </c>
      <c r="Z1339" s="572"/>
      <c r="AA1339" s="12">
        <v>93.31</v>
      </c>
      <c r="AB1339" s="12">
        <f t="shared" si="406"/>
        <v>5.9050476904940519</v>
      </c>
      <c r="AC1339" s="12">
        <f t="shared" si="407"/>
        <v>0.76</v>
      </c>
      <c r="AD1339" s="34"/>
    </row>
    <row r="1340" spans="1:30" ht="16" x14ac:dyDescent="0.2">
      <c r="A1340" s="47"/>
      <c r="C1340" s="176">
        <f t="shared" si="402"/>
        <v>1337</v>
      </c>
      <c r="D1340" s="146">
        <v>45939</v>
      </c>
      <c r="E1340" s="37">
        <v>45943</v>
      </c>
      <c r="F1340" s="65" t="s">
        <v>209</v>
      </c>
      <c r="G1340" s="11" t="str">
        <f ca="1">IF(AND(E1340&lt;&gt;"",E1340&lt;TODAY()),"Disponible",IFERROR(INDEX(Vehiculos[Estado Vehiculo],MATCH(F1340,Vehiculos[Placa Vehiculo],0)),""))</f>
        <v>Disponible</v>
      </c>
      <c r="H1340" s="34" t="s">
        <v>239</v>
      </c>
      <c r="I1340" s="34" t="s">
        <v>273</v>
      </c>
      <c r="J1340" s="34" t="s">
        <v>274</v>
      </c>
      <c r="K1340" s="39">
        <v>119119</v>
      </c>
      <c r="L1340" s="39">
        <v>119863</v>
      </c>
      <c r="M1340" s="15">
        <f t="shared" ref="M1340:M1409" si="413">L1340-K1340</f>
        <v>744</v>
      </c>
      <c r="N1340" s="15"/>
      <c r="O1340" s="39"/>
      <c r="P1340" s="36">
        <v>0.76</v>
      </c>
      <c r="Q1340" s="16">
        <f t="shared" ref="Q1340:Q1409" si="414">M1340*P1340</f>
        <v>565.44000000000005</v>
      </c>
      <c r="R1340" s="34" t="s">
        <v>273</v>
      </c>
      <c r="S1340" s="34" t="s">
        <v>102</v>
      </c>
      <c r="T1340" s="36">
        <v>2.8</v>
      </c>
      <c r="U1340" s="36">
        <f>Rutas[[#This Row],[Precio x Galón ($/gal)]]*Rutas[[#This Row],[Volumen de Combustible (gal)]]</f>
        <v>350</v>
      </c>
      <c r="V1340" s="36"/>
      <c r="W1340" s="36"/>
      <c r="X1340" s="36"/>
      <c r="Y1340" s="145">
        <f t="shared" ref="Y1340:Y1409" si="415">U1340+SUM(V1340:X1340)</f>
        <v>350</v>
      </c>
      <c r="Z1340" s="572">
        <v>15941</v>
      </c>
      <c r="AA1340" s="12">
        <v>125</v>
      </c>
      <c r="AB1340" s="12">
        <f t="shared" ref="AB1340:AB1409" si="416">IFERROR(M1340/AA1340,0)</f>
        <v>5.952</v>
      </c>
      <c r="AC1340" s="12">
        <f t="shared" ref="AC1340:AC1409" si="417">IFERROR(Q1340/M1340,0)</f>
        <v>0.76000000000000012</v>
      </c>
      <c r="AD1340" s="34"/>
    </row>
    <row r="1341" spans="1:30" ht="16" x14ac:dyDescent="0.2">
      <c r="A1341" s="47"/>
      <c r="C1341" s="176">
        <f t="shared" si="402"/>
        <v>1338</v>
      </c>
      <c r="D1341" s="454">
        <v>45943</v>
      </c>
      <c r="E1341" s="37">
        <v>45946</v>
      </c>
      <c r="F1341" s="65" t="s">
        <v>209</v>
      </c>
      <c r="G1341" s="11" t="str">
        <f ca="1">IF(AND(E1341&lt;&gt;"",E1341&lt;TODAY()),"Disponible",IFERROR(INDEX(Vehiculos[Estado Vehiculo],MATCH(F1341,Vehiculos[Placa Vehiculo],0)),""))</f>
        <v>Disponible</v>
      </c>
      <c r="H1341" s="34"/>
      <c r="I1341" s="34" t="s">
        <v>273</v>
      </c>
      <c r="J1341" s="34" t="s">
        <v>274</v>
      </c>
      <c r="K1341" s="39">
        <v>119863</v>
      </c>
      <c r="L1341" s="39">
        <v>120390</v>
      </c>
      <c r="M1341" s="15">
        <f>L1341-K1341</f>
        <v>527</v>
      </c>
      <c r="N1341" s="15"/>
      <c r="O1341" s="39"/>
      <c r="P1341" s="36">
        <v>0.76</v>
      </c>
      <c r="Q1341" s="16">
        <f>M1341*P1341</f>
        <v>400.52</v>
      </c>
      <c r="R1341" s="34" t="s">
        <v>273</v>
      </c>
      <c r="S1341" s="34" t="s">
        <v>102</v>
      </c>
      <c r="T1341" s="36">
        <v>2.8</v>
      </c>
      <c r="U1341" s="36">
        <f>Rutas[[#This Row],[Precio x Galón ($/gal)]]*Rutas[[#This Row],[Volumen de Combustible (gal)]]</f>
        <v>241.64</v>
      </c>
      <c r="V1341" s="36"/>
      <c r="W1341" s="36"/>
      <c r="X1341" s="36"/>
      <c r="Y1341" s="145">
        <f>U1341+SUM(V1341:X1341)</f>
        <v>241.64</v>
      </c>
      <c r="Z1341" s="567"/>
      <c r="AA1341" s="12">
        <v>86.3</v>
      </c>
      <c r="AB1341" s="12">
        <f>IFERROR(M1341/AA1341,0)</f>
        <v>6.1066048667439166</v>
      </c>
      <c r="AC1341" s="12">
        <f>IFERROR(Q1341/M1341,0)</f>
        <v>0.76</v>
      </c>
      <c r="AD1341" s="34"/>
    </row>
    <row r="1342" spans="1:30" ht="16" x14ac:dyDescent="0.2">
      <c r="A1342" s="47"/>
      <c r="C1342" s="176">
        <f t="shared" si="402"/>
        <v>1339</v>
      </c>
      <c r="D1342" s="454">
        <v>45946</v>
      </c>
      <c r="E1342" s="37">
        <v>45950</v>
      </c>
      <c r="F1342" s="65" t="s">
        <v>209</v>
      </c>
      <c r="G1342" s="11" t="str">
        <f ca="1">IF(AND(E1342&lt;&gt;"",E1342&lt;TODAY()),"Disponible",IFERROR(INDEX(Vehiculos[Estado Vehiculo],MATCH(F1342,Vehiculos[Placa Vehiculo],0)),""))</f>
        <v>Disponible</v>
      </c>
      <c r="H1342" s="34"/>
      <c r="I1342" s="34" t="s">
        <v>273</v>
      </c>
      <c r="J1342" s="34" t="s">
        <v>274</v>
      </c>
      <c r="K1342" s="39">
        <v>120390</v>
      </c>
      <c r="L1342" s="39">
        <v>121002</v>
      </c>
      <c r="M1342" s="15">
        <f>L1342-K1342</f>
        <v>612</v>
      </c>
      <c r="N1342" s="15"/>
      <c r="O1342" s="39"/>
      <c r="P1342" s="36">
        <v>0.76</v>
      </c>
      <c r="Q1342" s="16">
        <f>M1342*P1342</f>
        <v>465.12</v>
      </c>
      <c r="R1342" s="34" t="s">
        <v>273</v>
      </c>
      <c r="S1342" s="34" t="s">
        <v>102</v>
      </c>
      <c r="T1342" s="36">
        <v>2.8</v>
      </c>
      <c r="U1342" s="36">
        <f>Rutas[[#This Row],[Precio x Galón ($/gal)]]*Rutas[[#This Row],[Volumen de Combustible (gal)]]</f>
        <v>300.88799999999998</v>
      </c>
      <c r="V1342" s="36"/>
      <c r="W1342" s="36"/>
      <c r="X1342" s="36"/>
      <c r="Y1342" s="145">
        <f>U1342+SUM(V1342:X1342)</f>
        <v>300.88799999999998</v>
      </c>
      <c r="Z1342" s="567"/>
      <c r="AA1342" s="12">
        <v>107.46</v>
      </c>
      <c r="AB1342" s="12">
        <f>IFERROR(M1342/AA1342,0)</f>
        <v>5.6951423785594644</v>
      </c>
      <c r="AC1342" s="12">
        <f>IFERROR(Q1342/M1342,0)</f>
        <v>0.76</v>
      </c>
      <c r="AD1342" s="34"/>
    </row>
    <row r="1343" spans="1:30" ht="16" x14ac:dyDescent="0.2">
      <c r="A1343" s="47"/>
      <c r="C1343" s="176">
        <f t="shared" si="402"/>
        <v>1340</v>
      </c>
      <c r="D1343" s="454">
        <v>45950</v>
      </c>
      <c r="E1343" s="37">
        <v>45954</v>
      </c>
      <c r="F1343" s="65" t="s">
        <v>209</v>
      </c>
      <c r="G1343" s="11" t="str">
        <f ca="1">IF(AND(E1343&lt;&gt;"",E1343&lt;TODAY()),"Disponible",IFERROR(INDEX(Vehiculos[Estado Vehiculo],MATCH(F1343,Vehiculos[Placa Vehiculo],0)),""))</f>
        <v>Disponible</v>
      </c>
      <c r="H1343" s="34"/>
      <c r="I1343" s="34" t="s">
        <v>273</v>
      </c>
      <c r="J1343" s="34" t="s">
        <v>274</v>
      </c>
      <c r="K1343" s="39">
        <v>121002</v>
      </c>
      <c r="L1343" s="39">
        <v>121512</v>
      </c>
      <c r="M1343" s="15">
        <f>L1343-K1343</f>
        <v>510</v>
      </c>
      <c r="N1343" s="452"/>
      <c r="O1343" s="39"/>
      <c r="P1343" s="36">
        <v>0.76</v>
      </c>
      <c r="Q1343" s="16">
        <f>M1343*P1343</f>
        <v>387.6</v>
      </c>
      <c r="R1343" s="34" t="s">
        <v>273</v>
      </c>
      <c r="S1343" s="34" t="s">
        <v>102</v>
      </c>
      <c r="T1343" s="36">
        <v>2.8</v>
      </c>
      <c r="U1343" s="36">
        <f>Rutas[[#This Row],[Precio x Galón ($/gal)]]*Rutas[[#This Row],[Volumen de Combustible (gal)]]</f>
        <v>222.43199999999999</v>
      </c>
      <c r="V1343" s="36"/>
      <c r="W1343" s="36"/>
      <c r="X1343" s="36"/>
      <c r="Y1343" s="145">
        <f>U1343+SUM(V1343:X1343)</f>
        <v>222.43199999999999</v>
      </c>
      <c r="Z1343" s="567"/>
      <c r="AA1343" s="12">
        <v>79.44</v>
      </c>
      <c r="AB1343" s="12">
        <f>IFERROR(M1343/AA1343,0)</f>
        <v>6.4199395770392753</v>
      </c>
      <c r="AC1343" s="12">
        <f>IFERROR(Q1343/M1343,0)</f>
        <v>0.76</v>
      </c>
      <c r="AD1343" s="34"/>
    </row>
    <row r="1344" spans="1:30" ht="16" x14ac:dyDescent="0.2">
      <c r="A1344" s="47"/>
      <c r="C1344" s="176">
        <f t="shared" si="402"/>
        <v>1341</v>
      </c>
      <c r="D1344" s="454">
        <v>45954</v>
      </c>
      <c r="E1344" s="37">
        <v>45960</v>
      </c>
      <c r="F1344" s="65" t="s">
        <v>209</v>
      </c>
      <c r="G1344" s="11" t="str">
        <f ca="1">IF(AND(E1344&lt;&gt;"",E1344&lt;TODAY()),"Disponible",IFERROR(INDEX(Vehiculos[Estado Vehiculo],MATCH(F1344,Vehiculos[Placa Vehiculo],0)),""))</f>
        <v>Disponible</v>
      </c>
      <c r="H1344" s="34"/>
      <c r="I1344" s="34" t="s">
        <v>273</v>
      </c>
      <c r="J1344" s="34" t="s">
        <v>274</v>
      </c>
      <c r="K1344" s="39">
        <v>121512</v>
      </c>
      <c r="L1344" s="39">
        <v>122178</v>
      </c>
      <c r="M1344" s="15">
        <f>L1344-K1344</f>
        <v>666</v>
      </c>
      <c r="N1344" s="452">
        <v>570</v>
      </c>
      <c r="O1344" s="39"/>
      <c r="P1344" s="36">
        <v>0.76</v>
      </c>
      <c r="Q1344" s="16">
        <f>M1344*P1344</f>
        <v>506.16</v>
      </c>
      <c r="R1344" s="34" t="s">
        <v>273</v>
      </c>
      <c r="S1344" s="34" t="s">
        <v>102</v>
      </c>
      <c r="T1344" s="36">
        <v>2.8</v>
      </c>
      <c r="U1344" s="36">
        <f>Rutas[[#This Row],[Precio x Galón ($/gal)]]*Rutas[[#This Row],[Volumen de Combustible (gal)]]</f>
        <v>309.79199999999997</v>
      </c>
      <c r="V1344" s="36"/>
      <c r="W1344" s="36"/>
      <c r="X1344" s="36"/>
      <c r="Y1344" s="145">
        <f>U1344+SUM(V1344:X1344)</f>
        <v>309.79199999999997</v>
      </c>
      <c r="Z1344" s="567"/>
      <c r="AA1344" s="12">
        <v>110.64</v>
      </c>
      <c r="AB1344" s="12">
        <f>IFERROR(M1344/AA1344,0)</f>
        <v>6.0195227765726678</v>
      </c>
      <c r="AC1344" s="12">
        <f>IFERROR(Q1344/M1344,0)</f>
        <v>0.76</v>
      </c>
      <c r="AD1344" s="34"/>
    </row>
    <row r="1345" spans="1:30" ht="16" x14ac:dyDescent="0.2">
      <c r="A1345" s="47"/>
      <c r="C1345" s="176">
        <f t="shared" si="402"/>
        <v>1342</v>
      </c>
      <c r="D1345" s="454"/>
      <c r="E1345" s="37"/>
      <c r="F1345" s="65"/>
      <c r="G1345" s="11" t="str">
        <f ca="1">IF(AND(E1345&lt;&gt;"",E1345&lt;TODAY()),"Disponible",IFERROR(INDEX(Vehiculos[Estado Vehiculo],MATCH(F1345,Vehiculos[Placa Vehiculo],0)),""))</f>
        <v/>
      </c>
      <c r="H1345" s="34"/>
      <c r="I1345" s="34"/>
      <c r="J1345" s="34"/>
      <c r="K1345" s="39"/>
      <c r="L1345" s="39"/>
      <c r="M1345" s="15">
        <f>L1345-K1345</f>
        <v>0</v>
      </c>
      <c r="N1345" s="15"/>
      <c r="O1345" s="39"/>
      <c r="P1345" s="36"/>
      <c r="Q1345" s="16">
        <f>M1345*P1345</f>
        <v>0</v>
      </c>
      <c r="R1345" s="34"/>
      <c r="S1345" s="34"/>
      <c r="T1345" s="36"/>
      <c r="U1345" s="36"/>
      <c r="V1345" s="36"/>
      <c r="W1345" s="36"/>
      <c r="X1345" s="36"/>
      <c r="Y1345" s="145">
        <f>U1345+SUM(V1345:X1345)</f>
        <v>0</v>
      </c>
      <c r="Z1345" s="567"/>
      <c r="AA1345" s="12"/>
      <c r="AB1345" s="12">
        <f>IFERROR(M1345/AA1345,0)</f>
        <v>0</v>
      </c>
      <c r="AC1345" s="12">
        <f>IFERROR(Q1345/M1345,0)</f>
        <v>0</v>
      </c>
      <c r="AD1345" s="34"/>
    </row>
    <row r="1346" spans="1:30" ht="16" x14ac:dyDescent="0.2">
      <c r="A1346" s="47"/>
      <c r="C1346" s="176">
        <f t="shared" si="402"/>
        <v>1343</v>
      </c>
      <c r="D1346" s="146"/>
      <c r="E1346" s="37"/>
      <c r="F1346" s="65"/>
      <c r="G1346" s="11" t="str">
        <f ca="1">IF(AND(E1346&lt;&gt;"",E1346&lt;TODAY()),"Disponible",IFERROR(INDEX(Vehiculos[Estado Vehiculo],MATCH(F1346,Vehiculos[Placa Vehiculo],0)),""))</f>
        <v/>
      </c>
      <c r="H1346" s="34"/>
      <c r="I1346" s="34"/>
      <c r="J1346" s="34"/>
      <c r="K1346" s="39"/>
      <c r="L1346" s="39"/>
      <c r="M1346" s="15">
        <f t="shared" si="413"/>
        <v>0</v>
      </c>
      <c r="N1346" s="15"/>
      <c r="O1346" s="39"/>
      <c r="P1346" s="36"/>
      <c r="Q1346" s="16">
        <f t="shared" si="414"/>
        <v>0</v>
      </c>
      <c r="R1346" s="34"/>
      <c r="S1346" s="34"/>
      <c r="T1346" s="36"/>
      <c r="U1346" s="36">
        <f>Rutas[[#This Row],[Precio x Galón ($/gal)]]*Rutas[[#This Row],[Volumen de Combustible (gal)]]</f>
        <v>0</v>
      </c>
      <c r="V1346" s="36"/>
      <c r="W1346" s="36"/>
      <c r="X1346" s="36"/>
      <c r="Y1346" s="145">
        <f t="shared" si="415"/>
        <v>0</v>
      </c>
      <c r="Z1346" s="572"/>
      <c r="AA1346" s="12"/>
      <c r="AB1346" s="12">
        <f t="shared" si="416"/>
        <v>0</v>
      </c>
      <c r="AC1346" s="12">
        <f t="shared" si="417"/>
        <v>0</v>
      </c>
      <c r="AD1346" s="34"/>
    </row>
    <row r="1347" spans="1:30" ht="16" x14ac:dyDescent="0.2">
      <c r="A1347" s="47"/>
      <c r="C1347" s="176">
        <f t="shared" si="402"/>
        <v>1344</v>
      </c>
      <c r="D1347" s="90">
        <v>45931</v>
      </c>
      <c r="E1347" s="90">
        <v>45932</v>
      </c>
      <c r="F1347" s="68" t="s">
        <v>210</v>
      </c>
      <c r="G1347" s="379" t="str">
        <f ca="1">IF(AND(E1347&lt;&gt;"",E1347&lt;TODAY()),"Disponible",IFERROR(INDEX(Vehiculos[Estado Vehiculo],MATCH(F1347,Vehiculos[Placa Vehiculo],0)),""))</f>
        <v>Disponible</v>
      </c>
      <c r="H1347" s="89"/>
      <c r="I1347" s="89" t="s">
        <v>273</v>
      </c>
      <c r="J1347" s="89" t="s">
        <v>274</v>
      </c>
      <c r="K1347" s="380">
        <v>102740</v>
      </c>
      <c r="L1347" s="380">
        <v>103254</v>
      </c>
      <c r="M1347" s="381">
        <f t="shared" si="413"/>
        <v>514</v>
      </c>
      <c r="N1347" s="381"/>
      <c r="O1347" s="380"/>
      <c r="P1347" s="92">
        <v>0.76</v>
      </c>
      <c r="Q1347" s="382">
        <f t="shared" si="414"/>
        <v>390.64</v>
      </c>
      <c r="R1347" s="89" t="s">
        <v>273</v>
      </c>
      <c r="S1347" s="89" t="s">
        <v>102</v>
      </c>
      <c r="T1347" s="92">
        <v>2.8</v>
      </c>
      <c r="U1347" s="92">
        <f>Rutas[[#This Row],[Precio x Galón ($/gal)]]*Rutas[[#This Row],[Volumen de Combustible (gal)]]</f>
        <v>243.45999999999998</v>
      </c>
      <c r="V1347" s="92"/>
      <c r="W1347" s="92"/>
      <c r="X1347" s="92"/>
      <c r="Y1347" s="382">
        <f t="shared" si="415"/>
        <v>243.45999999999998</v>
      </c>
      <c r="Z1347" s="572"/>
      <c r="AA1347" s="382">
        <v>86.95</v>
      </c>
      <c r="AB1347" s="382">
        <f t="shared" si="416"/>
        <v>5.9114433582518684</v>
      </c>
      <c r="AC1347" s="382">
        <f t="shared" si="417"/>
        <v>0.76</v>
      </c>
      <c r="AD1347" s="89"/>
    </row>
    <row r="1348" spans="1:30" ht="16" x14ac:dyDescent="0.2">
      <c r="A1348" s="47"/>
      <c r="C1348" s="176">
        <f t="shared" ref="C1348:C1411" si="418">ROW(A1345)</f>
        <v>1345</v>
      </c>
      <c r="D1348" s="146">
        <v>45932</v>
      </c>
      <c r="E1348" s="37">
        <v>45935</v>
      </c>
      <c r="F1348" s="65" t="s">
        <v>210</v>
      </c>
      <c r="G1348" s="11" t="str">
        <f ca="1">IF(AND(E1348&lt;&gt;"",E1348&lt;TODAY()),"Disponible",IFERROR(INDEX(Vehiculos[Estado Vehiculo],MATCH(F1348,Vehiculos[Placa Vehiculo],0)),""))</f>
        <v>Disponible</v>
      </c>
      <c r="H1348" s="34"/>
      <c r="I1348" s="34" t="s">
        <v>273</v>
      </c>
      <c r="J1348" s="34" t="s">
        <v>274</v>
      </c>
      <c r="K1348" s="39">
        <v>103254</v>
      </c>
      <c r="L1348" s="39">
        <v>103944</v>
      </c>
      <c r="M1348" s="15">
        <f t="shared" si="413"/>
        <v>690</v>
      </c>
      <c r="N1348" s="15"/>
      <c r="O1348" s="39"/>
      <c r="P1348" s="36">
        <v>0.76</v>
      </c>
      <c r="Q1348" s="16">
        <f t="shared" si="414"/>
        <v>524.4</v>
      </c>
      <c r="R1348" s="34" t="s">
        <v>273</v>
      </c>
      <c r="S1348" s="34" t="s">
        <v>102</v>
      </c>
      <c r="T1348" s="36">
        <v>2.8</v>
      </c>
      <c r="U1348" s="36">
        <f>Rutas[[#This Row],[Precio x Galón ($/gal)]]*Rutas[[#This Row],[Volumen de Combustible (gal)]]</f>
        <v>306.68399999999997</v>
      </c>
      <c r="V1348" s="36"/>
      <c r="W1348" s="36"/>
      <c r="X1348" s="36"/>
      <c r="Y1348" s="145">
        <f t="shared" si="415"/>
        <v>306.68399999999997</v>
      </c>
      <c r="Z1348" s="572"/>
      <c r="AA1348" s="12">
        <v>109.53</v>
      </c>
      <c r="AB1348" s="12">
        <f t="shared" si="416"/>
        <v>6.2996439331689951</v>
      </c>
      <c r="AC1348" s="12">
        <f t="shared" si="417"/>
        <v>0.76</v>
      </c>
      <c r="AD1348" s="34"/>
    </row>
    <row r="1349" spans="1:30" ht="16" x14ac:dyDescent="0.2">
      <c r="A1349" s="47"/>
      <c r="C1349" s="176">
        <f t="shared" si="418"/>
        <v>1346</v>
      </c>
      <c r="D1349" s="146">
        <v>45935</v>
      </c>
      <c r="E1349" s="37">
        <v>45939</v>
      </c>
      <c r="F1349" s="65" t="s">
        <v>210</v>
      </c>
      <c r="G1349" s="11" t="str">
        <f ca="1">IF(AND(E1349&lt;&gt;"",E1349&lt;TODAY()),"Disponible",IFERROR(INDEX(Vehiculos[Estado Vehiculo],MATCH(F1349,Vehiculos[Placa Vehiculo],0)),""))</f>
        <v>Disponible</v>
      </c>
      <c r="H1349" s="34"/>
      <c r="I1349" s="34" t="s">
        <v>273</v>
      </c>
      <c r="J1349" s="34" t="s">
        <v>274</v>
      </c>
      <c r="K1349" s="39">
        <v>103944</v>
      </c>
      <c r="L1349" s="39">
        <v>104564</v>
      </c>
      <c r="M1349" s="15">
        <f t="shared" si="413"/>
        <v>620</v>
      </c>
      <c r="N1349" s="15"/>
      <c r="O1349" s="39"/>
      <c r="P1349" s="36">
        <v>0.76</v>
      </c>
      <c r="Q1349" s="16">
        <f t="shared" si="414"/>
        <v>471.2</v>
      </c>
      <c r="R1349" s="34" t="s">
        <v>273</v>
      </c>
      <c r="S1349" s="34" t="s">
        <v>102</v>
      </c>
      <c r="T1349" s="36">
        <v>2.8</v>
      </c>
      <c r="U1349" s="36">
        <f>Rutas[[#This Row],[Precio x Galón ($/gal)]]*Rutas[[#This Row],[Volumen de Combustible (gal)]]</f>
        <v>305.00400000000002</v>
      </c>
      <c r="V1349" s="36"/>
      <c r="W1349" s="36"/>
      <c r="X1349" s="36"/>
      <c r="Y1349" s="145">
        <f t="shared" si="415"/>
        <v>305.00400000000002</v>
      </c>
      <c r="Z1349" s="572"/>
      <c r="AA1349" s="12">
        <v>108.93</v>
      </c>
      <c r="AB1349" s="12">
        <f t="shared" si="416"/>
        <v>5.6917286330671066</v>
      </c>
      <c r="AC1349" s="12">
        <f t="shared" si="417"/>
        <v>0.76</v>
      </c>
      <c r="AD1349" s="34"/>
    </row>
    <row r="1350" spans="1:30" ht="16" x14ac:dyDescent="0.2">
      <c r="A1350" s="47"/>
      <c r="C1350" s="176">
        <f t="shared" si="418"/>
        <v>1347</v>
      </c>
      <c r="D1350" s="146">
        <v>45939</v>
      </c>
      <c r="E1350" s="37">
        <v>45942</v>
      </c>
      <c r="F1350" s="65" t="s">
        <v>210</v>
      </c>
      <c r="G1350" s="11" t="str">
        <f ca="1">IF(AND(E1350&lt;&gt;"",E1350&lt;TODAY()),"Disponible",IFERROR(INDEX(Vehiculos[Estado Vehiculo],MATCH(F1350,Vehiculos[Placa Vehiculo],0)),""))</f>
        <v>Disponible</v>
      </c>
      <c r="H1350" s="34"/>
      <c r="I1350" s="34" t="s">
        <v>273</v>
      </c>
      <c r="J1350" s="34" t="s">
        <v>274</v>
      </c>
      <c r="K1350" s="39">
        <v>104564</v>
      </c>
      <c r="L1350" s="39">
        <v>105137</v>
      </c>
      <c r="M1350" s="15">
        <f t="shared" si="413"/>
        <v>573</v>
      </c>
      <c r="N1350" s="15"/>
      <c r="O1350" s="39"/>
      <c r="P1350" s="36">
        <v>0.76</v>
      </c>
      <c r="Q1350" s="16">
        <f t="shared" si="414"/>
        <v>435.48</v>
      </c>
      <c r="R1350" s="34" t="s">
        <v>273</v>
      </c>
      <c r="S1350" s="34" t="s">
        <v>102</v>
      </c>
      <c r="T1350" s="36">
        <v>2.8</v>
      </c>
      <c r="U1350" s="36">
        <f>Rutas[[#This Row],[Precio x Galón ($/gal)]]*Rutas[[#This Row],[Volumen de Combustible (gal)]]</f>
        <v>271.57199999999995</v>
      </c>
      <c r="V1350" s="36"/>
      <c r="W1350" s="36"/>
      <c r="X1350" s="36"/>
      <c r="Y1350" s="145">
        <f t="shared" si="415"/>
        <v>271.57199999999995</v>
      </c>
      <c r="Z1350" s="572"/>
      <c r="AA1350" s="12">
        <v>96.99</v>
      </c>
      <c r="AB1350" s="12">
        <f t="shared" si="416"/>
        <v>5.9078255490256728</v>
      </c>
      <c r="AC1350" s="12">
        <f t="shared" si="417"/>
        <v>0.76</v>
      </c>
      <c r="AD1350" s="34"/>
    </row>
    <row r="1351" spans="1:30" ht="16" x14ac:dyDescent="0.2">
      <c r="A1351" s="47"/>
      <c r="C1351" s="176">
        <f t="shared" si="418"/>
        <v>1348</v>
      </c>
      <c r="D1351" s="454">
        <v>45942</v>
      </c>
      <c r="E1351" s="37">
        <v>45946</v>
      </c>
      <c r="F1351" s="65" t="s">
        <v>210</v>
      </c>
      <c r="G1351" s="11" t="str">
        <f ca="1">IF(AND(E1351&lt;&gt;"",E1351&lt;TODAY()),"Disponible",IFERROR(INDEX(Vehiculos[Estado Vehiculo],MATCH(F1351,Vehiculos[Placa Vehiculo],0)),""))</f>
        <v>Disponible</v>
      </c>
      <c r="H1351" s="34"/>
      <c r="I1351" s="34" t="s">
        <v>273</v>
      </c>
      <c r="J1351" s="34" t="s">
        <v>274</v>
      </c>
      <c r="K1351" s="39">
        <v>105137</v>
      </c>
      <c r="L1351" s="39">
        <v>105777</v>
      </c>
      <c r="M1351" s="15">
        <f t="shared" ref="M1351:M1355" si="419">L1351-K1351</f>
        <v>640</v>
      </c>
      <c r="N1351" s="15"/>
      <c r="O1351" s="39"/>
      <c r="P1351" s="36">
        <v>0.76</v>
      </c>
      <c r="Q1351" s="16">
        <f t="shared" ref="Q1351:Q1355" si="420">M1351*P1351</f>
        <v>486.4</v>
      </c>
      <c r="R1351" s="34" t="s">
        <v>273</v>
      </c>
      <c r="S1351" s="34" t="s">
        <v>102</v>
      </c>
      <c r="T1351" s="36">
        <v>2.8</v>
      </c>
      <c r="U1351" s="36">
        <f>Rutas[[#This Row],[Precio x Galón ($/gal)]]*Rutas[[#This Row],[Volumen de Combustible (gal)]]</f>
        <v>298.62</v>
      </c>
      <c r="V1351" s="36"/>
      <c r="W1351" s="36"/>
      <c r="X1351" s="36"/>
      <c r="Y1351" s="145">
        <f t="shared" ref="Y1351:Y1355" si="421">U1351+SUM(V1351:X1351)</f>
        <v>298.62</v>
      </c>
      <c r="Z1351" s="567"/>
      <c r="AA1351" s="12">
        <v>106.65</v>
      </c>
      <c r="AB1351" s="12">
        <f t="shared" ref="AB1351:AB1355" si="422">IFERROR(M1351/AA1351,0)</f>
        <v>6.0009376465072668</v>
      </c>
      <c r="AC1351" s="12">
        <f t="shared" ref="AC1351:AC1355" si="423">IFERROR(Q1351/M1351,0)</f>
        <v>0.76</v>
      </c>
      <c r="AD1351" s="34"/>
    </row>
    <row r="1352" spans="1:30" ht="16" x14ac:dyDescent="0.2">
      <c r="A1352" s="47"/>
      <c r="C1352" s="176">
        <f t="shared" si="418"/>
        <v>1349</v>
      </c>
      <c r="D1352" s="454">
        <v>45946</v>
      </c>
      <c r="E1352" s="37">
        <v>45949</v>
      </c>
      <c r="F1352" s="65" t="s">
        <v>210</v>
      </c>
      <c r="G1352" s="11" t="str">
        <f ca="1">IF(AND(E1352&lt;&gt;"",E1352&lt;TODAY()),"Disponible",IFERROR(INDEX(Vehiculos[Estado Vehiculo],MATCH(F1352,Vehiculos[Placa Vehiculo],0)),""))</f>
        <v>Disponible</v>
      </c>
      <c r="H1352" s="34"/>
      <c r="I1352" s="34" t="s">
        <v>273</v>
      </c>
      <c r="J1352" s="34" t="s">
        <v>274</v>
      </c>
      <c r="K1352" s="39">
        <v>105777</v>
      </c>
      <c r="L1352" s="39">
        <v>106258</v>
      </c>
      <c r="M1352" s="15">
        <f t="shared" si="419"/>
        <v>481</v>
      </c>
      <c r="N1352" s="15"/>
      <c r="O1352" s="39"/>
      <c r="P1352" s="36">
        <v>0.76</v>
      </c>
      <c r="Q1352" s="16">
        <f t="shared" si="420"/>
        <v>365.56</v>
      </c>
      <c r="R1352" s="34" t="s">
        <v>273</v>
      </c>
      <c r="S1352" s="34" t="s">
        <v>102</v>
      </c>
      <c r="T1352" s="36">
        <v>2.8</v>
      </c>
      <c r="U1352" s="36">
        <f>Rutas[[#This Row],[Precio x Galón ($/gal)]]*Rutas[[#This Row],[Volumen de Combustible (gal)]]</f>
        <v>229.79599999999996</v>
      </c>
      <c r="V1352" s="36"/>
      <c r="W1352" s="36"/>
      <c r="X1352" s="36"/>
      <c r="Y1352" s="145">
        <f t="shared" si="421"/>
        <v>229.79599999999996</v>
      </c>
      <c r="Z1352" s="567"/>
      <c r="AA1352" s="12">
        <v>82.07</v>
      </c>
      <c r="AB1352" s="12">
        <f t="shared" si="422"/>
        <v>5.8608504934811751</v>
      </c>
      <c r="AC1352" s="12">
        <f t="shared" si="423"/>
        <v>0.76</v>
      </c>
      <c r="AD1352" s="34"/>
    </row>
    <row r="1353" spans="1:30" ht="16" x14ac:dyDescent="0.2">
      <c r="A1353" s="47"/>
      <c r="C1353" s="176">
        <f t="shared" si="418"/>
        <v>1350</v>
      </c>
      <c r="D1353" s="454">
        <v>45949</v>
      </c>
      <c r="E1353" s="37">
        <v>45953</v>
      </c>
      <c r="F1353" s="65" t="s">
        <v>210</v>
      </c>
      <c r="G1353" s="11" t="str">
        <f ca="1">IF(AND(E1353&lt;&gt;"",E1353&lt;TODAY()),"Disponible",IFERROR(INDEX(Vehiculos[Estado Vehiculo],MATCH(F1353,Vehiculos[Placa Vehiculo],0)),""))</f>
        <v>Disponible</v>
      </c>
      <c r="H1353" s="34"/>
      <c r="I1353" s="34" t="s">
        <v>273</v>
      </c>
      <c r="J1353" s="34" t="s">
        <v>274</v>
      </c>
      <c r="K1353" s="39">
        <v>106258</v>
      </c>
      <c r="L1353" s="39">
        <v>106904</v>
      </c>
      <c r="M1353" s="15">
        <f t="shared" si="419"/>
        <v>646</v>
      </c>
      <c r="N1353" s="15"/>
      <c r="O1353" s="39"/>
      <c r="P1353" s="36">
        <v>0.76</v>
      </c>
      <c r="Q1353" s="16">
        <f t="shared" si="420"/>
        <v>490.96</v>
      </c>
      <c r="R1353" s="34" t="s">
        <v>273</v>
      </c>
      <c r="S1353" s="34" t="s">
        <v>102</v>
      </c>
      <c r="T1353" s="36">
        <v>2.8</v>
      </c>
      <c r="U1353" s="36">
        <f>Rutas[[#This Row],[Precio x Galón ($/gal)]]*Rutas[[#This Row],[Volumen de Combustible (gal)]]</f>
        <v>319.70400000000001</v>
      </c>
      <c r="V1353" s="36"/>
      <c r="W1353" s="36"/>
      <c r="X1353" s="36"/>
      <c r="Y1353" s="145">
        <f t="shared" si="421"/>
        <v>319.70400000000001</v>
      </c>
      <c r="Z1353" s="567"/>
      <c r="AA1353" s="12">
        <v>114.18</v>
      </c>
      <c r="AB1353" s="12">
        <f t="shared" si="422"/>
        <v>5.6577334033981428</v>
      </c>
      <c r="AC1353" s="12">
        <f t="shared" si="423"/>
        <v>0.76</v>
      </c>
      <c r="AD1353" s="34"/>
    </row>
    <row r="1354" spans="1:30" ht="16" x14ac:dyDescent="0.2">
      <c r="A1354" s="47"/>
      <c r="C1354" s="176">
        <f t="shared" si="418"/>
        <v>1351</v>
      </c>
      <c r="D1354" s="454">
        <v>45953</v>
      </c>
      <c r="E1354" s="37">
        <v>45957</v>
      </c>
      <c r="F1354" s="65" t="s">
        <v>210</v>
      </c>
      <c r="G1354" s="11" t="str">
        <f ca="1">IF(AND(E1354&lt;&gt;"",E1354&lt;TODAY()),"Disponible",IFERROR(INDEX(Vehiculos[Estado Vehiculo],MATCH(F1354,Vehiculos[Placa Vehiculo],0)),""))</f>
        <v>Disponible</v>
      </c>
      <c r="H1354" s="34"/>
      <c r="I1354" s="34" t="s">
        <v>273</v>
      </c>
      <c r="J1354" s="34" t="s">
        <v>274</v>
      </c>
      <c r="K1354" s="39">
        <v>106904</v>
      </c>
      <c r="L1354" s="39">
        <v>107422</v>
      </c>
      <c r="M1354" s="15">
        <f t="shared" si="419"/>
        <v>518</v>
      </c>
      <c r="N1354" s="15"/>
      <c r="O1354" s="39"/>
      <c r="P1354" s="36">
        <v>0.76</v>
      </c>
      <c r="Q1354" s="16">
        <f t="shared" si="420"/>
        <v>393.68</v>
      </c>
      <c r="R1354" s="34" t="s">
        <v>273</v>
      </c>
      <c r="S1354" s="34" t="s">
        <v>102</v>
      </c>
      <c r="T1354" s="36">
        <v>2.8</v>
      </c>
      <c r="U1354" s="36">
        <f>Rutas[[#This Row],[Precio x Galón ($/gal)]]*Rutas[[#This Row],[Volumen de Combustible (gal)]]</f>
        <v>235.536</v>
      </c>
      <c r="V1354" s="36"/>
      <c r="W1354" s="36"/>
      <c r="X1354" s="36"/>
      <c r="Y1354" s="145">
        <f t="shared" si="421"/>
        <v>235.536</v>
      </c>
      <c r="Z1354" s="567"/>
      <c r="AA1354" s="12">
        <v>84.12</v>
      </c>
      <c r="AB1354" s="12">
        <f t="shared" si="422"/>
        <v>6.1578697099381836</v>
      </c>
      <c r="AC1354" s="12">
        <f t="shared" si="423"/>
        <v>0.76</v>
      </c>
      <c r="AD1354" s="34"/>
    </row>
    <row r="1355" spans="1:30" ht="16" x14ac:dyDescent="0.2">
      <c r="A1355" s="47"/>
      <c r="C1355" s="176">
        <f t="shared" si="418"/>
        <v>1352</v>
      </c>
      <c r="D1355" s="454">
        <v>45957</v>
      </c>
      <c r="E1355" s="37">
        <v>45960</v>
      </c>
      <c r="F1355" s="65" t="s">
        <v>210</v>
      </c>
      <c r="G1355" s="11" t="str">
        <f ca="1">IF(AND(E1355&lt;&gt;"",E1355&lt;TODAY()),"Disponible",IFERROR(INDEX(Vehiculos[Estado Vehiculo],MATCH(F1355,Vehiculos[Placa Vehiculo],0)),""))</f>
        <v>Disponible</v>
      </c>
      <c r="H1355" s="34"/>
      <c r="I1355" s="34" t="s">
        <v>273</v>
      </c>
      <c r="J1355" s="34" t="s">
        <v>274</v>
      </c>
      <c r="K1355" s="39">
        <v>107422</v>
      </c>
      <c r="L1355" s="39">
        <v>107940</v>
      </c>
      <c r="M1355" s="15">
        <f t="shared" si="419"/>
        <v>518</v>
      </c>
      <c r="N1355" s="452">
        <v>612</v>
      </c>
      <c r="O1355" s="39"/>
      <c r="P1355" s="36">
        <v>0.76</v>
      </c>
      <c r="Q1355" s="16">
        <f t="shared" si="420"/>
        <v>393.68</v>
      </c>
      <c r="R1355" s="34" t="s">
        <v>273</v>
      </c>
      <c r="S1355" s="34" t="s">
        <v>102</v>
      </c>
      <c r="T1355" s="36">
        <v>2.8</v>
      </c>
      <c r="U1355" s="36">
        <f>Rutas[[#This Row],[Precio x Galón ($/gal)]]*Rutas[[#This Row],[Volumen de Combustible (gal)]]</f>
        <v>241.80799999999999</v>
      </c>
      <c r="V1355" s="36"/>
      <c r="W1355" s="36"/>
      <c r="X1355" s="36"/>
      <c r="Y1355" s="145">
        <f t="shared" si="421"/>
        <v>241.80799999999999</v>
      </c>
      <c r="Z1355" s="567"/>
      <c r="AA1355" s="12">
        <v>86.36</v>
      </c>
      <c r="AB1355" s="12">
        <f t="shared" si="422"/>
        <v>5.9981472904122279</v>
      </c>
      <c r="AC1355" s="12">
        <f t="shared" si="423"/>
        <v>0.76</v>
      </c>
      <c r="AD1355" s="34"/>
    </row>
    <row r="1356" spans="1:30" ht="16" x14ac:dyDescent="0.2">
      <c r="A1356" s="47"/>
      <c r="C1356" s="176">
        <f t="shared" si="418"/>
        <v>1353</v>
      </c>
      <c r="D1356" s="454"/>
      <c r="E1356" s="37"/>
      <c r="F1356" s="65"/>
      <c r="G1356" s="11" t="str">
        <f ca="1">IF(AND(E1356&lt;&gt;"",E1356&lt;TODAY()),"Disponible",IFERROR(INDEX(Vehiculos[Estado Vehiculo],MATCH(F1356,Vehiculos[Placa Vehiculo],0)),""))</f>
        <v/>
      </c>
      <c r="H1356" s="34"/>
      <c r="I1356" s="34"/>
      <c r="J1356" s="34"/>
      <c r="K1356" s="39"/>
      <c r="L1356" s="39"/>
      <c r="M1356" s="15">
        <f>L1356-K1356</f>
        <v>0</v>
      </c>
      <c r="N1356" s="15"/>
      <c r="O1356" s="39"/>
      <c r="P1356" s="36"/>
      <c r="Q1356" s="16">
        <f>M1356*P1356</f>
        <v>0</v>
      </c>
      <c r="R1356" s="34"/>
      <c r="S1356" s="34"/>
      <c r="T1356" s="36"/>
      <c r="U1356" s="36"/>
      <c r="V1356" s="36"/>
      <c r="W1356" s="36"/>
      <c r="X1356" s="36"/>
      <c r="Y1356" s="145">
        <f>U1356+SUM(V1356:X1356)</f>
        <v>0</v>
      </c>
      <c r="Z1356" s="567"/>
      <c r="AA1356" s="12"/>
      <c r="AB1356" s="12">
        <f>IFERROR(M1356/AA1356,0)</f>
        <v>0</v>
      </c>
      <c r="AC1356" s="12">
        <f>IFERROR(Q1356/M1356,0)</f>
        <v>0</v>
      </c>
      <c r="AD1356" s="34"/>
    </row>
    <row r="1357" spans="1:30" ht="16" x14ac:dyDescent="0.2">
      <c r="A1357" s="47"/>
      <c r="C1357" s="176">
        <f t="shared" si="418"/>
        <v>1354</v>
      </c>
      <c r="D1357" s="146"/>
      <c r="E1357" s="37"/>
      <c r="F1357" s="65"/>
      <c r="G1357" s="11" t="str">
        <f ca="1">IF(AND(E1357&lt;&gt;"",E1357&lt;TODAY()),"Disponible",IFERROR(INDEX(Vehiculos[Estado Vehiculo],MATCH(F1357,Vehiculos[Placa Vehiculo],0)),""))</f>
        <v/>
      </c>
      <c r="H1357" s="34"/>
      <c r="I1357" s="34"/>
      <c r="J1357" s="34"/>
      <c r="K1357" s="39"/>
      <c r="L1357" s="39"/>
      <c r="M1357" s="15">
        <f t="shared" si="413"/>
        <v>0</v>
      </c>
      <c r="N1357" s="15"/>
      <c r="O1357" s="39"/>
      <c r="P1357" s="36"/>
      <c r="Q1357" s="16">
        <f t="shared" si="414"/>
        <v>0</v>
      </c>
      <c r="R1357" s="34"/>
      <c r="S1357" s="34"/>
      <c r="T1357" s="36"/>
      <c r="U1357" s="36">
        <f>Rutas[[#This Row],[Precio x Galón ($/gal)]]*Rutas[[#This Row],[Volumen de Combustible (gal)]]</f>
        <v>0</v>
      </c>
      <c r="V1357" s="36"/>
      <c r="W1357" s="36"/>
      <c r="X1357" s="36"/>
      <c r="Y1357" s="145">
        <f t="shared" si="415"/>
        <v>0</v>
      </c>
      <c r="Z1357" s="572"/>
      <c r="AA1357" s="12"/>
      <c r="AB1357" s="12">
        <f t="shared" si="416"/>
        <v>0</v>
      </c>
      <c r="AC1357" s="12">
        <f t="shared" si="417"/>
        <v>0</v>
      </c>
      <c r="AD1357" s="34"/>
    </row>
    <row r="1358" spans="1:30" ht="16" x14ac:dyDescent="0.2">
      <c r="A1358" s="47"/>
      <c r="C1358" s="176">
        <f t="shared" si="418"/>
        <v>1355</v>
      </c>
      <c r="D1358" s="90">
        <v>45931</v>
      </c>
      <c r="E1358" s="90">
        <v>45932</v>
      </c>
      <c r="F1358" s="68" t="s">
        <v>350</v>
      </c>
      <c r="G1358" s="379" t="str">
        <f ca="1">IF(AND(E1358&lt;&gt;"",E1358&lt;TODAY()),"Disponible",IFERROR(INDEX(Vehiculos[Estado Vehiculo],MATCH(F1358,Vehiculos[Placa Vehiculo],0)),""))</f>
        <v>Disponible</v>
      </c>
      <c r="H1358" s="89" t="s">
        <v>235</v>
      </c>
      <c r="I1358" s="89" t="s">
        <v>273</v>
      </c>
      <c r="J1358" s="89" t="s">
        <v>274</v>
      </c>
      <c r="K1358" s="380">
        <v>43480</v>
      </c>
      <c r="L1358" s="380">
        <v>43951</v>
      </c>
      <c r="M1358" s="381">
        <f t="shared" si="413"/>
        <v>471</v>
      </c>
      <c r="N1358" s="381"/>
      <c r="O1358" s="380"/>
      <c r="P1358" s="92">
        <v>0.76</v>
      </c>
      <c r="Q1358" s="382">
        <f t="shared" si="414"/>
        <v>357.96</v>
      </c>
      <c r="R1358" s="89" t="s">
        <v>339</v>
      </c>
      <c r="S1358" s="89" t="s">
        <v>102</v>
      </c>
      <c r="T1358" s="92">
        <v>2.8</v>
      </c>
      <c r="U1358" s="92">
        <f>Rutas[[#This Row],[Precio x Galón ($/gal)]]*Rutas[[#This Row],[Volumen de Combustible (gal)]]</f>
        <v>235.00399999999999</v>
      </c>
      <c r="V1358" s="92"/>
      <c r="W1358" s="92"/>
      <c r="X1358" s="92"/>
      <c r="Y1358" s="382">
        <f t="shared" si="415"/>
        <v>235.00399999999999</v>
      </c>
      <c r="Z1358" s="572"/>
      <c r="AA1358" s="382">
        <v>83.93</v>
      </c>
      <c r="AB1358" s="382">
        <f t="shared" si="416"/>
        <v>5.611819373287263</v>
      </c>
      <c r="AC1358" s="382">
        <f t="shared" si="417"/>
        <v>0.76</v>
      </c>
      <c r="AD1358" s="89"/>
    </row>
    <row r="1359" spans="1:30" ht="16" x14ac:dyDescent="0.2">
      <c r="A1359" s="47"/>
      <c r="C1359" s="176">
        <f t="shared" si="418"/>
        <v>1356</v>
      </c>
      <c r="D1359" s="146">
        <v>45932</v>
      </c>
      <c r="E1359" s="37">
        <v>45936</v>
      </c>
      <c r="F1359" s="65" t="s">
        <v>350</v>
      </c>
      <c r="G1359" s="11" t="str">
        <f ca="1">IF(AND(E1359&lt;&gt;"",E1359&lt;TODAY()),"Disponible",IFERROR(INDEX(Vehiculos[Estado Vehiculo],MATCH(F1359,Vehiculos[Placa Vehiculo],0)),""))</f>
        <v>Disponible</v>
      </c>
      <c r="H1359" s="34"/>
      <c r="I1359" s="34" t="s">
        <v>273</v>
      </c>
      <c r="J1359" s="34" t="s">
        <v>274</v>
      </c>
      <c r="K1359" s="39">
        <v>43951</v>
      </c>
      <c r="L1359" s="39">
        <v>44717</v>
      </c>
      <c r="M1359" s="15">
        <f t="shared" si="413"/>
        <v>766</v>
      </c>
      <c r="N1359" s="15"/>
      <c r="O1359" s="39"/>
      <c r="P1359" s="36">
        <v>0.76</v>
      </c>
      <c r="Q1359" s="16">
        <f t="shared" si="414"/>
        <v>582.16</v>
      </c>
      <c r="R1359" s="34" t="s">
        <v>273</v>
      </c>
      <c r="S1359" s="34" t="s">
        <v>102</v>
      </c>
      <c r="T1359" s="36">
        <v>2.8</v>
      </c>
      <c r="U1359" s="36">
        <f>Rutas[[#This Row],[Precio x Galón ($/gal)]]*Rutas[[#This Row],[Volumen de Combustible (gal)]]</f>
        <v>362.82400000000001</v>
      </c>
      <c r="V1359" s="36"/>
      <c r="W1359" s="36"/>
      <c r="X1359" s="36"/>
      <c r="Y1359" s="145">
        <f t="shared" si="415"/>
        <v>362.82400000000001</v>
      </c>
      <c r="Z1359" s="572"/>
      <c r="AA1359" s="12">
        <v>129.58000000000001</v>
      </c>
      <c r="AB1359" s="12">
        <f t="shared" si="416"/>
        <v>5.9114060811853673</v>
      </c>
      <c r="AC1359" s="12">
        <f t="shared" si="417"/>
        <v>0.76</v>
      </c>
      <c r="AD1359" s="34"/>
    </row>
    <row r="1360" spans="1:30" ht="16" x14ac:dyDescent="0.2">
      <c r="A1360" s="47"/>
      <c r="C1360" s="176">
        <f t="shared" si="418"/>
        <v>1357</v>
      </c>
      <c r="D1360" s="146">
        <v>45936</v>
      </c>
      <c r="E1360" s="37">
        <v>45939</v>
      </c>
      <c r="F1360" s="65" t="s">
        <v>350</v>
      </c>
      <c r="G1360" s="11" t="str">
        <f ca="1">IF(AND(E1360&lt;&gt;"",E1360&lt;TODAY()),"Disponible",IFERROR(INDEX(Vehiculos[Estado Vehiculo],MATCH(F1360,Vehiculos[Placa Vehiculo],0)),""))</f>
        <v>Disponible</v>
      </c>
      <c r="H1360" s="34"/>
      <c r="I1360" s="34" t="s">
        <v>273</v>
      </c>
      <c r="J1360" s="34" t="s">
        <v>274</v>
      </c>
      <c r="K1360" s="39">
        <v>44717</v>
      </c>
      <c r="L1360" s="39">
        <v>45259</v>
      </c>
      <c r="M1360" s="15">
        <f t="shared" si="413"/>
        <v>542</v>
      </c>
      <c r="N1360" s="15"/>
      <c r="O1360" s="39"/>
      <c r="P1360" s="36">
        <v>0.76</v>
      </c>
      <c r="Q1360" s="16">
        <f t="shared" si="414"/>
        <v>411.92</v>
      </c>
      <c r="R1360" s="34" t="s">
        <v>273</v>
      </c>
      <c r="S1360" s="34" t="s">
        <v>102</v>
      </c>
      <c r="T1360" s="36">
        <v>2.8</v>
      </c>
      <c r="U1360" s="36">
        <f>Rutas[[#This Row],[Precio x Galón ($/gal)]]*Rutas[[#This Row],[Volumen de Combustible (gal)]]</f>
        <v>262.19200000000001</v>
      </c>
      <c r="V1360" s="36"/>
      <c r="W1360" s="36"/>
      <c r="X1360" s="36"/>
      <c r="Y1360" s="145">
        <f t="shared" si="415"/>
        <v>262.19200000000001</v>
      </c>
      <c r="Z1360" s="572"/>
      <c r="AA1360" s="12">
        <v>93.64</v>
      </c>
      <c r="AB1360" s="12">
        <f t="shared" si="416"/>
        <v>5.7881247330200765</v>
      </c>
      <c r="AC1360" s="12">
        <f t="shared" si="417"/>
        <v>0.76</v>
      </c>
      <c r="AD1360" s="34"/>
    </row>
    <row r="1361" spans="1:30" ht="16" x14ac:dyDescent="0.2">
      <c r="A1361" s="47"/>
      <c r="C1361" s="176">
        <f t="shared" si="418"/>
        <v>1358</v>
      </c>
      <c r="D1361" s="454">
        <v>45939</v>
      </c>
      <c r="E1361" s="37">
        <v>45942</v>
      </c>
      <c r="F1361" s="65" t="s">
        <v>350</v>
      </c>
      <c r="G1361" s="11" t="str">
        <f ca="1">IF(AND(E1361&lt;&gt;"",E1361&lt;TODAY()),"Disponible",IFERROR(INDEX(Vehiculos[Estado Vehiculo],MATCH(F1361,Vehiculos[Placa Vehiculo],0)),""))</f>
        <v>Disponible</v>
      </c>
      <c r="H1361" s="34"/>
      <c r="I1361" s="34" t="s">
        <v>273</v>
      </c>
      <c r="J1361" s="34" t="s">
        <v>274</v>
      </c>
      <c r="K1361" s="39">
        <v>45259</v>
      </c>
      <c r="L1361" s="39">
        <v>45772</v>
      </c>
      <c r="M1361" s="15">
        <f>L1361-K1361</f>
        <v>513</v>
      </c>
      <c r="N1361" s="15"/>
      <c r="O1361" s="39"/>
      <c r="P1361" s="36">
        <v>0.76</v>
      </c>
      <c r="Q1361" s="16">
        <f>M1361*P1361</f>
        <v>389.88</v>
      </c>
      <c r="R1361" s="34" t="s">
        <v>273</v>
      </c>
      <c r="S1361" s="34" t="s">
        <v>102</v>
      </c>
      <c r="T1361" s="36">
        <v>2.8</v>
      </c>
      <c r="U1361" s="36">
        <f>Rutas[[#This Row],[Precio x Galón ($/gal)]]*Rutas[[#This Row],[Volumen de Combustible (gal)]]</f>
        <v>287.476</v>
      </c>
      <c r="V1361" s="36"/>
      <c r="W1361" s="36"/>
      <c r="X1361" s="36"/>
      <c r="Y1361" s="145">
        <f>U1361+SUM(V1361:X1361)</f>
        <v>287.476</v>
      </c>
      <c r="Z1361" s="567"/>
      <c r="AA1361" s="12">
        <v>102.67</v>
      </c>
      <c r="AB1361" s="12">
        <f>IFERROR(M1361/AA1361,0)</f>
        <v>4.9965910197720849</v>
      </c>
      <c r="AC1361" s="12">
        <f>IFERROR(Q1361/M1361,0)</f>
        <v>0.76</v>
      </c>
      <c r="AD1361" s="34"/>
    </row>
    <row r="1362" spans="1:30" ht="16" x14ac:dyDescent="0.2">
      <c r="A1362" s="47"/>
      <c r="C1362" s="176">
        <f t="shared" si="418"/>
        <v>1359</v>
      </c>
      <c r="D1362" s="454">
        <v>45942</v>
      </c>
      <c r="E1362" s="37">
        <v>45946</v>
      </c>
      <c r="F1362" s="65" t="s">
        <v>350</v>
      </c>
      <c r="G1362" s="11" t="str">
        <f ca="1">IF(AND(E1362&lt;&gt;"",E1362&lt;TODAY()),"Disponible",IFERROR(INDEX(Vehiculos[Estado Vehiculo],MATCH(F1362,Vehiculos[Placa Vehiculo],0)),""))</f>
        <v>Disponible</v>
      </c>
      <c r="H1362" s="34"/>
      <c r="I1362" s="34" t="s">
        <v>273</v>
      </c>
      <c r="J1362" s="34" t="s">
        <v>274</v>
      </c>
      <c r="K1362" s="39">
        <v>45772</v>
      </c>
      <c r="L1362" s="39">
        <v>46363</v>
      </c>
      <c r="M1362" s="15">
        <f>L1362-K1362</f>
        <v>591</v>
      </c>
      <c r="N1362" s="15"/>
      <c r="O1362" s="39"/>
      <c r="P1362" s="36">
        <v>0.76</v>
      </c>
      <c r="Q1362" s="16">
        <f>M1362*P1362</f>
        <v>449.16</v>
      </c>
      <c r="R1362" s="34" t="s">
        <v>273</v>
      </c>
      <c r="S1362" s="34" t="s">
        <v>102</v>
      </c>
      <c r="T1362" s="36">
        <v>2.8</v>
      </c>
      <c r="U1362" s="36">
        <f>Rutas[[#This Row],[Precio x Galón ($/gal)]]*Rutas[[#This Row],[Volumen de Combustible (gal)]]</f>
        <v>314.77600000000001</v>
      </c>
      <c r="V1362" s="36"/>
      <c r="W1362" s="36"/>
      <c r="X1362" s="36"/>
      <c r="Y1362" s="145">
        <f>U1362+SUM(V1362:X1362)</f>
        <v>314.77600000000001</v>
      </c>
      <c r="Z1362" s="567"/>
      <c r="AA1362" s="12">
        <v>112.42</v>
      </c>
      <c r="AB1362" s="12">
        <f>IFERROR(M1362/AA1362,0)</f>
        <v>5.25707169542786</v>
      </c>
      <c r="AC1362" s="12">
        <f>IFERROR(Q1362/M1362,0)</f>
        <v>0.76</v>
      </c>
      <c r="AD1362" s="34"/>
    </row>
    <row r="1363" spans="1:30" ht="16" x14ac:dyDescent="0.2">
      <c r="A1363" s="47"/>
      <c r="C1363" s="176">
        <f t="shared" si="418"/>
        <v>1360</v>
      </c>
      <c r="D1363" s="454">
        <v>45946</v>
      </c>
      <c r="E1363" s="37">
        <v>45949</v>
      </c>
      <c r="F1363" s="65" t="s">
        <v>350</v>
      </c>
      <c r="G1363" s="11" t="str">
        <f ca="1">IF(AND(E1363&lt;&gt;"",E1363&lt;TODAY()),"Disponible",IFERROR(INDEX(Vehiculos[Estado Vehiculo],MATCH(F1363,Vehiculos[Placa Vehiculo],0)),""))</f>
        <v>Disponible</v>
      </c>
      <c r="H1363" s="34"/>
      <c r="I1363" s="34" t="s">
        <v>273</v>
      </c>
      <c r="J1363" s="34" t="s">
        <v>274</v>
      </c>
      <c r="K1363" s="39">
        <v>46363</v>
      </c>
      <c r="L1363" s="39">
        <v>46866</v>
      </c>
      <c r="M1363" s="15">
        <f>L1363-K1363</f>
        <v>503</v>
      </c>
      <c r="N1363" s="15"/>
      <c r="O1363" s="39"/>
      <c r="P1363" s="36">
        <v>0.76</v>
      </c>
      <c r="Q1363" s="16">
        <f>M1363*P1363</f>
        <v>382.28000000000003</v>
      </c>
      <c r="R1363" s="34" t="s">
        <v>273</v>
      </c>
      <c r="S1363" s="34" t="s">
        <v>102</v>
      </c>
      <c r="T1363" s="36">
        <v>2.8</v>
      </c>
      <c r="U1363" s="36">
        <f>Rutas[[#This Row],[Precio x Galón ($/gal)]]*Rutas[[#This Row],[Volumen de Combustible (gal)]]</f>
        <v>259.53199999999998</v>
      </c>
      <c r="V1363" s="36"/>
      <c r="W1363" s="36"/>
      <c r="X1363" s="36"/>
      <c r="Y1363" s="145">
        <f>U1363+SUM(V1363:X1363)</f>
        <v>259.53199999999998</v>
      </c>
      <c r="Z1363" s="567"/>
      <c r="AA1363" s="12">
        <v>92.69</v>
      </c>
      <c r="AB1363" s="12">
        <f>IFERROR(M1363/AA1363,0)</f>
        <v>5.4266911209407702</v>
      </c>
      <c r="AC1363" s="12">
        <f>IFERROR(Q1363/M1363,0)</f>
        <v>0.76</v>
      </c>
      <c r="AD1363" s="34"/>
    </row>
    <row r="1364" spans="1:30" ht="16" x14ac:dyDescent="0.2">
      <c r="A1364" s="47"/>
      <c r="C1364" s="176">
        <f t="shared" si="418"/>
        <v>1361</v>
      </c>
      <c r="D1364" s="454">
        <v>45949</v>
      </c>
      <c r="E1364" s="37">
        <v>45952</v>
      </c>
      <c r="F1364" s="65" t="s">
        <v>350</v>
      </c>
      <c r="G1364" s="11" t="str">
        <f ca="1">IF(AND(E1364&lt;&gt;"",E1364&lt;TODAY()),"Disponible",IFERROR(INDEX(Vehiculos[Estado Vehiculo],MATCH(F1364,Vehiculos[Placa Vehiculo],0)),""))</f>
        <v>Disponible</v>
      </c>
      <c r="H1364" s="34"/>
      <c r="I1364" s="34" t="s">
        <v>273</v>
      </c>
      <c r="J1364" s="34" t="s">
        <v>274</v>
      </c>
      <c r="K1364" s="39">
        <v>46866</v>
      </c>
      <c r="L1364" s="39">
        <v>47359</v>
      </c>
      <c r="M1364" s="15">
        <f t="shared" ref="M1364:M1372" si="424">L1364-K1364</f>
        <v>493</v>
      </c>
      <c r="N1364" s="15"/>
      <c r="O1364" s="39"/>
      <c r="P1364" s="36">
        <v>0.76</v>
      </c>
      <c r="Q1364" s="16">
        <f t="shared" ref="Q1364:Q1372" si="425">M1364*P1364</f>
        <v>374.68</v>
      </c>
      <c r="R1364" s="34" t="s">
        <v>273</v>
      </c>
      <c r="S1364" s="34" t="s">
        <v>102</v>
      </c>
      <c r="T1364" s="36">
        <v>2.8</v>
      </c>
      <c r="U1364" s="36">
        <f>Rutas[[#This Row],[Precio x Galón ($/gal)]]*Rutas[[#This Row],[Volumen de Combustible (gal)]]</f>
        <v>245.50399999999999</v>
      </c>
      <c r="V1364" s="36"/>
      <c r="W1364" s="36"/>
      <c r="X1364" s="36"/>
      <c r="Y1364" s="145">
        <f t="shared" ref="Y1364:Y1372" si="426">U1364+SUM(V1364:X1364)</f>
        <v>245.50399999999999</v>
      </c>
      <c r="Z1364" s="567"/>
      <c r="AA1364" s="12">
        <v>87.68</v>
      </c>
      <c r="AB1364" s="12">
        <f t="shared" ref="AB1364:AB1372" si="427">IFERROR(M1364/AA1364,0)</f>
        <v>5.6227189781021893</v>
      </c>
      <c r="AC1364" s="12">
        <f t="shared" ref="AC1364:AC1372" si="428">IFERROR(Q1364/M1364,0)</f>
        <v>0.76</v>
      </c>
      <c r="AD1364" s="34"/>
    </row>
    <row r="1365" spans="1:30" ht="16" x14ac:dyDescent="0.2">
      <c r="A1365" s="47"/>
      <c r="C1365" s="176">
        <f t="shared" si="418"/>
        <v>1362</v>
      </c>
      <c r="D1365" s="454">
        <v>45952</v>
      </c>
      <c r="E1365" s="37">
        <v>45954</v>
      </c>
      <c r="F1365" s="65" t="s">
        <v>350</v>
      </c>
      <c r="G1365" s="11" t="str">
        <f ca="1">IF(AND(E1365&lt;&gt;"",E1365&lt;TODAY()),"Disponible",IFERROR(INDEX(Vehiculos[Estado Vehiculo],MATCH(F1365,Vehiculos[Placa Vehiculo],0)),""))</f>
        <v>Disponible</v>
      </c>
      <c r="H1365" s="34"/>
      <c r="I1365" s="34" t="s">
        <v>273</v>
      </c>
      <c r="J1365" s="34" t="s">
        <v>274</v>
      </c>
      <c r="K1365" s="39">
        <v>47359</v>
      </c>
      <c r="L1365" s="39">
        <v>47846</v>
      </c>
      <c r="M1365" s="15">
        <f>L1365-K1365</f>
        <v>487</v>
      </c>
      <c r="N1365" s="15"/>
      <c r="O1365" s="39"/>
      <c r="P1365" s="36">
        <v>0.76</v>
      </c>
      <c r="Q1365" s="16">
        <f>M1365*P1365</f>
        <v>370.12</v>
      </c>
      <c r="R1365" s="34" t="s">
        <v>273</v>
      </c>
      <c r="S1365" s="34" t="s">
        <v>102</v>
      </c>
      <c r="T1365" s="36">
        <v>2.8</v>
      </c>
      <c r="U1365" s="36">
        <f>Rutas[[#This Row],[Precio x Galón ($/gal)]]*Rutas[[#This Row],[Volumen de Combustible (gal)]]</f>
        <v>247.184</v>
      </c>
      <c r="V1365" s="36"/>
      <c r="W1365" s="36"/>
      <c r="X1365" s="36"/>
      <c r="Y1365" s="145">
        <f>U1365+SUM(V1365:X1365)</f>
        <v>247.184</v>
      </c>
      <c r="Z1365" s="567"/>
      <c r="AA1365" s="12">
        <v>88.28</v>
      </c>
      <c r="AB1365" s="12">
        <f>IFERROR(M1365/AA1365,0)</f>
        <v>5.5165382872677844</v>
      </c>
      <c r="AC1365" s="12">
        <f>IFERROR(Q1365/M1365,0)</f>
        <v>0.76</v>
      </c>
      <c r="AD1365" s="34"/>
    </row>
    <row r="1366" spans="1:30" ht="16" x14ac:dyDescent="0.2">
      <c r="A1366" s="47"/>
      <c r="C1366" s="176">
        <f t="shared" si="418"/>
        <v>1363</v>
      </c>
      <c r="D1366" s="454">
        <v>45954</v>
      </c>
      <c r="E1366" s="37">
        <v>45959</v>
      </c>
      <c r="F1366" s="65" t="s">
        <v>350</v>
      </c>
      <c r="G1366" s="11" t="str">
        <f ca="1">IF(AND(E1366&lt;&gt;"",E1366&lt;TODAY()),"Disponible",IFERROR(INDEX(Vehiculos[Estado Vehiculo],MATCH(F1366,Vehiculos[Placa Vehiculo],0)),""))</f>
        <v>Disponible</v>
      </c>
      <c r="H1366" s="34"/>
      <c r="I1366" s="34" t="s">
        <v>273</v>
      </c>
      <c r="J1366" s="34" t="s">
        <v>274</v>
      </c>
      <c r="K1366" s="39">
        <v>47846</v>
      </c>
      <c r="L1366" s="39">
        <v>48487</v>
      </c>
      <c r="M1366" s="15">
        <f>L1366-K1366</f>
        <v>641</v>
      </c>
      <c r="N1366" s="452">
        <v>620</v>
      </c>
      <c r="O1366" s="39"/>
      <c r="P1366" s="36">
        <v>0.76</v>
      </c>
      <c r="Q1366" s="16">
        <f>M1366*P1366</f>
        <v>487.16</v>
      </c>
      <c r="R1366" s="34" t="s">
        <v>273</v>
      </c>
      <c r="S1366" s="34" t="s">
        <v>102</v>
      </c>
      <c r="T1366" s="36">
        <v>2.8</v>
      </c>
      <c r="U1366" s="36">
        <f>Rutas[[#This Row],[Precio x Galón ($/gal)]]*Rutas[[#This Row],[Volumen de Combustible (gal)]]</f>
        <v>313.45999999999998</v>
      </c>
      <c r="V1366" s="36"/>
      <c r="W1366" s="36"/>
      <c r="X1366" s="36"/>
      <c r="Y1366" s="145">
        <f>U1366+SUM(V1366:X1366)</f>
        <v>313.45999999999998</v>
      </c>
      <c r="Z1366" s="567"/>
      <c r="AA1366" s="12">
        <v>111.95</v>
      </c>
      <c r="AB1366" s="12">
        <f>IFERROR(M1366/AA1366,0)</f>
        <v>5.7257704332291199</v>
      </c>
      <c r="AC1366" s="12">
        <f>IFERROR(Q1366/M1366,0)</f>
        <v>0.76</v>
      </c>
      <c r="AD1366" s="34"/>
    </row>
    <row r="1367" spans="1:30" ht="16" x14ac:dyDescent="0.2">
      <c r="A1367" s="47"/>
      <c r="C1367" s="176">
        <f t="shared" si="418"/>
        <v>1364</v>
      </c>
      <c r="D1367" s="454"/>
      <c r="E1367" s="37"/>
      <c r="F1367" s="65"/>
      <c r="G1367" s="11" t="str">
        <f ca="1">IF(AND(E1367&lt;&gt;"",E1367&lt;TODAY()),"Disponible",IFERROR(INDEX(Vehiculos[Estado Vehiculo],MATCH(F1367,Vehiculos[Placa Vehiculo],0)),""))</f>
        <v/>
      </c>
      <c r="H1367" s="34"/>
      <c r="I1367" s="34"/>
      <c r="J1367" s="34"/>
      <c r="K1367" s="39"/>
      <c r="L1367" s="39"/>
      <c r="M1367" s="15">
        <f>L1367-K1367</f>
        <v>0</v>
      </c>
      <c r="N1367" s="15"/>
      <c r="O1367" s="39"/>
      <c r="P1367" s="36"/>
      <c r="Q1367" s="16">
        <f>M1367*P1367</f>
        <v>0</v>
      </c>
      <c r="R1367" s="34"/>
      <c r="S1367" s="34"/>
      <c r="T1367" s="36"/>
      <c r="U1367" s="36"/>
      <c r="V1367" s="36"/>
      <c r="W1367" s="36"/>
      <c r="X1367" s="36"/>
      <c r="Y1367" s="145">
        <f>U1367+SUM(V1367:X1367)</f>
        <v>0</v>
      </c>
      <c r="Z1367" s="567"/>
      <c r="AA1367" s="12"/>
      <c r="AB1367" s="12">
        <f>IFERROR(M1367/AA1367,0)</f>
        <v>0</v>
      </c>
      <c r="AC1367" s="12">
        <f>IFERROR(Q1367/M1367,0)</f>
        <v>0</v>
      </c>
      <c r="AD1367" s="34"/>
    </row>
    <row r="1368" spans="1:30" ht="16" x14ac:dyDescent="0.2">
      <c r="A1368" s="47"/>
      <c r="C1368" s="176">
        <f t="shared" si="418"/>
        <v>1365</v>
      </c>
      <c r="D1368" s="454"/>
      <c r="E1368" s="37"/>
      <c r="F1368" s="65"/>
      <c r="G1368" s="11" t="str">
        <f ca="1">IF(AND(E1368&lt;&gt;"",E1368&lt;TODAY()),"Disponible",IFERROR(INDEX(Vehiculos[Estado Vehiculo],MATCH(F1368,Vehiculos[Placa Vehiculo],0)),""))</f>
        <v/>
      </c>
      <c r="H1368" s="34"/>
      <c r="I1368" s="34"/>
      <c r="J1368" s="34"/>
      <c r="K1368" s="39"/>
      <c r="L1368" s="39"/>
      <c r="M1368" s="15">
        <f t="shared" si="424"/>
        <v>0</v>
      </c>
      <c r="N1368" s="15"/>
      <c r="O1368" s="39"/>
      <c r="P1368" s="36"/>
      <c r="Q1368" s="16">
        <f t="shared" si="425"/>
        <v>0</v>
      </c>
      <c r="R1368" s="34"/>
      <c r="S1368" s="34"/>
      <c r="T1368" s="36"/>
      <c r="U1368" s="36">
        <f>Rutas[[#This Row],[Precio x Galón ($/gal)]]*Rutas[[#This Row],[Volumen de Combustible (gal)]]</f>
        <v>0</v>
      </c>
      <c r="V1368" s="36"/>
      <c r="W1368" s="36"/>
      <c r="X1368" s="36"/>
      <c r="Y1368" s="145">
        <f t="shared" si="426"/>
        <v>0</v>
      </c>
      <c r="Z1368" s="567"/>
      <c r="AA1368" s="12"/>
      <c r="AB1368" s="12">
        <f t="shared" si="427"/>
        <v>0</v>
      </c>
      <c r="AC1368" s="12">
        <f t="shared" si="428"/>
        <v>0</v>
      </c>
      <c r="AD1368" s="34"/>
    </row>
    <row r="1369" spans="1:30" ht="16" x14ac:dyDescent="0.2">
      <c r="A1369" s="47"/>
      <c r="C1369" s="176">
        <f t="shared" si="418"/>
        <v>1366</v>
      </c>
      <c r="D1369" s="90">
        <v>45933</v>
      </c>
      <c r="E1369" s="90">
        <v>45935</v>
      </c>
      <c r="F1369" s="68" t="s">
        <v>473</v>
      </c>
      <c r="G1369" s="379" t="str">
        <f ca="1">IF(AND(E1369&lt;&gt;"",E1369&lt;TODAY()),"Disponible",IFERROR(INDEX(Vehiculos[Estado Vehiculo],MATCH(F1369,Vehiculos[Placa Vehiculo],0)),""))</f>
        <v>Disponible</v>
      </c>
      <c r="H1369" s="89"/>
      <c r="I1369" s="89" t="s">
        <v>273</v>
      </c>
      <c r="J1369" s="89" t="s">
        <v>274</v>
      </c>
      <c r="K1369" s="380">
        <v>19102</v>
      </c>
      <c r="L1369" s="380">
        <v>19130</v>
      </c>
      <c r="M1369" s="381">
        <f t="shared" si="424"/>
        <v>28</v>
      </c>
      <c r="N1369" s="381"/>
      <c r="O1369" s="380"/>
      <c r="P1369" s="92">
        <v>0.76</v>
      </c>
      <c r="Q1369" s="382">
        <f t="shared" si="425"/>
        <v>21.28</v>
      </c>
      <c r="R1369" s="89" t="s">
        <v>273</v>
      </c>
      <c r="S1369" s="89" t="s">
        <v>102</v>
      </c>
      <c r="T1369" s="92">
        <v>2.8</v>
      </c>
      <c r="U1369" s="92">
        <f>Rutas[[#This Row],[Precio x Galón ($/gal)]]*Rutas[[#This Row],[Volumen de Combustible (gal)]]</f>
        <v>310.65999999999997</v>
      </c>
      <c r="V1369" s="92"/>
      <c r="W1369" s="92"/>
      <c r="X1369" s="92"/>
      <c r="Y1369" s="382">
        <f t="shared" si="426"/>
        <v>310.65999999999997</v>
      </c>
      <c r="Z1369" s="382"/>
      <c r="AA1369" s="382">
        <v>110.95</v>
      </c>
      <c r="AB1369" s="382">
        <f t="shared" si="427"/>
        <v>0.25236593059936907</v>
      </c>
      <c r="AC1369" s="382">
        <f t="shared" si="428"/>
        <v>0.76</v>
      </c>
      <c r="AD1369" s="89"/>
    </row>
    <row r="1370" spans="1:30" ht="16" x14ac:dyDescent="0.2">
      <c r="A1370" s="47"/>
      <c r="C1370" s="176">
        <f t="shared" si="418"/>
        <v>1367</v>
      </c>
      <c r="D1370" s="454">
        <v>45935</v>
      </c>
      <c r="E1370" s="37">
        <v>45936</v>
      </c>
      <c r="F1370" s="65" t="s">
        <v>473</v>
      </c>
      <c r="G1370" s="11" t="str">
        <f ca="1">IF(AND(E1370&lt;&gt;"",E1370&lt;TODAY()),"Disponible",IFERROR(INDEX(Vehiculos[Estado Vehiculo],MATCH(F1370,Vehiculos[Placa Vehiculo],0)),""))</f>
        <v>Disponible</v>
      </c>
      <c r="H1370" s="34"/>
      <c r="I1370" s="34" t="s">
        <v>273</v>
      </c>
      <c r="J1370" s="34" t="s">
        <v>274</v>
      </c>
      <c r="K1370" s="39">
        <v>19130</v>
      </c>
      <c r="L1370" s="39">
        <v>19718</v>
      </c>
      <c r="M1370" s="15">
        <f t="shared" si="424"/>
        <v>588</v>
      </c>
      <c r="N1370" s="15"/>
      <c r="O1370" s="39"/>
      <c r="P1370" s="36">
        <v>0.76</v>
      </c>
      <c r="Q1370" s="16">
        <f t="shared" si="425"/>
        <v>446.88</v>
      </c>
      <c r="R1370" s="34" t="s">
        <v>273</v>
      </c>
      <c r="S1370" s="34" t="s">
        <v>102</v>
      </c>
      <c r="T1370" s="36">
        <v>2.8</v>
      </c>
      <c r="U1370" s="36">
        <f>Rutas[[#This Row],[Precio x Galón ($/gal)]]*Rutas[[#This Row],[Volumen de Combustible (gal)]]</f>
        <v>300.21599999999995</v>
      </c>
      <c r="V1370" s="36"/>
      <c r="W1370" s="36"/>
      <c r="X1370" s="36"/>
      <c r="Y1370" s="145">
        <f t="shared" si="426"/>
        <v>300.21599999999995</v>
      </c>
      <c r="Z1370" s="567"/>
      <c r="AA1370" s="12">
        <v>107.22</v>
      </c>
      <c r="AB1370" s="12">
        <f t="shared" si="427"/>
        <v>5.4840514829322888</v>
      </c>
      <c r="AC1370" s="12">
        <f t="shared" si="428"/>
        <v>0.76</v>
      </c>
      <c r="AD1370" s="34"/>
    </row>
    <row r="1371" spans="1:30" ht="16" x14ac:dyDescent="0.2">
      <c r="A1371" s="47"/>
      <c r="C1371" s="176">
        <f t="shared" si="418"/>
        <v>1368</v>
      </c>
      <c r="D1371" s="454">
        <v>45936</v>
      </c>
      <c r="E1371" s="37">
        <v>45938</v>
      </c>
      <c r="F1371" s="65" t="s">
        <v>473</v>
      </c>
      <c r="G1371" s="11" t="str">
        <f ca="1">IF(AND(E1371&lt;&gt;"",E1371&lt;TODAY()),"Disponible",IFERROR(INDEX(Vehiculos[Estado Vehiculo],MATCH(F1371,Vehiculos[Placa Vehiculo],0)),""))</f>
        <v>Disponible</v>
      </c>
      <c r="H1371" s="34"/>
      <c r="I1371" s="34" t="s">
        <v>273</v>
      </c>
      <c r="J1371" s="34" t="s">
        <v>274</v>
      </c>
      <c r="K1371" s="39">
        <v>19718</v>
      </c>
      <c r="L1371" s="39">
        <v>20153</v>
      </c>
      <c r="M1371" s="15">
        <f t="shared" si="424"/>
        <v>435</v>
      </c>
      <c r="N1371" s="15"/>
      <c r="O1371" s="39"/>
      <c r="P1371" s="36">
        <v>0.76</v>
      </c>
      <c r="Q1371" s="16">
        <f t="shared" si="425"/>
        <v>330.6</v>
      </c>
      <c r="R1371" s="34" t="s">
        <v>273</v>
      </c>
      <c r="S1371" s="34" t="s">
        <v>102</v>
      </c>
      <c r="T1371" s="36">
        <v>2.8</v>
      </c>
      <c r="U1371" s="36">
        <f>Rutas[[#This Row],[Precio x Galón ($/gal)]]*Rutas[[#This Row],[Volumen de Combustible (gal)]]</f>
        <v>202.49599999999998</v>
      </c>
      <c r="V1371" s="36"/>
      <c r="W1371" s="36"/>
      <c r="X1371" s="36"/>
      <c r="Y1371" s="145">
        <f t="shared" si="426"/>
        <v>202.49599999999998</v>
      </c>
      <c r="Z1371" s="567"/>
      <c r="AA1371" s="12">
        <v>72.319999999999993</v>
      </c>
      <c r="AB1371" s="12">
        <f t="shared" si="427"/>
        <v>6.0149336283185848</v>
      </c>
      <c r="AC1371" s="12">
        <f t="shared" si="428"/>
        <v>0.76</v>
      </c>
      <c r="AD1371" s="34"/>
    </row>
    <row r="1372" spans="1:30" ht="16" x14ac:dyDescent="0.2">
      <c r="A1372" s="47"/>
      <c r="C1372" s="176">
        <f t="shared" si="418"/>
        <v>1369</v>
      </c>
      <c r="D1372" s="454">
        <v>45938</v>
      </c>
      <c r="E1372" s="37">
        <v>45941</v>
      </c>
      <c r="F1372" s="65" t="s">
        <v>473</v>
      </c>
      <c r="G1372" s="11" t="str">
        <f ca="1">IF(AND(E1372&lt;&gt;"",E1372&lt;TODAY()),"Disponible",IFERROR(INDEX(Vehiculos[Estado Vehiculo],MATCH(F1372,Vehiculos[Placa Vehiculo],0)),""))</f>
        <v>Disponible</v>
      </c>
      <c r="H1372" s="34"/>
      <c r="I1372" s="34" t="s">
        <v>273</v>
      </c>
      <c r="J1372" s="34" t="s">
        <v>274</v>
      </c>
      <c r="K1372" s="39">
        <v>20153</v>
      </c>
      <c r="L1372" s="39">
        <v>20756</v>
      </c>
      <c r="M1372" s="15">
        <f t="shared" si="424"/>
        <v>603</v>
      </c>
      <c r="N1372" s="15"/>
      <c r="O1372" s="39"/>
      <c r="P1372" s="36">
        <v>0.76</v>
      </c>
      <c r="Q1372" s="16">
        <f t="shared" si="425"/>
        <v>458.28000000000003</v>
      </c>
      <c r="R1372" s="34" t="s">
        <v>273</v>
      </c>
      <c r="S1372" s="34" t="s">
        <v>102</v>
      </c>
      <c r="T1372" s="36">
        <v>2.8</v>
      </c>
      <c r="U1372" s="36">
        <f>Rutas[[#This Row],[Precio x Galón ($/gal)]]*Rutas[[#This Row],[Volumen de Combustible (gal)]]</f>
        <v>277.73199999999997</v>
      </c>
      <c r="V1372" s="36"/>
      <c r="W1372" s="36"/>
      <c r="X1372" s="36"/>
      <c r="Y1372" s="145">
        <f t="shared" si="426"/>
        <v>277.73199999999997</v>
      </c>
      <c r="Z1372" s="567"/>
      <c r="AA1372" s="12">
        <v>99.19</v>
      </c>
      <c r="AB1372" s="12">
        <f t="shared" si="427"/>
        <v>6.0792418590583726</v>
      </c>
      <c r="AC1372" s="12">
        <f t="shared" si="428"/>
        <v>0.76</v>
      </c>
      <c r="AD1372" s="34"/>
    </row>
    <row r="1373" spans="1:30" ht="16" x14ac:dyDescent="0.2">
      <c r="A1373" s="47"/>
      <c r="C1373" s="176">
        <f t="shared" si="418"/>
        <v>1370</v>
      </c>
      <c r="D1373" s="146">
        <v>45941</v>
      </c>
      <c r="E1373" s="37">
        <v>45945</v>
      </c>
      <c r="F1373" s="65" t="s">
        <v>473</v>
      </c>
      <c r="G1373" s="11" t="str">
        <f ca="1">IF(AND(E1373&lt;&gt;"",E1373&lt;TODAY()),"Disponible",IFERROR(INDEX(Vehiculos[Estado Vehiculo],MATCH(F1373,Vehiculos[Placa Vehiculo],0)),""))</f>
        <v>Disponible</v>
      </c>
      <c r="H1373" s="34"/>
      <c r="I1373" s="34" t="s">
        <v>273</v>
      </c>
      <c r="J1373" s="34" t="s">
        <v>274</v>
      </c>
      <c r="K1373" s="39">
        <v>20756</v>
      </c>
      <c r="L1373" s="39">
        <v>21471</v>
      </c>
      <c r="M1373" s="15">
        <f t="shared" si="413"/>
        <v>715</v>
      </c>
      <c r="N1373" s="452">
        <v>340</v>
      </c>
      <c r="O1373" s="39"/>
      <c r="P1373" s="36">
        <v>0.76</v>
      </c>
      <c r="Q1373" s="16">
        <f t="shared" si="414"/>
        <v>543.4</v>
      </c>
      <c r="R1373" s="34" t="s">
        <v>273</v>
      </c>
      <c r="S1373" s="34" t="s">
        <v>102</v>
      </c>
      <c r="T1373" s="36">
        <v>2.8</v>
      </c>
      <c r="U1373" s="36">
        <f>Rutas[[#This Row],[Precio x Galón ($/gal)]]*Rutas[[#This Row],[Volumen de Combustible (gal)]]</f>
        <v>328.44</v>
      </c>
      <c r="V1373" s="36"/>
      <c r="W1373" s="36"/>
      <c r="X1373" s="36"/>
      <c r="Y1373" s="145">
        <f t="shared" si="415"/>
        <v>328.44</v>
      </c>
      <c r="Z1373" s="572"/>
      <c r="AA1373" s="12">
        <v>117.3</v>
      </c>
      <c r="AB1373" s="12">
        <f t="shared" si="416"/>
        <v>6.0954816709292414</v>
      </c>
      <c r="AC1373" s="12">
        <f t="shared" si="417"/>
        <v>0.76</v>
      </c>
      <c r="AD1373" s="34"/>
    </row>
    <row r="1374" spans="1:30" ht="16" x14ac:dyDescent="0.2">
      <c r="A1374" s="47"/>
      <c r="C1374" s="176">
        <f t="shared" si="418"/>
        <v>1371</v>
      </c>
      <c r="D1374" s="454"/>
      <c r="E1374" s="37"/>
      <c r="F1374" s="65"/>
      <c r="G1374" s="11" t="str">
        <f ca="1">IF(AND(E1374&lt;&gt;"",E1374&lt;TODAY()),"Disponible",IFERROR(INDEX(Vehiculos[Estado Vehiculo],MATCH(F1374,Vehiculos[Placa Vehiculo],0)),""))</f>
        <v/>
      </c>
      <c r="H1374" s="34"/>
      <c r="I1374" s="34"/>
      <c r="J1374" s="34"/>
      <c r="K1374" s="39"/>
      <c r="L1374" s="39"/>
      <c r="M1374" s="15">
        <f>L1374-K1374</f>
        <v>0</v>
      </c>
      <c r="N1374" s="15"/>
      <c r="O1374" s="39"/>
      <c r="P1374" s="36"/>
      <c r="Q1374" s="16">
        <f>M1374*P1374</f>
        <v>0</v>
      </c>
      <c r="R1374" s="34"/>
      <c r="S1374" s="34"/>
      <c r="T1374" s="36"/>
      <c r="U1374" s="36"/>
      <c r="V1374" s="36"/>
      <c r="W1374" s="36"/>
      <c r="X1374" s="36"/>
      <c r="Y1374" s="145">
        <f>U1374+SUM(V1374:X1374)</f>
        <v>0</v>
      </c>
      <c r="Z1374" s="567"/>
      <c r="AA1374" s="12"/>
      <c r="AB1374" s="12">
        <f>IFERROR(M1374/AA1374,0)</f>
        <v>0</v>
      </c>
      <c r="AC1374" s="12">
        <f>IFERROR(Q1374/M1374,0)</f>
        <v>0</v>
      </c>
      <c r="AD1374" s="34"/>
    </row>
    <row r="1375" spans="1:30" ht="16" x14ac:dyDescent="0.2">
      <c r="A1375" s="47"/>
      <c r="C1375" s="176">
        <f t="shared" si="418"/>
        <v>1372</v>
      </c>
      <c r="D1375" s="146"/>
      <c r="E1375" s="37"/>
      <c r="F1375" s="65"/>
      <c r="G1375" s="11" t="str">
        <f ca="1">IF(AND(E1375&lt;&gt;"",E1375&lt;TODAY()),"Disponible",IFERROR(INDEX(Vehiculos[Estado Vehiculo],MATCH(F1375,Vehiculos[Placa Vehiculo],0)),""))</f>
        <v/>
      </c>
      <c r="H1375" s="34"/>
      <c r="I1375" s="34"/>
      <c r="J1375" s="34"/>
      <c r="K1375" s="39"/>
      <c r="L1375" s="39"/>
      <c r="M1375" s="15">
        <f t="shared" si="413"/>
        <v>0</v>
      </c>
      <c r="N1375" s="15"/>
      <c r="O1375" s="39"/>
      <c r="P1375" s="36"/>
      <c r="Q1375" s="16">
        <f t="shared" si="414"/>
        <v>0</v>
      </c>
      <c r="R1375" s="34"/>
      <c r="S1375" s="34"/>
      <c r="T1375" s="36"/>
      <c r="U1375" s="36">
        <f>Rutas[[#This Row],[Precio x Galón ($/gal)]]*Rutas[[#This Row],[Volumen de Combustible (gal)]]</f>
        <v>0</v>
      </c>
      <c r="V1375" s="36"/>
      <c r="W1375" s="36"/>
      <c r="X1375" s="36"/>
      <c r="Y1375" s="145">
        <f t="shared" si="415"/>
        <v>0</v>
      </c>
      <c r="Z1375" s="572"/>
      <c r="AA1375" s="12"/>
      <c r="AB1375" s="12">
        <f t="shared" si="416"/>
        <v>0</v>
      </c>
      <c r="AC1375" s="12">
        <f t="shared" si="417"/>
        <v>0</v>
      </c>
      <c r="AD1375" s="34"/>
    </row>
    <row r="1376" spans="1:30" ht="16" x14ac:dyDescent="0.2">
      <c r="A1376" s="47"/>
      <c r="C1376" s="176">
        <f t="shared" si="418"/>
        <v>1373</v>
      </c>
      <c r="D1376" s="90">
        <v>45931</v>
      </c>
      <c r="E1376" s="90">
        <v>45944</v>
      </c>
      <c r="F1376" s="68" t="s">
        <v>403</v>
      </c>
      <c r="G1376" s="379" t="str">
        <f ca="1">IF(AND(E1376&lt;&gt;"",E1376&lt;TODAY()),"Disponible",IFERROR(INDEX(Vehiculos[Estado Vehiculo],MATCH(F1376,Vehiculos[Placa Vehiculo],0)),""))</f>
        <v>Disponible</v>
      </c>
      <c r="H1376" s="89" t="s">
        <v>411</v>
      </c>
      <c r="I1376" s="89" t="s">
        <v>273</v>
      </c>
      <c r="J1376" s="89" t="s">
        <v>282</v>
      </c>
      <c r="K1376" s="380">
        <v>200031</v>
      </c>
      <c r="L1376" s="380">
        <v>202496</v>
      </c>
      <c r="M1376" s="381">
        <f t="shared" si="413"/>
        <v>2465</v>
      </c>
      <c r="N1376" s="381"/>
      <c r="O1376" s="380"/>
      <c r="P1376" s="92">
        <v>0.76</v>
      </c>
      <c r="Q1376" s="382">
        <f t="shared" si="414"/>
        <v>1873.4</v>
      </c>
      <c r="R1376" s="89"/>
      <c r="S1376" s="89" t="s">
        <v>102</v>
      </c>
      <c r="T1376" s="92">
        <v>2.8</v>
      </c>
      <c r="U1376" s="92">
        <f>Rutas[[#This Row],[Precio x Galón ($/gal)]]*Rutas[[#This Row],[Volumen de Combustible (gal)]]</f>
        <v>687.98799999999994</v>
      </c>
      <c r="V1376" s="92"/>
      <c r="W1376" s="92"/>
      <c r="X1376" s="92"/>
      <c r="Y1376" s="382">
        <f t="shared" si="415"/>
        <v>687.98799999999994</v>
      </c>
      <c r="Z1376" s="572"/>
      <c r="AA1376" s="382">
        <v>245.71</v>
      </c>
      <c r="AB1376" s="382">
        <f t="shared" si="416"/>
        <v>10.032151723576574</v>
      </c>
      <c r="AC1376" s="382">
        <f t="shared" si="417"/>
        <v>0.76</v>
      </c>
      <c r="AD1376" s="89"/>
    </row>
    <row r="1377" spans="1:30" ht="16" x14ac:dyDescent="0.2">
      <c r="A1377" s="47"/>
      <c r="C1377" s="176">
        <f t="shared" si="418"/>
        <v>1374</v>
      </c>
      <c r="D1377" s="146">
        <v>45944</v>
      </c>
      <c r="E1377" s="37">
        <v>45950</v>
      </c>
      <c r="F1377" s="65" t="s">
        <v>403</v>
      </c>
      <c r="G1377" s="11" t="str">
        <f ca="1">IF(AND(E1377&lt;&gt;"",E1377&lt;TODAY()),"Disponible",IFERROR(INDEX(Vehiculos[Estado Vehiculo],MATCH(F1377,Vehiculos[Placa Vehiculo],0)),""))</f>
        <v>Disponible</v>
      </c>
      <c r="H1377" s="34" t="s">
        <v>425</v>
      </c>
      <c r="I1377" s="34" t="s">
        <v>273</v>
      </c>
      <c r="J1377" s="34" t="s">
        <v>282</v>
      </c>
      <c r="K1377" s="39">
        <v>202496</v>
      </c>
      <c r="L1377" s="39">
        <v>202959</v>
      </c>
      <c r="M1377" s="15">
        <f t="shared" si="413"/>
        <v>463</v>
      </c>
      <c r="N1377" s="15"/>
      <c r="O1377" s="39"/>
      <c r="P1377" s="36">
        <v>0.76</v>
      </c>
      <c r="Q1377" s="16">
        <f t="shared" si="414"/>
        <v>351.88</v>
      </c>
      <c r="R1377" s="34"/>
      <c r="S1377" s="34" t="s">
        <v>102</v>
      </c>
      <c r="T1377" s="36">
        <v>2.8</v>
      </c>
      <c r="U1377" s="36">
        <f>Rutas[[#This Row],[Precio x Galón ($/gal)]]*Rutas[[#This Row],[Volumen de Combustible (gal)]]</f>
        <v>1022.56</v>
      </c>
      <c r="V1377" s="36"/>
      <c r="W1377" s="36"/>
      <c r="X1377" s="36"/>
      <c r="Y1377" s="145">
        <f t="shared" si="415"/>
        <v>1022.56</v>
      </c>
      <c r="Z1377" s="572"/>
      <c r="AA1377" s="12">
        <v>365.2</v>
      </c>
      <c r="AB1377" s="12">
        <f t="shared" si="416"/>
        <v>1.2677984665936473</v>
      </c>
      <c r="AC1377" s="12">
        <f t="shared" si="417"/>
        <v>0.76</v>
      </c>
      <c r="AD1377" s="34"/>
    </row>
    <row r="1378" spans="1:30" ht="16" x14ac:dyDescent="0.2">
      <c r="A1378" s="47"/>
      <c r="C1378" s="176">
        <f t="shared" si="418"/>
        <v>1375</v>
      </c>
      <c r="D1378" s="146">
        <v>45950</v>
      </c>
      <c r="E1378" s="37">
        <v>45960</v>
      </c>
      <c r="F1378" s="65" t="s">
        <v>403</v>
      </c>
      <c r="G1378" s="11" t="str">
        <f ca="1">IF(AND(E1378&lt;&gt;"",E1378&lt;TODAY()),"Disponible",IFERROR(INDEX(Vehiculos[Estado Vehiculo],MATCH(F1378,Vehiculos[Placa Vehiculo],0)),""))</f>
        <v>Disponible</v>
      </c>
      <c r="H1378" s="34" t="s">
        <v>411</v>
      </c>
      <c r="I1378" s="34" t="s">
        <v>273</v>
      </c>
      <c r="J1378" s="34" t="s">
        <v>282</v>
      </c>
      <c r="K1378" s="39">
        <v>202959</v>
      </c>
      <c r="L1378" s="39">
        <v>204842</v>
      </c>
      <c r="M1378" s="15">
        <f t="shared" si="413"/>
        <v>1883</v>
      </c>
      <c r="N1378" s="452">
        <v>315</v>
      </c>
      <c r="O1378" s="39"/>
      <c r="P1378" s="36">
        <v>0.76</v>
      </c>
      <c r="Q1378" s="16">
        <f t="shared" si="414"/>
        <v>1431.08</v>
      </c>
      <c r="R1378" s="34"/>
      <c r="S1378" s="34" t="s">
        <v>102</v>
      </c>
      <c r="T1378" s="36">
        <v>2.8</v>
      </c>
      <c r="U1378" s="36">
        <f>Rutas[[#This Row],[Precio x Galón ($/gal)]]*Rutas[[#This Row],[Volumen de Combustible (gal)]]</f>
        <v>545.72</v>
      </c>
      <c r="V1378" s="36"/>
      <c r="W1378" s="36"/>
      <c r="X1378" s="36"/>
      <c r="Y1378" s="145">
        <f t="shared" si="415"/>
        <v>545.72</v>
      </c>
      <c r="Z1378" s="572"/>
      <c r="AA1378" s="12">
        <v>194.9</v>
      </c>
      <c r="AB1378" s="12">
        <f t="shared" si="416"/>
        <v>9.6613648024628009</v>
      </c>
      <c r="AC1378" s="12">
        <f t="shared" si="417"/>
        <v>0.76</v>
      </c>
      <c r="AD1378" s="34"/>
    </row>
    <row r="1379" spans="1:30" ht="16" x14ac:dyDescent="0.2">
      <c r="A1379" s="47"/>
      <c r="C1379" s="176">
        <f t="shared" si="418"/>
        <v>1376</v>
      </c>
      <c r="D1379" s="146"/>
      <c r="E1379" s="37"/>
      <c r="F1379" s="65"/>
      <c r="G1379" s="11" t="str">
        <f ca="1">IF(AND(E1379&lt;&gt;"",E1379&lt;TODAY()),"Disponible",IFERROR(INDEX(Vehiculos[Estado Vehiculo],MATCH(F1379,Vehiculos[Placa Vehiculo],0)),""))</f>
        <v/>
      </c>
      <c r="H1379" s="34"/>
      <c r="I1379" s="34"/>
      <c r="J1379" s="34"/>
      <c r="K1379" s="39"/>
      <c r="L1379" s="39"/>
      <c r="M1379" s="15">
        <f t="shared" si="413"/>
        <v>0</v>
      </c>
      <c r="N1379" s="15"/>
      <c r="O1379" s="39"/>
      <c r="P1379" s="36"/>
      <c r="Q1379" s="16">
        <f t="shared" si="414"/>
        <v>0</v>
      </c>
      <c r="R1379" s="34"/>
      <c r="S1379" s="34"/>
      <c r="T1379" s="36"/>
      <c r="U1379" s="36">
        <f>Rutas[[#This Row],[Precio x Galón ($/gal)]]*Rutas[[#This Row],[Volumen de Combustible (gal)]]</f>
        <v>0</v>
      </c>
      <c r="V1379" s="36"/>
      <c r="W1379" s="36"/>
      <c r="X1379" s="36"/>
      <c r="Y1379" s="145">
        <f t="shared" si="415"/>
        <v>0</v>
      </c>
      <c r="Z1379" s="572"/>
      <c r="AA1379" s="12"/>
      <c r="AB1379" s="12">
        <f t="shared" si="416"/>
        <v>0</v>
      </c>
      <c r="AC1379" s="12">
        <f t="shared" si="417"/>
        <v>0</v>
      </c>
      <c r="AD1379" s="34"/>
    </row>
    <row r="1380" spans="1:30" ht="16" x14ac:dyDescent="0.2">
      <c r="A1380" s="47"/>
      <c r="C1380" s="176">
        <f t="shared" si="418"/>
        <v>1377</v>
      </c>
      <c r="D1380" s="90">
        <v>45931</v>
      </c>
      <c r="E1380" s="90">
        <v>45940</v>
      </c>
      <c r="F1380" s="68" t="s">
        <v>213</v>
      </c>
      <c r="G1380" s="379" t="str">
        <f ca="1">IF(AND(E1380&lt;&gt;"",E1380&lt;TODAY()),"Disponible",IFERROR(INDEX(Vehiculos[Estado Vehiculo],MATCH(F1380,Vehiculos[Placa Vehiculo],0)),""))</f>
        <v>Disponible</v>
      </c>
      <c r="H1380" s="89" t="s">
        <v>240</v>
      </c>
      <c r="I1380" s="89" t="s">
        <v>273</v>
      </c>
      <c r="J1380" s="89" t="s">
        <v>317</v>
      </c>
      <c r="K1380" s="380">
        <v>420424</v>
      </c>
      <c r="L1380" s="380">
        <v>422044</v>
      </c>
      <c r="M1380" s="381">
        <f t="shared" si="413"/>
        <v>1620</v>
      </c>
      <c r="N1380" s="381"/>
      <c r="O1380" s="380"/>
      <c r="P1380" s="92">
        <v>0.55000000000000004</v>
      </c>
      <c r="Q1380" s="382">
        <f t="shared" si="414"/>
        <v>891.00000000000011</v>
      </c>
      <c r="R1380" s="89"/>
      <c r="S1380" s="89" t="s">
        <v>102</v>
      </c>
      <c r="T1380" s="92">
        <v>2.8</v>
      </c>
      <c r="U1380" s="92">
        <f>Rutas[[#This Row],[Precio x Galón ($/gal)]]*Rutas[[#This Row],[Volumen de Combustible (gal)]]</f>
        <v>501.39599999999996</v>
      </c>
      <c r="V1380" s="92"/>
      <c r="W1380" s="92"/>
      <c r="X1380" s="92"/>
      <c r="Y1380" s="382">
        <f t="shared" si="415"/>
        <v>501.39599999999996</v>
      </c>
      <c r="Z1380" s="572"/>
      <c r="AA1380" s="382">
        <v>179.07</v>
      </c>
      <c r="AB1380" s="382">
        <f t="shared" si="416"/>
        <v>9.0467414977383154</v>
      </c>
      <c r="AC1380" s="382">
        <f t="shared" si="417"/>
        <v>0.55000000000000004</v>
      </c>
      <c r="AD1380" s="89"/>
    </row>
    <row r="1381" spans="1:30" ht="16" x14ac:dyDescent="0.2">
      <c r="A1381" s="47"/>
      <c r="C1381" s="176">
        <f t="shared" si="418"/>
        <v>1378</v>
      </c>
      <c r="D1381" s="146">
        <v>45940</v>
      </c>
      <c r="E1381" s="37">
        <v>45950</v>
      </c>
      <c r="F1381" s="65" t="s">
        <v>213</v>
      </c>
      <c r="G1381" s="11" t="str">
        <f ca="1">IF(AND(E1381&lt;&gt;"",E1381&lt;TODAY()),"Disponible",IFERROR(INDEX(Vehiculos[Estado Vehiculo],MATCH(F1381,Vehiculos[Placa Vehiculo],0)),""))</f>
        <v>Disponible</v>
      </c>
      <c r="H1381" s="34" t="s">
        <v>232</v>
      </c>
      <c r="I1381" s="34" t="s">
        <v>273</v>
      </c>
      <c r="J1381" s="34" t="s">
        <v>317</v>
      </c>
      <c r="K1381" s="39">
        <v>422044</v>
      </c>
      <c r="L1381" s="39">
        <v>422667</v>
      </c>
      <c r="M1381" s="15">
        <f t="shared" si="413"/>
        <v>623</v>
      </c>
      <c r="N1381" s="15"/>
      <c r="O1381" s="39"/>
      <c r="P1381" s="36">
        <v>0.55000000000000004</v>
      </c>
      <c r="Q1381" s="16">
        <f t="shared" si="414"/>
        <v>342.65000000000003</v>
      </c>
      <c r="R1381" s="34"/>
      <c r="S1381" s="34" t="s">
        <v>102</v>
      </c>
      <c r="T1381" s="36">
        <v>2.8</v>
      </c>
      <c r="U1381" s="36">
        <f>Rutas[[#This Row],[Precio x Galón ($/gal)]]*Rutas[[#This Row],[Volumen de Combustible (gal)]]</f>
        <v>280</v>
      </c>
      <c r="V1381" s="36"/>
      <c r="W1381" s="36"/>
      <c r="X1381" s="36"/>
      <c r="Y1381" s="145">
        <f t="shared" si="415"/>
        <v>280</v>
      </c>
      <c r="Z1381" s="572"/>
      <c r="AA1381" s="12">
        <v>100</v>
      </c>
      <c r="AB1381" s="12">
        <f t="shared" si="416"/>
        <v>6.23</v>
      </c>
      <c r="AC1381" s="12">
        <f t="shared" si="417"/>
        <v>0.55000000000000004</v>
      </c>
      <c r="AD1381" s="34"/>
    </row>
    <row r="1382" spans="1:30" ht="16" x14ac:dyDescent="0.2">
      <c r="A1382" s="47"/>
      <c r="C1382" s="176">
        <f t="shared" si="418"/>
        <v>1379</v>
      </c>
      <c r="D1382" s="146">
        <v>45950</v>
      </c>
      <c r="E1382" s="37">
        <v>45960</v>
      </c>
      <c r="F1382" s="65" t="s">
        <v>213</v>
      </c>
      <c r="G1382" s="11" t="str">
        <f ca="1">IF(AND(E1382&lt;&gt;"",E1382&lt;TODAY()),"Disponible",IFERROR(INDEX(Vehiculos[Estado Vehiculo],MATCH(F1382,Vehiculos[Placa Vehiculo],0)),""))</f>
        <v>Disponible</v>
      </c>
      <c r="H1382" s="34" t="s">
        <v>232</v>
      </c>
      <c r="I1382" s="34" t="s">
        <v>273</v>
      </c>
      <c r="J1382" s="34" t="s">
        <v>317</v>
      </c>
      <c r="K1382" s="39">
        <v>422667</v>
      </c>
      <c r="L1382" s="39">
        <v>423980</v>
      </c>
      <c r="M1382" s="15">
        <f t="shared" si="413"/>
        <v>1313</v>
      </c>
      <c r="N1382" s="452">
        <v>311</v>
      </c>
      <c r="O1382" s="39"/>
      <c r="P1382" s="36">
        <v>0.55000000000000004</v>
      </c>
      <c r="Q1382" s="16">
        <f t="shared" si="414"/>
        <v>722.15000000000009</v>
      </c>
      <c r="R1382" s="34"/>
      <c r="S1382" s="34" t="s">
        <v>102</v>
      </c>
      <c r="T1382" s="36">
        <v>2.8</v>
      </c>
      <c r="U1382" s="36">
        <f>Rutas[[#This Row],[Precio x Galón ($/gal)]]*Rutas[[#This Row],[Volumen de Combustible (gal)]]</f>
        <v>251.99999999999997</v>
      </c>
      <c r="V1382" s="36"/>
      <c r="W1382" s="36"/>
      <c r="X1382" s="36"/>
      <c r="Y1382" s="145">
        <f t="shared" si="415"/>
        <v>251.99999999999997</v>
      </c>
      <c r="Z1382" s="572"/>
      <c r="AA1382" s="12">
        <v>90</v>
      </c>
      <c r="AB1382" s="12">
        <f t="shared" si="416"/>
        <v>14.588888888888889</v>
      </c>
      <c r="AC1382" s="12">
        <f t="shared" si="417"/>
        <v>0.55000000000000004</v>
      </c>
      <c r="AD1382" s="34"/>
    </row>
    <row r="1383" spans="1:30" ht="16" x14ac:dyDescent="0.2">
      <c r="A1383" s="47"/>
      <c r="C1383" s="176">
        <f t="shared" si="418"/>
        <v>1380</v>
      </c>
      <c r="D1383" s="146"/>
      <c r="E1383" s="37"/>
      <c r="F1383" s="65"/>
      <c r="G1383" s="11" t="str">
        <f ca="1">IF(AND(E1383&lt;&gt;"",E1383&lt;TODAY()),"Disponible",IFERROR(INDEX(Vehiculos[Estado Vehiculo],MATCH(F1383,Vehiculos[Placa Vehiculo],0)),""))</f>
        <v/>
      </c>
      <c r="H1383" s="34"/>
      <c r="I1383" s="34"/>
      <c r="J1383" s="34"/>
      <c r="K1383" s="39"/>
      <c r="L1383" s="39"/>
      <c r="M1383" s="15">
        <f t="shared" si="413"/>
        <v>0</v>
      </c>
      <c r="N1383" s="15"/>
      <c r="O1383" s="39"/>
      <c r="P1383" s="36"/>
      <c r="Q1383" s="16">
        <f t="shared" si="414"/>
        <v>0</v>
      </c>
      <c r="R1383" s="34"/>
      <c r="S1383" s="34"/>
      <c r="T1383" s="36"/>
      <c r="U1383" s="36">
        <f>Rutas[[#This Row],[Precio x Galón ($/gal)]]*Rutas[[#This Row],[Volumen de Combustible (gal)]]</f>
        <v>0</v>
      </c>
      <c r="V1383" s="36"/>
      <c r="W1383" s="36"/>
      <c r="X1383" s="36"/>
      <c r="Y1383" s="145">
        <f t="shared" si="415"/>
        <v>0</v>
      </c>
      <c r="Z1383" s="572"/>
      <c r="AA1383" s="12"/>
      <c r="AB1383" s="12">
        <f t="shared" si="416"/>
        <v>0</v>
      </c>
      <c r="AC1383" s="12">
        <f t="shared" si="417"/>
        <v>0</v>
      </c>
      <c r="AD1383" s="34"/>
    </row>
    <row r="1384" spans="1:30" ht="16" x14ac:dyDescent="0.2">
      <c r="A1384" s="47"/>
      <c r="C1384" s="176">
        <f t="shared" si="418"/>
        <v>1381</v>
      </c>
      <c r="D1384" s="90">
        <v>45931</v>
      </c>
      <c r="E1384" s="90">
        <v>45667</v>
      </c>
      <c r="F1384" s="68" t="s">
        <v>365</v>
      </c>
      <c r="G1384" s="379" t="str">
        <f ca="1">IF(AND(E1384&lt;&gt;"",E1384&lt;TODAY()),"Disponible",IFERROR(INDEX(Vehiculos[Estado Vehiculo],MATCH(F1384,Vehiculos[Placa Vehiculo],0)),""))</f>
        <v>Disponible</v>
      </c>
      <c r="H1384" s="89" t="s">
        <v>234</v>
      </c>
      <c r="I1384" s="89" t="s">
        <v>273</v>
      </c>
      <c r="J1384" s="89" t="s">
        <v>274</v>
      </c>
      <c r="K1384" s="380">
        <v>364292</v>
      </c>
      <c r="L1384" s="380">
        <v>365291</v>
      </c>
      <c r="M1384" s="381">
        <f t="shared" si="413"/>
        <v>999</v>
      </c>
      <c r="N1384" s="381"/>
      <c r="O1384" s="380"/>
      <c r="P1384" s="92">
        <v>0.55000000000000004</v>
      </c>
      <c r="Q1384" s="382">
        <f t="shared" si="414"/>
        <v>549.45000000000005</v>
      </c>
      <c r="R1384" s="89"/>
      <c r="S1384" s="89" t="s">
        <v>102</v>
      </c>
      <c r="T1384" s="92">
        <v>2.8</v>
      </c>
      <c r="U1384" s="92">
        <f>Rutas[[#This Row],[Precio x Galón ($/gal)]]*Rutas[[#This Row],[Volumen de Combustible (gal)]]</f>
        <v>512.4</v>
      </c>
      <c r="V1384" s="92"/>
      <c r="W1384" s="92"/>
      <c r="X1384" s="92"/>
      <c r="Y1384" s="382">
        <f t="shared" si="415"/>
        <v>512.4</v>
      </c>
      <c r="Z1384" s="572"/>
      <c r="AA1384" s="382">
        <v>183</v>
      </c>
      <c r="AB1384" s="382">
        <f t="shared" si="416"/>
        <v>5.4590163934426226</v>
      </c>
      <c r="AC1384" s="382">
        <f t="shared" si="417"/>
        <v>0.55000000000000004</v>
      </c>
      <c r="AD1384" s="89"/>
    </row>
    <row r="1385" spans="1:30" ht="16" x14ac:dyDescent="0.2">
      <c r="A1385" s="47"/>
      <c r="C1385" s="176">
        <f t="shared" si="418"/>
        <v>1382</v>
      </c>
      <c r="D1385" s="146">
        <v>45940</v>
      </c>
      <c r="E1385" s="37">
        <v>45950</v>
      </c>
      <c r="F1385" s="65" t="s">
        <v>365</v>
      </c>
      <c r="G1385" s="11" t="str">
        <f ca="1">IF(AND(E1385&lt;&gt;"",E1385&lt;TODAY()),"Disponible",IFERROR(INDEX(Vehiculos[Estado Vehiculo],MATCH(F1385,Vehiculos[Placa Vehiculo],0)),""))</f>
        <v>Disponible</v>
      </c>
      <c r="H1385" s="34" t="s">
        <v>240</v>
      </c>
      <c r="I1385" s="34" t="s">
        <v>273</v>
      </c>
      <c r="J1385" s="34" t="s">
        <v>274</v>
      </c>
      <c r="K1385" s="39">
        <v>365291</v>
      </c>
      <c r="L1385" s="39">
        <v>366050</v>
      </c>
      <c r="M1385" s="15">
        <f t="shared" si="413"/>
        <v>759</v>
      </c>
      <c r="N1385" s="15"/>
      <c r="O1385" s="39"/>
      <c r="P1385" s="36">
        <v>0.55000000000000004</v>
      </c>
      <c r="Q1385" s="16">
        <f t="shared" si="414"/>
        <v>417.45000000000005</v>
      </c>
      <c r="R1385" s="34"/>
      <c r="S1385" s="34" t="s">
        <v>102</v>
      </c>
      <c r="T1385" s="36">
        <v>2.8</v>
      </c>
      <c r="U1385" s="36">
        <f>Rutas[[#This Row],[Precio x Galón ($/gal)]]*Rutas[[#This Row],[Volumen de Combustible (gal)]]</f>
        <v>459.2</v>
      </c>
      <c r="V1385" s="36"/>
      <c r="W1385" s="36"/>
      <c r="X1385" s="36"/>
      <c r="Y1385" s="145">
        <f t="shared" si="415"/>
        <v>459.2</v>
      </c>
      <c r="Z1385" s="572"/>
      <c r="AA1385" s="12">
        <v>164</v>
      </c>
      <c r="AB1385" s="12">
        <f t="shared" si="416"/>
        <v>4.6280487804878048</v>
      </c>
      <c r="AC1385" s="12">
        <f t="shared" si="417"/>
        <v>0.55000000000000004</v>
      </c>
      <c r="AD1385" s="34"/>
    </row>
    <row r="1386" spans="1:30" ht="16" x14ac:dyDescent="0.2">
      <c r="A1386" s="47"/>
      <c r="C1386" s="176">
        <f t="shared" si="418"/>
        <v>1383</v>
      </c>
      <c r="D1386" s="146">
        <v>45950</v>
      </c>
      <c r="E1386" s="37">
        <v>45960</v>
      </c>
      <c r="F1386" s="65" t="s">
        <v>365</v>
      </c>
      <c r="G1386" s="11" t="str">
        <f ca="1">IF(AND(E1386&lt;&gt;"",E1386&lt;TODAY()),"Disponible",IFERROR(INDEX(Vehiculos[Estado Vehiculo],MATCH(F1386,Vehiculos[Placa Vehiculo],0)),""))</f>
        <v>Disponible</v>
      </c>
      <c r="H1386" s="34" t="s">
        <v>234</v>
      </c>
      <c r="I1386" s="34" t="s">
        <v>273</v>
      </c>
      <c r="J1386" s="34" t="s">
        <v>274</v>
      </c>
      <c r="K1386" s="39">
        <v>366050</v>
      </c>
      <c r="L1386" s="39">
        <v>366944</v>
      </c>
      <c r="M1386" s="15">
        <f t="shared" si="413"/>
        <v>894</v>
      </c>
      <c r="N1386" s="452">
        <v>314</v>
      </c>
      <c r="O1386" s="39"/>
      <c r="P1386" s="36">
        <v>0.55000000000000004</v>
      </c>
      <c r="Q1386" s="16">
        <f t="shared" si="414"/>
        <v>491.70000000000005</v>
      </c>
      <c r="R1386" s="34"/>
      <c r="S1386" s="34" t="s">
        <v>102</v>
      </c>
      <c r="T1386" s="36">
        <v>2.8</v>
      </c>
      <c r="U1386" s="36">
        <f>Rutas[[#This Row],[Precio x Galón ($/gal)]]*Rutas[[#This Row],[Volumen de Combustible (gal)]]</f>
        <v>162.39999999999998</v>
      </c>
      <c r="V1386" s="36"/>
      <c r="W1386" s="36"/>
      <c r="X1386" s="36"/>
      <c r="Y1386" s="145">
        <f t="shared" si="415"/>
        <v>162.39999999999998</v>
      </c>
      <c r="Z1386" s="572"/>
      <c r="AA1386" s="12">
        <v>58</v>
      </c>
      <c r="AB1386" s="12">
        <f t="shared" si="416"/>
        <v>15.413793103448276</v>
      </c>
      <c r="AC1386" s="12">
        <f t="shared" si="417"/>
        <v>0.55000000000000004</v>
      </c>
      <c r="AD1386" s="34"/>
    </row>
    <row r="1387" spans="1:30" ht="16" x14ac:dyDescent="0.2">
      <c r="A1387" s="47"/>
      <c r="C1387" s="176">
        <f t="shared" si="418"/>
        <v>1384</v>
      </c>
      <c r="D1387" s="146"/>
      <c r="E1387" s="37"/>
      <c r="F1387" s="65"/>
      <c r="G1387" s="11" t="str">
        <f ca="1">IF(AND(E1387&lt;&gt;"",E1387&lt;TODAY()),"Disponible",IFERROR(INDEX(Vehiculos[Estado Vehiculo],MATCH(F1387,Vehiculos[Placa Vehiculo],0)),""))</f>
        <v/>
      </c>
      <c r="H1387" s="34"/>
      <c r="I1387" s="34"/>
      <c r="J1387" s="34"/>
      <c r="K1387" s="39"/>
      <c r="L1387" s="39"/>
      <c r="M1387" s="15">
        <f t="shared" si="413"/>
        <v>0</v>
      </c>
      <c r="N1387" s="15"/>
      <c r="O1387" s="39"/>
      <c r="P1387" s="36"/>
      <c r="Q1387" s="16">
        <f t="shared" si="414"/>
        <v>0</v>
      </c>
      <c r="R1387" s="34"/>
      <c r="S1387" s="34"/>
      <c r="T1387" s="36"/>
      <c r="U1387" s="36">
        <f>Rutas[[#This Row],[Precio x Galón ($/gal)]]*Rutas[[#This Row],[Volumen de Combustible (gal)]]</f>
        <v>0</v>
      </c>
      <c r="V1387" s="36"/>
      <c r="W1387" s="36"/>
      <c r="X1387" s="36"/>
      <c r="Y1387" s="145">
        <f t="shared" si="415"/>
        <v>0</v>
      </c>
      <c r="Z1387" s="572"/>
      <c r="AA1387" s="12"/>
      <c r="AB1387" s="12">
        <f t="shared" si="416"/>
        <v>0</v>
      </c>
      <c r="AC1387" s="12">
        <f t="shared" si="417"/>
        <v>0</v>
      </c>
      <c r="AD1387" s="34"/>
    </row>
    <row r="1388" spans="1:30" ht="16" x14ac:dyDescent="0.2">
      <c r="A1388" s="47"/>
      <c r="C1388" s="176">
        <f t="shared" si="418"/>
        <v>1385</v>
      </c>
      <c r="D1388" s="90">
        <v>45931</v>
      </c>
      <c r="E1388" s="90">
        <v>45935</v>
      </c>
      <c r="F1388" s="68" t="s">
        <v>286</v>
      </c>
      <c r="G1388" s="379" t="str">
        <f ca="1">IF(AND(E1388&lt;&gt;"",E1388&lt;TODAY()),"Disponible",IFERROR(INDEX(Vehiculos[Estado Vehiculo],MATCH(F1388,Vehiculos[Placa Vehiculo],0)),""))</f>
        <v>Disponible</v>
      </c>
      <c r="H1388" s="89" t="s">
        <v>288</v>
      </c>
      <c r="I1388" s="89" t="s">
        <v>273</v>
      </c>
      <c r="J1388" s="89" t="s">
        <v>379</v>
      </c>
      <c r="K1388" s="380">
        <v>103550</v>
      </c>
      <c r="L1388" s="380">
        <v>104014</v>
      </c>
      <c r="M1388" s="381">
        <f t="shared" si="413"/>
        <v>464</v>
      </c>
      <c r="N1388" s="381"/>
      <c r="O1388" s="380"/>
      <c r="P1388" s="92"/>
      <c r="Q1388" s="382">
        <f t="shared" si="414"/>
        <v>0</v>
      </c>
      <c r="R1388" s="89" t="s">
        <v>273</v>
      </c>
      <c r="S1388" s="89" t="s">
        <v>102</v>
      </c>
      <c r="T1388" s="92">
        <v>2.8</v>
      </c>
      <c r="U1388" s="92">
        <f>Rutas[[#This Row],[Precio x Galón ($/gal)]]*Rutas[[#This Row],[Volumen de Combustible (gal)]]</f>
        <v>35.671999999999997</v>
      </c>
      <c r="V1388" s="92"/>
      <c r="W1388" s="92"/>
      <c r="X1388" s="92"/>
      <c r="Y1388" s="382">
        <f t="shared" si="415"/>
        <v>35.671999999999997</v>
      </c>
      <c r="Z1388" s="572"/>
      <c r="AA1388" s="382">
        <v>12.74</v>
      </c>
      <c r="AB1388" s="382">
        <f t="shared" si="416"/>
        <v>36.42072213500785</v>
      </c>
      <c r="AC1388" s="382">
        <f t="shared" si="417"/>
        <v>0</v>
      </c>
      <c r="AD1388" s="89"/>
    </row>
    <row r="1389" spans="1:30" ht="16" x14ac:dyDescent="0.2">
      <c r="A1389" s="47"/>
      <c r="C1389" s="176">
        <f t="shared" si="418"/>
        <v>1386</v>
      </c>
      <c r="D1389" s="146">
        <v>45935</v>
      </c>
      <c r="E1389" s="37">
        <v>45938</v>
      </c>
      <c r="F1389" s="65" t="s">
        <v>286</v>
      </c>
      <c r="G1389" s="11" t="str">
        <f ca="1">IF(AND(E1389&lt;&gt;"",E1389&lt;TODAY()),"Disponible",IFERROR(INDEX(Vehiculos[Estado Vehiculo],MATCH(F1389,Vehiculos[Placa Vehiculo],0)),""))</f>
        <v>Disponible</v>
      </c>
      <c r="H1389" s="34" t="s">
        <v>288</v>
      </c>
      <c r="I1389" s="34" t="s">
        <v>273</v>
      </c>
      <c r="J1389" s="34" t="s">
        <v>379</v>
      </c>
      <c r="K1389" s="39">
        <v>104014</v>
      </c>
      <c r="L1389" s="39">
        <v>104622</v>
      </c>
      <c r="M1389" s="15">
        <f t="shared" si="413"/>
        <v>608</v>
      </c>
      <c r="N1389" s="15"/>
      <c r="O1389" s="39"/>
      <c r="P1389" s="36"/>
      <c r="Q1389" s="16">
        <f t="shared" si="414"/>
        <v>0</v>
      </c>
      <c r="R1389" s="34" t="s">
        <v>273</v>
      </c>
      <c r="S1389" s="34" t="s">
        <v>102</v>
      </c>
      <c r="T1389" s="36">
        <v>2.8</v>
      </c>
      <c r="U1389" s="36">
        <f>Rutas[[#This Row],[Precio x Galón ($/gal)]]*Rutas[[#This Row],[Volumen de Combustible (gal)]]</f>
        <v>44.688000000000002</v>
      </c>
      <c r="V1389" s="36"/>
      <c r="W1389" s="36"/>
      <c r="X1389" s="36"/>
      <c r="Y1389" s="145">
        <f t="shared" si="415"/>
        <v>44.688000000000002</v>
      </c>
      <c r="Z1389" s="572"/>
      <c r="AA1389" s="12">
        <v>15.96</v>
      </c>
      <c r="AB1389" s="12">
        <f t="shared" si="416"/>
        <v>38.095238095238095</v>
      </c>
      <c r="AC1389" s="12">
        <f t="shared" si="417"/>
        <v>0</v>
      </c>
      <c r="AD1389" s="34"/>
    </row>
    <row r="1390" spans="1:30" ht="16" x14ac:dyDescent="0.2">
      <c r="A1390" s="47"/>
      <c r="C1390" s="176">
        <f t="shared" si="418"/>
        <v>1387</v>
      </c>
      <c r="D1390" s="146">
        <v>45938</v>
      </c>
      <c r="E1390" s="37">
        <v>45940</v>
      </c>
      <c r="F1390" s="65" t="s">
        <v>286</v>
      </c>
      <c r="G1390" s="11" t="str">
        <f ca="1">IF(AND(E1390&lt;&gt;"",E1390&lt;TODAY()),"Disponible",IFERROR(INDEX(Vehiculos[Estado Vehiculo],MATCH(F1390,Vehiculos[Placa Vehiculo],0)),""))</f>
        <v>Disponible</v>
      </c>
      <c r="H1390" s="34" t="s">
        <v>288</v>
      </c>
      <c r="I1390" s="34" t="s">
        <v>273</v>
      </c>
      <c r="J1390" s="34" t="s">
        <v>379</v>
      </c>
      <c r="K1390" s="39">
        <v>104622</v>
      </c>
      <c r="L1390" s="39">
        <v>105167</v>
      </c>
      <c r="M1390" s="15">
        <f t="shared" si="413"/>
        <v>545</v>
      </c>
      <c r="N1390" s="15"/>
      <c r="O1390" s="39"/>
      <c r="P1390" s="36"/>
      <c r="Q1390" s="16">
        <f t="shared" si="414"/>
        <v>0</v>
      </c>
      <c r="R1390" s="34" t="s">
        <v>273</v>
      </c>
      <c r="S1390" s="34" t="s">
        <v>102</v>
      </c>
      <c r="T1390" s="36">
        <v>2.8</v>
      </c>
      <c r="U1390" s="36">
        <f>Rutas[[#This Row],[Precio x Galón ($/gal)]]*Rutas[[#This Row],[Volumen de Combustible (gal)]]</f>
        <v>37.099999999999994</v>
      </c>
      <c r="V1390" s="36"/>
      <c r="W1390" s="36"/>
      <c r="X1390" s="36"/>
      <c r="Y1390" s="145">
        <f t="shared" si="415"/>
        <v>37.099999999999994</v>
      </c>
      <c r="Z1390" s="572"/>
      <c r="AA1390" s="12">
        <v>13.25</v>
      </c>
      <c r="AB1390" s="12">
        <f t="shared" si="416"/>
        <v>41.132075471698116</v>
      </c>
      <c r="AC1390" s="12">
        <f t="shared" si="417"/>
        <v>0</v>
      </c>
      <c r="AD1390" s="34"/>
    </row>
    <row r="1391" spans="1:30" ht="16" x14ac:dyDescent="0.2">
      <c r="A1391" s="47"/>
      <c r="C1391" s="176">
        <f t="shared" si="418"/>
        <v>1388</v>
      </c>
      <c r="D1391" s="454">
        <v>45940</v>
      </c>
      <c r="E1391" s="37">
        <v>45944</v>
      </c>
      <c r="F1391" s="65" t="s">
        <v>286</v>
      </c>
      <c r="G1391" s="11" t="str">
        <f ca="1">IF(AND(E1391&lt;&gt;"",E1391&lt;TODAY()),"Disponible",IFERROR(INDEX(Vehiculos[Estado Vehiculo],MATCH(F1391,Vehiculos[Placa Vehiculo],0)),""))</f>
        <v>Disponible</v>
      </c>
      <c r="H1391" s="34" t="s">
        <v>288</v>
      </c>
      <c r="I1391" s="34" t="s">
        <v>273</v>
      </c>
      <c r="J1391" s="34" t="s">
        <v>379</v>
      </c>
      <c r="K1391" s="39">
        <v>105167</v>
      </c>
      <c r="L1391" s="39">
        <v>105628</v>
      </c>
      <c r="M1391" s="15">
        <f t="shared" ref="M1391:M1397" si="429">L1391-K1391</f>
        <v>461</v>
      </c>
      <c r="N1391" s="15"/>
      <c r="O1391" s="39"/>
      <c r="P1391" s="36"/>
      <c r="Q1391" s="16">
        <f t="shared" ref="Q1391:Q1397" si="430">M1391*P1391</f>
        <v>0</v>
      </c>
      <c r="R1391" s="34" t="s">
        <v>339</v>
      </c>
      <c r="S1391" s="34" t="s">
        <v>102</v>
      </c>
      <c r="T1391" s="36">
        <v>2.8</v>
      </c>
      <c r="U1391" s="36">
        <f>Rutas[[#This Row],[Precio x Galón ($/gal)]]*Rutas[[#This Row],[Volumen de Combustible (gal)]]</f>
        <v>32.535999999999994</v>
      </c>
      <c r="V1391" s="36"/>
      <c r="W1391" s="36"/>
      <c r="X1391" s="36"/>
      <c r="Y1391" s="145">
        <f t="shared" ref="Y1391:Y1397" si="431">U1391+SUM(V1391:X1391)</f>
        <v>32.535999999999994</v>
      </c>
      <c r="Z1391" s="567"/>
      <c r="AA1391" s="12">
        <v>11.62</v>
      </c>
      <c r="AB1391" s="12">
        <f t="shared" ref="AB1391:AB1397" si="432">IFERROR(M1391/AA1391,0)</f>
        <v>39.672977624784856</v>
      </c>
      <c r="AC1391" s="12">
        <f t="shared" ref="AC1391:AC1397" si="433">IFERROR(Q1391/M1391,0)</f>
        <v>0</v>
      </c>
      <c r="AD1391" s="34"/>
    </row>
    <row r="1392" spans="1:30" ht="16" x14ac:dyDescent="0.2">
      <c r="A1392" s="47"/>
      <c r="C1392" s="176">
        <f t="shared" si="418"/>
        <v>1389</v>
      </c>
      <c r="D1392" s="454">
        <v>45944</v>
      </c>
      <c r="E1392" s="37">
        <v>45946</v>
      </c>
      <c r="F1392" s="65" t="s">
        <v>286</v>
      </c>
      <c r="G1392" s="11" t="str">
        <f ca="1">IF(AND(E1392&lt;&gt;"",E1392&lt;TODAY()),"Disponible",IFERROR(INDEX(Vehiculos[Estado Vehiculo],MATCH(F1392,Vehiculos[Placa Vehiculo],0)),""))</f>
        <v>Disponible</v>
      </c>
      <c r="H1392" s="34" t="s">
        <v>288</v>
      </c>
      <c r="I1392" s="34" t="s">
        <v>273</v>
      </c>
      <c r="J1392" s="34" t="s">
        <v>379</v>
      </c>
      <c r="K1392" s="39">
        <v>105628</v>
      </c>
      <c r="L1392" s="39">
        <v>106093</v>
      </c>
      <c r="M1392" s="15">
        <f t="shared" si="429"/>
        <v>465</v>
      </c>
      <c r="N1392" s="15"/>
      <c r="O1392" s="39"/>
      <c r="P1392" s="36"/>
      <c r="Q1392" s="16">
        <f t="shared" si="430"/>
        <v>0</v>
      </c>
      <c r="R1392" s="34" t="s">
        <v>273</v>
      </c>
      <c r="S1392" s="34" t="s">
        <v>102</v>
      </c>
      <c r="T1392" s="36">
        <v>2.8</v>
      </c>
      <c r="U1392" s="36">
        <f>Rutas[[#This Row],[Precio x Galón ($/gal)]]*Rutas[[#This Row],[Volumen de Combustible (gal)]]</f>
        <v>37.491999999999997</v>
      </c>
      <c r="V1392" s="36"/>
      <c r="W1392" s="36"/>
      <c r="X1392" s="36"/>
      <c r="Y1392" s="145">
        <f t="shared" si="431"/>
        <v>37.491999999999997</v>
      </c>
      <c r="Z1392" s="567"/>
      <c r="AA1392" s="12">
        <v>13.39</v>
      </c>
      <c r="AB1392" s="12">
        <f t="shared" si="432"/>
        <v>34.727408513816279</v>
      </c>
      <c r="AC1392" s="12">
        <f t="shared" si="433"/>
        <v>0</v>
      </c>
      <c r="AD1392" s="34"/>
    </row>
    <row r="1393" spans="1:30" ht="16" x14ac:dyDescent="0.2">
      <c r="A1393" s="47"/>
      <c r="C1393" s="176">
        <f t="shared" si="418"/>
        <v>1390</v>
      </c>
      <c r="D1393" s="454">
        <v>45946</v>
      </c>
      <c r="E1393" s="37">
        <v>45949</v>
      </c>
      <c r="F1393" s="65" t="s">
        <v>286</v>
      </c>
      <c r="G1393" s="11" t="str">
        <f ca="1">IF(AND(E1393&lt;&gt;"",E1393&lt;TODAY()),"Disponible",IFERROR(INDEX(Vehiculos[Estado Vehiculo],MATCH(F1393,Vehiculos[Placa Vehiculo],0)),""))</f>
        <v>Disponible</v>
      </c>
      <c r="H1393" s="34" t="s">
        <v>288</v>
      </c>
      <c r="I1393" s="34" t="s">
        <v>273</v>
      </c>
      <c r="J1393" s="34" t="s">
        <v>379</v>
      </c>
      <c r="K1393" s="39">
        <v>106093</v>
      </c>
      <c r="L1393" s="39">
        <v>106612</v>
      </c>
      <c r="M1393" s="15">
        <f t="shared" si="429"/>
        <v>519</v>
      </c>
      <c r="N1393" s="15"/>
      <c r="O1393" s="39"/>
      <c r="P1393" s="36"/>
      <c r="Q1393" s="16">
        <f t="shared" si="430"/>
        <v>0</v>
      </c>
      <c r="R1393" s="34" t="s">
        <v>273</v>
      </c>
      <c r="S1393" s="34" t="s">
        <v>102</v>
      </c>
      <c r="T1393" s="36">
        <v>2.8</v>
      </c>
      <c r="U1393" s="36">
        <f>Rutas[[#This Row],[Precio x Galón ($/gal)]]*Rutas[[#This Row],[Volumen de Combustible (gal)]]</f>
        <v>41.271999999999998</v>
      </c>
      <c r="V1393" s="36"/>
      <c r="W1393" s="36"/>
      <c r="X1393" s="36"/>
      <c r="Y1393" s="145">
        <f t="shared" si="431"/>
        <v>41.271999999999998</v>
      </c>
      <c r="Z1393" s="567"/>
      <c r="AA1393" s="12">
        <v>14.74</v>
      </c>
      <c r="AB1393" s="12">
        <f t="shared" si="432"/>
        <v>35.210312075983715</v>
      </c>
      <c r="AC1393" s="12">
        <f t="shared" si="433"/>
        <v>0</v>
      </c>
      <c r="AD1393" s="34"/>
    </row>
    <row r="1394" spans="1:30" ht="16" x14ac:dyDescent="0.2">
      <c r="A1394" s="47"/>
      <c r="C1394" s="176">
        <f t="shared" si="418"/>
        <v>1391</v>
      </c>
      <c r="D1394" s="454">
        <v>45949</v>
      </c>
      <c r="E1394" s="37">
        <v>45952</v>
      </c>
      <c r="F1394" s="65" t="s">
        <v>286</v>
      </c>
      <c r="G1394" s="11" t="str">
        <f ca="1">IF(AND(E1394&lt;&gt;"",E1394&lt;TODAY()),"Disponible",IFERROR(INDEX(Vehiculos[Estado Vehiculo],MATCH(F1394,Vehiculos[Placa Vehiculo],0)),""))</f>
        <v>Disponible</v>
      </c>
      <c r="H1394" s="34" t="s">
        <v>288</v>
      </c>
      <c r="I1394" s="34" t="s">
        <v>273</v>
      </c>
      <c r="J1394" s="34" t="s">
        <v>379</v>
      </c>
      <c r="K1394" s="39">
        <v>106612</v>
      </c>
      <c r="L1394" s="39">
        <v>107101</v>
      </c>
      <c r="M1394" s="15">
        <f t="shared" si="429"/>
        <v>489</v>
      </c>
      <c r="N1394" s="15"/>
      <c r="O1394" s="39"/>
      <c r="P1394" s="36"/>
      <c r="Q1394" s="16">
        <f t="shared" si="430"/>
        <v>0</v>
      </c>
      <c r="R1394" s="34" t="s">
        <v>273</v>
      </c>
      <c r="S1394" s="34" t="s">
        <v>102</v>
      </c>
      <c r="T1394" s="36">
        <v>2.8</v>
      </c>
      <c r="U1394" s="36">
        <f>Rutas[[#This Row],[Precio x Galón ($/gal)]]*Rutas[[#This Row],[Volumen de Combustible (gal)]]</f>
        <v>36.959999999999994</v>
      </c>
      <c r="V1394" s="36"/>
      <c r="W1394" s="36"/>
      <c r="X1394" s="36"/>
      <c r="Y1394" s="145">
        <f t="shared" si="431"/>
        <v>36.959999999999994</v>
      </c>
      <c r="Z1394" s="567"/>
      <c r="AA1394" s="12">
        <v>13.2</v>
      </c>
      <c r="AB1394" s="12">
        <f t="shared" si="432"/>
        <v>37.045454545454547</v>
      </c>
      <c r="AC1394" s="12">
        <f t="shared" si="433"/>
        <v>0</v>
      </c>
      <c r="AD1394" s="34"/>
    </row>
    <row r="1395" spans="1:30" ht="16" x14ac:dyDescent="0.2">
      <c r="A1395" s="47"/>
      <c r="C1395" s="176">
        <f t="shared" si="418"/>
        <v>1392</v>
      </c>
      <c r="D1395" s="454">
        <v>45952</v>
      </c>
      <c r="E1395" s="37">
        <v>45954</v>
      </c>
      <c r="F1395" s="65" t="s">
        <v>286</v>
      </c>
      <c r="G1395" s="11" t="str">
        <f ca="1">IF(AND(E1395&lt;&gt;"",E1395&lt;TODAY()),"Disponible",IFERROR(INDEX(Vehiculos[Estado Vehiculo],MATCH(F1395,Vehiculos[Placa Vehiculo],0)),""))</f>
        <v>Disponible</v>
      </c>
      <c r="H1395" s="34" t="s">
        <v>288</v>
      </c>
      <c r="I1395" s="34" t="s">
        <v>273</v>
      </c>
      <c r="J1395" s="34" t="s">
        <v>379</v>
      </c>
      <c r="K1395" s="39">
        <v>107101</v>
      </c>
      <c r="L1395" s="39">
        <v>108233</v>
      </c>
      <c r="M1395" s="15">
        <f t="shared" si="429"/>
        <v>1132</v>
      </c>
      <c r="N1395" s="15"/>
      <c r="O1395" s="39"/>
      <c r="P1395" s="36"/>
      <c r="Q1395" s="16">
        <f t="shared" si="430"/>
        <v>0</v>
      </c>
      <c r="R1395" s="34" t="s">
        <v>273</v>
      </c>
      <c r="S1395" s="34" t="s">
        <v>102</v>
      </c>
      <c r="T1395" s="36">
        <v>2.8</v>
      </c>
      <c r="U1395" s="36">
        <f>Rutas[[#This Row],[Precio x Galón ($/gal)]]*Rutas[[#This Row],[Volumen de Combustible (gal)]]</f>
        <v>41.44</v>
      </c>
      <c r="V1395" s="36"/>
      <c r="W1395" s="36"/>
      <c r="X1395" s="36"/>
      <c r="Y1395" s="145">
        <f t="shared" si="431"/>
        <v>41.44</v>
      </c>
      <c r="Z1395" s="567"/>
      <c r="AA1395" s="12">
        <v>14.8</v>
      </c>
      <c r="AB1395" s="12">
        <f t="shared" si="432"/>
        <v>76.486486486486484</v>
      </c>
      <c r="AC1395" s="12">
        <f t="shared" si="433"/>
        <v>0</v>
      </c>
      <c r="AD1395" s="34"/>
    </row>
    <row r="1396" spans="1:30" ht="16" x14ac:dyDescent="0.2">
      <c r="A1396" s="47"/>
      <c r="C1396" s="176">
        <f t="shared" si="418"/>
        <v>1393</v>
      </c>
      <c r="D1396" s="454">
        <v>45954</v>
      </c>
      <c r="E1396" s="37">
        <v>45957</v>
      </c>
      <c r="F1396" s="65" t="s">
        <v>286</v>
      </c>
      <c r="G1396" s="11" t="str">
        <f ca="1">IF(AND(E1396&lt;&gt;"",E1396&lt;TODAY()),"Disponible",IFERROR(INDEX(Vehiculos[Estado Vehiculo],MATCH(F1396,Vehiculos[Placa Vehiculo],0)),""))</f>
        <v>Disponible</v>
      </c>
      <c r="H1396" s="34" t="s">
        <v>288</v>
      </c>
      <c r="I1396" s="34" t="s">
        <v>273</v>
      </c>
      <c r="J1396" s="34" t="s">
        <v>379</v>
      </c>
      <c r="K1396" s="39">
        <v>108233</v>
      </c>
      <c r="L1396" s="39">
        <v>108757</v>
      </c>
      <c r="M1396" s="15">
        <f t="shared" si="429"/>
        <v>524</v>
      </c>
      <c r="N1396" s="15"/>
      <c r="O1396" s="39"/>
      <c r="P1396" s="36"/>
      <c r="Q1396" s="16">
        <f t="shared" si="430"/>
        <v>0</v>
      </c>
      <c r="R1396" s="34" t="s">
        <v>273</v>
      </c>
      <c r="S1396" s="34" t="s">
        <v>102</v>
      </c>
      <c r="T1396" s="36">
        <v>2.8</v>
      </c>
      <c r="U1396" s="36">
        <f>Rutas[[#This Row],[Precio x Galón ($/gal)]]*Rutas[[#This Row],[Volumen de Combustible (gal)]]</f>
        <v>40.655999999999999</v>
      </c>
      <c r="V1396" s="36"/>
      <c r="W1396" s="36"/>
      <c r="X1396" s="36"/>
      <c r="Y1396" s="145">
        <f t="shared" si="431"/>
        <v>40.655999999999999</v>
      </c>
      <c r="Z1396" s="567"/>
      <c r="AA1396" s="12">
        <v>14.52</v>
      </c>
      <c r="AB1396" s="12">
        <f t="shared" si="432"/>
        <v>36.088154269972456</v>
      </c>
      <c r="AC1396" s="12">
        <f t="shared" si="433"/>
        <v>0</v>
      </c>
      <c r="AD1396" s="34"/>
    </row>
    <row r="1397" spans="1:30" ht="16" x14ac:dyDescent="0.2">
      <c r="A1397" s="47"/>
      <c r="C1397" s="176">
        <f t="shared" si="418"/>
        <v>1394</v>
      </c>
      <c r="D1397" s="454">
        <v>45957</v>
      </c>
      <c r="E1397" s="37">
        <v>45961</v>
      </c>
      <c r="F1397" s="65" t="s">
        <v>286</v>
      </c>
      <c r="G1397" s="11" t="str">
        <f ca="1">IF(AND(E1397&lt;&gt;"",E1397&lt;TODAY()),"Disponible",IFERROR(INDEX(Vehiculos[Estado Vehiculo],MATCH(F1397,Vehiculos[Placa Vehiculo],0)),""))</f>
        <v>Disponible</v>
      </c>
      <c r="H1397" s="34" t="s">
        <v>288</v>
      </c>
      <c r="I1397" s="34" t="s">
        <v>273</v>
      </c>
      <c r="J1397" s="34" t="s">
        <v>379</v>
      </c>
      <c r="K1397" s="39">
        <v>108757</v>
      </c>
      <c r="L1397" s="39">
        <v>109259</v>
      </c>
      <c r="M1397" s="15">
        <f t="shared" si="429"/>
        <v>502</v>
      </c>
      <c r="N1397" s="15"/>
      <c r="O1397" s="39"/>
      <c r="P1397" s="36"/>
      <c r="Q1397" s="16">
        <f t="shared" si="430"/>
        <v>0</v>
      </c>
      <c r="R1397" s="34" t="s">
        <v>273</v>
      </c>
      <c r="S1397" s="34" t="s">
        <v>102</v>
      </c>
      <c r="T1397" s="36">
        <v>2.8</v>
      </c>
      <c r="U1397" s="36"/>
      <c r="V1397" s="36"/>
      <c r="W1397" s="36"/>
      <c r="X1397" s="36"/>
      <c r="Y1397" s="145">
        <f t="shared" si="431"/>
        <v>0</v>
      </c>
      <c r="Z1397" s="567"/>
      <c r="AA1397" s="12">
        <v>13.41</v>
      </c>
      <c r="AB1397" s="12">
        <f t="shared" si="432"/>
        <v>37.43475018642804</v>
      </c>
      <c r="AC1397" s="12">
        <f t="shared" si="433"/>
        <v>0</v>
      </c>
      <c r="AD1397" s="34"/>
    </row>
    <row r="1398" spans="1:30" ht="16" x14ac:dyDescent="0.2">
      <c r="A1398" s="47"/>
      <c r="C1398" s="176">
        <f t="shared" si="418"/>
        <v>1395</v>
      </c>
      <c r="D1398" s="454"/>
      <c r="E1398" s="37"/>
      <c r="F1398" s="65"/>
      <c r="G1398" s="11" t="str">
        <f ca="1">IF(AND(E1398&lt;&gt;"",E1398&lt;TODAY()),"Disponible",IFERROR(INDEX(Vehiculos[Estado Vehiculo],MATCH(F1398,Vehiculos[Placa Vehiculo],0)),""))</f>
        <v/>
      </c>
      <c r="H1398" s="34"/>
      <c r="I1398" s="34"/>
      <c r="J1398" s="34"/>
      <c r="K1398" s="39"/>
      <c r="L1398" s="39"/>
      <c r="M1398" s="15">
        <f>L1398-K1398</f>
        <v>0</v>
      </c>
      <c r="N1398" s="15"/>
      <c r="O1398" s="39"/>
      <c r="P1398" s="36"/>
      <c r="Q1398" s="16">
        <f>M1398*P1398</f>
        <v>0</v>
      </c>
      <c r="R1398" s="34"/>
      <c r="S1398" s="34"/>
      <c r="T1398" s="36"/>
      <c r="U1398" s="36"/>
      <c r="V1398" s="36"/>
      <c r="W1398" s="36"/>
      <c r="X1398" s="36"/>
      <c r="Y1398" s="145">
        <f>U1398+SUM(V1398:X1398)</f>
        <v>0</v>
      </c>
      <c r="Z1398" s="567"/>
      <c r="AA1398" s="12"/>
      <c r="AB1398" s="12">
        <f>IFERROR(M1398/AA1398,0)</f>
        <v>0</v>
      </c>
      <c r="AC1398" s="12">
        <f>IFERROR(Q1398/M1398,0)</f>
        <v>0</v>
      </c>
      <c r="AD1398" s="34"/>
    </row>
    <row r="1399" spans="1:30" ht="16" x14ac:dyDescent="0.2">
      <c r="A1399" s="47"/>
      <c r="C1399" s="176">
        <f t="shared" si="418"/>
        <v>1396</v>
      </c>
      <c r="D1399" s="146"/>
      <c r="E1399" s="37"/>
      <c r="F1399" s="65"/>
      <c r="G1399" s="11" t="str">
        <f ca="1">IF(AND(E1399&lt;&gt;"",E1399&lt;TODAY()),"Disponible",IFERROR(INDEX(Vehiculos[Estado Vehiculo],MATCH(F1399,Vehiculos[Placa Vehiculo],0)),""))</f>
        <v/>
      </c>
      <c r="H1399" s="34"/>
      <c r="I1399" s="34"/>
      <c r="J1399" s="34"/>
      <c r="K1399" s="39"/>
      <c r="L1399" s="39"/>
      <c r="M1399" s="15">
        <f t="shared" si="413"/>
        <v>0</v>
      </c>
      <c r="N1399" s="15"/>
      <c r="O1399" s="39"/>
      <c r="P1399" s="36"/>
      <c r="Q1399" s="16">
        <f t="shared" si="414"/>
        <v>0</v>
      </c>
      <c r="R1399" s="34"/>
      <c r="S1399" s="34"/>
      <c r="T1399" s="36"/>
      <c r="U1399" s="36">
        <f>Rutas[[#This Row],[Precio x Galón ($/gal)]]*Rutas[[#This Row],[Volumen de Combustible (gal)]]</f>
        <v>0</v>
      </c>
      <c r="V1399" s="36"/>
      <c r="W1399" s="36"/>
      <c r="X1399" s="36"/>
      <c r="Y1399" s="145">
        <f t="shared" si="415"/>
        <v>0</v>
      </c>
      <c r="Z1399" s="572"/>
      <c r="AA1399" s="12"/>
      <c r="AB1399" s="12">
        <f t="shared" si="416"/>
        <v>0</v>
      </c>
      <c r="AC1399" s="12">
        <f t="shared" si="417"/>
        <v>0</v>
      </c>
      <c r="AD1399" s="34"/>
    </row>
    <row r="1400" spans="1:30" ht="16" x14ac:dyDescent="0.2">
      <c r="A1400" s="47"/>
      <c r="C1400" s="176">
        <f t="shared" si="418"/>
        <v>1397</v>
      </c>
      <c r="D1400" s="90">
        <v>45931</v>
      </c>
      <c r="E1400" s="90">
        <v>45933</v>
      </c>
      <c r="F1400" s="68" t="s">
        <v>320</v>
      </c>
      <c r="G1400" s="379" t="str">
        <f ca="1">IF(AND(E1400&lt;&gt;"",E1400&lt;TODAY()),"Disponible",IFERROR(INDEX(Vehiculos[Estado Vehiculo],MATCH(F1400,Vehiculos[Placa Vehiculo],0)),""))</f>
        <v>Disponible</v>
      </c>
      <c r="H1400" s="89"/>
      <c r="I1400" s="89" t="s">
        <v>273</v>
      </c>
      <c r="J1400" s="89" t="s">
        <v>274</v>
      </c>
      <c r="K1400" s="380">
        <v>3400</v>
      </c>
      <c r="L1400" s="380">
        <v>3415</v>
      </c>
      <c r="M1400" s="381">
        <f t="shared" si="413"/>
        <v>15</v>
      </c>
      <c r="N1400" s="381">
        <f>Rutas[[#This Row],[Kms Recorridos]]</f>
        <v>15</v>
      </c>
      <c r="O1400" s="380"/>
      <c r="P1400" s="92"/>
      <c r="Q1400" s="382">
        <f t="shared" si="414"/>
        <v>0</v>
      </c>
      <c r="R1400" s="89" t="s">
        <v>273</v>
      </c>
      <c r="S1400" s="89" t="s">
        <v>102</v>
      </c>
      <c r="T1400" s="92">
        <v>2.8</v>
      </c>
      <c r="U1400" s="92">
        <f>Rutas[[#This Row],[Precio x Galón ($/gal)]]*Rutas[[#This Row],[Volumen de Combustible (gal)]]</f>
        <v>67.927999999999997</v>
      </c>
      <c r="V1400" s="92"/>
      <c r="W1400" s="92"/>
      <c r="X1400" s="92"/>
      <c r="Y1400" s="382">
        <f t="shared" si="415"/>
        <v>67.927999999999997</v>
      </c>
      <c r="Z1400" s="572"/>
      <c r="AA1400" s="382">
        <v>24.26</v>
      </c>
      <c r="AB1400" s="382">
        <f t="shared" si="416"/>
        <v>0.61830173124484744</v>
      </c>
      <c r="AC1400" s="382">
        <f t="shared" si="417"/>
        <v>0</v>
      </c>
      <c r="AD1400" s="89"/>
    </row>
    <row r="1401" spans="1:30" ht="16" x14ac:dyDescent="0.2">
      <c r="A1401" s="47"/>
      <c r="C1401" s="176">
        <f t="shared" si="418"/>
        <v>1398</v>
      </c>
      <c r="D1401" s="146">
        <v>45933</v>
      </c>
      <c r="E1401" s="37">
        <v>45936</v>
      </c>
      <c r="F1401" s="65" t="s">
        <v>320</v>
      </c>
      <c r="G1401" s="11" t="str">
        <f ca="1">IF(AND(E1401&lt;&gt;"",E1401&lt;TODAY()),"Disponible",IFERROR(INDEX(Vehiculos[Estado Vehiculo],MATCH(F1401,Vehiculos[Placa Vehiculo],0)),""))</f>
        <v>Disponible</v>
      </c>
      <c r="H1401" s="34"/>
      <c r="I1401" s="34" t="s">
        <v>273</v>
      </c>
      <c r="J1401" s="34" t="s">
        <v>274</v>
      </c>
      <c r="K1401" s="39">
        <v>3415</v>
      </c>
      <c r="L1401" s="39">
        <v>3443</v>
      </c>
      <c r="M1401" s="15">
        <f t="shared" si="413"/>
        <v>28</v>
      </c>
      <c r="N1401" s="381">
        <f>Rutas[[#This Row],[Kms Recorridos]]</f>
        <v>28</v>
      </c>
      <c r="O1401" s="39"/>
      <c r="P1401" s="36"/>
      <c r="Q1401" s="16">
        <f t="shared" si="414"/>
        <v>0</v>
      </c>
      <c r="R1401" s="34" t="s">
        <v>273</v>
      </c>
      <c r="S1401" s="34" t="s">
        <v>102</v>
      </c>
      <c r="T1401" s="36">
        <v>2.8</v>
      </c>
      <c r="U1401" s="36">
        <f>Rutas[[#This Row],[Precio x Galón ($/gal)]]*Rutas[[#This Row],[Volumen de Combustible (gal)]]</f>
        <v>65.828000000000003</v>
      </c>
      <c r="V1401" s="36"/>
      <c r="W1401" s="36"/>
      <c r="X1401" s="36"/>
      <c r="Y1401" s="145">
        <f t="shared" si="415"/>
        <v>65.828000000000003</v>
      </c>
      <c r="Z1401" s="572"/>
      <c r="AA1401" s="12">
        <v>23.51</v>
      </c>
      <c r="AB1401" s="12">
        <f t="shared" si="416"/>
        <v>1.1909825606125053</v>
      </c>
      <c r="AC1401" s="12">
        <f t="shared" si="417"/>
        <v>0</v>
      </c>
      <c r="AD1401" s="34"/>
    </row>
    <row r="1402" spans="1:30" ht="16" x14ac:dyDescent="0.2">
      <c r="A1402" s="47"/>
      <c r="C1402" s="176">
        <f t="shared" si="418"/>
        <v>1399</v>
      </c>
      <c r="D1402" s="146">
        <v>45936</v>
      </c>
      <c r="E1402" s="37">
        <v>45939</v>
      </c>
      <c r="F1402" s="65" t="s">
        <v>320</v>
      </c>
      <c r="G1402" s="11" t="str">
        <f ca="1">IF(AND(E1402&lt;&gt;"",E1402&lt;TODAY()),"Disponible",IFERROR(INDEX(Vehiculos[Estado Vehiculo],MATCH(F1402,Vehiculos[Placa Vehiculo],0)),""))</f>
        <v>Disponible</v>
      </c>
      <c r="H1402" s="34"/>
      <c r="I1402" s="34" t="s">
        <v>273</v>
      </c>
      <c r="J1402" s="34" t="s">
        <v>274</v>
      </c>
      <c r="K1402" s="39">
        <v>3443</v>
      </c>
      <c r="L1402" s="39">
        <v>3465</v>
      </c>
      <c r="M1402" s="15">
        <f t="shared" si="413"/>
        <v>22</v>
      </c>
      <c r="N1402" s="381">
        <f>Rutas[[#This Row],[Kms Recorridos]]</f>
        <v>22</v>
      </c>
      <c r="O1402" s="39"/>
      <c r="P1402" s="36"/>
      <c r="Q1402" s="16">
        <f t="shared" si="414"/>
        <v>0</v>
      </c>
      <c r="R1402" s="34" t="s">
        <v>273</v>
      </c>
      <c r="S1402" s="34" t="s">
        <v>102</v>
      </c>
      <c r="T1402" s="36">
        <v>2.8</v>
      </c>
      <c r="U1402" s="36">
        <f>Rutas[[#This Row],[Precio x Galón ($/gal)]]*Rutas[[#This Row],[Volumen de Combustible (gal)]]</f>
        <v>42.448</v>
      </c>
      <c r="V1402" s="36"/>
      <c r="W1402" s="36"/>
      <c r="X1402" s="36"/>
      <c r="Y1402" s="145">
        <f t="shared" si="415"/>
        <v>42.448</v>
      </c>
      <c r="Z1402" s="572"/>
      <c r="AA1402" s="12">
        <v>15.16</v>
      </c>
      <c r="AB1402" s="12">
        <f t="shared" si="416"/>
        <v>1.4511873350923483</v>
      </c>
      <c r="AC1402" s="12">
        <f t="shared" si="417"/>
        <v>0</v>
      </c>
      <c r="AD1402" s="34"/>
    </row>
    <row r="1403" spans="1:30" ht="16" x14ac:dyDescent="0.2">
      <c r="A1403" s="47"/>
      <c r="C1403" s="176">
        <f t="shared" si="418"/>
        <v>1400</v>
      </c>
      <c r="D1403" s="454">
        <v>45939</v>
      </c>
      <c r="E1403" s="37">
        <v>45943</v>
      </c>
      <c r="F1403" s="65" t="s">
        <v>320</v>
      </c>
      <c r="G1403" s="11" t="str">
        <f ca="1">IF(AND(E1403&lt;&gt;"",E1403&lt;TODAY()),"Disponible",IFERROR(INDEX(Vehiculos[Estado Vehiculo],MATCH(F1403,Vehiculos[Placa Vehiculo],0)),""))</f>
        <v>Disponible</v>
      </c>
      <c r="H1403" s="34"/>
      <c r="I1403" s="34" t="s">
        <v>273</v>
      </c>
      <c r="J1403" s="34" t="s">
        <v>274</v>
      </c>
      <c r="K1403" s="39">
        <v>3465</v>
      </c>
      <c r="L1403" s="39">
        <v>3494</v>
      </c>
      <c r="M1403" s="15">
        <f t="shared" ref="M1403:M1408" si="434">L1403-K1403</f>
        <v>29</v>
      </c>
      <c r="N1403" s="381">
        <f>Rutas[[#This Row],[Kms Recorridos]]</f>
        <v>29</v>
      </c>
      <c r="O1403" s="39"/>
      <c r="P1403" s="36"/>
      <c r="Q1403" s="16">
        <f t="shared" ref="Q1403:Q1408" si="435">M1403*P1403</f>
        <v>0</v>
      </c>
      <c r="R1403" s="34" t="s">
        <v>339</v>
      </c>
      <c r="S1403" s="34" t="s">
        <v>102</v>
      </c>
      <c r="T1403" s="36">
        <v>2.8</v>
      </c>
      <c r="U1403" s="36">
        <f>Rutas[[#This Row],[Precio x Galón ($/gal)]]*Rutas[[#This Row],[Volumen de Combustible (gal)]]</f>
        <v>50.428000000000004</v>
      </c>
      <c r="V1403" s="36"/>
      <c r="W1403" s="36"/>
      <c r="X1403" s="36"/>
      <c r="Y1403" s="145">
        <f t="shared" ref="Y1403:Y1408" si="436">U1403+SUM(V1403:X1403)</f>
        <v>50.428000000000004</v>
      </c>
      <c r="Z1403" s="572">
        <v>15942</v>
      </c>
      <c r="AA1403" s="12">
        <v>18.010000000000002</v>
      </c>
      <c r="AB1403" s="12">
        <f t="shared" ref="AB1403:AB1408" si="437">IFERROR(M1403/AA1403,0)</f>
        <v>1.6102165463631315</v>
      </c>
      <c r="AC1403" s="12">
        <f t="shared" ref="AC1403:AC1408" si="438">IFERROR(Q1403/M1403,0)</f>
        <v>0</v>
      </c>
      <c r="AD1403" s="34"/>
    </row>
    <row r="1404" spans="1:30" ht="16" x14ac:dyDescent="0.2">
      <c r="A1404" s="47"/>
      <c r="C1404" s="176">
        <f t="shared" si="418"/>
        <v>1401</v>
      </c>
      <c r="D1404" s="454">
        <v>45943</v>
      </c>
      <c r="E1404" s="37">
        <v>45946</v>
      </c>
      <c r="F1404" s="65" t="s">
        <v>320</v>
      </c>
      <c r="G1404" s="11" t="str">
        <f ca="1">IF(AND(E1404&lt;&gt;"",E1404&lt;TODAY()),"Disponible",IFERROR(INDEX(Vehiculos[Estado Vehiculo],MATCH(F1404,Vehiculos[Placa Vehiculo],0)),""))</f>
        <v>Disponible</v>
      </c>
      <c r="H1404" s="34"/>
      <c r="I1404" s="34" t="s">
        <v>273</v>
      </c>
      <c r="J1404" s="34" t="s">
        <v>274</v>
      </c>
      <c r="K1404" s="39">
        <v>3494</v>
      </c>
      <c r="L1404" s="39">
        <v>3516</v>
      </c>
      <c r="M1404" s="15">
        <f t="shared" si="434"/>
        <v>22</v>
      </c>
      <c r="N1404" s="381">
        <f>Rutas[[#This Row],[Kms Recorridos]]</f>
        <v>22</v>
      </c>
      <c r="O1404" s="39"/>
      <c r="P1404" s="36"/>
      <c r="Q1404" s="16">
        <f t="shared" si="435"/>
        <v>0</v>
      </c>
      <c r="R1404" s="34" t="s">
        <v>273</v>
      </c>
      <c r="S1404" s="34" t="s">
        <v>102</v>
      </c>
      <c r="T1404" s="36">
        <v>2.8</v>
      </c>
      <c r="U1404" s="36">
        <f>Rutas[[#This Row],[Precio x Galón ($/gal)]]*Rutas[[#This Row],[Volumen de Combustible (gal)]]</f>
        <v>69.132000000000005</v>
      </c>
      <c r="V1404" s="36"/>
      <c r="W1404" s="36"/>
      <c r="X1404" s="36"/>
      <c r="Y1404" s="145">
        <f t="shared" si="436"/>
        <v>69.132000000000005</v>
      </c>
      <c r="Z1404" s="567"/>
      <c r="AA1404" s="12">
        <v>24.69</v>
      </c>
      <c r="AB1404" s="12">
        <f t="shared" si="437"/>
        <v>0.89104900769542317</v>
      </c>
      <c r="AC1404" s="12">
        <f t="shared" si="438"/>
        <v>0</v>
      </c>
      <c r="AD1404" s="34"/>
    </row>
    <row r="1405" spans="1:30" ht="16" x14ac:dyDescent="0.2">
      <c r="A1405" s="47"/>
      <c r="C1405" s="176">
        <f t="shared" si="418"/>
        <v>1402</v>
      </c>
      <c r="D1405" s="454">
        <v>45946</v>
      </c>
      <c r="E1405" s="37">
        <v>45950</v>
      </c>
      <c r="F1405" s="65" t="s">
        <v>320</v>
      </c>
      <c r="G1405" s="11" t="str">
        <f ca="1">IF(AND(E1405&lt;&gt;"",E1405&lt;TODAY()),"Disponible",IFERROR(INDEX(Vehiculos[Estado Vehiculo],MATCH(F1405,Vehiculos[Placa Vehiculo],0)),""))</f>
        <v>Disponible</v>
      </c>
      <c r="H1405" s="34"/>
      <c r="I1405" s="34" t="s">
        <v>273</v>
      </c>
      <c r="J1405" s="34" t="s">
        <v>274</v>
      </c>
      <c r="K1405" s="39">
        <v>3516</v>
      </c>
      <c r="L1405" s="39">
        <v>3545</v>
      </c>
      <c r="M1405" s="15">
        <f t="shared" si="434"/>
        <v>29</v>
      </c>
      <c r="N1405" s="381">
        <f>Rutas[[#This Row],[Kms Recorridos]]</f>
        <v>29</v>
      </c>
      <c r="O1405" s="39"/>
      <c r="P1405" s="36"/>
      <c r="Q1405" s="16">
        <f t="shared" si="435"/>
        <v>0</v>
      </c>
      <c r="R1405" s="34" t="s">
        <v>273</v>
      </c>
      <c r="S1405" s="34" t="s">
        <v>102</v>
      </c>
      <c r="T1405" s="36">
        <v>2.8</v>
      </c>
      <c r="U1405" s="36">
        <f>Rutas[[#This Row],[Precio x Galón ($/gal)]]*Rutas[[#This Row],[Volumen de Combustible (gal)]]</f>
        <v>68.432000000000002</v>
      </c>
      <c r="V1405" s="36"/>
      <c r="W1405" s="36"/>
      <c r="X1405" s="36"/>
      <c r="Y1405" s="145">
        <f t="shared" si="436"/>
        <v>68.432000000000002</v>
      </c>
      <c r="Z1405" s="567"/>
      <c r="AA1405" s="12">
        <v>24.44</v>
      </c>
      <c r="AB1405" s="12">
        <f t="shared" si="437"/>
        <v>1.1865793780687397</v>
      </c>
      <c r="AC1405" s="12">
        <f t="shared" si="438"/>
        <v>0</v>
      </c>
      <c r="AD1405" s="34"/>
    </row>
    <row r="1406" spans="1:30" ht="16" x14ac:dyDescent="0.2">
      <c r="A1406" s="47"/>
      <c r="C1406" s="176">
        <f t="shared" si="418"/>
        <v>1403</v>
      </c>
      <c r="D1406" s="454">
        <v>45950</v>
      </c>
      <c r="E1406" s="37">
        <v>45954</v>
      </c>
      <c r="F1406" s="65" t="s">
        <v>320</v>
      </c>
      <c r="G1406" s="11" t="str">
        <f ca="1">IF(AND(E1406&lt;&gt;"",E1406&lt;TODAY()),"Disponible",IFERROR(INDEX(Vehiculos[Estado Vehiculo],MATCH(F1406,Vehiculos[Placa Vehiculo],0)),""))</f>
        <v>Disponible</v>
      </c>
      <c r="H1406" s="34"/>
      <c r="I1406" s="34" t="s">
        <v>273</v>
      </c>
      <c r="J1406" s="34" t="s">
        <v>274</v>
      </c>
      <c r="K1406" s="39">
        <v>3545</v>
      </c>
      <c r="L1406" s="39">
        <v>3558</v>
      </c>
      <c r="M1406" s="15">
        <f t="shared" si="434"/>
        <v>13</v>
      </c>
      <c r="N1406" s="381">
        <f>Rutas[[#This Row],[Kms Recorridos]]</f>
        <v>13</v>
      </c>
      <c r="O1406" s="39"/>
      <c r="P1406" s="36"/>
      <c r="Q1406" s="16">
        <f t="shared" si="435"/>
        <v>0</v>
      </c>
      <c r="R1406" s="34" t="s">
        <v>273</v>
      </c>
      <c r="S1406" s="34" t="s">
        <v>102</v>
      </c>
      <c r="T1406" s="36">
        <v>2.8</v>
      </c>
      <c r="U1406" s="36">
        <f>Rutas[[#This Row],[Precio x Galón ($/gal)]]*Rutas[[#This Row],[Volumen de Combustible (gal)]]</f>
        <v>29.035999999999994</v>
      </c>
      <c r="V1406" s="36"/>
      <c r="W1406" s="36"/>
      <c r="X1406" s="36"/>
      <c r="Y1406" s="145">
        <f t="shared" si="436"/>
        <v>29.035999999999994</v>
      </c>
      <c r="Z1406" s="567"/>
      <c r="AA1406" s="12">
        <v>10.37</v>
      </c>
      <c r="AB1406" s="12">
        <f t="shared" si="437"/>
        <v>1.2536162005785922</v>
      </c>
      <c r="AC1406" s="12">
        <f t="shared" si="438"/>
        <v>0</v>
      </c>
      <c r="AD1406" s="34"/>
    </row>
    <row r="1407" spans="1:30" ht="16" x14ac:dyDescent="0.2">
      <c r="A1407" s="47"/>
      <c r="C1407" s="176">
        <f t="shared" si="418"/>
        <v>1404</v>
      </c>
      <c r="D1407" s="454">
        <v>45954</v>
      </c>
      <c r="E1407" s="37">
        <v>45960</v>
      </c>
      <c r="F1407" s="65" t="s">
        <v>320</v>
      </c>
      <c r="G1407" s="11" t="str">
        <f ca="1">IF(AND(E1407&lt;&gt;"",E1407&lt;TODAY()),"Disponible",IFERROR(INDEX(Vehiculos[Estado Vehiculo],MATCH(F1407,Vehiculos[Placa Vehiculo],0)),""))</f>
        <v>Disponible</v>
      </c>
      <c r="H1407" s="34"/>
      <c r="I1407" s="34" t="s">
        <v>273</v>
      </c>
      <c r="J1407" s="34" t="s">
        <v>274</v>
      </c>
      <c r="K1407" s="39">
        <v>3558</v>
      </c>
      <c r="L1407" s="39">
        <v>3594</v>
      </c>
      <c r="M1407" s="15">
        <f t="shared" si="434"/>
        <v>36</v>
      </c>
      <c r="N1407" s="381">
        <f>Rutas[[#This Row],[Kms Recorridos]]</f>
        <v>36</v>
      </c>
      <c r="O1407" s="39"/>
      <c r="P1407" s="36"/>
      <c r="Q1407" s="16">
        <f t="shared" si="435"/>
        <v>0</v>
      </c>
      <c r="R1407" s="34" t="s">
        <v>273</v>
      </c>
      <c r="S1407" s="34" t="s">
        <v>102</v>
      </c>
      <c r="T1407" s="36">
        <v>2.8</v>
      </c>
      <c r="U1407" s="36">
        <f>Rutas[[#This Row],[Precio x Galón ($/gal)]]*Rutas[[#This Row],[Volumen de Combustible (gal)]]</f>
        <v>79.183999999999997</v>
      </c>
      <c r="V1407" s="36"/>
      <c r="W1407" s="36"/>
      <c r="X1407" s="36"/>
      <c r="Y1407" s="145">
        <f t="shared" si="436"/>
        <v>79.183999999999997</v>
      </c>
      <c r="Z1407" s="567"/>
      <c r="AA1407" s="12">
        <v>28.28</v>
      </c>
      <c r="AB1407" s="12">
        <f t="shared" si="437"/>
        <v>1.272984441301273</v>
      </c>
      <c r="AC1407" s="12">
        <f t="shared" si="438"/>
        <v>0</v>
      </c>
      <c r="AD1407" s="34"/>
    </row>
    <row r="1408" spans="1:30" ht="16" x14ac:dyDescent="0.2">
      <c r="A1408" s="47"/>
      <c r="C1408" s="176">
        <f t="shared" si="418"/>
        <v>1405</v>
      </c>
      <c r="D1408" s="454"/>
      <c r="E1408" s="37"/>
      <c r="F1408" s="65"/>
      <c r="G1408" s="11" t="str">
        <f ca="1">IF(AND(E1408&lt;&gt;"",E1408&lt;TODAY()),"Disponible",IFERROR(INDEX(Vehiculos[Estado Vehiculo],MATCH(F1408,Vehiculos[Placa Vehiculo],0)),""))</f>
        <v/>
      </c>
      <c r="H1408" s="34"/>
      <c r="I1408" s="34"/>
      <c r="J1408" s="34"/>
      <c r="K1408" s="39"/>
      <c r="L1408" s="39"/>
      <c r="M1408" s="15">
        <f t="shared" si="434"/>
        <v>0</v>
      </c>
      <c r="N1408" s="15"/>
      <c r="O1408" s="39"/>
      <c r="P1408" s="36"/>
      <c r="Q1408" s="16">
        <f t="shared" si="435"/>
        <v>0</v>
      </c>
      <c r="R1408" s="34"/>
      <c r="S1408" s="34"/>
      <c r="T1408" s="36"/>
      <c r="U1408" s="36"/>
      <c r="V1408" s="36"/>
      <c r="W1408" s="36"/>
      <c r="X1408" s="36"/>
      <c r="Y1408" s="145">
        <f t="shared" si="436"/>
        <v>0</v>
      </c>
      <c r="Z1408" s="567"/>
      <c r="AA1408" s="12"/>
      <c r="AB1408" s="12">
        <f t="shared" si="437"/>
        <v>0</v>
      </c>
      <c r="AC1408" s="12">
        <f t="shared" si="438"/>
        <v>0</v>
      </c>
      <c r="AD1408" s="34"/>
    </row>
    <row r="1409" spans="1:30" ht="16" x14ac:dyDescent="0.2">
      <c r="A1409" s="47"/>
      <c r="C1409" s="176">
        <f t="shared" si="418"/>
        <v>1406</v>
      </c>
      <c r="D1409" s="146"/>
      <c r="E1409" s="37"/>
      <c r="F1409" s="65"/>
      <c r="G1409" s="11" t="str">
        <f ca="1">IF(AND(E1409&lt;&gt;"",E1409&lt;TODAY()),"Disponible",IFERROR(INDEX(Vehiculos[Estado Vehiculo],MATCH(F1409,Vehiculos[Placa Vehiculo],0)),""))</f>
        <v/>
      </c>
      <c r="H1409" s="34"/>
      <c r="I1409" s="34"/>
      <c r="J1409" s="34"/>
      <c r="K1409" s="39"/>
      <c r="L1409" s="39"/>
      <c r="M1409" s="15">
        <f t="shared" si="413"/>
        <v>0</v>
      </c>
      <c r="N1409" s="15"/>
      <c r="O1409" s="39"/>
      <c r="P1409" s="36"/>
      <c r="Q1409" s="16">
        <f t="shared" si="414"/>
        <v>0</v>
      </c>
      <c r="R1409" s="34"/>
      <c r="S1409" s="34"/>
      <c r="T1409" s="36"/>
      <c r="U1409" s="36">
        <f>Rutas[[#This Row],[Precio x Galón ($/gal)]]*Rutas[[#This Row],[Volumen de Combustible (gal)]]</f>
        <v>0</v>
      </c>
      <c r="V1409" s="36"/>
      <c r="W1409" s="36"/>
      <c r="X1409" s="36"/>
      <c r="Y1409" s="145">
        <f t="shared" si="415"/>
        <v>0</v>
      </c>
      <c r="Z1409" s="572"/>
      <c r="AA1409" s="12"/>
      <c r="AB1409" s="12">
        <f t="shared" si="416"/>
        <v>0</v>
      </c>
      <c r="AC1409" s="12">
        <f t="shared" si="417"/>
        <v>0</v>
      </c>
      <c r="AD1409" s="34"/>
    </row>
    <row r="1410" spans="1:30" ht="16" x14ac:dyDescent="0.2">
      <c r="A1410" s="47"/>
      <c r="C1410" s="176">
        <f t="shared" si="418"/>
        <v>1407</v>
      </c>
      <c r="D1410" s="90">
        <v>45931</v>
      </c>
      <c r="E1410" s="90">
        <v>45932</v>
      </c>
      <c r="F1410" s="68" t="s">
        <v>312</v>
      </c>
      <c r="G1410" s="379" t="str">
        <f ca="1">IF(AND(E1410&lt;&gt;"",E1410&lt;TODAY()),"Disponible",IFERROR(INDEX(Vehiculos[Estado Vehiculo],MATCH(F1410,Vehiculos[Placa Vehiculo],0)),""))</f>
        <v>Disponible</v>
      </c>
      <c r="H1410" s="89"/>
      <c r="I1410" s="89" t="s">
        <v>273</v>
      </c>
      <c r="J1410" s="89"/>
      <c r="K1410" s="380">
        <v>463</v>
      </c>
      <c r="L1410" s="380">
        <v>479</v>
      </c>
      <c r="M1410" s="381">
        <f t="shared" ref="M1410:M1475" si="439">L1410-K1410</f>
        <v>16</v>
      </c>
      <c r="N1410" s="381">
        <f>Rutas[[#This Row],[Kms Recorridos]]</f>
        <v>16</v>
      </c>
      <c r="O1410" s="380"/>
      <c r="P1410" s="92"/>
      <c r="Q1410" s="382">
        <f t="shared" ref="Q1410:Q1475" si="440">M1410*P1410</f>
        <v>0</v>
      </c>
      <c r="R1410" s="89" t="s">
        <v>273</v>
      </c>
      <c r="S1410" s="89" t="s">
        <v>102</v>
      </c>
      <c r="T1410" s="92">
        <v>2.8</v>
      </c>
      <c r="U1410" s="92">
        <f>Rutas[[#This Row],[Precio x Galón ($/gal)]]*Rutas[[#This Row],[Volumen de Combustible (gal)]]</f>
        <v>50.4</v>
      </c>
      <c r="V1410" s="92"/>
      <c r="W1410" s="92"/>
      <c r="X1410" s="92"/>
      <c r="Y1410" s="382">
        <f t="shared" ref="Y1410:Y1475" si="441">U1410+SUM(V1410:X1410)</f>
        <v>50.4</v>
      </c>
      <c r="Z1410" s="572"/>
      <c r="AA1410" s="382">
        <v>18</v>
      </c>
      <c r="AB1410" s="382">
        <f t="shared" ref="AB1410:AB1475" si="442">IFERROR(M1410/AA1410,0)</f>
        <v>0.88888888888888884</v>
      </c>
      <c r="AC1410" s="382">
        <f t="shared" ref="AC1410:AC1475" si="443">IFERROR(Q1410/M1410,0)</f>
        <v>0</v>
      </c>
      <c r="AD1410" s="89"/>
    </row>
    <row r="1411" spans="1:30" ht="16" x14ac:dyDescent="0.2">
      <c r="A1411" s="47"/>
      <c r="C1411" s="176">
        <f t="shared" si="418"/>
        <v>1408</v>
      </c>
      <c r="D1411" s="146">
        <v>45932</v>
      </c>
      <c r="E1411" s="37"/>
      <c r="F1411" s="65" t="s">
        <v>312</v>
      </c>
      <c r="G1411" s="11" t="str">
        <f ca="1">IF(AND(E1411&lt;&gt;"",E1411&lt;TODAY()),"Disponible",IFERROR(INDEX(Vehiculos[Estado Vehiculo],MATCH(F1411,Vehiculos[Placa Vehiculo],0)),""))</f>
        <v>Disponible</v>
      </c>
      <c r="H1411" s="34"/>
      <c r="I1411" s="34"/>
      <c r="J1411" s="34"/>
      <c r="K1411" s="39"/>
      <c r="L1411" s="39"/>
      <c r="M1411" s="15">
        <f t="shared" si="439"/>
        <v>0</v>
      </c>
      <c r="N1411" s="15"/>
      <c r="O1411" s="39"/>
      <c r="P1411" s="36"/>
      <c r="Q1411" s="16">
        <f t="shared" si="440"/>
        <v>0</v>
      </c>
      <c r="R1411" s="34"/>
      <c r="S1411" s="34"/>
      <c r="T1411" s="36"/>
      <c r="U1411" s="36">
        <f>Rutas[[#This Row],[Precio x Galón ($/gal)]]*Rutas[[#This Row],[Volumen de Combustible (gal)]]</f>
        <v>0</v>
      </c>
      <c r="V1411" s="36"/>
      <c r="W1411" s="36"/>
      <c r="X1411" s="36"/>
      <c r="Y1411" s="145">
        <f t="shared" si="441"/>
        <v>0</v>
      </c>
      <c r="Z1411" s="572"/>
      <c r="AA1411" s="12"/>
      <c r="AB1411" s="12">
        <f t="shared" si="442"/>
        <v>0</v>
      </c>
      <c r="AC1411" s="12">
        <f t="shared" si="443"/>
        <v>0</v>
      </c>
      <c r="AD1411" s="34"/>
    </row>
    <row r="1412" spans="1:30" ht="16" x14ac:dyDescent="0.2">
      <c r="A1412" s="47"/>
      <c r="C1412" s="176">
        <f t="shared" ref="C1412:C1475" si="444">ROW(A1409)</f>
        <v>1409</v>
      </c>
      <c r="D1412" s="146"/>
      <c r="E1412" s="37"/>
      <c r="F1412" s="65"/>
      <c r="G1412" s="11" t="str">
        <f ca="1">IF(AND(E1412&lt;&gt;"",E1412&lt;TODAY()),"Disponible",IFERROR(INDEX(Vehiculos[Estado Vehiculo],MATCH(F1412,Vehiculos[Placa Vehiculo],0)),""))</f>
        <v/>
      </c>
      <c r="H1412" s="34"/>
      <c r="I1412" s="34"/>
      <c r="J1412" s="34"/>
      <c r="K1412" s="39"/>
      <c r="L1412" s="39"/>
      <c r="M1412" s="15">
        <f t="shared" si="439"/>
        <v>0</v>
      </c>
      <c r="N1412" s="15"/>
      <c r="O1412" s="39"/>
      <c r="P1412" s="36"/>
      <c r="Q1412" s="16">
        <f t="shared" si="440"/>
        <v>0</v>
      </c>
      <c r="R1412" s="34"/>
      <c r="S1412" s="34"/>
      <c r="T1412" s="36"/>
      <c r="U1412" s="36">
        <f>Rutas[[#This Row],[Precio x Galón ($/gal)]]*Rutas[[#This Row],[Volumen de Combustible (gal)]]</f>
        <v>0</v>
      </c>
      <c r="V1412" s="36"/>
      <c r="W1412" s="36"/>
      <c r="X1412" s="36"/>
      <c r="Y1412" s="145">
        <f t="shared" si="441"/>
        <v>0</v>
      </c>
      <c r="Z1412" s="572"/>
      <c r="AA1412" s="12"/>
      <c r="AB1412" s="12">
        <f t="shared" si="442"/>
        <v>0</v>
      </c>
      <c r="AC1412" s="12">
        <f t="shared" si="443"/>
        <v>0</v>
      </c>
      <c r="AD1412" s="34"/>
    </row>
    <row r="1413" spans="1:30" ht="16" x14ac:dyDescent="0.2">
      <c r="A1413" s="47"/>
      <c r="C1413" s="176">
        <f t="shared" si="444"/>
        <v>1410</v>
      </c>
      <c r="D1413" s="146"/>
      <c r="E1413" s="37"/>
      <c r="F1413" s="65"/>
      <c r="G1413" s="11" t="str">
        <f ca="1">IF(AND(E1413&lt;&gt;"",E1413&lt;TODAY()),"Disponible",IFERROR(INDEX(Vehiculos[Estado Vehiculo],MATCH(F1413,Vehiculos[Placa Vehiculo],0)),""))</f>
        <v/>
      </c>
      <c r="H1413" s="34"/>
      <c r="I1413" s="34"/>
      <c r="J1413" s="34"/>
      <c r="K1413" s="39"/>
      <c r="L1413" s="39"/>
      <c r="M1413" s="15">
        <f t="shared" si="439"/>
        <v>0</v>
      </c>
      <c r="N1413" s="15"/>
      <c r="O1413" s="39"/>
      <c r="P1413" s="36"/>
      <c r="Q1413" s="16">
        <f t="shared" si="440"/>
        <v>0</v>
      </c>
      <c r="R1413" s="34"/>
      <c r="S1413" s="34"/>
      <c r="T1413" s="36"/>
      <c r="U1413" s="36">
        <f>Rutas[[#This Row],[Precio x Galón ($/gal)]]*Rutas[[#This Row],[Volumen de Combustible (gal)]]</f>
        <v>0</v>
      </c>
      <c r="V1413" s="36"/>
      <c r="W1413" s="36"/>
      <c r="X1413" s="36"/>
      <c r="Y1413" s="145">
        <f t="shared" si="441"/>
        <v>0</v>
      </c>
      <c r="Z1413" s="572"/>
      <c r="AA1413" s="12"/>
      <c r="AB1413" s="12">
        <f t="shared" si="442"/>
        <v>0</v>
      </c>
      <c r="AC1413" s="12">
        <f t="shared" si="443"/>
        <v>0</v>
      </c>
      <c r="AD1413" s="34"/>
    </row>
    <row r="1414" spans="1:30" ht="16" x14ac:dyDescent="0.2">
      <c r="A1414" s="47"/>
      <c r="C1414" s="176">
        <f t="shared" si="444"/>
        <v>1411</v>
      </c>
      <c r="D1414" s="90">
        <v>45931</v>
      </c>
      <c r="E1414" s="90">
        <v>45933</v>
      </c>
      <c r="F1414" s="68" t="s">
        <v>307</v>
      </c>
      <c r="G1414" s="379" t="str">
        <f ca="1">IF(AND(E1414&lt;&gt;"",E1414&lt;TODAY()),"Disponible",IFERROR(INDEX(Vehiculos[Estado Vehiculo],MATCH(F1414,Vehiculos[Placa Vehiculo],0)),""))</f>
        <v>Disponible</v>
      </c>
      <c r="H1414" s="89"/>
      <c r="I1414" s="89" t="s">
        <v>273</v>
      </c>
      <c r="J1414" s="89" t="s">
        <v>282</v>
      </c>
      <c r="K1414" s="380">
        <v>4739</v>
      </c>
      <c r="L1414" s="380">
        <v>4753</v>
      </c>
      <c r="M1414" s="381">
        <f t="shared" si="439"/>
        <v>14</v>
      </c>
      <c r="N1414" s="381">
        <f>Rutas[[#This Row],[Kms Recorridos]]</f>
        <v>14</v>
      </c>
      <c r="O1414" s="380"/>
      <c r="P1414" s="92"/>
      <c r="Q1414" s="382">
        <f t="shared" si="440"/>
        <v>0</v>
      </c>
      <c r="R1414" s="89" t="s">
        <v>273</v>
      </c>
      <c r="S1414" s="89" t="s">
        <v>102</v>
      </c>
      <c r="T1414" s="92">
        <v>2.8</v>
      </c>
      <c r="U1414" s="92">
        <f>Rutas[[#This Row],[Precio x Galón ($/gal)]]*Rutas[[#This Row],[Volumen de Combustible (gal)]]</f>
        <v>40.488</v>
      </c>
      <c r="V1414" s="92"/>
      <c r="W1414" s="92"/>
      <c r="X1414" s="92"/>
      <c r="Y1414" s="382">
        <f t="shared" si="441"/>
        <v>40.488</v>
      </c>
      <c r="Z1414" s="572"/>
      <c r="AA1414" s="382">
        <v>14.46</v>
      </c>
      <c r="AB1414" s="382">
        <f t="shared" si="442"/>
        <v>0.96818810511756559</v>
      </c>
      <c r="AC1414" s="382">
        <f t="shared" si="443"/>
        <v>0</v>
      </c>
      <c r="AD1414" s="89"/>
    </row>
    <row r="1415" spans="1:30" ht="16" x14ac:dyDescent="0.2">
      <c r="A1415" s="47"/>
      <c r="C1415" s="176">
        <f t="shared" si="444"/>
        <v>1412</v>
      </c>
      <c r="D1415" s="146">
        <v>45933</v>
      </c>
      <c r="E1415" s="37">
        <v>45941</v>
      </c>
      <c r="F1415" s="65" t="s">
        <v>307</v>
      </c>
      <c r="G1415" s="11" t="str">
        <f ca="1">IF(AND(E1415&lt;&gt;"",E1415&lt;TODAY()),"Disponible",IFERROR(INDEX(Vehiculos[Estado Vehiculo],MATCH(F1415,Vehiculos[Placa Vehiculo],0)),""))</f>
        <v>Disponible</v>
      </c>
      <c r="H1415" s="34"/>
      <c r="I1415" s="34" t="s">
        <v>273</v>
      </c>
      <c r="J1415" s="34" t="s">
        <v>282</v>
      </c>
      <c r="K1415" s="39">
        <v>4753</v>
      </c>
      <c r="L1415" s="39">
        <v>4787</v>
      </c>
      <c r="M1415" s="15">
        <f t="shared" si="439"/>
        <v>34</v>
      </c>
      <c r="N1415" s="381">
        <f>Rutas[[#This Row],[Kms Recorridos]]</f>
        <v>34</v>
      </c>
      <c r="O1415" s="39"/>
      <c r="P1415" s="36"/>
      <c r="Q1415" s="16">
        <f t="shared" si="440"/>
        <v>0</v>
      </c>
      <c r="R1415" s="34" t="s">
        <v>273</v>
      </c>
      <c r="S1415" s="34" t="s">
        <v>102</v>
      </c>
      <c r="T1415" s="36">
        <v>2.8</v>
      </c>
      <c r="U1415" s="36">
        <f>Rutas[[#This Row],[Precio x Galón ($/gal)]]*Rutas[[#This Row],[Volumen de Combustible (gal)]]</f>
        <v>42.027999999999999</v>
      </c>
      <c r="V1415" s="36"/>
      <c r="W1415" s="36"/>
      <c r="X1415" s="36"/>
      <c r="Y1415" s="145">
        <f t="shared" si="441"/>
        <v>42.027999999999999</v>
      </c>
      <c r="Z1415" s="572"/>
      <c r="AA1415" s="12">
        <v>15.01</v>
      </c>
      <c r="AB1415" s="12">
        <f t="shared" si="442"/>
        <v>2.2651565622918053</v>
      </c>
      <c r="AC1415" s="12">
        <f t="shared" si="443"/>
        <v>0</v>
      </c>
      <c r="AD1415" s="34"/>
    </row>
    <row r="1416" spans="1:30" ht="16" x14ac:dyDescent="0.2">
      <c r="A1416" s="47"/>
      <c r="C1416" s="176">
        <f t="shared" si="444"/>
        <v>1413</v>
      </c>
      <c r="D1416" s="146">
        <v>45941</v>
      </c>
      <c r="E1416" s="37">
        <v>45951</v>
      </c>
      <c r="F1416" s="65" t="s">
        <v>307</v>
      </c>
      <c r="G1416" s="11" t="str">
        <f ca="1">IF(AND(E1416&lt;&gt;"",E1416&lt;TODAY()),"Disponible",IFERROR(INDEX(Vehiculos[Estado Vehiculo],MATCH(F1416,Vehiculos[Placa Vehiculo],0)),""))</f>
        <v>Disponible</v>
      </c>
      <c r="H1416" s="34"/>
      <c r="I1416" s="34" t="s">
        <v>273</v>
      </c>
      <c r="J1416" s="34" t="s">
        <v>282</v>
      </c>
      <c r="K1416" s="39">
        <v>4787</v>
      </c>
      <c r="L1416" s="39">
        <v>4814</v>
      </c>
      <c r="M1416" s="15">
        <f t="shared" si="439"/>
        <v>27</v>
      </c>
      <c r="N1416" s="381">
        <f>Rutas[[#This Row],[Kms Recorridos]]</f>
        <v>27</v>
      </c>
      <c r="O1416" s="39"/>
      <c r="P1416" s="36"/>
      <c r="Q1416" s="16">
        <f t="shared" si="440"/>
        <v>0</v>
      </c>
      <c r="R1416" s="34" t="s">
        <v>273</v>
      </c>
      <c r="S1416" s="34" t="s">
        <v>102</v>
      </c>
      <c r="T1416" s="36">
        <v>2.8</v>
      </c>
      <c r="U1416" s="36">
        <f>Rutas[[#This Row],[Precio x Galón ($/gal)]]*Rutas[[#This Row],[Volumen de Combustible (gal)]]</f>
        <v>38.835999999999999</v>
      </c>
      <c r="V1416" s="36"/>
      <c r="W1416" s="36"/>
      <c r="X1416" s="36"/>
      <c r="Y1416" s="145">
        <f t="shared" si="441"/>
        <v>38.835999999999999</v>
      </c>
      <c r="Z1416" s="572"/>
      <c r="AA1416" s="12">
        <v>13.87</v>
      </c>
      <c r="AB1416" s="12">
        <f t="shared" si="442"/>
        <v>1.9466474405191061</v>
      </c>
      <c r="AC1416" s="12">
        <f t="shared" si="443"/>
        <v>0</v>
      </c>
      <c r="AD1416" s="34"/>
    </row>
    <row r="1417" spans="1:30" ht="16" x14ac:dyDescent="0.2">
      <c r="A1417" s="47"/>
      <c r="C1417" s="176">
        <f t="shared" si="444"/>
        <v>1414</v>
      </c>
      <c r="D1417" s="146">
        <v>45951</v>
      </c>
      <c r="E1417" s="37">
        <v>45961</v>
      </c>
      <c r="F1417" s="65" t="s">
        <v>307</v>
      </c>
      <c r="G1417" s="11" t="str">
        <f ca="1">IF(AND(E1417&lt;&gt;"",E1417&lt;TODAY()),"Disponible",IFERROR(INDEX(Vehiculos[Estado Vehiculo],MATCH(F1417,Vehiculos[Placa Vehiculo],0)),""))</f>
        <v>Disponible</v>
      </c>
      <c r="H1417" s="34"/>
      <c r="I1417" s="34" t="s">
        <v>273</v>
      </c>
      <c r="J1417" s="34" t="s">
        <v>282</v>
      </c>
      <c r="K1417" s="39">
        <v>4814</v>
      </c>
      <c r="L1417" s="39">
        <v>4837</v>
      </c>
      <c r="M1417" s="15">
        <f t="shared" si="439"/>
        <v>23</v>
      </c>
      <c r="N1417" s="381">
        <f>Rutas[[#This Row],[Kms Recorridos]]</f>
        <v>23</v>
      </c>
      <c r="O1417" s="39"/>
      <c r="P1417" s="36"/>
      <c r="Q1417" s="16">
        <f t="shared" si="440"/>
        <v>0</v>
      </c>
      <c r="R1417" s="34" t="s">
        <v>273</v>
      </c>
      <c r="S1417" s="34" t="s">
        <v>102</v>
      </c>
      <c r="T1417" s="36">
        <v>2.8</v>
      </c>
      <c r="U1417" s="36">
        <f>Rutas[[#This Row],[Precio x Galón ($/gal)]]*Rutas[[#This Row],[Volumen de Combustible (gal)]]</f>
        <v>38.415999999999997</v>
      </c>
      <c r="V1417" s="36"/>
      <c r="W1417" s="36"/>
      <c r="X1417" s="36"/>
      <c r="Y1417" s="145">
        <f t="shared" si="441"/>
        <v>38.415999999999997</v>
      </c>
      <c r="Z1417" s="572"/>
      <c r="AA1417" s="12">
        <v>13.72</v>
      </c>
      <c r="AB1417" s="12">
        <f t="shared" si="442"/>
        <v>1.6763848396501457</v>
      </c>
      <c r="AC1417" s="12">
        <f t="shared" si="443"/>
        <v>0</v>
      </c>
      <c r="AD1417" s="34"/>
    </row>
    <row r="1418" spans="1:30" ht="16" x14ac:dyDescent="0.2">
      <c r="A1418" s="47"/>
      <c r="C1418" s="176">
        <f t="shared" si="444"/>
        <v>1415</v>
      </c>
      <c r="D1418" s="454"/>
      <c r="E1418" s="37"/>
      <c r="F1418" s="65"/>
      <c r="G1418" s="11" t="str">
        <f ca="1">IF(AND(E1418&lt;&gt;"",E1418&lt;TODAY()),"Disponible",IFERROR(INDEX(Vehiculos[Estado Vehiculo],MATCH(F1418,Vehiculos[Placa Vehiculo],0)),""))</f>
        <v/>
      </c>
      <c r="H1418" s="34"/>
      <c r="I1418" s="34"/>
      <c r="J1418" s="34"/>
      <c r="K1418" s="39"/>
      <c r="L1418" s="39"/>
      <c r="M1418" s="15">
        <f>L1418-K1418</f>
        <v>0</v>
      </c>
      <c r="N1418" s="15"/>
      <c r="O1418" s="39"/>
      <c r="P1418" s="36"/>
      <c r="Q1418" s="16">
        <f>M1418*P1418</f>
        <v>0</v>
      </c>
      <c r="R1418" s="34"/>
      <c r="S1418" s="34"/>
      <c r="T1418" s="36"/>
      <c r="U1418" s="36"/>
      <c r="V1418" s="36"/>
      <c r="W1418" s="36"/>
      <c r="X1418" s="36"/>
      <c r="Y1418" s="145">
        <f>U1418+SUM(V1418:X1418)</f>
        <v>0</v>
      </c>
      <c r="Z1418" s="567"/>
      <c r="AA1418" s="12"/>
      <c r="AB1418" s="12">
        <f>IFERROR(M1418/AA1418,0)</f>
        <v>0</v>
      </c>
      <c r="AC1418" s="12">
        <f>IFERROR(Q1418/M1418,0)</f>
        <v>0</v>
      </c>
      <c r="AD1418" s="34"/>
    </row>
    <row r="1419" spans="1:30" ht="16" x14ac:dyDescent="0.2">
      <c r="A1419" s="47"/>
      <c r="C1419" s="176">
        <f t="shared" si="444"/>
        <v>1416</v>
      </c>
      <c r="D1419" s="146"/>
      <c r="E1419" s="37"/>
      <c r="F1419" s="65"/>
      <c r="G1419" s="11" t="str">
        <f ca="1">IF(AND(E1419&lt;&gt;"",E1419&lt;TODAY()),"Disponible",IFERROR(INDEX(Vehiculos[Estado Vehiculo],MATCH(F1419,Vehiculos[Placa Vehiculo],0)),""))</f>
        <v/>
      </c>
      <c r="H1419" s="34"/>
      <c r="I1419" s="34"/>
      <c r="J1419" s="34"/>
      <c r="K1419" s="39"/>
      <c r="L1419" s="39"/>
      <c r="M1419" s="15">
        <f t="shared" si="439"/>
        <v>0</v>
      </c>
      <c r="N1419" s="15"/>
      <c r="O1419" s="39"/>
      <c r="P1419" s="36"/>
      <c r="Q1419" s="16">
        <f t="shared" si="440"/>
        <v>0</v>
      </c>
      <c r="R1419" s="34"/>
      <c r="S1419" s="34"/>
      <c r="T1419" s="36"/>
      <c r="U1419" s="36">
        <f>Rutas[[#This Row],[Precio x Galón ($/gal)]]*Rutas[[#This Row],[Volumen de Combustible (gal)]]</f>
        <v>0</v>
      </c>
      <c r="V1419" s="36"/>
      <c r="W1419" s="36"/>
      <c r="X1419" s="36"/>
      <c r="Y1419" s="145">
        <f t="shared" si="441"/>
        <v>0</v>
      </c>
      <c r="Z1419" s="572"/>
      <c r="AA1419" s="12"/>
      <c r="AB1419" s="12">
        <f t="shared" si="442"/>
        <v>0</v>
      </c>
      <c r="AC1419" s="12">
        <f t="shared" si="443"/>
        <v>0</v>
      </c>
      <c r="AD1419" s="34"/>
    </row>
    <row r="1420" spans="1:30" ht="16" x14ac:dyDescent="0.2">
      <c r="A1420" s="47"/>
      <c r="C1420" s="176">
        <f t="shared" si="444"/>
        <v>1417</v>
      </c>
      <c r="D1420" s="90">
        <v>45931</v>
      </c>
      <c r="E1420" s="90">
        <v>45932</v>
      </c>
      <c r="F1420" s="68" t="s">
        <v>318</v>
      </c>
      <c r="G1420" s="379" t="str">
        <f ca="1">IF(AND(E1420&lt;&gt;"",E1420&lt;TODAY()),"Disponible",IFERROR(INDEX(Vehiculos[Estado Vehiculo],MATCH(F1420,Vehiculos[Placa Vehiculo],0)),""))</f>
        <v>Disponible</v>
      </c>
      <c r="H1420" s="89"/>
      <c r="I1420" s="89" t="s">
        <v>273</v>
      </c>
      <c r="J1420" s="89" t="s">
        <v>274</v>
      </c>
      <c r="K1420" s="380">
        <v>1009</v>
      </c>
      <c r="L1420" s="380">
        <v>1012</v>
      </c>
      <c r="M1420" s="381">
        <f t="shared" si="439"/>
        <v>3</v>
      </c>
      <c r="N1420" s="381">
        <f>Rutas[[#This Row],[Kms Recorridos]]</f>
        <v>3</v>
      </c>
      <c r="O1420" s="380"/>
      <c r="P1420" s="92"/>
      <c r="Q1420" s="382">
        <f t="shared" si="440"/>
        <v>0</v>
      </c>
      <c r="R1420" s="89" t="s">
        <v>339</v>
      </c>
      <c r="S1420" s="89" t="s">
        <v>102</v>
      </c>
      <c r="T1420" s="92">
        <v>2.8</v>
      </c>
      <c r="U1420" s="92">
        <f>Rutas[[#This Row],[Precio x Galón ($/gal)]]*Rutas[[#This Row],[Volumen de Combustible (gal)]]</f>
        <v>23.744</v>
      </c>
      <c r="V1420" s="92"/>
      <c r="W1420" s="92"/>
      <c r="X1420" s="92"/>
      <c r="Y1420" s="382">
        <f t="shared" si="441"/>
        <v>23.744</v>
      </c>
      <c r="Z1420" s="572">
        <v>34988</v>
      </c>
      <c r="AA1420" s="382">
        <v>8.48</v>
      </c>
      <c r="AB1420" s="382">
        <f t="shared" si="442"/>
        <v>0.35377358490566035</v>
      </c>
      <c r="AC1420" s="382">
        <f t="shared" si="443"/>
        <v>0</v>
      </c>
      <c r="AD1420" s="89"/>
    </row>
    <row r="1421" spans="1:30" ht="16" x14ac:dyDescent="0.2">
      <c r="A1421" s="47"/>
      <c r="C1421" s="176">
        <f t="shared" si="444"/>
        <v>1418</v>
      </c>
      <c r="D1421" s="146">
        <v>45932</v>
      </c>
      <c r="E1421" s="37">
        <v>45936</v>
      </c>
      <c r="F1421" s="65" t="s">
        <v>318</v>
      </c>
      <c r="G1421" s="11" t="str">
        <f ca="1">IF(AND(E1421&lt;&gt;"",E1421&lt;TODAY()),"Disponible",IFERROR(INDEX(Vehiculos[Estado Vehiculo],MATCH(F1421,Vehiculos[Placa Vehiculo],0)),""))</f>
        <v>Disponible</v>
      </c>
      <c r="H1421" s="34"/>
      <c r="I1421" s="34" t="s">
        <v>273</v>
      </c>
      <c r="J1421" s="34" t="s">
        <v>274</v>
      </c>
      <c r="K1421" s="39">
        <v>1012</v>
      </c>
      <c r="L1421" s="39">
        <v>1040</v>
      </c>
      <c r="M1421" s="15">
        <f t="shared" si="439"/>
        <v>28</v>
      </c>
      <c r="N1421" s="381">
        <f>Rutas[[#This Row],[Kms Recorridos]]</f>
        <v>28</v>
      </c>
      <c r="O1421" s="39"/>
      <c r="P1421" s="36"/>
      <c r="Q1421" s="16">
        <f t="shared" si="440"/>
        <v>0</v>
      </c>
      <c r="R1421" s="34" t="s">
        <v>273</v>
      </c>
      <c r="S1421" s="34" t="s">
        <v>102</v>
      </c>
      <c r="T1421" s="36">
        <v>2.8</v>
      </c>
      <c r="U1421" s="36">
        <f>Rutas[[#This Row],[Precio x Galón ($/gal)]]*Rutas[[#This Row],[Volumen de Combustible (gal)]]</f>
        <v>51.603999999999999</v>
      </c>
      <c r="V1421" s="36"/>
      <c r="W1421" s="36"/>
      <c r="X1421" s="36"/>
      <c r="Y1421" s="145">
        <f t="shared" si="441"/>
        <v>51.603999999999999</v>
      </c>
      <c r="Z1421" s="572"/>
      <c r="AA1421" s="12">
        <v>18.43</v>
      </c>
      <c r="AB1421" s="12">
        <f t="shared" si="442"/>
        <v>1.5192620727075421</v>
      </c>
      <c r="AC1421" s="12">
        <f t="shared" si="443"/>
        <v>0</v>
      </c>
      <c r="AD1421" s="34"/>
    </row>
    <row r="1422" spans="1:30" ht="16" x14ac:dyDescent="0.2">
      <c r="A1422" s="47"/>
      <c r="C1422" s="176">
        <f t="shared" si="444"/>
        <v>1419</v>
      </c>
      <c r="D1422" s="146">
        <v>45936</v>
      </c>
      <c r="E1422" s="37">
        <v>45938</v>
      </c>
      <c r="F1422" s="65" t="s">
        <v>318</v>
      </c>
      <c r="G1422" s="11" t="str">
        <f ca="1">IF(AND(E1422&lt;&gt;"",E1422&lt;TODAY()),"Disponible",IFERROR(INDEX(Vehiculos[Estado Vehiculo],MATCH(F1422,Vehiculos[Placa Vehiculo],0)),""))</f>
        <v>Disponible</v>
      </c>
      <c r="H1422" s="34"/>
      <c r="I1422" s="34" t="s">
        <v>273</v>
      </c>
      <c r="J1422" s="34" t="s">
        <v>274</v>
      </c>
      <c r="K1422" s="39">
        <v>1040</v>
      </c>
      <c r="L1422" s="39">
        <v>1054</v>
      </c>
      <c r="M1422" s="15">
        <f t="shared" si="439"/>
        <v>14</v>
      </c>
      <c r="N1422" s="381">
        <f>Rutas[[#This Row],[Kms Recorridos]]</f>
        <v>14</v>
      </c>
      <c r="O1422" s="39"/>
      <c r="P1422" s="36"/>
      <c r="Q1422" s="16">
        <f t="shared" si="440"/>
        <v>0</v>
      </c>
      <c r="R1422" s="34" t="s">
        <v>273</v>
      </c>
      <c r="S1422" s="34" t="s">
        <v>102</v>
      </c>
      <c r="T1422" s="36">
        <v>2.8</v>
      </c>
      <c r="U1422" s="36">
        <f>Rutas[[#This Row],[Precio x Galón ($/gal)]]*Rutas[[#This Row],[Volumen de Combustible (gal)]]</f>
        <v>30.211999999999996</v>
      </c>
      <c r="V1422" s="36"/>
      <c r="W1422" s="36"/>
      <c r="X1422" s="36"/>
      <c r="Y1422" s="145">
        <f t="shared" si="441"/>
        <v>30.211999999999996</v>
      </c>
      <c r="Z1422" s="572"/>
      <c r="AA1422" s="12">
        <v>10.79</v>
      </c>
      <c r="AB1422" s="12">
        <f t="shared" si="442"/>
        <v>1.2974976830398519</v>
      </c>
      <c r="AC1422" s="12">
        <f t="shared" si="443"/>
        <v>0</v>
      </c>
      <c r="AD1422" s="34"/>
    </row>
    <row r="1423" spans="1:30" ht="16" x14ac:dyDescent="0.2">
      <c r="C1423" s="176">
        <f t="shared" si="444"/>
        <v>1420</v>
      </c>
      <c r="D1423" s="146">
        <v>45938</v>
      </c>
      <c r="E1423" s="37">
        <v>45941</v>
      </c>
      <c r="F1423" s="65" t="s">
        <v>318</v>
      </c>
      <c r="G1423" s="11" t="str">
        <f ca="1">IF(AND(E1423&lt;&gt;"",E1423&lt;TODAY()),"Disponible",IFERROR(INDEX(Vehiculos[Estado Vehiculo],MATCH(F1423,Vehiculos[Placa Vehiculo],0)),""))</f>
        <v>Disponible</v>
      </c>
      <c r="H1423" s="34"/>
      <c r="I1423" s="34" t="s">
        <v>273</v>
      </c>
      <c r="J1423" s="34" t="s">
        <v>274</v>
      </c>
      <c r="K1423" s="39">
        <v>1054</v>
      </c>
      <c r="L1423" s="39">
        <v>1074</v>
      </c>
      <c r="M1423" s="15">
        <f t="shared" si="439"/>
        <v>20</v>
      </c>
      <c r="N1423" s="381">
        <f>Rutas[[#This Row],[Kms Recorridos]]</f>
        <v>20</v>
      </c>
      <c r="O1423" s="39"/>
      <c r="P1423" s="36"/>
      <c r="Q1423" s="16">
        <f t="shared" si="440"/>
        <v>0</v>
      </c>
      <c r="R1423" s="34" t="s">
        <v>273</v>
      </c>
      <c r="S1423" s="34" t="s">
        <v>102</v>
      </c>
      <c r="T1423" s="36">
        <v>2.8</v>
      </c>
      <c r="U1423" s="36">
        <f>Rutas[[#This Row],[Precio x Galón ($/gal)]]*Rutas[[#This Row],[Volumen de Combustible (gal)]]</f>
        <v>37.547999999999995</v>
      </c>
      <c r="V1423" s="36"/>
      <c r="W1423" s="36"/>
      <c r="X1423" s="36"/>
      <c r="Y1423" s="145">
        <f t="shared" si="441"/>
        <v>37.547999999999995</v>
      </c>
      <c r="Z1423" s="572"/>
      <c r="AA1423" s="12">
        <v>13.41</v>
      </c>
      <c r="AB1423" s="12">
        <f t="shared" si="442"/>
        <v>1.4914243102162565</v>
      </c>
      <c r="AC1423" s="12">
        <f t="shared" si="443"/>
        <v>0</v>
      </c>
      <c r="AD1423" s="34"/>
    </row>
    <row r="1424" spans="1:30" ht="16" x14ac:dyDescent="0.2">
      <c r="C1424" s="176">
        <f t="shared" si="444"/>
        <v>1421</v>
      </c>
      <c r="D1424" s="454">
        <v>45941</v>
      </c>
      <c r="E1424" s="37">
        <v>45945</v>
      </c>
      <c r="F1424" s="65" t="s">
        <v>318</v>
      </c>
      <c r="G1424" s="11" t="str">
        <f ca="1">IF(AND(E1424&lt;&gt;"",E1424&lt;TODAY()),"Disponible",IFERROR(INDEX(Vehiculos[Estado Vehiculo],MATCH(F1424,Vehiculos[Placa Vehiculo],0)),""))</f>
        <v>Disponible</v>
      </c>
      <c r="H1424" s="34"/>
      <c r="I1424" s="34" t="s">
        <v>273</v>
      </c>
      <c r="J1424" s="34" t="s">
        <v>274</v>
      </c>
      <c r="K1424" s="39">
        <v>1074</v>
      </c>
      <c r="L1424" s="39">
        <v>1102</v>
      </c>
      <c r="M1424" s="15">
        <f>L1424-K1424</f>
        <v>28</v>
      </c>
      <c r="N1424" s="381">
        <f>Rutas[[#This Row],[Kms Recorridos]]</f>
        <v>28</v>
      </c>
      <c r="O1424" s="39"/>
      <c r="P1424" s="36"/>
      <c r="Q1424" s="16">
        <f>M1424*P1424</f>
        <v>0</v>
      </c>
      <c r="R1424" s="34" t="s">
        <v>273</v>
      </c>
      <c r="S1424" s="34" t="s">
        <v>102</v>
      </c>
      <c r="T1424" s="36">
        <v>2.8</v>
      </c>
      <c r="U1424" s="36">
        <f>Rutas[[#This Row],[Precio x Galón ($/gal)]]*Rutas[[#This Row],[Volumen de Combustible (gal)]]</f>
        <v>58.603999999999992</v>
      </c>
      <c r="V1424" s="36"/>
      <c r="W1424" s="36"/>
      <c r="X1424" s="36"/>
      <c r="Y1424" s="145">
        <f>U1424+SUM(V1424:X1424)</f>
        <v>58.603999999999992</v>
      </c>
      <c r="Z1424" s="567"/>
      <c r="AA1424" s="12">
        <v>20.93</v>
      </c>
      <c r="AB1424" s="12">
        <f>IFERROR(M1424/AA1424,0)</f>
        <v>1.3377926421404682</v>
      </c>
      <c r="AC1424" s="12">
        <f>IFERROR(Q1424/M1424,0)</f>
        <v>0</v>
      </c>
      <c r="AD1424" s="34"/>
    </row>
    <row r="1425" spans="3:30" ht="16" x14ac:dyDescent="0.2">
      <c r="C1425" s="176">
        <f t="shared" si="444"/>
        <v>1422</v>
      </c>
      <c r="D1425" s="454">
        <v>45945</v>
      </c>
      <c r="E1425" s="37">
        <v>45949</v>
      </c>
      <c r="F1425" s="65" t="s">
        <v>318</v>
      </c>
      <c r="G1425" s="11" t="str">
        <f ca="1">IF(AND(E1425&lt;&gt;"",E1425&lt;TODAY()),"Disponible",IFERROR(INDEX(Vehiculos[Estado Vehiculo],MATCH(F1425,Vehiculos[Placa Vehiculo],0)),""))</f>
        <v>Disponible</v>
      </c>
      <c r="H1425" s="34"/>
      <c r="I1425" s="34" t="s">
        <v>273</v>
      </c>
      <c r="J1425" s="34" t="s">
        <v>274</v>
      </c>
      <c r="K1425" s="39">
        <v>1102</v>
      </c>
      <c r="L1425" s="39">
        <v>1130</v>
      </c>
      <c r="M1425" s="15">
        <f>L1425-K1425</f>
        <v>28</v>
      </c>
      <c r="N1425" s="381">
        <f>Rutas[[#This Row],[Kms Recorridos]]</f>
        <v>28</v>
      </c>
      <c r="O1425" s="39"/>
      <c r="P1425" s="36"/>
      <c r="Q1425" s="16">
        <f>M1425*P1425</f>
        <v>0</v>
      </c>
      <c r="R1425" s="34" t="s">
        <v>273</v>
      </c>
      <c r="S1425" s="34" t="s">
        <v>102</v>
      </c>
      <c r="T1425" s="36">
        <v>2.8</v>
      </c>
      <c r="U1425" s="36">
        <f>Rutas[[#This Row],[Precio x Galón ($/gal)]]*Rutas[[#This Row],[Volumen de Combustible (gal)]]</f>
        <v>52.08</v>
      </c>
      <c r="V1425" s="36"/>
      <c r="W1425" s="36"/>
      <c r="X1425" s="36"/>
      <c r="Y1425" s="145">
        <f>U1425+SUM(V1425:X1425)</f>
        <v>52.08</v>
      </c>
      <c r="Z1425" s="567"/>
      <c r="AA1425" s="12">
        <v>18.600000000000001</v>
      </c>
      <c r="AB1425" s="12">
        <f>IFERROR(M1425/AA1425,0)</f>
        <v>1.5053763440860215</v>
      </c>
      <c r="AC1425" s="12">
        <f>IFERROR(Q1425/M1425,0)</f>
        <v>0</v>
      </c>
      <c r="AD1425" s="34"/>
    </row>
    <row r="1426" spans="3:30" ht="16" x14ac:dyDescent="0.2">
      <c r="C1426" s="176">
        <f t="shared" si="444"/>
        <v>1423</v>
      </c>
      <c r="D1426" s="454">
        <v>45949</v>
      </c>
      <c r="E1426" s="37">
        <v>45956</v>
      </c>
      <c r="F1426" s="65" t="s">
        <v>318</v>
      </c>
      <c r="G1426" s="11" t="str">
        <f ca="1">IF(AND(E1426&lt;&gt;"",E1426&lt;TODAY()),"Disponible",IFERROR(INDEX(Vehiculos[Estado Vehiculo],MATCH(F1426,Vehiculos[Placa Vehiculo],0)),""))</f>
        <v>Disponible</v>
      </c>
      <c r="H1426" s="34"/>
      <c r="I1426" s="34" t="s">
        <v>273</v>
      </c>
      <c r="J1426" s="34" t="s">
        <v>274</v>
      </c>
      <c r="K1426" s="39">
        <v>1130</v>
      </c>
      <c r="L1426" s="39">
        <v>1161</v>
      </c>
      <c r="M1426" s="15">
        <f>L1426-K1426</f>
        <v>31</v>
      </c>
      <c r="N1426" s="381">
        <f>Rutas[[#This Row],[Kms Recorridos]]</f>
        <v>31</v>
      </c>
      <c r="O1426" s="39"/>
      <c r="P1426" s="36"/>
      <c r="Q1426" s="16">
        <f>M1426*P1426</f>
        <v>0</v>
      </c>
      <c r="R1426" s="34" t="s">
        <v>339</v>
      </c>
      <c r="S1426" s="34" t="s">
        <v>102</v>
      </c>
      <c r="T1426" s="36">
        <v>2.8</v>
      </c>
      <c r="U1426" s="36">
        <f>Rutas[[#This Row],[Precio x Galón ($/gal)]]*Rutas[[#This Row],[Volumen de Combustible (gal)]]</f>
        <v>56.14</v>
      </c>
      <c r="V1426" s="36"/>
      <c r="W1426" s="36"/>
      <c r="X1426" s="36"/>
      <c r="Y1426" s="145">
        <f>U1426+SUM(V1426:X1426)</f>
        <v>56.14</v>
      </c>
      <c r="Z1426" s="567"/>
      <c r="AA1426" s="12">
        <v>20.05</v>
      </c>
      <c r="AB1426" s="12">
        <f>IFERROR(M1426/AA1426,0)</f>
        <v>1.5461346633416457</v>
      </c>
      <c r="AC1426" s="12">
        <f>IFERROR(Q1426/M1426,0)</f>
        <v>0</v>
      </c>
      <c r="AD1426" s="34"/>
    </row>
    <row r="1427" spans="3:30" ht="16" x14ac:dyDescent="0.2">
      <c r="C1427" s="176">
        <f t="shared" si="444"/>
        <v>1424</v>
      </c>
      <c r="D1427" s="454"/>
      <c r="E1427" s="37"/>
      <c r="F1427" s="65"/>
      <c r="G1427" s="11" t="str">
        <f ca="1">IF(AND(E1427&lt;&gt;"",E1427&lt;TODAY()),"Disponible",IFERROR(INDEX(Vehiculos[Estado Vehiculo],MATCH(F1427,Vehiculos[Placa Vehiculo],0)),""))</f>
        <v/>
      </c>
      <c r="H1427" s="34"/>
      <c r="I1427" s="34"/>
      <c r="J1427" s="34"/>
      <c r="K1427" s="39"/>
      <c r="L1427" s="39"/>
      <c r="M1427" s="15">
        <f>L1427-K1427</f>
        <v>0</v>
      </c>
      <c r="N1427" s="15"/>
      <c r="O1427" s="39"/>
      <c r="P1427" s="36"/>
      <c r="Q1427" s="16">
        <f>M1427*P1427</f>
        <v>0</v>
      </c>
      <c r="R1427" s="34"/>
      <c r="S1427" s="34"/>
      <c r="T1427" s="36"/>
      <c r="U1427" s="36">
        <f>Rutas[[#This Row],[Precio x Galón ($/gal)]]*Rutas[[#This Row],[Volumen de Combustible (gal)]]</f>
        <v>0</v>
      </c>
      <c r="V1427" s="36"/>
      <c r="W1427" s="36"/>
      <c r="X1427" s="36"/>
      <c r="Y1427" s="145">
        <f>U1427+SUM(V1427:X1427)</f>
        <v>0</v>
      </c>
      <c r="Z1427" s="567"/>
      <c r="AA1427" s="12"/>
      <c r="AB1427" s="12">
        <f>IFERROR(M1427/AA1427,0)</f>
        <v>0</v>
      </c>
      <c r="AC1427" s="12">
        <f>IFERROR(Q1427/M1427,0)</f>
        <v>0</v>
      </c>
      <c r="AD1427" s="34"/>
    </row>
    <row r="1428" spans="3:30" ht="16" x14ac:dyDescent="0.2">
      <c r="C1428" s="176">
        <f t="shared" si="444"/>
        <v>1425</v>
      </c>
      <c r="D1428" s="146"/>
      <c r="E1428" s="37"/>
      <c r="F1428" s="65"/>
      <c r="G1428" s="11" t="str">
        <f ca="1">IF(AND(E1428&lt;&gt;"",E1428&lt;TODAY()),"Disponible",IFERROR(INDEX(Vehiculos[Estado Vehiculo],MATCH(F1428,Vehiculos[Placa Vehiculo],0)),""))</f>
        <v/>
      </c>
      <c r="H1428" s="34"/>
      <c r="I1428" s="34"/>
      <c r="J1428" s="34"/>
      <c r="K1428" s="39"/>
      <c r="L1428" s="39"/>
      <c r="M1428" s="15">
        <f t="shared" si="439"/>
        <v>0</v>
      </c>
      <c r="N1428" s="15"/>
      <c r="O1428" s="39"/>
      <c r="P1428" s="36"/>
      <c r="Q1428" s="16">
        <f t="shared" si="440"/>
        <v>0</v>
      </c>
      <c r="R1428" s="34"/>
      <c r="S1428" s="34"/>
      <c r="T1428" s="36"/>
      <c r="U1428" s="36">
        <f>Rutas[[#This Row],[Precio x Galón ($/gal)]]*Rutas[[#This Row],[Volumen de Combustible (gal)]]</f>
        <v>0</v>
      </c>
      <c r="V1428" s="36"/>
      <c r="W1428" s="36"/>
      <c r="X1428" s="36"/>
      <c r="Y1428" s="145">
        <f t="shared" si="441"/>
        <v>0</v>
      </c>
      <c r="Z1428" s="572"/>
      <c r="AA1428" s="12"/>
      <c r="AB1428" s="12">
        <f t="shared" si="442"/>
        <v>0</v>
      </c>
      <c r="AC1428" s="12">
        <f t="shared" si="443"/>
        <v>0</v>
      </c>
      <c r="AD1428" s="34"/>
    </row>
    <row r="1429" spans="3:30" ht="16" x14ac:dyDescent="0.2">
      <c r="C1429" s="176">
        <f t="shared" si="444"/>
        <v>1426</v>
      </c>
      <c r="D1429" s="90">
        <v>45931</v>
      </c>
      <c r="E1429" s="90">
        <v>45932</v>
      </c>
      <c r="F1429" s="68" t="s">
        <v>352</v>
      </c>
      <c r="G1429" s="379" t="str">
        <f ca="1">IF(AND(E1429&lt;&gt;"",E1429&lt;TODAY()),"Disponible",IFERROR(INDEX(Vehiculos[Estado Vehiculo],MATCH(F1429,Vehiculos[Placa Vehiculo],0)),""))</f>
        <v>Disponible</v>
      </c>
      <c r="H1429" s="89"/>
      <c r="I1429" s="89" t="s">
        <v>273</v>
      </c>
      <c r="J1429" s="89" t="s">
        <v>274</v>
      </c>
      <c r="K1429" s="380">
        <v>58</v>
      </c>
      <c r="L1429" s="380">
        <v>64</v>
      </c>
      <c r="M1429" s="381">
        <f t="shared" si="439"/>
        <v>6</v>
      </c>
      <c r="N1429" s="381">
        <f>Rutas[[#This Row],[Kms Recorridos]]</f>
        <v>6</v>
      </c>
      <c r="O1429" s="380"/>
      <c r="P1429" s="92"/>
      <c r="Q1429" s="382">
        <f t="shared" si="440"/>
        <v>0</v>
      </c>
      <c r="R1429" s="89" t="s">
        <v>196</v>
      </c>
      <c r="S1429" s="89" t="s">
        <v>102</v>
      </c>
      <c r="T1429" s="92">
        <v>2.8</v>
      </c>
      <c r="U1429" s="92">
        <f>Rutas[[#This Row],[Precio x Galón ($/gal)]]*Rutas[[#This Row],[Volumen de Combustible (gal)]]</f>
        <v>14</v>
      </c>
      <c r="V1429" s="92"/>
      <c r="W1429" s="92"/>
      <c r="X1429" s="92"/>
      <c r="Y1429" s="382">
        <f t="shared" si="441"/>
        <v>14</v>
      </c>
      <c r="Z1429" s="572"/>
      <c r="AA1429" s="382">
        <v>5</v>
      </c>
      <c r="AB1429" s="382">
        <f t="shared" si="442"/>
        <v>1.2</v>
      </c>
      <c r="AC1429" s="382">
        <f t="shared" si="443"/>
        <v>0</v>
      </c>
      <c r="AD1429" s="89"/>
    </row>
    <row r="1430" spans="3:30" ht="16" x14ac:dyDescent="0.2">
      <c r="C1430" s="176">
        <f t="shared" si="444"/>
        <v>1427</v>
      </c>
      <c r="D1430" s="146">
        <v>45932</v>
      </c>
      <c r="E1430" s="37">
        <v>45934</v>
      </c>
      <c r="F1430" s="65" t="s">
        <v>352</v>
      </c>
      <c r="G1430" s="11" t="str">
        <f ca="1">IF(AND(E1430&lt;&gt;"",E1430&lt;TODAY()),"Disponible",IFERROR(INDEX(Vehiculos[Estado Vehiculo],MATCH(F1430,Vehiculos[Placa Vehiculo],0)),""))</f>
        <v>Disponible</v>
      </c>
      <c r="H1430" s="34"/>
      <c r="I1430" s="34" t="s">
        <v>273</v>
      </c>
      <c r="J1430" s="34" t="s">
        <v>274</v>
      </c>
      <c r="K1430" s="39">
        <v>64</v>
      </c>
      <c r="L1430" s="39">
        <v>83</v>
      </c>
      <c r="M1430" s="15">
        <f t="shared" si="439"/>
        <v>19</v>
      </c>
      <c r="N1430" s="15">
        <f>Rutas[[#This Row],[Kms Recorridos]]</f>
        <v>19</v>
      </c>
      <c r="O1430" s="39"/>
      <c r="P1430" s="36"/>
      <c r="Q1430" s="16">
        <f t="shared" si="440"/>
        <v>0</v>
      </c>
      <c r="R1430" s="34" t="s">
        <v>196</v>
      </c>
      <c r="S1430" s="34" t="s">
        <v>102</v>
      </c>
      <c r="T1430" s="36">
        <v>2.8</v>
      </c>
      <c r="U1430" s="36">
        <f>Rutas[[#This Row],[Precio x Galón ($/gal)]]*Rutas[[#This Row],[Volumen de Combustible (gal)]]</f>
        <v>28</v>
      </c>
      <c r="V1430" s="36"/>
      <c r="W1430" s="36"/>
      <c r="X1430" s="36"/>
      <c r="Y1430" s="145">
        <f t="shared" si="441"/>
        <v>28</v>
      </c>
      <c r="Z1430" s="572"/>
      <c r="AA1430" s="12">
        <v>10</v>
      </c>
      <c r="AB1430" s="12">
        <f t="shared" si="442"/>
        <v>1.9</v>
      </c>
      <c r="AC1430" s="12">
        <f t="shared" si="443"/>
        <v>0</v>
      </c>
      <c r="AD1430" s="34"/>
    </row>
    <row r="1431" spans="3:30" ht="16" x14ac:dyDescent="0.2">
      <c r="C1431" s="176">
        <f t="shared" si="444"/>
        <v>1428</v>
      </c>
      <c r="D1431" s="146">
        <v>45934</v>
      </c>
      <c r="E1431" s="37">
        <v>45935</v>
      </c>
      <c r="F1431" s="65" t="s">
        <v>352</v>
      </c>
      <c r="G1431" s="11" t="str">
        <f ca="1">IF(AND(E1431&lt;&gt;"",E1431&lt;TODAY()),"Disponible",IFERROR(INDEX(Vehiculos[Estado Vehiculo],MATCH(F1431,Vehiculos[Placa Vehiculo],0)),""))</f>
        <v>Disponible</v>
      </c>
      <c r="H1431" s="34"/>
      <c r="I1431" s="34" t="s">
        <v>273</v>
      </c>
      <c r="J1431" s="34" t="s">
        <v>274</v>
      </c>
      <c r="K1431" s="39">
        <v>83</v>
      </c>
      <c r="L1431" s="39">
        <v>98</v>
      </c>
      <c r="M1431" s="15">
        <f t="shared" si="439"/>
        <v>15</v>
      </c>
      <c r="N1431" s="15">
        <f>Rutas[[#This Row],[Kms Recorridos]]</f>
        <v>15</v>
      </c>
      <c r="O1431" s="39"/>
      <c r="P1431" s="36"/>
      <c r="Q1431" s="16">
        <f t="shared" si="440"/>
        <v>0</v>
      </c>
      <c r="R1431" s="34" t="s">
        <v>273</v>
      </c>
      <c r="S1431" s="34" t="s">
        <v>102</v>
      </c>
      <c r="T1431" s="36">
        <v>2.8</v>
      </c>
      <c r="U1431" s="36">
        <f>Rutas[[#This Row],[Precio x Galón ($/gal)]]*Rutas[[#This Row],[Volumen de Combustible (gal)]]</f>
        <v>46.283999999999999</v>
      </c>
      <c r="V1431" s="36"/>
      <c r="W1431" s="36"/>
      <c r="X1431" s="36"/>
      <c r="Y1431" s="145">
        <f t="shared" si="441"/>
        <v>46.283999999999999</v>
      </c>
      <c r="Z1431" s="572"/>
      <c r="AA1431" s="12">
        <v>16.53</v>
      </c>
      <c r="AB1431" s="12">
        <f t="shared" si="442"/>
        <v>0.90744101633393826</v>
      </c>
      <c r="AC1431" s="12">
        <f t="shared" si="443"/>
        <v>0</v>
      </c>
      <c r="AD1431" s="34"/>
    </row>
    <row r="1432" spans="3:30" ht="16" x14ac:dyDescent="0.2">
      <c r="C1432" s="176">
        <f t="shared" si="444"/>
        <v>1429</v>
      </c>
      <c r="D1432" s="146">
        <v>45935</v>
      </c>
      <c r="E1432" s="37">
        <v>45938</v>
      </c>
      <c r="F1432" s="65" t="s">
        <v>352</v>
      </c>
      <c r="G1432" s="11" t="str">
        <f ca="1">IF(AND(E1432&lt;&gt;"",E1432&lt;TODAY()),"Disponible",IFERROR(INDEX(Vehiculos[Estado Vehiculo],MATCH(F1432,Vehiculos[Placa Vehiculo],0)),""))</f>
        <v>Disponible</v>
      </c>
      <c r="H1432" s="34"/>
      <c r="I1432" s="34" t="s">
        <v>273</v>
      </c>
      <c r="J1432" s="34" t="s">
        <v>274</v>
      </c>
      <c r="K1432" s="39">
        <v>98</v>
      </c>
      <c r="L1432" s="39">
        <v>122</v>
      </c>
      <c r="M1432" s="15">
        <f t="shared" si="439"/>
        <v>24</v>
      </c>
      <c r="N1432" s="15">
        <f>Rutas[[#This Row],[Kms Recorridos]]</f>
        <v>24</v>
      </c>
      <c r="O1432" s="39"/>
      <c r="P1432" s="36"/>
      <c r="Q1432" s="16">
        <f t="shared" si="440"/>
        <v>0</v>
      </c>
      <c r="R1432" s="34" t="s">
        <v>273</v>
      </c>
      <c r="S1432" s="34" t="s">
        <v>102</v>
      </c>
      <c r="T1432" s="36">
        <v>2.8</v>
      </c>
      <c r="U1432" s="36">
        <f>Rutas[[#This Row],[Precio x Galón ($/gal)]]*Rutas[[#This Row],[Volumen de Combustible (gal)]]</f>
        <v>54.823999999999991</v>
      </c>
      <c r="V1432" s="36"/>
      <c r="W1432" s="36"/>
      <c r="X1432" s="36"/>
      <c r="Y1432" s="145">
        <f t="shared" si="441"/>
        <v>54.823999999999991</v>
      </c>
      <c r="Z1432" s="572"/>
      <c r="AA1432" s="12">
        <v>19.579999999999998</v>
      </c>
      <c r="AB1432" s="12">
        <f t="shared" si="442"/>
        <v>1.2257405515832482</v>
      </c>
      <c r="AC1432" s="12">
        <f t="shared" si="443"/>
        <v>0</v>
      </c>
      <c r="AD1432" s="34"/>
    </row>
    <row r="1433" spans="3:30" ht="16" x14ac:dyDescent="0.2">
      <c r="C1433" s="176">
        <f t="shared" si="444"/>
        <v>1430</v>
      </c>
      <c r="D1433" s="454">
        <v>45938</v>
      </c>
      <c r="E1433" s="37">
        <v>45941</v>
      </c>
      <c r="F1433" s="65" t="s">
        <v>352</v>
      </c>
      <c r="G1433" s="11" t="str">
        <f ca="1">IF(AND(E1433&lt;&gt;"",E1433&lt;TODAY()),"Disponible",IFERROR(INDEX(Vehiculos[Estado Vehiculo],MATCH(F1433,Vehiculos[Placa Vehiculo],0)),""))</f>
        <v>Disponible</v>
      </c>
      <c r="H1433" s="34"/>
      <c r="I1433" s="34" t="s">
        <v>273</v>
      </c>
      <c r="J1433" s="34" t="s">
        <v>274</v>
      </c>
      <c r="K1433" s="39">
        <v>122</v>
      </c>
      <c r="L1433" s="39">
        <v>145</v>
      </c>
      <c r="M1433" s="15">
        <f t="shared" ref="M1433:M1439" si="445">L1433-K1433</f>
        <v>23</v>
      </c>
      <c r="N1433" s="15">
        <f>Rutas[[#This Row],[Kms Recorridos]]</f>
        <v>23</v>
      </c>
      <c r="O1433" s="39"/>
      <c r="P1433" s="36"/>
      <c r="Q1433" s="16">
        <f t="shared" ref="Q1433:Q1439" si="446">M1433*P1433</f>
        <v>0</v>
      </c>
      <c r="R1433" s="34" t="s">
        <v>273</v>
      </c>
      <c r="S1433" s="34" t="s">
        <v>102</v>
      </c>
      <c r="T1433" s="36">
        <v>2.8</v>
      </c>
      <c r="U1433" s="36">
        <f>Rutas[[#This Row],[Precio x Galón ($/gal)]]*Rutas[[#This Row],[Volumen de Combustible (gal)]]</f>
        <v>50.707999999999998</v>
      </c>
      <c r="V1433" s="36"/>
      <c r="W1433" s="36"/>
      <c r="X1433" s="36"/>
      <c r="Y1433" s="145">
        <f t="shared" ref="Y1433:Y1439" si="447">U1433+SUM(V1433:X1433)</f>
        <v>50.707999999999998</v>
      </c>
      <c r="Z1433" s="567"/>
      <c r="AA1433" s="12">
        <v>18.11</v>
      </c>
      <c r="AB1433" s="12">
        <f t="shared" ref="AB1433:AB1439" si="448">IFERROR(M1433/AA1433,0)</f>
        <v>1.2700165654334623</v>
      </c>
      <c r="AC1433" s="12">
        <f t="shared" ref="AC1433:AC1439" si="449">IFERROR(Q1433/M1433,0)</f>
        <v>0</v>
      </c>
      <c r="AD1433" s="34"/>
    </row>
    <row r="1434" spans="3:30" ht="16" x14ac:dyDescent="0.2">
      <c r="C1434" s="176">
        <f t="shared" si="444"/>
        <v>1431</v>
      </c>
      <c r="D1434" s="454">
        <v>45941</v>
      </c>
      <c r="E1434" s="37">
        <v>45945</v>
      </c>
      <c r="F1434" s="65" t="s">
        <v>352</v>
      </c>
      <c r="G1434" s="11" t="str">
        <f ca="1">IF(AND(E1434&lt;&gt;"",E1434&lt;TODAY()),"Disponible",IFERROR(INDEX(Vehiculos[Estado Vehiculo],MATCH(F1434,Vehiculos[Placa Vehiculo],0)),""))</f>
        <v>Disponible</v>
      </c>
      <c r="H1434" s="34"/>
      <c r="I1434" s="34" t="s">
        <v>273</v>
      </c>
      <c r="J1434" s="34" t="s">
        <v>274</v>
      </c>
      <c r="K1434" s="39">
        <v>145</v>
      </c>
      <c r="L1434" s="39">
        <v>175</v>
      </c>
      <c r="M1434" s="15">
        <f t="shared" si="445"/>
        <v>30</v>
      </c>
      <c r="N1434" s="15">
        <f>Rutas[[#This Row],[Kms Recorridos]]</f>
        <v>30</v>
      </c>
      <c r="O1434" s="39"/>
      <c r="P1434" s="36"/>
      <c r="Q1434" s="16">
        <f t="shared" si="446"/>
        <v>0</v>
      </c>
      <c r="R1434" s="34" t="s">
        <v>273</v>
      </c>
      <c r="S1434" s="34" t="s">
        <v>102</v>
      </c>
      <c r="T1434" s="36">
        <v>2.8</v>
      </c>
      <c r="U1434" s="36">
        <f>Rutas[[#This Row],[Precio x Galón ($/gal)]]*Rutas[[#This Row],[Volumen de Combustible (gal)]]</f>
        <v>63.447999999999993</v>
      </c>
      <c r="V1434" s="36"/>
      <c r="W1434" s="36"/>
      <c r="X1434" s="36"/>
      <c r="Y1434" s="145">
        <f t="shared" si="447"/>
        <v>63.447999999999993</v>
      </c>
      <c r="Z1434" s="567"/>
      <c r="AA1434" s="12">
        <v>22.66</v>
      </c>
      <c r="AB1434" s="12">
        <f t="shared" si="448"/>
        <v>1.323918799646955</v>
      </c>
      <c r="AC1434" s="12">
        <f t="shared" si="449"/>
        <v>0</v>
      </c>
      <c r="AD1434" s="34"/>
    </row>
    <row r="1435" spans="3:30" ht="16" x14ac:dyDescent="0.2">
      <c r="C1435" s="176">
        <f t="shared" si="444"/>
        <v>1432</v>
      </c>
      <c r="D1435" s="454">
        <v>45945</v>
      </c>
      <c r="E1435" s="37">
        <v>45948</v>
      </c>
      <c r="F1435" s="65" t="s">
        <v>352</v>
      </c>
      <c r="G1435" s="11" t="str">
        <f ca="1">IF(AND(E1435&lt;&gt;"",E1435&lt;TODAY()),"Disponible",IFERROR(INDEX(Vehiculos[Estado Vehiculo],MATCH(F1435,Vehiculos[Placa Vehiculo],0)),""))</f>
        <v>Disponible</v>
      </c>
      <c r="H1435" s="34"/>
      <c r="I1435" s="34" t="s">
        <v>273</v>
      </c>
      <c r="J1435" s="34" t="s">
        <v>274</v>
      </c>
      <c r="K1435" s="39">
        <v>175</v>
      </c>
      <c r="L1435" s="39">
        <v>199</v>
      </c>
      <c r="M1435" s="15">
        <f t="shared" si="445"/>
        <v>24</v>
      </c>
      <c r="N1435" s="15">
        <f>Rutas[[#This Row],[Kms Recorridos]]</f>
        <v>24</v>
      </c>
      <c r="O1435" s="39"/>
      <c r="P1435" s="36"/>
      <c r="Q1435" s="16">
        <f t="shared" si="446"/>
        <v>0</v>
      </c>
      <c r="R1435" s="34" t="s">
        <v>273</v>
      </c>
      <c r="S1435" s="34" t="s">
        <v>102</v>
      </c>
      <c r="T1435" s="36">
        <v>2.8</v>
      </c>
      <c r="U1435" s="36">
        <f>Rutas[[#This Row],[Precio x Galón ($/gal)]]*Rutas[[#This Row],[Volumen de Combustible (gal)]]</f>
        <v>58.8</v>
      </c>
      <c r="V1435" s="36"/>
      <c r="W1435" s="36"/>
      <c r="X1435" s="36"/>
      <c r="Y1435" s="145">
        <f t="shared" si="447"/>
        <v>58.8</v>
      </c>
      <c r="Z1435" s="567"/>
      <c r="AA1435" s="12">
        <v>21</v>
      </c>
      <c r="AB1435" s="12">
        <f t="shared" si="448"/>
        <v>1.1428571428571428</v>
      </c>
      <c r="AC1435" s="12">
        <f t="shared" si="449"/>
        <v>0</v>
      </c>
      <c r="AD1435" s="34"/>
    </row>
    <row r="1436" spans="3:30" ht="16" x14ac:dyDescent="0.2">
      <c r="C1436" s="176">
        <f t="shared" si="444"/>
        <v>1433</v>
      </c>
      <c r="D1436" s="454">
        <v>45948</v>
      </c>
      <c r="E1436" s="37">
        <v>45952</v>
      </c>
      <c r="F1436" s="65" t="s">
        <v>352</v>
      </c>
      <c r="G1436" s="11" t="str">
        <f ca="1">IF(AND(E1436&lt;&gt;"",E1436&lt;TODAY()),"Disponible",IFERROR(INDEX(Vehiculos[Estado Vehiculo],MATCH(F1436,Vehiculos[Placa Vehiculo],0)),""))</f>
        <v>Disponible</v>
      </c>
      <c r="H1436" s="34"/>
      <c r="I1436" s="34" t="s">
        <v>273</v>
      </c>
      <c r="J1436" s="34" t="s">
        <v>274</v>
      </c>
      <c r="K1436" s="39">
        <v>199</v>
      </c>
      <c r="L1436" s="39">
        <v>229</v>
      </c>
      <c r="M1436" s="15">
        <f t="shared" si="445"/>
        <v>30</v>
      </c>
      <c r="N1436" s="15">
        <f>Rutas[[#This Row],[Kms Recorridos]]</f>
        <v>30</v>
      </c>
      <c r="O1436" s="39"/>
      <c r="P1436" s="36"/>
      <c r="Q1436" s="16">
        <f t="shared" si="446"/>
        <v>0</v>
      </c>
      <c r="R1436" s="34" t="s">
        <v>273</v>
      </c>
      <c r="S1436" s="34" t="s">
        <v>102</v>
      </c>
      <c r="T1436" s="36">
        <v>2.8</v>
      </c>
      <c r="U1436" s="36">
        <f>Rutas[[#This Row],[Precio x Galón ($/gal)]]*Rutas[[#This Row],[Volumen de Combustible (gal)]]</f>
        <v>65.828000000000003</v>
      </c>
      <c r="V1436" s="36"/>
      <c r="W1436" s="36"/>
      <c r="X1436" s="36"/>
      <c r="Y1436" s="145">
        <f t="shared" si="447"/>
        <v>65.828000000000003</v>
      </c>
      <c r="Z1436" s="567"/>
      <c r="AA1436" s="12">
        <v>23.51</v>
      </c>
      <c r="AB1436" s="12">
        <f t="shared" si="448"/>
        <v>1.2760527435133984</v>
      </c>
      <c r="AC1436" s="12">
        <f t="shared" si="449"/>
        <v>0</v>
      </c>
      <c r="AD1436" s="34"/>
    </row>
    <row r="1437" spans="3:30" ht="16" x14ac:dyDescent="0.2">
      <c r="C1437" s="176">
        <f t="shared" si="444"/>
        <v>1434</v>
      </c>
      <c r="D1437" s="454">
        <v>45952</v>
      </c>
      <c r="E1437" s="37">
        <v>45956</v>
      </c>
      <c r="F1437" s="65" t="s">
        <v>352</v>
      </c>
      <c r="G1437" s="11" t="str">
        <f ca="1">IF(AND(E1437&lt;&gt;"",E1437&lt;TODAY()),"Disponible",IFERROR(INDEX(Vehiculos[Estado Vehiculo],MATCH(F1437,Vehiculos[Placa Vehiculo],0)),""))</f>
        <v>Disponible</v>
      </c>
      <c r="H1437" s="34"/>
      <c r="I1437" s="34" t="s">
        <v>273</v>
      </c>
      <c r="J1437" s="34" t="s">
        <v>274</v>
      </c>
      <c r="K1437" s="39">
        <v>229</v>
      </c>
      <c r="L1437" s="39">
        <v>258</v>
      </c>
      <c r="M1437" s="15">
        <f t="shared" si="445"/>
        <v>29</v>
      </c>
      <c r="N1437" s="15">
        <f>Rutas[[#This Row],[Kms Recorridos]]</f>
        <v>29</v>
      </c>
      <c r="O1437" s="39"/>
      <c r="P1437" s="36"/>
      <c r="Q1437" s="16">
        <f t="shared" si="446"/>
        <v>0</v>
      </c>
      <c r="R1437" s="34" t="s">
        <v>273</v>
      </c>
      <c r="S1437" s="34" t="s">
        <v>102</v>
      </c>
      <c r="T1437" s="36">
        <v>2.8</v>
      </c>
      <c r="U1437" s="36">
        <f>Rutas[[#This Row],[Precio x Galón ($/gal)]]*Rutas[[#This Row],[Volumen de Combustible (gal)]]</f>
        <v>70.084000000000003</v>
      </c>
      <c r="V1437" s="36"/>
      <c r="W1437" s="36"/>
      <c r="X1437" s="36"/>
      <c r="Y1437" s="145">
        <f t="shared" si="447"/>
        <v>70.084000000000003</v>
      </c>
      <c r="Z1437" s="567"/>
      <c r="AA1437" s="12">
        <v>25.03</v>
      </c>
      <c r="AB1437" s="12">
        <f t="shared" si="448"/>
        <v>1.1586096683979223</v>
      </c>
      <c r="AC1437" s="12">
        <f t="shared" si="449"/>
        <v>0</v>
      </c>
      <c r="AD1437" s="34"/>
    </row>
    <row r="1438" spans="3:30" ht="16" x14ac:dyDescent="0.2">
      <c r="C1438" s="176">
        <f t="shared" si="444"/>
        <v>1435</v>
      </c>
      <c r="D1438" s="454">
        <v>45956</v>
      </c>
      <c r="E1438" s="37">
        <v>45959</v>
      </c>
      <c r="F1438" s="65" t="s">
        <v>352</v>
      </c>
      <c r="G1438" s="11" t="str">
        <f ca="1">IF(AND(E1438&lt;&gt;"",E1438&lt;TODAY()),"Disponible",IFERROR(INDEX(Vehiculos[Estado Vehiculo],MATCH(F1438,Vehiculos[Placa Vehiculo],0)),""))</f>
        <v>Disponible</v>
      </c>
      <c r="H1438" s="34"/>
      <c r="I1438" s="34" t="s">
        <v>273</v>
      </c>
      <c r="J1438" s="34" t="s">
        <v>274</v>
      </c>
      <c r="K1438" s="39">
        <v>258</v>
      </c>
      <c r="L1438" s="39">
        <v>285</v>
      </c>
      <c r="M1438" s="15">
        <f t="shared" si="445"/>
        <v>27</v>
      </c>
      <c r="N1438" s="15">
        <f>Rutas[[#This Row],[Kms Recorridos]]</f>
        <v>27</v>
      </c>
      <c r="O1438" s="39"/>
      <c r="P1438" s="36"/>
      <c r="Q1438" s="16">
        <f t="shared" si="446"/>
        <v>0</v>
      </c>
      <c r="R1438" s="34" t="s">
        <v>273</v>
      </c>
      <c r="S1438" s="34" t="s">
        <v>102</v>
      </c>
      <c r="T1438" s="36">
        <v>2.8</v>
      </c>
      <c r="U1438" s="36">
        <f>Rutas[[#This Row],[Precio x Galón ($/gal)]]*Rutas[[#This Row],[Volumen de Combustible (gal)]]</f>
        <v>62.971999999999994</v>
      </c>
      <c r="V1438" s="36"/>
      <c r="W1438" s="36"/>
      <c r="X1438" s="36"/>
      <c r="Y1438" s="145">
        <f t="shared" si="447"/>
        <v>62.971999999999994</v>
      </c>
      <c r="Z1438" s="567"/>
      <c r="AA1438" s="12">
        <v>22.49</v>
      </c>
      <c r="AB1438" s="12">
        <f t="shared" si="448"/>
        <v>1.2005335704757671</v>
      </c>
      <c r="AC1438" s="12">
        <f t="shared" si="449"/>
        <v>0</v>
      </c>
      <c r="AD1438" s="34"/>
    </row>
    <row r="1439" spans="3:30" ht="16" x14ac:dyDescent="0.2">
      <c r="C1439" s="176">
        <f t="shared" si="444"/>
        <v>1436</v>
      </c>
      <c r="D1439" s="454"/>
      <c r="E1439" s="37"/>
      <c r="F1439" s="65"/>
      <c r="G1439" s="11" t="str">
        <f ca="1">IF(AND(E1439&lt;&gt;"",E1439&lt;TODAY()),"Disponible",IFERROR(INDEX(Vehiculos[Estado Vehiculo],MATCH(F1439,Vehiculos[Placa Vehiculo],0)),""))</f>
        <v/>
      </c>
      <c r="H1439" s="34"/>
      <c r="I1439" s="34"/>
      <c r="J1439" s="34"/>
      <c r="K1439" s="39"/>
      <c r="L1439" s="39"/>
      <c r="M1439" s="15">
        <f t="shared" si="445"/>
        <v>0</v>
      </c>
      <c r="N1439" s="15"/>
      <c r="O1439" s="39"/>
      <c r="P1439" s="36"/>
      <c r="Q1439" s="16">
        <f t="shared" si="446"/>
        <v>0</v>
      </c>
      <c r="R1439" s="34"/>
      <c r="S1439" s="34"/>
      <c r="T1439" s="36"/>
      <c r="U1439" s="36"/>
      <c r="V1439" s="36"/>
      <c r="W1439" s="36"/>
      <c r="X1439" s="36"/>
      <c r="Y1439" s="145">
        <f t="shared" si="447"/>
        <v>0</v>
      </c>
      <c r="Z1439" s="567"/>
      <c r="AA1439" s="12"/>
      <c r="AB1439" s="12">
        <f t="shared" si="448"/>
        <v>0</v>
      </c>
      <c r="AC1439" s="12">
        <f t="shared" si="449"/>
        <v>0</v>
      </c>
      <c r="AD1439" s="34"/>
    </row>
    <row r="1440" spans="3:30" ht="16" x14ac:dyDescent="0.2">
      <c r="C1440" s="176">
        <f t="shared" si="444"/>
        <v>1437</v>
      </c>
      <c r="D1440" s="146"/>
      <c r="E1440" s="37"/>
      <c r="F1440" s="65"/>
      <c r="G1440" s="11" t="str">
        <f ca="1">IF(AND(E1440&lt;&gt;"",E1440&lt;TODAY()),"Disponible",IFERROR(INDEX(Vehiculos[Estado Vehiculo],MATCH(F1440,Vehiculos[Placa Vehiculo],0)),""))</f>
        <v/>
      </c>
      <c r="H1440" s="34"/>
      <c r="I1440" s="34"/>
      <c r="J1440" s="34"/>
      <c r="K1440" s="39"/>
      <c r="L1440" s="39"/>
      <c r="M1440" s="15">
        <f t="shared" si="439"/>
        <v>0</v>
      </c>
      <c r="N1440" s="15"/>
      <c r="O1440" s="39"/>
      <c r="P1440" s="36"/>
      <c r="Q1440" s="16">
        <f t="shared" si="440"/>
        <v>0</v>
      </c>
      <c r="R1440" s="34"/>
      <c r="S1440" s="34"/>
      <c r="T1440" s="36"/>
      <c r="U1440" s="36">
        <f>Rutas[[#This Row],[Precio x Galón ($/gal)]]*Rutas[[#This Row],[Volumen de Combustible (gal)]]</f>
        <v>0</v>
      </c>
      <c r="V1440" s="36"/>
      <c r="W1440" s="36"/>
      <c r="X1440" s="36"/>
      <c r="Y1440" s="145">
        <f t="shared" si="441"/>
        <v>0</v>
      </c>
      <c r="Z1440" s="572"/>
      <c r="AA1440" s="12"/>
      <c r="AB1440" s="12">
        <f t="shared" si="442"/>
        <v>0</v>
      </c>
      <c r="AC1440" s="12">
        <f t="shared" si="443"/>
        <v>0</v>
      </c>
      <c r="AD1440" s="34"/>
    </row>
    <row r="1441" spans="3:30" ht="16" x14ac:dyDescent="0.2">
      <c r="C1441" s="176">
        <f t="shared" si="444"/>
        <v>1438</v>
      </c>
      <c r="D1441" s="90">
        <v>45931</v>
      </c>
      <c r="E1441" s="90">
        <v>45932</v>
      </c>
      <c r="F1441" s="68" t="s">
        <v>308</v>
      </c>
      <c r="G1441" s="379" t="str">
        <f ca="1">IF(AND(E1441&lt;&gt;"",E1441&lt;TODAY()),"Disponible",IFERROR(INDEX(Vehiculos[Estado Vehiculo],MATCH(F1441,Vehiculos[Placa Vehiculo],0)),""))</f>
        <v>Disponible</v>
      </c>
      <c r="H1441" s="89"/>
      <c r="I1441" s="89" t="s">
        <v>273</v>
      </c>
      <c r="J1441" s="89" t="s">
        <v>274</v>
      </c>
      <c r="K1441" s="380">
        <v>1299</v>
      </c>
      <c r="L1441" s="380">
        <v>1310</v>
      </c>
      <c r="M1441" s="381">
        <f t="shared" si="439"/>
        <v>11</v>
      </c>
      <c r="N1441" s="381">
        <f>Rutas[[#This Row],[Kms Recorridos]]</f>
        <v>11</v>
      </c>
      <c r="O1441" s="380"/>
      <c r="P1441" s="92"/>
      <c r="Q1441" s="382">
        <f t="shared" si="440"/>
        <v>0</v>
      </c>
      <c r="R1441" s="89" t="s">
        <v>196</v>
      </c>
      <c r="S1441" s="89" t="s">
        <v>102</v>
      </c>
      <c r="T1441" s="92">
        <v>2.8</v>
      </c>
      <c r="U1441" s="92">
        <f>Rutas[[#This Row],[Precio x Galón ($/gal)]]*Rutas[[#This Row],[Volumen de Combustible (gal)]]</f>
        <v>28</v>
      </c>
      <c r="V1441" s="92"/>
      <c r="W1441" s="92"/>
      <c r="X1441" s="92"/>
      <c r="Y1441" s="382">
        <f t="shared" si="441"/>
        <v>28</v>
      </c>
      <c r="Z1441" s="572"/>
      <c r="AA1441" s="382">
        <v>10</v>
      </c>
      <c r="AB1441" s="382">
        <f t="shared" si="442"/>
        <v>1.1000000000000001</v>
      </c>
      <c r="AC1441" s="382">
        <f t="shared" si="443"/>
        <v>0</v>
      </c>
      <c r="AD1441" s="89"/>
    </row>
    <row r="1442" spans="3:30" ht="16" x14ac:dyDescent="0.2">
      <c r="C1442" s="176">
        <f t="shared" si="444"/>
        <v>1439</v>
      </c>
      <c r="D1442" s="146">
        <v>45932</v>
      </c>
      <c r="E1442" s="37">
        <v>45933</v>
      </c>
      <c r="F1442" s="65" t="s">
        <v>308</v>
      </c>
      <c r="G1442" s="11" t="str">
        <f ca="1">IF(AND(E1442&lt;&gt;"",E1442&lt;TODAY()),"Disponible",IFERROR(INDEX(Vehiculos[Estado Vehiculo],MATCH(F1442,Vehiculos[Placa Vehiculo],0)),""))</f>
        <v>Disponible</v>
      </c>
      <c r="H1442" s="34" t="s">
        <v>235</v>
      </c>
      <c r="I1442" s="34" t="s">
        <v>273</v>
      </c>
      <c r="J1442" s="34" t="s">
        <v>274</v>
      </c>
      <c r="K1442" s="39">
        <v>1310</v>
      </c>
      <c r="L1442" s="39">
        <v>1313</v>
      </c>
      <c r="M1442" s="15">
        <f t="shared" si="439"/>
        <v>3</v>
      </c>
      <c r="N1442" s="15">
        <f>Rutas[[#This Row],[Kms Recorridos]]</f>
        <v>3</v>
      </c>
      <c r="O1442" s="39"/>
      <c r="P1442" s="36"/>
      <c r="Q1442" s="16">
        <f t="shared" si="440"/>
        <v>0</v>
      </c>
      <c r="R1442" s="34" t="s">
        <v>339</v>
      </c>
      <c r="S1442" s="34" t="s">
        <v>102</v>
      </c>
      <c r="T1442" s="36">
        <v>2.8</v>
      </c>
      <c r="U1442" s="36">
        <f>Rutas[[#This Row],[Precio x Galón ($/gal)]]*Rutas[[#This Row],[Volumen de Combustible (gal)]]</f>
        <v>49.503999999999998</v>
      </c>
      <c r="V1442" s="36"/>
      <c r="W1442" s="36"/>
      <c r="X1442" s="36"/>
      <c r="Y1442" s="145">
        <f t="shared" si="441"/>
        <v>49.503999999999998</v>
      </c>
      <c r="Z1442" s="572"/>
      <c r="AA1442" s="12">
        <v>17.68</v>
      </c>
      <c r="AB1442" s="12">
        <f t="shared" si="442"/>
        <v>0.16968325791855204</v>
      </c>
      <c r="AC1442" s="12">
        <f t="shared" si="443"/>
        <v>0</v>
      </c>
      <c r="AD1442" s="34"/>
    </row>
    <row r="1443" spans="3:30" ht="16" x14ac:dyDescent="0.2">
      <c r="C1443" s="176">
        <f t="shared" si="444"/>
        <v>1440</v>
      </c>
      <c r="D1443" s="146">
        <v>45933</v>
      </c>
      <c r="E1443" s="37">
        <v>45936</v>
      </c>
      <c r="F1443" s="65" t="s">
        <v>308</v>
      </c>
      <c r="G1443" s="11" t="str">
        <f ca="1">IF(AND(E1443&lt;&gt;"",E1443&lt;TODAY()),"Disponible",IFERROR(INDEX(Vehiculos[Estado Vehiculo],MATCH(F1443,Vehiculos[Placa Vehiculo],0)),""))</f>
        <v>Disponible</v>
      </c>
      <c r="H1443" s="34"/>
      <c r="I1443" s="34" t="s">
        <v>273</v>
      </c>
      <c r="J1443" s="34" t="s">
        <v>274</v>
      </c>
      <c r="K1443" s="39">
        <v>1313</v>
      </c>
      <c r="L1443" s="39">
        <v>1352</v>
      </c>
      <c r="M1443" s="15">
        <f t="shared" si="439"/>
        <v>39</v>
      </c>
      <c r="N1443" s="15">
        <f>Rutas[[#This Row],[Kms Recorridos]]</f>
        <v>39</v>
      </c>
      <c r="O1443" s="39"/>
      <c r="P1443" s="36"/>
      <c r="Q1443" s="16">
        <f t="shared" si="440"/>
        <v>0</v>
      </c>
      <c r="R1443" s="34" t="s">
        <v>273</v>
      </c>
      <c r="S1443" s="34" t="s">
        <v>102</v>
      </c>
      <c r="T1443" s="36">
        <v>2.8</v>
      </c>
      <c r="U1443" s="36">
        <f>Rutas[[#This Row],[Precio x Galón ($/gal)]]*Rutas[[#This Row],[Volumen de Combustible (gal)]]</f>
        <v>52.751999999999995</v>
      </c>
      <c r="V1443" s="36"/>
      <c r="W1443" s="36"/>
      <c r="X1443" s="36"/>
      <c r="Y1443" s="145">
        <f t="shared" si="441"/>
        <v>52.751999999999995</v>
      </c>
      <c r="Z1443" s="572"/>
      <c r="AA1443" s="12">
        <v>18.84</v>
      </c>
      <c r="AB1443" s="12">
        <f t="shared" si="442"/>
        <v>2.0700636942675161</v>
      </c>
      <c r="AC1443" s="12">
        <f t="shared" si="443"/>
        <v>0</v>
      </c>
      <c r="AD1443" s="34"/>
    </row>
    <row r="1444" spans="3:30" ht="16" x14ac:dyDescent="0.2">
      <c r="C1444" s="176">
        <f t="shared" si="444"/>
        <v>1441</v>
      </c>
      <c r="D1444" s="146">
        <v>45936</v>
      </c>
      <c r="E1444" s="37">
        <v>45939</v>
      </c>
      <c r="F1444" s="65" t="s">
        <v>308</v>
      </c>
      <c r="G1444" s="11" t="str">
        <f ca="1">IF(AND(E1444&lt;&gt;"",E1444&lt;TODAY()),"Disponible",IFERROR(INDEX(Vehiculos[Estado Vehiculo],MATCH(F1444,Vehiculos[Placa Vehiculo],0)),""))</f>
        <v>Disponible</v>
      </c>
      <c r="H1444" s="34"/>
      <c r="I1444" s="34" t="s">
        <v>273</v>
      </c>
      <c r="J1444" s="34" t="s">
        <v>274</v>
      </c>
      <c r="K1444" s="39">
        <v>1352</v>
      </c>
      <c r="L1444" s="39">
        <v>1379</v>
      </c>
      <c r="M1444" s="15">
        <f t="shared" si="439"/>
        <v>27</v>
      </c>
      <c r="N1444" s="15">
        <f>Rutas[[#This Row],[Kms Recorridos]]</f>
        <v>27</v>
      </c>
      <c r="O1444" s="39"/>
      <c r="P1444" s="36"/>
      <c r="Q1444" s="16">
        <f t="shared" si="440"/>
        <v>0</v>
      </c>
      <c r="R1444" s="34" t="s">
        <v>273</v>
      </c>
      <c r="S1444" s="34" t="s">
        <v>102</v>
      </c>
      <c r="T1444" s="36">
        <v>2.8</v>
      </c>
      <c r="U1444" s="36">
        <f>Rutas[[#This Row],[Precio x Galón ($/gal)]]*Rutas[[#This Row],[Volumen de Combustible (gal)]]</f>
        <v>44.128</v>
      </c>
      <c r="V1444" s="36"/>
      <c r="W1444" s="36"/>
      <c r="X1444" s="36"/>
      <c r="Y1444" s="145">
        <f t="shared" si="441"/>
        <v>44.128</v>
      </c>
      <c r="Z1444" s="572"/>
      <c r="AA1444" s="12">
        <v>15.76</v>
      </c>
      <c r="AB1444" s="12">
        <f t="shared" si="442"/>
        <v>1.7131979695431472</v>
      </c>
      <c r="AC1444" s="12">
        <f t="shared" si="443"/>
        <v>0</v>
      </c>
      <c r="AD1444" s="34"/>
    </row>
    <row r="1445" spans="3:30" ht="16" x14ac:dyDescent="0.2">
      <c r="C1445" s="176">
        <f t="shared" si="444"/>
        <v>1442</v>
      </c>
      <c r="D1445" s="37">
        <v>45939</v>
      </c>
      <c r="E1445" s="37">
        <v>45942</v>
      </c>
      <c r="F1445" s="65" t="s">
        <v>308</v>
      </c>
      <c r="G1445" s="11" t="str">
        <f ca="1">IF(AND(E1445&lt;&gt;"",E1445&lt;TODAY()),"Disponible",IFERROR(INDEX(Vehiculos[Estado Vehiculo],MATCH(F1445,Vehiculos[Placa Vehiculo],0)),""))</f>
        <v>Disponible</v>
      </c>
      <c r="H1445" s="34"/>
      <c r="I1445" s="34" t="s">
        <v>273</v>
      </c>
      <c r="J1445" s="34" t="s">
        <v>274</v>
      </c>
      <c r="K1445" s="39">
        <v>1379</v>
      </c>
      <c r="L1445" s="39">
        <v>1404</v>
      </c>
      <c r="M1445" s="15">
        <f t="shared" ref="M1445:M1458" si="450">L1445-K1445</f>
        <v>25</v>
      </c>
      <c r="N1445" s="15">
        <f>Rutas[[#This Row],[Kms Recorridos]]</f>
        <v>25</v>
      </c>
      <c r="O1445" s="39"/>
      <c r="P1445" s="36"/>
      <c r="Q1445" s="16">
        <f t="shared" ref="Q1445:Q1458" si="451">M1445*P1445</f>
        <v>0</v>
      </c>
      <c r="R1445" s="34" t="s">
        <v>273</v>
      </c>
      <c r="S1445" s="34" t="s">
        <v>102</v>
      </c>
      <c r="T1445" s="36">
        <v>2.8</v>
      </c>
      <c r="U1445" s="36">
        <f>Rutas[[#This Row],[Precio x Galón ($/gal)]]*Rutas[[#This Row],[Volumen de Combustible (gal)]]</f>
        <v>42.083999999999996</v>
      </c>
      <c r="V1445" s="36"/>
      <c r="W1445" s="36"/>
      <c r="X1445" s="36"/>
      <c r="Y1445" s="145">
        <f t="shared" ref="Y1445:Y1458" si="452">U1445+SUM(V1445:X1445)</f>
        <v>42.083999999999996</v>
      </c>
      <c r="Z1445" s="567"/>
      <c r="AA1445" s="12">
        <v>15.03</v>
      </c>
      <c r="AB1445" s="12">
        <f t="shared" ref="AB1445:AB1458" si="453">IFERROR(M1445/AA1445,0)</f>
        <v>1.6633399866932801</v>
      </c>
      <c r="AC1445" s="12">
        <f t="shared" ref="AC1445:AC1458" si="454">IFERROR(Q1445/M1445,0)</f>
        <v>0</v>
      </c>
      <c r="AD1445" s="34"/>
    </row>
    <row r="1446" spans="3:30" ht="16" x14ac:dyDescent="0.2">
      <c r="C1446" s="176">
        <f t="shared" si="444"/>
        <v>1443</v>
      </c>
      <c r="D1446" s="454">
        <v>45942</v>
      </c>
      <c r="E1446" s="37">
        <v>45946</v>
      </c>
      <c r="F1446" s="65" t="s">
        <v>308</v>
      </c>
      <c r="G1446" s="11" t="str">
        <f ca="1">IF(AND(E1446&lt;&gt;"",E1446&lt;TODAY()),"Disponible",IFERROR(INDEX(Vehiculos[Estado Vehiculo],MATCH(F1446,Vehiculos[Placa Vehiculo],0)),""))</f>
        <v>Disponible</v>
      </c>
      <c r="H1446" s="34"/>
      <c r="I1446" s="34" t="s">
        <v>273</v>
      </c>
      <c r="J1446" s="34" t="s">
        <v>274</v>
      </c>
      <c r="K1446" s="39">
        <v>1404</v>
      </c>
      <c r="L1446" s="39">
        <v>1440</v>
      </c>
      <c r="M1446" s="15">
        <f t="shared" ref="M1446:M1451" si="455">L1446-K1446</f>
        <v>36</v>
      </c>
      <c r="N1446" s="15">
        <f>Rutas[[#This Row],[Kms Recorridos]]</f>
        <v>36</v>
      </c>
      <c r="O1446" s="39"/>
      <c r="P1446" s="36"/>
      <c r="Q1446" s="16">
        <f t="shared" ref="Q1446:Q1451" si="456">M1446*P1446</f>
        <v>0</v>
      </c>
      <c r="R1446" s="34" t="s">
        <v>273</v>
      </c>
      <c r="S1446" s="34" t="s">
        <v>102</v>
      </c>
      <c r="T1446" s="36">
        <v>2.8</v>
      </c>
      <c r="U1446" s="36">
        <f>Rutas[[#This Row],[Precio x Galón ($/gal)]]*Rutas[[#This Row],[Volumen de Combustible (gal)]]</f>
        <v>55.943999999999996</v>
      </c>
      <c r="V1446" s="36"/>
      <c r="W1446" s="36"/>
      <c r="X1446" s="36"/>
      <c r="Y1446" s="145">
        <f t="shared" ref="Y1446:Y1451" si="457">U1446+SUM(V1446:X1446)</f>
        <v>55.943999999999996</v>
      </c>
      <c r="Z1446" s="567"/>
      <c r="AA1446" s="12">
        <v>19.98</v>
      </c>
      <c r="AB1446" s="12">
        <f t="shared" ref="AB1446:AB1451" si="458">IFERROR(M1446/AA1446,0)</f>
        <v>1.8018018018018018</v>
      </c>
      <c r="AC1446" s="12">
        <f t="shared" ref="AC1446:AC1451" si="459">IFERROR(Q1446/M1446,0)</f>
        <v>0</v>
      </c>
      <c r="AD1446" s="34"/>
    </row>
    <row r="1447" spans="3:30" ht="16" x14ac:dyDescent="0.2">
      <c r="C1447" s="176">
        <f t="shared" si="444"/>
        <v>1444</v>
      </c>
      <c r="D1447" s="454">
        <v>45946</v>
      </c>
      <c r="E1447" s="37">
        <v>45949</v>
      </c>
      <c r="F1447" s="65" t="s">
        <v>308</v>
      </c>
      <c r="G1447" s="11" t="str">
        <f ca="1">IF(AND(E1447&lt;&gt;"",E1447&lt;TODAY()),"Disponible",IFERROR(INDEX(Vehiculos[Estado Vehiculo],MATCH(F1447,Vehiculos[Placa Vehiculo],0)),""))</f>
        <v>Disponible</v>
      </c>
      <c r="H1447" s="34"/>
      <c r="I1447" s="34" t="s">
        <v>273</v>
      </c>
      <c r="J1447" s="34" t="s">
        <v>274</v>
      </c>
      <c r="K1447" s="39">
        <v>1440</v>
      </c>
      <c r="L1447" s="39">
        <v>1467</v>
      </c>
      <c r="M1447" s="15">
        <f t="shared" si="455"/>
        <v>27</v>
      </c>
      <c r="N1447" s="15">
        <f>Rutas[[#This Row],[Kms Recorridos]]</f>
        <v>27</v>
      </c>
      <c r="O1447" s="39"/>
      <c r="P1447" s="36"/>
      <c r="Q1447" s="16">
        <f t="shared" si="456"/>
        <v>0</v>
      </c>
      <c r="R1447" s="34" t="s">
        <v>273</v>
      </c>
      <c r="S1447" s="34" t="s">
        <v>102</v>
      </c>
      <c r="T1447" s="36">
        <v>2.8</v>
      </c>
      <c r="U1447" s="36">
        <f>Rutas[[#This Row],[Precio x Galón ($/gal)]]*Rutas[[#This Row],[Volumen de Combustible (gal)]]</f>
        <v>50.344000000000001</v>
      </c>
      <c r="V1447" s="36"/>
      <c r="W1447" s="36"/>
      <c r="X1447" s="36"/>
      <c r="Y1447" s="145">
        <f t="shared" si="457"/>
        <v>50.344000000000001</v>
      </c>
      <c r="Z1447" s="567"/>
      <c r="AA1447" s="12">
        <v>17.98</v>
      </c>
      <c r="AB1447" s="12">
        <f t="shared" si="458"/>
        <v>1.5016685205784204</v>
      </c>
      <c r="AC1447" s="12">
        <f t="shared" si="459"/>
        <v>0</v>
      </c>
      <c r="AD1447" s="34"/>
    </row>
    <row r="1448" spans="3:30" ht="16" x14ac:dyDescent="0.2">
      <c r="C1448" s="176">
        <f t="shared" si="444"/>
        <v>1445</v>
      </c>
      <c r="D1448" s="454">
        <v>45949</v>
      </c>
      <c r="E1448" s="37">
        <v>45952</v>
      </c>
      <c r="F1448" s="65" t="s">
        <v>308</v>
      </c>
      <c r="G1448" s="11" t="str">
        <f ca="1">IF(AND(E1448&lt;&gt;"",E1448&lt;TODAY()),"Disponible",IFERROR(INDEX(Vehiculos[Estado Vehiculo],MATCH(F1448,Vehiculos[Placa Vehiculo],0)),""))</f>
        <v>Disponible</v>
      </c>
      <c r="H1448" s="34"/>
      <c r="I1448" s="34" t="s">
        <v>273</v>
      </c>
      <c r="J1448" s="34" t="s">
        <v>274</v>
      </c>
      <c r="K1448" s="39">
        <v>1467</v>
      </c>
      <c r="L1448" s="39">
        <v>1491</v>
      </c>
      <c r="M1448" s="15">
        <f t="shared" si="455"/>
        <v>24</v>
      </c>
      <c r="N1448" s="15">
        <f>Rutas[[#This Row],[Kms Recorridos]]</f>
        <v>24</v>
      </c>
      <c r="O1448" s="39"/>
      <c r="P1448" s="36"/>
      <c r="Q1448" s="16">
        <f t="shared" si="456"/>
        <v>0</v>
      </c>
      <c r="R1448" s="34" t="s">
        <v>273</v>
      </c>
      <c r="S1448" s="34" t="s">
        <v>102</v>
      </c>
      <c r="T1448" s="36">
        <v>2.8</v>
      </c>
      <c r="U1448" s="36">
        <f>Rutas[[#This Row],[Precio x Galón ($/gal)]]*Rutas[[#This Row],[Volumen de Combustible (gal)]]</f>
        <v>41.271999999999998</v>
      </c>
      <c r="V1448" s="36"/>
      <c r="W1448" s="36"/>
      <c r="X1448" s="36"/>
      <c r="Y1448" s="145">
        <f t="shared" si="457"/>
        <v>41.271999999999998</v>
      </c>
      <c r="Z1448" s="567"/>
      <c r="AA1448" s="12">
        <v>14.74</v>
      </c>
      <c r="AB1448" s="12">
        <f t="shared" si="458"/>
        <v>1.6282225237449117</v>
      </c>
      <c r="AC1448" s="12">
        <f t="shared" si="459"/>
        <v>0</v>
      </c>
      <c r="AD1448" s="34"/>
    </row>
    <row r="1449" spans="3:30" ht="16" x14ac:dyDescent="0.2">
      <c r="C1449" s="176">
        <f t="shared" si="444"/>
        <v>1446</v>
      </c>
      <c r="D1449" s="454">
        <v>45952</v>
      </c>
      <c r="E1449" s="37">
        <v>45954</v>
      </c>
      <c r="F1449" s="65" t="s">
        <v>308</v>
      </c>
      <c r="G1449" s="11" t="str">
        <f ca="1">IF(AND(E1449&lt;&gt;"",E1449&lt;TODAY()),"Disponible",IFERROR(INDEX(Vehiculos[Estado Vehiculo],MATCH(F1449,Vehiculos[Placa Vehiculo],0)),""))</f>
        <v>Disponible</v>
      </c>
      <c r="H1449" s="34"/>
      <c r="I1449" s="34" t="s">
        <v>273</v>
      </c>
      <c r="J1449" s="34" t="s">
        <v>274</v>
      </c>
      <c r="K1449" s="39">
        <v>1491</v>
      </c>
      <c r="L1449" s="39">
        <v>1513</v>
      </c>
      <c r="M1449" s="15">
        <f t="shared" si="455"/>
        <v>22</v>
      </c>
      <c r="N1449" s="15">
        <f>Rutas[[#This Row],[Kms Recorridos]]</f>
        <v>22</v>
      </c>
      <c r="O1449" s="39"/>
      <c r="P1449" s="36"/>
      <c r="Q1449" s="16">
        <f t="shared" si="456"/>
        <v>0</v>
      </c>
      <c r="R1449" s="34" t="s">
        <v>273</v>
      </c>
      <c r="S1449" s="34" t="s">
        <v>102</v>
      </c>
      <c r="T1449" s="36">
        <v>2.8</v>
      </c>
      <c r="U1449" s="36">
        <f>Rutas[[#This Row],[Precio x Galón ($/gal)]]*Rutas[[#This Row],[Volumen de Combustible (gal)]]</f>
        <v>44.855999999999995</v>
      </c>
      <c r="V1449" s="36"/>
      <c r="W1449" s="36"/>
      <c r="X1449" s="36"/>
      <c r="Y1449" s="145">
        <f t="shared" si="457"/>
        <v>44.855999999999995</v>
      </c>
      <c r="Z1449" s="567"/>
      <c r="AA1449" s="12">
        <v>16.02</v>
      </c>
      <c r="AB1449" s="12">
        <f t="shared" si="458"/>
        <v>1.3732833957553059</v>
      </c>
      <c r="AC1449" s="12">
        <f t="shared" si="459"/>
        <v>0</v>
      </c>
      <c r="AD1449" s="34"/>
    </row>
    <row r="1450" spans="3:30" ht="16" x14ac:dyDescent="0.2">
      <c r="C1450" s="176">
        <f t="shared" si="444"/>
        <v>1447</v>
      </c>
      <c r="D1450" s="454">
        <v>45954</v>
      </c>
      <c r="E1450" s="37">
        <v>45959</v>
      </c>
      <c r="F1450" s="65" t="s">
        <v>308</v>
      </c>
      <c r="G1450" s="11" t="str">
        <f ca="1">IF(AND(E1450&lt;&gt;"",E1450&lt;TODAY()),"Disponible",IFERROR(INDEX(Vehiculos[Estado Vehiculo],MATCH(F1450,Vehiculos[Placa Vehiculo],0)),""))</f>
        <v>Disponible</v>
      </c>
      <c r="H1450" s="34"/>
      <c r="I1450" s="34" t="s">
        <v>273</v>
      </c>
      <c r="J1450" s="34" t="s">
        <v>274</v>
      </c>
      <c r="K1450" s="39">
        <v>1513</v>
      </c>
      <c r="L1450" s="39">
        <v>1551</v>
      </c>
      <c r="M1450" s="15">
        <f t="shared" si="455"/>
        <v>38</v>
      </c>
      <c r="N1450" s="15">
        <f>Rutas[[#This Row],[Kms Recorridos]]</f>
        <v>38</v>
      </c>
      <c r="O1450" s="39"/>
      <c r="P1450" s="36"/>
      <c r="Q1450" s="16">
        <f t="shared" si="456"/>
        <v>0</v>
      </c>
      <c r="R1450" s="34" t="s">
        <v>273</v>
      </c>
      <c r="S1450" s="34" t="s">
        <v>102</v>
      </c>
      <c r="T1450" s="36">
        <v>2.8</v>
      </c>
      <c r="U1450" s="36">
        <f>Rutas[[#This Row],[Precio x Galón ($/gal)]]*Rutas[[#This Row],[Volumen de Combustible (gal)]]</f>
        <v>57.176000000000002</v>
      </c>
      <c r="V1450" s="36"/>
      <c r="W1450" s="36"/>
      <c r="X1450" s="36"/>
      <c r="Y1450" s="145">
        <f t="shared" si="457"/>
        <v>57.176000000000002</v>
      </c>
      <c r="Z1450" s="567"/>
      <c r="AA1450" s="12">
        <v>20.420000000000002</v>
      </c>
      <c r="AB1450" s="12">
        <f t="shared" si="458"/>
        <v>1.8609206660137119</v>
      </c>
      <c r="AC1450" s="12">
        <f t="shared" si="459"/>
        <v>0</v>
      </c>
      <c r="AD1450" s="34"/>
    </row>
    <row r="1451" spans="3:30" ht="16" x14ac:dyDescent="0.2">
      <c r="C1451" s="176">
        <f t="shared" si="444"/>
        <v>1448</v>
      </c>
      <c r="D1451" s="454"/>
      <c r="E1451" s="37"/>
      <c r="F1451" s="65"/>
      <c r="G1451" s="11" t="str">
        <f ca="1">IF(AND(E1451&lt;&gt;"",E1451&lt;TODAY()),"Disponible",IFERROR(INDEX(Vehiculos[Estado Vehiculo],MATCH(F1451,Vehiculos[Placa Vehiculo],0)),""))</f>
        <v/>
      </c>
      <c r="H1451" s="34"/>
      <c r="I1451" s="34"/>
      <c r="J1451" s="34"/>
      <c r="K1451" s="39"/>
      <c r="L1451" s="39"/>
      <c r="M1451" s="15">
        <f t="shared" si="455"/>
        <v>0</v>
      </c>
      <c r="N1451" s="15"/>
      <c r="O1451" s="39"/>
      <c r="P1451" s="36"/>
      <c r="Q1451" s="16">
        <f t="shared" si="456"/>
        <v>0</v>
      </c>
      <c r="R1451" s="34"/>
      <c r="S1451" s="34"/>
      <c r="T1451" s="36"/>
      <c r="U1451" s="36"/>
      <c r="V1451" s="36"/>
      <c r="W1451" s="36"/>
      <c r="X1451" s="36"/>
      <c r="Y1451" s="145">
        <f t="shared" si="457"/>
        <v>0</v>
      </c>
      <c r="Z1451" s="567"/>
      <c r="AA1451" s="12"/>
      <c r="AB1451" s="12">
        <f t="shared" si="458"/>
        <v>0</v>
      </c>
      <c r="AC1451" s="12">
        <f t="shared" si="459"/>
        <v>0</v>
      </c>
      <c r="AD1451" s="34"/>
    </row>
    <row r="1452" spans="3:30" ht="16" x14ac:dyDescent="0.2">
      <c r="C1452" s="176">
        <f t="shared" si="444"/>
        <v>1449</v>
      </c>
      <c r="D1452" s="37"/>
      <c r="E1452" s="37"/>
      <c r="F1452" s="65"/>
      <c r="G1452" s="11" t="str">
        <f ca="1">IF(AND(E1452&lt;&gt;"",E1452&lt;TODAY()),"Disponible",IFERROR(INDEX(Vehiculos[Estado Vehiculo],MATCH(F1452,Vehiculos[Placa Vehiculo],0)),""))</f>
        <v/>
      </c>
      <c r="H1452" s="34"/>
      <c r="I1452" s="34"/>
      <c r="J1452" s="34"/>
      <c r="K1452" s="39"/>
      <c r="L1452" s="39"/>
      <c r="M1452" s="15">
        <f t="shared" si="450"/>
        <v>0</v>
      </c>
      <c r="N1452" s="15"/>
      <c r="O1452" s="39"/>
      <c r="P1452" s="36"/>
      <c r="Q1452" s="16">
        <f t="shared" si="451"/>
        <v>0</v>
      </c>
      <c r="R1452" s="34"/>
      <c r="S1452" s="34"/>
      <c r="T1452" s="36"/>
      <c r="U1452" s="36">
        <f>Rutas[[#This Row],[Precio x Galón ($/gal)]]*Rutas[[#This Row],[Volumen de Combustible (gal)]]</f>
        <v>0</v>
      </c>
      <c r="V1452" s="36"/>
      <c r="W1452" s="36"/>
      <c r="X1452" s="36"/>
      <c r="Y1452" s="145">
        <f t="shared" si="452"/>
        <v>0</v>
      </c>
      <c r="Z1452" s="567"/>
      <c r="AA1452" s="12"/>
      <c r="AB1452" s="12">
        <f t="shared" si="453"/>
        <v>0</v>
      </c>
      <c r="AC1452" s="12">
        <f t="shared" si="454"/>
        <v>0</v>
      </c>
      <c r="AD1452" s="34"/>
    </row>
    <row r="1453" spans="3:30" ht="16" x14ac:dyDescent="0.2">
      <c r="C1453" s="176">
        <f t="shared" si="444"/>
        <v>1450</v>
      </c>
      <c r="D1453" s="90">
        <v>45934</v>
      </c>
      <c r="E1453" s="90">
        <v>45936</v>
      </c>
      <c r="F1453" s="68" t="s">
        <v>306</v>
      </c>
      <c r="G1453" s="379" t="str">
        <f ca="1">IF(AND(E1453&lt;&gt;"",E1453&lt;TODAY()),"Disponible",IFERROR(INDEX(Vehiculos[Estado Vehiculo],MATCH(F1453,Vehiculos[Placa Vehiculo],0)),""))</f>
        <v>Disponible</v>
      </c>
      <c r="H1453" s="89"/>
      <c r="I1453" s="89" t="s">
        <v>273</v>
      </c>
      <c r="J1453" s="89"/>
      <c r="K1453" s="380">
        <v>2220</v>
      </c>
      <c r="L1453" s="380">
        <v>2236</v>
      </c>
      <c r="M1453" s="381">
        <f t="shared" si="450"/>
        <v>16</v>
      </c>
      <c r="N1453" s="381">
        <f>Rutas[[#This Row],[Kms Recorridos]]</f>
        <v>16</v>
      </c>
      <c r="O1453" s="380"/>
      <c r="P1453" s="92"/>
      <c r="Q1453" s="382">
        <f t="shared" si="451"/>
        <v>0</v>
      </c>
      <c r="R1453" s="89" t="s">
        <v>339</v>
      </c>
      <c r="S1453" s="89" t="s">
        <v>102</v>
      </c>
      <c r="T1453" s="92">
        <v>2.8</v>
      </c>
      <c r="U1453" s="92">
        <f>Rutas[[#This Row],[Precio x Galón ($/gal)]]*Rutas[[#This Row],[Volumen de Combustible (gal)]]</f>
        <v>38.5</v>
      </c>
      <c r="V1453" s="92"/>
      <c r="W1453" s="92"/>
      <c r="X1453" s="92"/>
      <c r="Y1453" s="382">
        <f t="shared" si="452"/>
        <v>38.5</v>
      </c>
      <c r="Z1453" s="382"/>
      <c r="AA1453" s="382">
        <v>13.75</v>
      </c>
      <c r="AB1453" s="382">
        <f t="shared" si="453"/>
        <v>1.1636363636363636</v>
      </c>
      <c r="AC1453" s="382">
        <f t="shared" si="454"/>
        <v>0</v>
      </c>
      <c r="AD1453" s="89"/>
    </row>
    <row r="1454" spans="3:30" ht="16" x14ac:dyDescent="0.2">
      <c r="C1454" s="176">
        <f t="shared" si="444"/>
        <v>1451</v>
      </c>
      <c r="D1454" s="454">
        <v>45936</v>
      </c>
      <c r="E1454" s="37">
        <v>45958</v>
      </c>
      <c r="F1454" s="65" t="s">
        <v>306</v>
      </c>
      <c r="G1454" s="11" t="str">
        <f ca="1">IF(AND(E1454&lt;&gt;"",E1454&lt;TODAY()),"Disponible",IFERROR(INDEX(Vehiculos[Estado Vehiculo],MATCH(F1454,Vehiculos[Placa Vehiculo],0)),""))</f>
        <v>Disponible</v>
      </c>
      <c r="H1454" s="34"/>
      <c r="I1454" s="34" t="s">
        <v>273</v>
      </c>
      <c r="J1454" s="34"/>
      <c r="K1454" s="39">
        <v>2236</v>
      </c>
      <c r="L1454" s="39">
        <v>2249</v>
      </c>
      <c r="M1454" s="15">
        <f t="shared" si="450"/>
        <v>13</v>
      </c>
      <c r="N1454" s="381">
        <f>Rutas[[#This Row],[Kms Recorridos]]</f>
        <v>13</v>
      </c>
      <c r="O1454" s="39"/>
      <c r="P1454" s="36"/>
      <c r="Q1454" s="16">
        <f t="shared" si="451"/>
        <v>0</v>
      </c>
      <c r="R1454" s="34" t="s">
        <v>273</v>
      </c>
      <c r="S1454" s="34" t="s">
        <v>102</v>
      </c>
      <c r="T1454" s="36">
        <v>2.8</v>
      </c>
      <c r="U1454" s="36">
        <f>Rutas[[#This Row],[Precio x Galón ($/gal)]]*Rutas[[#This Row],[Volumen de Combustible (gal)]]</f>
        <v>75.767999999999986</v>
      </c>
      <c r="V1454" s="36"/>
      <c r="W1454" s="36"/>
      <c r="X1454" s="36"/>
      <c r="Y1454" s="145">
        <f t="shared" si="452"/>
        <v>75.767999999999986</v>
      </c>
      <c r="Z1454" s="567"/>
      <c r="AA1454" s="12">
        <v>27.06</v>
      </c>
      <c r="AB1454" s="12">
        <f t="shared" si="453"/>
        <v>0.48041389504804144</v>
      </c>
      <c r="AC1454" s="12">
        <f t="shared" si="454"/>
        <v>0</v>
      </c>
      <c r="AD1454" s="34"/>
    </row>
    <row r="1455" spans="3:30" ht="16" x14ac:dyDescent="0.2">
      <c r="C1455" s="176">
        <f t="shared" si="444"/>
        <v>1452</v>
      </c>
      <c r="D1455" s="454"/>
      <c r="E1455" s="37"/>
      <c r="F1455" s="65"/>
      <c r="G1455" s="11" t="str">
        <f ca="1">IF(AND(E1455&lt;&gt;"",E1455&lt;TODAY()),"Disponible",IFERROR(INDEX(Vehiculos[Estado Vehiculo],MATCH(F1455,Vehiculos[Placa Vehiculo],0)),""))</f>
        <v/>
      </c>
      <c r="H1455" s="34"/>
      <c r="I1455" s="34"/>
      <c r="J1455" s="34"/>
      <c r="K1455" s="39"/>
      <c r="L1455" s="39"/>
      <c r="M1455" s="15">
        <f>L1455-K1455</f>
        <v>0</v>
      </c>
      <c r="N1455" s="15"/>
      <c r="O1455" s="39"/>
      <c r="P1455" s="36"/>
      <c r="Q1455" s="16">
        <f>M1455*P1455</f>
        <v>0</v>
      </c>
      <c r="R1455" s="34"/>
      <c r="S1455" s="34"/>
      <c r="T1455" s="36"/>
      <c r="U1455" s="36"/>
      <c r="V1455" s="36"/>
      <c r="W1455" s="36"/>
      <c r="X1455" s="36"/>
      <c r="Y1455" s="145">
        <f>U1455+SUM(V1455:X1455)</f>
        <v>0</v>
      </c>
      <c r="Z1455" s="567"/>
      <c r="AA1455" s="12"/>
      <c r="AB1455" s="12">
        <f>IFERROR(M1455/AA1455,0)</f>
        <v>0</v>
      </c>
      <c r="AC1455" s="12">
        <f>IFERROR(Q1455/M1455,0)</f>
        <v>0</v>
      </c>
      <c r="AD1455" s="34"/>
    </row>
    <row r="1456" spans="3:30" ht="16" x14ac:dyDescent="0.2">
      <c r="C1456" s="176">
        <f t="shared" si="444"/>
        <v>1453</v>
      </c>
      <c r="D1456" s="454"/>
      <c r="E1456" s="37"/>
      <c r="F1456" s="65"/>
      <c r="G1456" s="11" t="str">
        <f ca="1">IF(AND(E1456&lt;&gt;"",E1456&lt;TODAY()),"Disponible",IFERROR(INDEX(Vehiculos[Estado Vehiculo],MATCH(F1456,Vehiculos[Placa Vehiculo],0)),""))</f>
        <v/>
      </c>
      <c r="H1456" s="34"/>
      <c r="I1456" s="34"/>
      <c r="J1456" s="34"/>
      <c r="K1456" s="39"/>
      <c r="L1456" s="39"/>
      <c r="M1456" s="15">
        <f t="shared" si="450"/>
        <v>0</v>
      </c>
      <c r="N1456" s="15"/>
      <c r="O1456" s="39"/>
      <c r="P1456" s="36"/>
      <c r="Q1456" s="16">
        <f t="shared" si="451"/>
        <v>0</v>
      </c>
      <c r="R1456" s="34"/>
      <c r="S1456" s="34"/>
      <c r="T1456" s="36"/>
      <c r="U1456" s="36"/>
      <c r="V1456" s="36"/>
      <c r="W1456" s="36"/>
      <c r="X1456" s="36"/>
      <c r="Y1456" s="145">
        <f t="shared" si="452"/>
        <v>0</v>
      </c>
      <c r="Z1456" s="567"/>
      <c r="AA1456" s="12"/>
      <c r="AB1456" s="12">
        <f t="shared" si="453"/>
        <v>0</v>
      </c>
      <c r="AC1456" s="12">
        <f t="shared" si="454"/>
        <v>0</v>
      </c>
      <c r="AD1456" s="34"/>
    </row>
    <row r="1457" spans="1:30" ht="16" x14ac:dyDescent="0.2">
      <c r="C1457" s="176">
        <f t="shared" si="444"/>
        <v>1454</v>
      </c>
      <c r="D1457" s="90">
        <v>45933</v>
      </c>
      <c r="E1457" s="90">
        <v>45936</v>
      </c>
      <c r="F1457" s="68" t="s">
        <v>311</v>
      </c>
      <c r="G1457" s="379" t="str">
        <f ca="1">IF(AND(E1457&lt;&gt;"",E1457&lt;TODAY()),"Disponible",IFERROR(INDEX(Vehiculos[Estado Vehiculo],MATCH(F1457,Vehiculos[Placa Vehiculo],0)),""))</f>
        <v>Disponible</v>
      </c>
      <c r="H1457" s="89"/>
      <c r="I1457" s="89" t="s">
        <v>273</v>
      </c>
      <c r="J1457" s="89" t="s">
        <v>274</v>
      </c>
      <c r="K1457" s="380">
        <v>2360</v>
      </c>
      <c r="L1457" s="380">
        <v>2363</v>
      </c>
      <c r="M1457" s="381">
        <f t="shared" si="450"/>
        <v>3</v>
      </c>
      <c r="N1457" s="381">
        <f>Rutas[[#This Row],[Kms Recorridos]]</f>
        <v>3</v>
      </c>
      <c r="O1457" s="380"/>
      <c r="P1457" s="92"/>
      <c r="Q1457" s="382">
        <f t="shared" si="451"/>
        <v>0</v>
      </c>
      <c r="R1457" s="89" t="s">
        <v>273</v>
      </c>
      <c r="S1457" s="89" t="s">
        <v>102</v>
      </c>
      <c r="T1457" s="92">
        <v>2.8</v>
      </c>
      <c r="U1457" s="92">
        <f>Rutas[[#This Row],[Precio x Galón ($/gal)]]*Rutas[[#This Row],[Volumen de Combustible (gal)]]</f>
        <v>67.955999999999989</v>
      </c>
      <c r="V1457" s="92"/>
      <c r="W1457" s="92"/>
      <c r="X1457" s="92"/>
      <c r="Y1457" s="382">
        <f t="shared" si="452"/>
        <v>67.955999999999989</v>
      </c>
      <c r="Z1457" s="382"/>
      <c r="AA1457" s="382">
        <v>24.27</v>
      </c>
      <c r="AB1457" s="382">
        <f t="shared" si="453"/>
        <v>0.12360939431396786</v>
      </c>
      <c r="AC1457" s="382">
        <f t="shared" si="454"/>
        <v>0</v>
      </c>
      <c r="AD1457" s="89"/>
    </row>
    <row r="1458" spans="1:30" ht="16" x14ac:dyDescent="0.2">
      <c r="C1458" s="176">
        <f t="shared" si="444"/>
        <v>1455</v>
      </c>
      <c r="D1458" s="454">
        <v>45936</v>
      </c>
      <c r="E1458" s="37">
        <v>45939</v>
      </c>
      <c r="F1458" s="65" t="s">
        <v>311</v>
      </c>
      <c r="G1458" s="11" t="str">
        <f ca="1">IF(AND(E1458&lt;&gt;"",E1458&lt;TODAY()),"Disponible",IFERROR(INDEX(Vehiculos[Estado Vehiculo],MATCH(F1458,Vehiculos[Placa Vehiculo],0)),""))</f>
        <v>Disponible</v>
      </c>
      <c r="H1458" s="34"/>
      <c r="I1458" s="34" t="s">
        <v>273</v>
      </c>
      <c r="J1458" s="34" t="s">
        <v>274</v>
      </c>
      <c r="K1458" s="39">
        <v>2363</v>
      </c>
      <c r="L1458" s="39">
        <v>2388</v>
      </c>
      <c r="M1458" s="15">
        <f t="shared" si="450"/>
        <v>25</v>
      </c>
      <c r="N1458" s="381">
        <f>Rutas[[#This Row],[Kms Recorridos]]</f>
        <v>25</v>
      </c>
      <c r="O1458" s="39"/>
      <c r="P1458" s="36"/>
      <c r="Q1458" s="16">
        <f t="shared" si="451"/>
        <v>0</v>
      </c>
      <c r="R1458" s="34" t="s">
        <v>273</v>
      </c>
      <c r="S1458" s="34" t="s">
        <v>102</v>
      </c>
      <c r="T1458" s="36">
        <v>2.8</v>
      </c>
      <c r="U1458" s="36">
        <f>Rutas[[#This Row],[Precio x Galón ($/gal)]]*Rutas[[#This Row],[Volumen de Combustible (gal)]]</f>
        <v>36.764000000000003</v>
      </c>
      <c r="V1458" s="36"/>
      <c r="W1458" s="36"/>
      <c r="X1458" s="36"/>
      <c r="Y1458" s="145">
        <f t="shared" si="452"/>
        <v>36.764000000000003</v>
      </c>
      <c r="Z1458" s="567"/>
      <c r="AA1458" s="12">
        <v>13.13</v>
      </c>
      <c r="AB1458" s="12">
        <f t="shared" si="453"/>
        <v>1.9040365575019038</v>
      </c>
      <c r="AC1458" s="12">
        <f t="shared" si="454"/>
        <v>0</v>
      </c>
      <c r="AD1458" s="34"/>
    </row>
    <row r="1459" spans="1:30" ht="16" x14ac:dyDescent="0.2">
      <c r="C1459" s="176">
        <f t="shared" si="444"/>
        <v>1456</v>
      </c>
      <c r="D1459" s="146">
        <v>45939</v>
      </c>
      <c r="E1459" s="37">
        <v>45942</v>
      </c>
      <c r="F1459" s="65" t="s">
        <v>311</v>
      </c>
      <c r="G1459" s="11" t="str">
        <f ca="1">IF(AND(E1459&lt;&gt;"",E1459&lt;TODAY()),"Disponible",IFERROR(INDEX(Vehiculos[Estado Vehiculo],MATCH(F1459,Vehiculos[Placa Vehiculo],0)),""))</f>
        <v>Disponible</v>
      </c>
      <c r="H1459" s="34"/>
      <c r="I1459" s="34" t="s">
        <v>273</v>
      </c>
      <c r="J1459" s="34" t="s">
        <v>274</v>
      </c>
      <c r="K1459" s="39">
        <v>2388</v>
      </c>
      <c r="L1459" s="39">
        <v>2411</v>
      </c>
      <c r="M1459" s="15">
        <f t="shared" si="439"/>
        <v>23</v>
      </c>
      <c r="N1459" s="381">
        <f>Rutas[[#This Row],[Kms Recorridos]]</f>
        <v>23</v>
      </c>
      <c r="O1459" s="39"/>
      <c r="P1459" s="36"/>
      <c r="Q1459" s="16">
        <f t="shared" si="440"/>
        <v>0</v>
      </c>
      <c r="R1459" s="34" t="s">
        <v>273</v>
      </c>
      <c r="S1459" s="34" t="s">
        <v>102</v>
      </c>
      <c r="T1459" s="36">
        <v>2.8</v>
      </c>
      <c r="U1459" s="36">
        <f>Rutas[[#This Row],[Precio x Galón ($/gal)]]*Rutas[[#This Row],[Volumen de Combustible (gal)]]</f>
        <v>38.863999999999997</v>
      </c>
      <c r="V1459" s="36"/>
      <c r="W1459" s="36"/>
      <c r="X1459" s="36"/>
      <c r="Y1459" s="145">
        <f t="shared" si="441"/>
        <v>38.863999999999997</v>
      </c>
      <c r="Z1459" s="572"/>
      <c r="AA1459" s="12">
        <v>13.88</v>
      </c>
      <c r="AB1459" s="12">
        <f t="shared" si="442"/>
        <v>1.6570605187319885</v>
      </c>
      <c r="AC1459" s="12">
        <f t="shared" si="443"/>
        <v>0</v>
      </c>
      <c r="AD1459" s="34"/>
    </row>
    <row r="1460" spans="1:30" ht="16" x14ac:dyDescent="0.2">
      <c r="C1460" s="176">
        <f t="shared" si="444"/>
        <v>1457</v>
      </c>
      <c r="D1460" s="454">
        <v>45942</v>
      </c>
      <c r="E1460" s="37">
        <v>45946</v>
      </c>
      <c r="F1460" s="65" t="s">
        <v>311</v>
      </c>
      <c r="G1460" s="11" t="str">
        <f ca="1">IF(AND(E1460&lt;&gt;"",E1460&lt;TODAY()),"Disponible",IFERROR(INDEX(Vehiculos[Estado Vehiculo],MATCH(F1460,Vehiculos[Placa Vehiculo],0)),""))</f>
        <v>Disponible</v>
      </c>
      <c r="H1460" s="34"/>
      <c r="I1460" s="34" t="s">
        <v>273</v>
      </c>
      <c r="J1460" s="34" t="s">
        <v>274</v>
      </c>
      <c r="K1460" s="39">
        <v>2411</v>
      </c>
      <c r="L1460" s="39">
        <v>2442</v>
      </c>
      <c r="M1460" s="15">
        <f t="shared" ref="M1460:M1469" si="460">L1460-K1460</f>
        <v>31</v>
      </c>
      <c r="N1460" s="381">
        <f>Rutas[[#This Row],[Kms Recorridos]]</f>
        <v>31</v>
      </c>
      <c r="O1460" s="39"/>
      <c r="P1460" s="36"/>
      <c r="Q1460" s="16">
        <f t="shared" ref="Q1460:Q1469" si="461">M1460*P1460</f>
        <v>0</v>
      </c>
      <c r="R1460" s="34" t="s">
        <v>273</v>
      </c>
      <c r="S1460" s="34" t="s">
        <v>102</v>
      </c>
      <c r="T1460" s="36">
        <v>2.8</v>
      </c>
      <c r="U1460" s="36">
        <f>Rutas[[#This Row],[Precio x Galón ($/gal)]]*Rutas[[#This Row],[Volumen de Combustible (gal)]]</f>
        <v>54.067999999999991</v>
      </c>
      <c r="V1460" s="36"/>
      <c r="W1460" s="36"/>
      <c r="X1460" s="36"/>
      <c r="Y1460" s="145">
        <f t="shared" ref="Y1460:Y1469" si="462">U1460+SUM(V1460:X1460)</f>
        <v>54.067999999999991</v>
      </c>
      <c r="Z1460" s="567"/>
      <c r="AA1460" s="12">
        <v>19.309999999999999</v>
      </c>
      <c r="AB1460" s="12">
        <f t="shared" ref="AB1460:AB1469" si="463">IFERROR(M1460/AA1460,0)</f>
        <v>1.6053858104609011</v>
      </c>
      <c r="AC1460" s="12">
        <f t="shared" ref="AC1460:AC1469" si="464">IFERROR(Q1460/M1460,0)</f>
        <v>0</v>
      </c>
      <c r="AD1460" s="34"/>
    </row>
    <row r="1461" spans="1:30" ht="16" x14ac:dyDescent="0.2">
      <c r="C1461" s="176">
        <f t="shared" si="444"/>
        <v>1458</v>
      </c>
      <c r="D1461" s="454">
        <v>45946</v>
      </c>
      <c r="E1461" s="37">
        <v>45949</v>
      </c>
      <c r="F1461" s="65" t="s">
        <v>311</v>
      </c>
      <c r="G1461" s="11" t="str">
        <f ca="1">IF(AND(E1461&lt;&gt;"",E1461&lt;TODAY()),"Disponible",IFERROR(INDEX(Vehiculos[Estado Vehiculo],MATCH(F1461,Vehiculos[Placa Vehiculo],0)),""))</f>
        <v>Disponible</v>
      </c>
      <c r="H1461" s="34"/>
      <c r="I1461" s="34" t="s">
        <v>273</v>
      </c>
      <c r="J1461" s="34" t="s">
        <v>274</v>
      </c>
      <c r="K1461" s="39">
        <v>2442</v>
      </c>
      <c r="L1461" s="39">
        <v>2465</v>
      </c>
      <c r="M1461" s="15">
        <f t="shared" si="460"/>
        <v>23</v>
      </c>
      <c r="N1461" s="381">
        <f>Rutas[[#This Row],[Kms Recorridos]]</f>
        <v>23</v>
      </c>
      <c r="O1461" s="39"/>
      <c r="P1461" s="36"/>
      <c r="Q1461" s="16">
        <f t="shared" si="461"/>
        <v>0</v>
      </c>
      <c r="R1461" s="34" t="s">
        <v>273</v>
      </c>
      <c r="S1461" s="34" t="s">
        <v>102</v>
      </c>
      <c r="T1461" s="36">
        <v>2.8</v>
      </c>
      <c r="U1461" s="36">
        <f>Rutas[[#This Row],[Precio x Galón ($/gal)]]*Rutas[[#This Row],[Volumen de Combustible (gal)]]</f>
        <v>42.699999999999996</v>
      </c>
      <c r="V1461" s="36"/>
      <c r="W1461" s="36"/>
      <c r="X1461" s="36"/>
      <c r="Y1461" s="145">
        <f t="shared" si="462"/>
        <v>42.699999999999996</v>
      </c>
      <c r="Z1461" s="567"/>
      <c r="AA1461" s="12">
        <v>15.25</v>
      </c>
      <c r="AB1461" s="12">
        <f t="shared" si="463"/>
        <v>1.5081967213114753</v>
      </c>
      <c r="AC1461" s="12">
        <f t="shared" si="464"/>
        <v>0</v>
      </c>
      <c r="AD1461" s="34"/>
    </row>
    <row r="1462" spans="1:30" ht="16" x14ac:dyDescent="0.2">
      <c r="C1462" s="176">
        <f t="shared" si="444"/>
        <v>1459</v>
      </c>
      <c r="D1462" s="454">
        <v>45949</v>
      </c>
      <c r="E1462" s="37">
        <v>45953</v>
      </c>
      <c r="F1462" s="65" t="s">
        <v>311</v>
      </c>
      <c r="G1462" s="11" t="str">
        <f ca="1">IF(AND(E1462&lt;&gt;"",E1462&lt;TODAY()),"Disponible",IFERROR(INDEX(Vehiculos[Estado Vehiculo],MATCH(F1462,Vehiculos[Placa Vehiculo],0)),""))</f>
        <v>Disponible</v>
      </c>
      <c r="H1462" s="34"/>
      <c r="I1462" s="34" t="s">
        <v>273</v>
      </c>
      <c r="J1462" s="34" t="s">
        <v>274</v>
      </c>
      <c r="K1462" s="39">
        <v>2465</v>
      </c>
      <c r="L1462" s="39">
        <v>2492</v>
      </c>
      <c r="M1462" s="15">
        <f t="shared" si="460"/>
        <v>27</v>
      </c>
      <c r="N1462" s="381">
        <f>Rutas[[#This Row],[Kms Recorridos]]</f>
        <v>27</v>
      </c>
      <c r="O1462" s="39"/>
      <c r="P1462" s="36"/>
      <c r="Q1462" s="16">
        <f t="shared" si="461"/>
        <v>0</v>
      </c>
      <c r="R1462" s="34" t="s">
        <v>273</v>
      </c>
      <c r="S1462" s="34" t="s">
        <v>102</v>
      </c>
      <c r="T1462" s="36">
        <v>2.8</v>
      </c>
      <c r="U1462" s="36">
        <f>Rutas[[#This Row],[Precio x Galón ($/gal)]]*Rutas[[#This Row],[Volumen de Combustible (gal)]]</f>
        <v>48.467999999999996</v>
      </c>
      <c r="V1462" s="36"/>
      <c r="W1462" s="36"/>
      <c r="X1462" s="36"/>
      <c r="Y1462" s="145">
        <f t="shared" si="462"/>
        <v>48.467999999999996</v>
      </c>
      <c r="Z1462" s="567"/>
      <c r="AA1462" s="12">
        <v>17.309999999999999</v>
      </c>
      <c r="AB1462" s="12">
        <f t="shared" si="463"/>
        <v>1.5597920277296362</v>
      </c>
      <c r="AC1462" s="12">
        <f t="shared" si="464"/>
        <v>0</v>
      </c>
      <c r="AD1462" s="34"/>
    </row>
    <row r="1463" spans="1:30" ht="16" x14ac:dyDescent="0.2">
      <c r="C1463" s="176">
        <f t="shared" si="444"/>
        <v>1460</v>
      </c>
      <c r="D1463" s="454">
        <v>45953</v>
      </c>
      <c r="E1463" s="37">
        <v>45957</v>
      </c>
      <c r="F1463" s="65" t="s">
        <v>311</v>
      </c>
      <c r="G1463" s="11" t="str">
        <f ca="1">IF(AND(E1463&lt;&gt;"",E1463&lt;TODAY()),"Disponible",IFERROR(INDEX(Vehiculos[Estado Vehiculo],MATCH(F1463,Vehiculos[Placa Vehiculo],0)),""))</f>
        <v>Disponible</v>
      </c>
      <c r="H1463" s="34"/>
      <c r="I1463" s="34" t="s">
        <v>273</v>
      </c>
      <c r="J1463" s="34" t="s">
        <v>274</v>
      </c>
      <c r="K1463" s="39">
        <v>2492</v>
      </c>
      <c r="L1463" s="39">
        <v>2516</v>
      </c>
      <c r="M1463" s="15">
        <f>L1463-K1463</f>
        <v>24</v>
      </c>
      <c r="N1463" s="381">
        <f>Rutas[[#This Row],[Kms Recorridos]]</f>
        <v>24</v>
      </c>
      <c r="O1463" s="39"/>
      <c r="P1463" s="36"/>
      <c r="Q1463" s="16">
        <f>M1463*P1463</f>
        <v>0</v>
      </c>
      <c r="R1463" s="34" t="s">
        <v>273</v>
      </c>
      <c r="S1463" s="34" t="s">
        <v>102</v>
      </c>
      <c r="T1463" s="36">
        <v>2.8</v>
      </c>
      <c r="U1463" s="36">
        <f>Rutas[[#This Row],[Precio x Galón ($/gal)]]*Rutas[[#This Row],[Volumen de Combustible (gal)]]</f>
        <v>42.923999999999999</v>
      </c>
      <c r="V1463" s="36"/>
      <c r="W1463" s="36"/>
      <c r="X1463" s="36"/>
      <c r="Y1463" s="145">
        <f>U1463+SUM(V1463:X1463)</f>
        <v>42.923999999999999</v>
      </c>
      <c r="Z1463" s="567"/>
      <c r="AA1463" s="12">
        <v>15.33</v>
      </c>
      <c r="AB1463" s="12">
        <f>IFERROR(M1463/AA1463,0)</f>
        <v>1.5655577299412915</v>
      </c>
      <c r="AC1463" s="12">
        <f>IFERROR(Q1463/M1463,0)</f>
        <v>0</v>
      </c>
      <c r="AD1463" s="34"/>
    </row>
    <row r="1464" spans="1:30" ht="16" x14ac:dyDescent="0.2">
      <c r="C1464" s="176">
        <f t="shared" si="444"/>
        <v>1461</v>
      </c>
      <c r="D1464" s="454">
        <v>45957</v>
      </c>
      <c r="E1464" s="37">
        <v>45960</v>
      </c>
      <c r="F1464" s="65" t="s">
        <v>311</v>
      </c>
      <c r="G1464" s="11" t="str">
        <f ca="1">IF(AND(E1464&lt;&gt;"",E1464&lt;TODAY()),"Disponible",IFERROR(INDEX(Vehiculos[Estado Vehiculo],MATCH(F1464,Vehiculos[Placa Vehiculo],0)),""))</f>
        <v>Disponible</v>
      </c>
      <c r="H1464" s="34"/>
      <c r="I1464" s="34" t="s">
        <v>273</v>
      </c>
      <c r="J1464" s="34" t="s">
        <v>274</v>
      </c>
      <c r="K1464" s="39">
        <v>2516</v>
      </c>
      <c r="L1464" s="39">
        <v>2544</v>
      </c>
      <c r="M1464" s="15">
        <f>L1464-K1464</f>
        <v>28</v>
      </c>
      <c r="N1464" s="381">
        <f>Rutas[[#This Row],[Kms Recorridos]]</f>
        <v>28</v>
      </c>
      <c r="O1464" s="39"/>
      <c r="P1464" s="36"/>
      <c r="Q1464" s="16">
        <f>M1464*P1464</f>
        <v>0</v>
      </c>
      <c r="R1464" s="34" t="s">
        <v>273</v>
      </c>
      <c r="S1464" s="34" t="s">
        <v>102</v>
      </c>
      <c r="T1464" s="36">
        <v>2.8</v>
      </c>
      <c r="U1464" s="36">
        <f>Rutas[[#This Row],[Precio x Galón ($/gal)]]*Rutas[[#This Row],[Volumen de Combustible (gal)]]</f>
        <v>40.403999999999996</v>
      </c>
      <c r="V1464" s="36"/>
      <c r="W1464" s="36"/>
      <c r="X1464" s="36"/>
      <c r="Y1464" s="145">
        <f>U1464+SUM(V1464:X1464)</f>
        <v>40.403999999999996</v>
      </c>
      <c r="Z1464" s="567"/>
      <c r="AA1464" s="12">
        <v>14.43</v>
      </c>
      <c r="AB1464" s="12">
        <f>IFERROR(M1464/AA1464,0)</f>
        <v>1.9404019404019404</v>
      </c>
      <c r="AC1464" s="12">
        <f>IFERROR(Q1464/M1464,0)</f>
        <v>0</v>
      </c>
      <c r="AD1464" s="34"/>
    </row>
    <row r="1465" spans="1:30" ht="16" x14ac:dyDescent="0.2">
      <c r="C1465" s="176">
        <f t="shared" si="444"/>
        <v>1462</v>
      </c>
      <c r="D1465" s="454"/>
      <c r="E1465" s="37"/>
      <c r="F1465" s="65"/>
      <c r="G1465" s="11" t="str">
        <f ca="1">IF(AND(E1465&lt;&gt;"",E1465&lt;TODAY()),"Disponible",IFERROR(INDEX(Vehiculos[Estado Vehiculo],MATCH(F1465,Vehiculos[Placa Vehiculo],0)),""))</f>
        <v/>
      </c>
      <c r="H1465" s="34"/>
      <c r="I1465" s="34"/>
      <c r="J1465" s="34"/>
      <c r="K1465" s="39"/>
      <c r="L1465" s="39"/>
      <c r="M1465" s="15">
        <f>L1465-K1465</f>
        <v>0</v>
      </c>
      <c r="N1465" s="15"/>
      <c r="O1465" s="39"/>
      <c r="P1465" s="36"/>
      <c r="Q1465" s="16">
        <f>M1465*P1465</f>
        <v>0</v>
      </c>
      <c r="R1465" s="34"/>
      <c r="S1465" s="34"/>
      <c r="T1465" s="36"/>
      <c r="U1465" s="36"/>
      <c r="V1465" s="36"/>
      <c r="W1465" s="36"/>
      <c r="X1465" s="36"/>
      <c r="Y1465" s="145">
        <f>U1465+SUM(V1465:X1465)</f>
        <v>0</v>
      </c>
      <c r="Z1465" s="567"/>
      <c r="AA1465" s="12"/>
      <c r="AB1465" s="12">
        <f>IFERROR(M1465/AA1465,0)</f>
        <v>0</v>
      </c>
      <c r="AC1465" s="12">
        <f>IFERROR(Q1465/M1465,0)</f>
        <v>0</v>
      </c>
      <c r="AD1465" s="34"/>
    </row>
    <row r="1466" spans="1:30" ht="16" x14ac:dyDescent="0.2">
      <c r="C1466" s="176">
        <f t="shared" si="444"/>
        <v>1463</v>
      </c>
      <c r="D1466" s="454"/>
      <c r="E1466" s="37"/>
      <c r="F1466" s="65"/>
      <c r="G1466" s="11" t="str">
        <f ca="1">IF(AND(E1466&lt;&gt;"",E1466&lt;TODAY()),"Disponible",IFERROR(INDEX(Vehiculos[Estado Vehiculo],MATCH(F1466,Vehiculos[Placa Vehiculo],0)),""))</f>
        <v/>
      </c>
      <c r="H1466" s="34"/>
      <c r="I1466" s="34"/>
      <c r="J1466" s="34"/>
      <c r="K1466" s="39"/>
      <c r="L1466" s="39"/>
      <c r="M1466" s="15">
        <f t="shared" si="460"/>
        <v>0</v>
      </c>
      <c r="N1466" s="15"/>
      <c r="O1466" s="39"/>
      <c r="P1466" s="36"/>
      <c r="Q1466" s="16">
        <f t="shared" si="461"/>
        <v>0</v>
      </c>
      <c r="R1466" s="34"/>
      <c r="S1466" s="34"/>
      <c r="T1466" s="36"/>
      <c r="U1466" s="36"/>
      <c r="V1466" s="36"/>
      <c r="W1466" s="36"/>
      <c r="X1466" s="36"/>
      <c r="Y1466" s="145">
        <f t="shared" si="462"/>
        <v>0</v>
      </c>
      <c r="Z1466" s="567"/>
      <c r="AA1466" s="12"/>
      <c r="AB1466" s="12">
        <f t="shared" si="463"/>
        <v>0</v>
      </c>
      <c r="AC1466" s="12">
        <f t="shared" si="464"/>
        <v>0</v>
      </c>
      <c r="AD1466" s="34"/>
    </row>
    <row r="1467" spans="1:30" ht="16" x14ac:dyDescent="0.2">
      <c r="C1467" s="176">
        <f t="shared" si="444"/>
        <v>1464</v>
      </c>
      <c r="D1467" s="90">
        <v>45931</v>
      </c>
      <c r="E1467" s="90">
        <v>45940</v>
      </c>
      <c r="F1467" s="68" t="s">
        <v>414</v>
      </c>
      <c r="G1467" s="379" t="str">
        <f ca="1">IF(AND(E1467&lt;&gt;"",E1467&lt;TODAY()),"Disponible",IFERROR(INDEX(Vehiculos[Estado Vehiculo],MATCH(F1467,Vehiculos[Placa Vehiculo],0)),""))</f>
        <v>Disponible</v>
      </c>
      <c r="H1467" s="89"/>
      <c r="I1467" s="89" t="s">
        <v>273</v>
      </c>
      <c r="J1467" s="89"/>
      <c r="K1467" s="380">
        <v>197</v>
      </c>
      <c r="L1467" s="380">
        <v>206</v>
      </c>
      <c r="M1467" s="381">
        <f t="shared" si="460"/>
        <v>9</v>
      </c>
      <c r="N1467" s="381">
        <f>Rutas[[#This Row],[Kms Recorridos]]</f>
        <v>9</v>
      </c>
      <c r="O1467" s="380"/>
      <c r="P1467" s="92"/>
      <c r="Q1467" s="382">
        <f t="shared" si="461"/>
        <v>0</v>
      </c>
      <c r="R1467" s="89" t="s">
        <v>273</v>
      </c>
      <c r="S1467" s="89" t="s">
        <v>102</v>
      </c>
      <c r="T1467" s="92">
        <v>2.8</v>
      </c>
      <c r="U1467" s="92"/>
      <c r="V1467" s="92"/>
      <c r="W1467" s="92"/>
      <c r="X1467" s="92"/>
      <c r="Y1467" s="382">
        <f t="shared" si="462"/>
        <v>0</v>
      </c>
      <c r="Z1467" s="382"/>
      <c r="AA1467" s="382"/>
      <c r="AB1467" s="382">
        <f t="shared" si="463"/>
        <v>0</v>
      </c>
      <c r="AC1467" s="382">
        <f t="shared" si="464"/>
        <v>0</v>
      </c>
      <c r="AD1467" s="89"/>
    </row>
    <row r="1468" spans="1:30" ht="16" x14ac:dyDescent="0.2">
      <c r="C1468" s="176">
        <f t="shared" si="444"/>
        <v>1465</v>
      </c>
      <c r="D1468" s="454">
        <v>45940</v>
      </c>
      <c r="E1468" s="37">
        <v>45950</v>
      </c>
      <c r="F1468" s="65" t="s">
        <v>414</v>
      </c>
      <c r="G1468" s="11" t="str">
        <f ca="1">IF(AND(E1468&lt;&gt;"",E1468&lt;TODAY()),"Disponible",IFERROR(INDEX(Vehiculos[Estado Vehiculo],MATCH(F1468,Vehiculos[Placa Vehiculo],0)),""))</f>
        <v>Disponible</v>
      </c>
      <c r="H1468" s="34"/>
      <c r="I1468" s="34" t="s">
        <v>273</v>
      </c>
      <c r="J1468" s="34"/>
      <c r="K1468" s="39">
        <v>206</v>
      </c>
      <c r="L1468" s="39">
        <v>243</v>
      </c>
      <c r="M1468" s="15">
        <f t="shared" si="460"/>
        <v>37</v>
      </c>
      <c r="N1468" s="381">
        <f>Rutas[[#This Row],[Kms Recorridos]]</f>
        <v>37</v>
      </c>
      <c r="O1468" s="39"/>
      <c r="P1468" s="36"/>
      <c r="Q1468" s="16">
        <f t="shared" si="461"/>
        <v>0</v>
      </c>
      <c r="R1468" s="34" t="s">
        <v>273</v>
      </c>
      <c r="S1468" s="34" t="s">
        <v>102</v>
      </c>
      <c r="T1468" s="36">
        <v>2.8</v>
      </c>
      <c r="U1468" s="36"/>
      <c r="V1468" s="36"/>
      <c r="W1468" s="36"/>
      <c r="X1468" s="36"/>
      <c r="Y1468" s="145">
        <f t="shared" si="462"/>
        <v>0</v>
      </c>
      <c r="Z1468" s="567"/>
      <c r="AA1468" s="12"/>
      <c r="AB1468" s="12">
        <f t="shared" si="463"/>
        <v>0</v>
      </c>
      <c r="AC1468" s="12">
        <f t="shared" si="464"/>
        <v>0</v>
      </c>
      <c r="AD1468" s="34"/>
    </row>
    <row r="1469" spans="1:30" ht="16" x14ac:dyDescent="0.2">
      <c r="C1469" s="176">
        <f t="shared" si="444"/>
        <v>1466</v>
      </c>
      <c r="D1469" s="454">
        <v>45950</v>
      </c>
      <c r="E1469" s="37">
        <v>45960</v>
      </c>
      <c r="F1469" s="65" t="s">
        <v>414</v>
      </c>
      <c r="G1469" s="11" t="str">
        <f ca="1">IF(AND(E1469&lt;&gt;"",E1469&lt;TODAY()),"Disponible",IFERROR(INDEX(Vehiculos[Estado Vehiculo],MATCH(F1469,Vehiculos[Placa Vehiculo],0)),""))</f>
        <v>Disponible</v>
      </c>
      <c r="H1469" s="34"/>
      <c r="I1469" s="34" t="s">
        <v>273</v>
      </c>
      <c r="J1469" s="34"/>
      <c r="K1469" s="39">
        <v>243</v>
      </c>
      <c r="L1469" s="39">
        <v>259</v>
      </c>
      <c r="M1469" s="15">
        <f t="shared" si="460"/>
        <v>16</v>
      </c>
      <c r="N1469" s="381">
        <f>Rutas[[#This Row],[Kms Recorridos]]</f>
        <v>16</v>
      </c>
      <c r="O1469" s="39"/>
      <c r="P1469" s="36"/>
      <c r="Q1469" s="16">
        <f t="shared" si="461"/>
        <v>0</v>
      </c>
      <c r="R1469" s="34" t="s">
        <v>273</v>
      </c>
      <c r="S1469" s="34" t="s">
        <v>102</v>
      </c>
      <c r="T1469" s="36">
        <v>2.8</v>
      </c>
      <c r="U1469" s="36"/>
      <c r="V1469" s="36"/>
      <c r="W1469" s="36"/>
      <c r="X1469" s="36"/>
      <c r="Y1469" s="145">
        <f t="shared" si="462"/>
        <v>0</v>
      </c>
      <c r="Z1469" s="567"/>
      <c r="AA1469" s="12"/>
      <c r="AB1469" s="12">
        <f t="shared" si="463"/>
        <v>0</v>
      </c>
      <c r="AC1469" s="12">
        <f t="shared" si="464"/>
        <v>0</v>
      </c>
      <c r="AD1469" s="34"/>
    </row>
    <row r="1470" spans="1:30" ht="17" thickBot="1" x14ac:dyDescent="0.25">
      <c r="A1470" s="564"/>
      <c r="B1470" s="175"/>
      <c r="C1470" s="176">
        <f t="shared" si="444"/>
        <v>1467</v>
      </c>
      <c r="D1470" s="156"/>
      <c r="E1470" s="157"/>
      <c r="F1470" s="158"/>
      <c r="G1470" s="159" t="str">
        <f ca="1">IF(AND(E1470&lt;&gt;"",E1470&lt;TODAY()),"Disponible",IFERROR(INDEX(Vehiculos[Estado Vehiculo],MATCH(F1470,Vehiculos[Placa Vehiculo],0)),""))</f>
        <v/>
      </c>
      <c r="H1470" s="160"/>
      <c r="I1470" s="160"/>
      <c r="J1470" s="160"/>
      <c r="K1470" s="161"/>
      <c r="L1470" s="161"/>
      <c r="M1470" s="162">
        <f t="shared" si="439"/>
        <v>0</v>
      </c>
      <c r="N1470" s="162"/>
      <c r="O1470" s="161"/>
      <c r="P1470" s="163"/>
      <c r="Q1470" s="164">
        <f t="shared" si="440"/>
        <v>0</v>
      </c>
      <c r="R1470" s="160"/>
      <c r="S1470" s="160"/>
      <c r="T1470" s="163"/>
      <c r="U1470" s="163">
        <f>Rutas[[#This Row],[Precio x Galón ($/gal)]]*Rutas[[#This Row],[Volumen de Combustible (gal)]]</f>
        <v>0</v>
      </c>
      <c r="V1470" s="163"/>
      <c r="W1470" s="163"/>
      <c r="X1470" s="163"/>
      <c r="Y1470" s="165">
        <f t="shared" si="441"/>
        <v>0</v>
      </c>
      <c r="Z1470" s="573"/>
      <c r="AA1470" s="166"/>
      <c r="AB1470" s="166">
        <f t="shared" si="442"/>
        <v>0</v>
      </c>
      <c r="AC1470" s="166">
        <f t="shared" si="443"/>
        <v>0</v>
      </c>
      <c r="AD1470" s="160"/>
    </row>
    <row r="1471" spans="1:30" ht="17" thickTop="1" x14ac:dyDescent="0.2">
      <c r="C1471" s="176">
        <f t="shared" si="444"/>
        <v>1468</v>
      </c>
      <c r="D1471" s="146"/>
      <c r="E1471" s="37"/>
      <c r="F1471" s="65"/>
      <c r="G1471" s="11" t="str">
        <f ca="1">IF(AND(E1471&lt;&gt;"",E1471&lt;TODAY()),"Disponible",IFERROR(INDEX(Vehiculos[Estado Vehiculo],MATCH(F1471,Vehiculos[Placa Vehiculo],0)),""))</f>
        <v/>
      </c>
      <c r="H1471" s="34"/>
      <c r="I1471" s="34"/>
      <c r="J1471" s="34"/>
      <c r="K1471" s="39"/>
      <c r="L1471" s="39"/>
      <c r="M1471" s="15">
        <f t="shared" si="439"/>
        <v>0</v>
      </c>
      <c r="N1471" s="15"/>
      <c r="O1471" s="39"/>
      <c r="P1471" s="36"/>
      <c r="Q1471" s="16">
        <f t="shared" si="440"/>
        <v>0</v>
      </c>
      <c r="R1471" s="34"/>
      <c r="S1471" s="34"/>
      <c r="T1471" s="36"/>
      <c r="U1471" s="36">
        <f>Rutas[[#This Row],[Precio x Galón ($/gal)]]*Rutas[[#This Row],[Volumen de Combustible (gal)]]</f>
        <v>0</v>
      </c>
      <c r="V1471" s="36"/>
      <c r="W1471" s="36"/>
      <c r="X1471" s="36"/>
      <c r="Y1471" s="145">
        <f t="shared" si="441"/>
        <v>0</v>
      </c>
      <c r="Z1471" s="572"/>
      <c r="AA1471" s="12"/>
      <c r="AB1471" s="12">
        <f t="shared" si="442"/>
        <v>0</v>
      </c>
      <c r="AC1471" s="12">
        <f t="shared" si="443"/>
        <v>0</v>
      </c>
      <c r="AD1471" s="34"/>
    </row>
    <row r="1472" spans="1:30" ht="16" x14ac:dyDescent="0.2">
      <c r="C1472" s="176">
        <f t="shared" si="444"/>
        <v>1469</v>
      </c>
      <c r="D1472" s="90">
        <v>45962</v>
      </c>
      <c r="E1472" s="90">
        <v>45972</v>
      </c>
      <c r="F1472" s="68" t="s">
        <v>204</v>
      </c>
      <c r="G1472" s="379" t="str">
        <f ca="1">IF(AND(E1472&lt;&gt;"",E1472&lt;TODAY()),"Disponible",IFERROR(INDEX(Vehiculos[Estado Vehiculo],MATCH(F1472,Vehiculos[Placa Vehiculo],0)),""))</f>
        <v>Disponible</v>
      </c>
      <c r="H1472" s="89"/>
      <c r="I1472" s="89" t="s">
        <v>273</v>
      </c>
      <c r="J1472" s="89"/>
      <c r="K1472" s="380">
        <v>41185</v>
      </c>
      <c r="L1472" s="380">
        <v>41965</v>
      </c>
      <c r="M1472" s="381">
        <f t="shared" si="439"/>
        <v>780</v>
      </c>
      <c r="N1472" s="381"/>
      <c r="O1472" s="380"/>
      <c r="P1472" s="92">
        <v>0.76</v>
      </c>
      <c r="Q1472" s="382">
        <f t="shared" si="440"/>
        <v>592.79999999999995</v>
      </c>
      <c r="R1472" s="89" t="s">
        <v>273</v>
      </c>
      <c r="S1472" s="89" t="s">
        <v>102</v>
      </c>
      <c r="T1472" s="92">
        <v>2.8</v>
      </c>
      <c r="U1472" s="92">
        <f>Rutas[[#This Row],[Precio x Galón ($/gal)]]*Rutas[[#This Row],[Volumen de Combustible (gal)]]</f>
        <v>310.63199999999995</v>
      </c>
      <c r="V1472" s="92"/>
      <c r="W1472" s="92"/>
      <c r="X1472" s="92"/>
      <c r="Y1472" s="382">
        <f t="shared" si="441"/>
        <v>310.63199999999995</v>
      </c>
      <c r="Z1472" s="578"/>
      <c r="AA1472" s="382">
        <v>110.94</v>
      </c>
      <c r="AB1472" s="382">
        <f t="shared" si="442"/>
        <v>7.0308274743104384</v>
      </c>
      <c r="AC1472" s="382">
        <f t="shared" si="443"/>
        <v>0.7599999999999999</v>
      </c>
      <c r="AD1472" s="89"/>
    </row>
    <row r="1473" spans="3:30" ht="16" x14ac:dyDescent="0.2">
      <c r="C1473" s="176">
        <f t="shared" si="444"/>
        <v>1470</v>
      </c>
      <c r="D1473" s="146">
        <v>45972</v>
      </c>
      <c r="E1473" s="37">
        <v>45982</v>
      </c>
      <c r="F1473" s="65" t="s">
        <v>204</v>
      </c>
      <c r="G1473" s="11" t="str">
        <f ca="1">IF(AND(E1473&lt;&gt;"",E1473&lt;TODAY()),"Disponible",IFERROR(INDEX(Vehiculos[Estado Vehiculo],MATCH(F1473,Vehiculos[Placa Vehiculo],0)),""))</f>
        <v>Disponible</v>
      </c>
      <c r="H1473" s="34"/>
      <c r="I1473" s="34" t="s">
        <v>273</v>
      </c>
      <c r="J1473" s="34"/>
      <c r="K1473" s="39">
        <v>41965</v>
      </c>
      <c r="L1473" s="39">
        <v>42665</v>
      </c>
      <c r="M1473" s="15">
        <f t="shared" si="439"/>
        <v>700</v>
      </c>
      <c r="N1473" s="452">
        <v>300</v>
      </c>
      <c r="O1473" s="39"/>
      <c r="P1473" s="36">
        <v>0.76</v>
      </c>
      <c r="Q1473" s="16">
        <f t="shared" si="440"/>
        <v>532</v>
      </c>
      <c r="R1473" s="34" t="s">
        <v>273</v>
      </c>
      <c r="S1473" s="34" t="s">
        <v>102</v>
      </c>
      <c r="T1473" s="36">
        <v>2.8</v>
      </c>
      <c r="U1473" s="36">
        <f>Rutas[[#This Row],[Precio x Galón ($/gal)]]*Rutas[[#This Row],[Volumen de Combustible (gal)]]</f>
        <v>295.53999999999996</v>
      </c>
      <c r="V1473" s="36"/>
      <c r="W1473" s="36"/>
      <c r="X1473" s="36"/>
      <c r="Y1473" s="145">
        <f t="shared" si="441"/>
        <v>295.53999999999996</v>
      </c>
      <c r="Z1473" s="572"/>
      <c r="AA1473" s="12">
        <v>105.55</v>
      </c>
      <c r="AB1473" s="12">
        <f t="shared" si="442"/>
        <v>6.6319279962103268</v>
      </c>
      <c r="AC1473" s="12">
        <f t="shared" si="443"/>
        <v>0.76</v>
      </c>
      <c r="AD1473" s="34"/>
    </row>
    <row r="1474" spans="3:30" ht="16" x14ac:dyDescent="0.2">
      <c r="C1474" s="176">
        <f t="shared" si="444"/>
        <v>1471</v>
      </c>
      <c r="D1474" s="146"/>
      <c r="E1474" s="37"/>
      <c r="F1474" s="65"/>
      <c r="G1474" s="11" t="str">
        <f ca="1">IF(AND(E1474&lt;&gt;"",E1474&lt;TODAY()),"Disponible",IFERROR(INDEX(Vehiculos[Estado Vehiculo],MATCH(F1474,Vehiculos[Placa Vehiculo],0)),""))</f>
        <v/>
      </c>
      <c r="H1474" s="34"/>
      <c r="I1474" s="34"/>
      <c r="J1474" s="34"/>
      <c r="K1474" s="39"/>
      <c r="L1474" s="39"/>
      <c r="M1474" s="15">
        <f t="shared" si="439"/>
        <v>0</v>
      </c>
      <c r="N1474" s="15"/>
      <c r="O1474" s="39"/>
      <c r="P1474" s="36"/>
      <c r="Q1474" s="16">
        <f t="shared" si="440"/>
        <v>0</v>
      </c>
      <c r="R1474" s="34"/>
      <c r="S1474" s="34"/>
      <c r="T1474" s="36"/>
      <c r="U1474" s="36">
        <f>Rutas[[#This Row],[Precio x Galón ($/gal)]]*Rutas[[#This Row],[Volumen de Combustible (gal)]]</f>
        <v>0</v>
      </c>
      <c r="V1474" s="36"/>
      <c r="W1474" s="36"/>
      <c r="X1474" s="36"/>
      <c r="Y1474" s="145">
        <f t="shared" si="441"/>
        <v>0</v>
      </c>
      <c r="Z1474" s="572"/>
      <c r="AA1474" s="12"/>
      <c r="AB1474" s="12">
        <f t="shared" si="442"/>
        <v>0</v>
      </c>
      <c r="AC1474" s="12">
        <f t="shared" si="443"/>
        <v>0</v>
      </c>
      <c r="AD1474" s="34"/>
    </row>
    <row r="1475" spans="3:30" ht="16" x14ac:dyDescent="0.2">
      <c r="C1475" s="176">
        <f t="shared" si="444"/>
        <v>1472</v>
      </c>
      <c r="D1475" s="146"/>
      <c r="E1475" s="37"/>
      <c r="F1475" s="65"/>
      <c r="G1475" s="11" t="str">
        <f ca="1">IF(AND(E1475&lt;&gt;"",E1475&lt;TODAY()),"Disponible",IFERROR(INDEX(Vehiculos[Estado Vehiculo],MATCH(F1475,Vehiculos[Placa Vehiculo],0)),""))</f>
        <v/>
      </c>
      <c r="H1475" s="34"/>
      <c r="I1475" s="34"/>
      <c r="J1475" s="34"/>
      <c r="K1475" s="39"/>
      <c r="L1475" s="39"/>
      <c r="M1475" s="15">
        <f t="shared" si="439"/>
        <v>0</v>
      </c>
      <c r="N1475" s="15"/>
      <c r="O1475" s="39"/>
      <c r="P1475" s="36"/>
      <c r="Q1475" s="16">
        <f t="shared" si="440"/>
        <v>0</v>
      </c>
      <c r="R1475" s="34"/>
      <c r="S1475" s="34"/>
      <c r="T1475" s="36"/>
      <c r="U1475" s="36">
        <f>Rutas[[#This Row],[Precio x Galón ($/gal)]]*Rutas[[#This Row],[Volumen de Combustible (gal)]]</f>
        <v>0</v>
      </c>
      <c r="V1475" s="36"/>
      <c r="W1475" s="36"/>
      <c r="X1475" s="36"/>
      <c r="Y1475" s="145">
        <f t="shared" si="441"/>
        <v>0</v>
      </c>
      <c r="Z1475" s="572"/>
      <c r="AA1475" s="12"/>
      <c r="AB1475" s="12">
        <f t="shared" si="442"/>
        <v>0</v>
      </c>
      <c r="AC1475" s="12">
        <f t="shared" si="443"/>
        <v>0</v>
      </c>
      <c r="AD1475" s="34"/>
    </row>
    <row r="1476" spans="3:30" ht="16" x14ac:dyDescent="0.2">
      <c r="C1476" s="176">
        <f t="shared" ref="C1476:C1539" si="465">ROW(A1473)</f>
        <v>1473</v>
      </c>
      <c r="D1476" s="90">
        <v>45962</v>
      </c>
      <c r="E1476" s="90">
        <v>45963</v>
      </c>
      <c r="F1476" s="68" t="s">
        <v>211</v>
      </c>
      <c r="G1476" s="379" t="str">
        <f ca="1">IF(AND(E1476&lt;&gt;"",E1476&lt;TODAY()),"Disponible",IFERROR(INDEX(Vehiculos[Estado Vehiculo],MATCH(F1476,Vehiculos[Placa Vehiculo],0)),""))</f>
        <v>Disponible</v>
      </c>
      <c r="H1476" s="89"/>
      <c r="I1476" s="89" t="s">
        <v>273</v>
      </c>
      <c r="J1476" s="89"/>
      <c r="K1476" s="380">
        <v>57606</v>
      </c>
      <c r="L1476" s="380">
        <v>58356</v>
      </c>
      <c r="M1476" s="381">
        <f t="shared" ref="M1476:M1531" si="466">L1476-K1476</f>
        <v>750</v>
      </c>
      <c r="N1476" s="381"/>
      <c r="O1476" s="380"/>
      <c r="P1476" s="92">
        <v>0.76</v>
      </c>
      <c r="Q1476" s="382">
        <f t="shared" ref="Q1476:Q1531" si="467">M1476*P1476</f>
        <v>570</v>
      </c>
      <c r="R1476" s="89" t="s">
        <v>273</v>
      </c>
      <c r="S1476" s="89" t="s">
        <v>102</v>
      </c>
      <c r="T1476" s="92">
        <v>2.8</v>
      </c>
      <c r="U1476" s="92">
        <f>Rutas[[#This Row],[Precio x Galón ($/gal)]]*Rutas[[#This Row],[Volumen de Combustible (gal)]]</f>
        <v>380.072</v>
      </c>
      <c r="V1476" s="92"/>
      <c r="W1476" s="92"/>
      <c r="X1476" s="92"/>
      <c r="Y1476" s="382">
        <f t="shared" ref="Y1476:Y1531" si="468">U1476+SUM(V1476:X1476)</f>
        <v>380.072</v>
      </c>
      <c r="Z1476" s="578"/>
      <c r="AA1476" s="382">
        <v>135.74</v>
      </c>
      <c r="AB1476" s="382">
        <f t="shared" ref="AB1476:AB1531" si="469">IFERROR(M1476/AA1476,0)</f>
        <v>5.5252688964196253</v>
      </c>
      <c r="AC1476" s="382">
        <f t="shared" ref="AC1476:AC1531" si="470">IFERROR(Q1476/M1476,0)</f>
        <v>0.76</v>
      </c>
      <c r="AD1476" s="89"/>
    </row>
    <row r="1477" spans="3:30" ht="16" x14ac:dyDescent="0.2">
      <c r="C1477" s="176">
        <f t="shared" si="465"/>
        <v>1474</v>
      </c>
      <c r="D1477" s="146">
        <v>45963</v>
      </c>
      <c r="E1477" s="37">
        <v>45973</v>
      </c>
      <c r="F1477" s="65" t="s">
        <v>211</v>
      </c>
      <c r="G1477" s="11" t="str">
        <f ca="1">IF(AND(E1477&lt;&gt;"",E1477&lt;TODAY()),"Disponible",IFERROR(INDEX(Vehiculos[Estado Vehiculo],MATCH(F1477,Vehiculos[Placa Vehiculo],0)),""))</f>
        <v>Disponible</v>
      </c>
      <c r="H1477" s="34"/>
      <c r="I1477" s="34" t="s">
        <v>273</v>
      </c>
      <c r="J1477" s="34"/>
      <c r="K1477" s="39">
        <v>58356</v>
      </c>
      <c r="L1477" s="39">
        <v>60020</v>
      </c>
      <c r="M1477" s="15">
        <f t="shared" si="466"/>
        <v>1664</v>
      </c>
      <c r="N1477" s="15"/>
      <c r="O1477" s="39"/>
      <c r="P1477" s="36">
        <v>0.76</v>
      </c>
      <c r="Q1477" s="16">
        <f t="shared" si="467"/>
        <v>1264.6400000000001</v>
      </c>
      <c r="R1477" s="34" t="s">
        <v>273</v>
      </c>
      <c r="S1477" s="34" t="s">
        <v>102</v>
      </c>
      <c r="T1477" s="36">
        <v>2.8</v>
      </c>
      <c r="U1477" s="36">
        <f>Rutas[[#This Row],[Precio x Galón ($/gal)]]*Rutas[[#This Row],[Volumen de Combustible (gal)]]</f>
        <v>330.09199999999998</v>
      </c>
      <c r="V1477" s="36"/>
      <c r="W1477" s="36"/>
      <c r="X1477" s="36"/>
      <c r="Y1477" s="145">
        <f t="shared" si="468"/>
        <v>330.09199999999998</v>
      </c>
      <c r="Z1477" s="572"/>
      <c r="AA1477" s="12">
        <v>117.89</v>
      </c>
      <c r="AB1477" s="12">
        <f t="shared" si="469"/>
        <v>14.114852828908305</v>
      </c>
      <c r="AC1477" s="12">
        <f t="shared" si="470"/>
        <v>0.76</v>
      </c>
      <c r="AD1477" s="34"/>
    </row>
    <row r="1478" spans="3:30" ht="16" x14ac:dyDescent="0.2">
      <c r="C1478" s="176">
        <f t="shared" si="465"/>
        <v>1475</v>
      </c>
      <c r="D1478" s="146">
        <v>45973</v>
      </c>
      <c r="E1478" s="37">
        <v>45978</v>
      </c>
      <c r="F1478" s="65" t="s">
        <v>211</v>
      </c>
      <c r="G1478" s="11" t="str">
        <f ca="1">IF(AND(E1478&lt;&gt;"",E1478&lt;TODAY()),"Disponible",IFERROR(INDEX(Vehiculos[Estado Vehiculo],MATCH(F1478,Vehiculos[Placa Vehiculo],0)),""))</f>
        <v>Disponible</v>
      </c>
      <c r="H1478" s="34"/>
      <c r="I1478" s="34" t="s">
        <v>273</v>
      </c>
      <c r="J1478" s="34"/>
      <c r="K1478" s="39">
        <v>60020</v>
      </c>
      <c r="L1478" s="39">
        <v>60720</v>
      </c>
      <c r="M1478" s="15">
        <f t="shared" si="466"/>
        <v>700</v>
      </c>
      <c r="N1478" s="15"/>
      <c r="O1478" s="39"/>
      <c r="P1478" s="36">
        <v>0.76</v>
      </c>
      <c r="Q1478" s="16">
        <f t="shared" si="467"/>
        <v>532</v>
      </c>
      <c r="R1478" s="34" t="s">
        <v>339</v>
      </c>
      <c r="S1478" s="34" t="s">
        <v>102</v>
      </c>
      <c r="T1478" s="36">
        <v>2.8</v>
      </c>
      <c r="U1478" s="36">
        <f>Rutas[[#This Row],[Precio x Galón ($/gal)]]*Rutas[[#This Row],[Volumen de Combustible (gal)]]</f>
        <v>297.44400000000002</v>
      </c>
      <c r="V1478" s="36"/>
      <c r="W1478" s="36"/>
      <c r="X1478" s="36"/>
      <c r="Y1478" s="145">
        <f t="shared" si="468"/>
        <v>297.44400000000002</v>
      </c>
      <c r="Z1478" s="572"/>
      <c r="AA1478" s="12">
        <v>106.23</v>
      </c>
      <c r="AB1478" s="12">
        <f t="shared" si="469"/>
        <v>6.5894756660077185</v>
      </c>
      <c r="AC1478" s="12">
        <f t="shared" si="470"/>
        <v>0.76</v>
      </c>
      <c r="AD1478" s="34"/>
    </row>
    <row r="1479" spans="3:30" ht="16" x14ac:dyDescent="0.2">
      <c r="C1479" s="176">
        <f t="shared" si="465"/>
        <v>1476</v>
      </c>
      <c r="D1479" s="146">
        <v>45978</v>
      </c>
      <c r="E1479" s="37">
        <v>45980</v>
      </c>
      <c r="F1479" s="65" t="s">
        <v>211</v>
      </c>
      <c r="G1479" s="11" t="str">
        <f ca="1">IF(AND(E1479&lt;&gt;"",E1479&lt;TODAY()),"Disponible",IFERROR(INDEX(Vehiculos[Estado Vehiculo],MATCH(F1479,Vehiculos[Placa Vehiculo],0)),""))</f>
        <v>Disponible</v>
      </c>
      <c r="H1479" s="34"/>
      <c r="I1479" s="34" t="s">
        <v>273</v>
      </c>
      <c r="J1479" s="34"/>
      <c r="K1479" s="39">
        <v>60720</v>
      </c>
      <c r="L1479" s="39">
        <v>61285</v>
      </c>
      <c r="M1479" s="15">
        <f t="shared" si="466"/>
        <v>565</v>
      </c>
      <c r="N1479" s="15"/>
      <c r="O1479" s="39"/>
      <c r="P1479" s="36">
        <v>0.76</v>
      </c>
      <c r="Q1479" s="16">
        <f t="shared" si="467"/>
        <v>429.4</v>
      </c>
      <c r="R1479" s="34" t="s">
        <v>273</v>
      </c>
      <c r="S1479" s="34" t="s">
        <v>102</v>
      </c>
      <c r="T1479" s="36">
        <v>2.8</v>
      </c>
      <c r="U1479" s="36">
        <f>Rutas[[#This Row],[Precio x Galón ($/gal)]]*Rutas[[#This Row],[Volumen de Combustible (gal)]]</f>
        <v>216.57999999999998</v>
      </c>
      <c r="V1479" s="36"/>
      <c r="W1479" s="36"/>
      <c r="X1479" s="36"/>
      <c r="Y1479" s="145">
        <f t="shared" si="468"/>
        <v>216.57999999999998</v>
      </c>
      <c r="Z1479" s="572"/>
      <c r="AA1479" s="12">
        <v>77.349999999999994</v>
      </c>
      <c r="AB1479" s="12">
        <f t="shared" si="469"/>
        <v>7.3044602456367169</v>
      </c>
      <c r="AC1479" s="12">
        <f t="shared" si="470"/>
        <v>0.76</v>
      </c>
      <c r="AD1479" s="34"/>
    </row>
    <row r="1480" spans="3:30" ht="16" x14ac:dyDescent="0.2">
      <c r="C1480" s="176">
        <f t="shared" si="465"/>
        <v>1477</v>
      </c>
      <c r="D1480" s="454">
        <v>45980</v>
      </c>
      <c r="E1480" s="37">
        <v>45985</v>
      </c>
      <c r="F1480" s="65" t="s">
        <v>211</v>
      </c>
      <c r="G1480" s="11" t="str">
        <f ca="1">IF(AND(E1480&lt;&gt;"",E1480&lt;TODAY()),"Disponible",IFERROR(INDEX(Vehiculos[Estado Vehiculo],MATCH(F1480,Vehiculos[Placa Vehiculo],0)),""))</f>
        <v>Disponible</v>
      </c>
      <c r="H1480" s="34"/>
      <c r="I1480" s="34" t="s">
        <v>273</v>
      </c>
      <c r="J1480" s="34"/>
      <c r="K1480" s="39">
        <v>61285</v>
      </c>
      <c r="L1480" s="39">
        <v>62039</v>
      </c>
      <c r="M1480" s="15">
        <f>L1480-K1480</f>
        <v>754</v>
      </c>
      <c r="N1480" s="15"/>
      <c r="O1480" s="39"/>
      <c r="P1480" s="36">
        <v>0.76</v>
      </c>
      <c r="Q1480" s="16">
        <f>M1480*P1480</f>
        <v>573.04</v>
      </c>
      <c r="R1480" s="34" t="s">
        <v>273</v>
      </c>
      <c r="S1480" s="34" t="s">
        <v>102</v>
      </c>
      <c r="T1480" s="36">
        <v>2.8</v>
      </c>
      <c r="U1480" s="36">
        <f>Rutas[[#This Row],[Precio x Galón ($/gal)]]*Rutas[[#This Row],[Volumen de Combustible (gal)]]</f>
        <v>274.37199999999996</v>
      </c>
      <c r="V1480" s="36"/>
      <c r="W1480" s="36"/>
      <c r="X1480" s="36"/>
      <c r="Y1480" s="145">
        <f>U1480+SUM(V1480:X1480)</f>
        <v>274.37199999999996</v>
      </c>
      <c r="Z1480" s="567"/>
      <c r="AA1480" s="12">
        <v>97.99</v>
      </c>
      <c r="AB1480" s="12">
        <f>IFERROR(M1480/AA1480,0)</f>
        <v>7.6946627206857849</v>
      </c>
      <c r="AC1480" s="12">
        <f>IFERROR(Q1480/M1480,0)</f>
        <v>0.7599999999999999</v>
      </c>
      <c r="AD1480" s="34"/>
    </row>
    <row r="1481" spans="3:30" ht="16" x14ac:dyDescent="0.2">
      <c r="C1481" s="176">
        <f t="shared" si="465"/>
        <v>1478</v>
      </c>
      <c r="D1481" s="454">
        <v>45985</v>
      </c>
      <c r="E1481" s="37">
        <v>45991</v>
      </c>
      <c r="F1481" s="65" t="s">
        <v>211</v>
      </c>
      <c r="G1481" s="11" t="str">
        <f ca="1">IF(AND(E1481&lt;&gt;"",E1481&lt;TODAY()),"Disponible",IFERROR(INDEX(Vehiculos[Estado Vehiculo],MATCH(F1481,Vehiculos[Placa Vehiculo],0)),""))</f>
        <v>Disponible</v>
      </c>
      <c r="H1481" s="34" t="s">
        <v>259</v>
      </c>
      <c r="I1481" s="34" t="s">
        <v>273</v>
      </c>
      <c r="J1481" s="34"/>
      <c r="K1481" s="39">
        <v>62039</v>
      </c>
      <c r="L1481" s="39">
        <v>62768</v>
      </c>
      <c r="M1481" s="15">
        <f>L1481-K1481</f>
        <v>729</v>
      </c>
      <c r="N1481" s="452">
        <v>249</v>
      </c>
      <c r="O1481" s="39"/>
      <c r="P1481" s="36">
        <v>0.76</v>
      </c>
      <c r="Q1481" s="16">
        <f>M1481*P1481</f>
        <v>554.04</v>
      </c>
      <c r="R1481" s="34" t="s">
        <v>339</v>
      </c>
      <c r="S1481" s="34" t="s">
        <v>102</v>
      </c>
      <c r="T1481" s="36">
        <v>2.8</v>
      </c>
      <c r="U1481" s="36">
        <f>Rutas[[#This Row],[Precio x Galón ($/gal)]]*Rutas[[#This Row],[Volumen de Combustible (gal)]]</f>
        <v>370.18799999999999</v>
      </c>
      <c r="V1481" s="36"/>
      <c r="W1481" s="36"/>
      <c r="X1481" s="36"/>
      <c r="Y1481" s="145">
        <f>U1481+SUM(V1481:X1481)</f>
        <v>370.18799999999999</v>
      </c>
      <c r="Z1481" s="567"/>
      <c r="AA1481" s="12">
        <v>132.21</v>
      </c>
      <c r="AB1481" s="12">
        <f>IFERROR(M1481/AA1481,0)</f>
        <v>5.513955071477195</v>
      </c>
      <c r="AC1481" s="12">
        <f>IFERROR(Q1481/M1481,0)</f>
        <v>0.7599999999999999</v>
      </c>
      <c r="AD1481" s="34"/>
    </row>
    <row r="1482" spans="3:30" ht="16" x14ac:dyDescent="0.2">
      <c r="C1482" s="176">
        <f t="shared" si="465"/>
        <v>1479</v>
      </c>
      <c r="D1482" s="146"/>
      <c r="E1482" s="37"/>
      <c r="F1482" s="65"/>
      <c r="G1482" s="11" t="str">
        <f ca="1">IF(AND(E1482&lt;&gt;"",E1482&lt;TODAY()),"Disponible",IFERROR(INDEX(Vehiculos[Estado Vehiculo],MATCH(F1482,Vehiculos[Placa Vehiculo],0)),""))</f>
        <v/>
      </c>
      <c r="H1482" s="34"/>
      <c r="I1482" s="34"/>
      <c r="J1482" s="34"/>
      <c r="K1482" s="39"/>
      <c r="L1482" s="39"/>
      <c r="M1482" s="15">
        <f t="shared" si="466"/>
        <v>0</v>
      </c>
      <c r="N1482" s="15"/>
      <c r="O1482" s="39"/>
      <c r="P1482" s="36"/>
      <c r="Q1482" s="16">
        <f t="shared" si="467"/>
        <v>0</v>
      </c>
      <c r="R1482" s="34"/>
      <c r="S1482" s="34"/>
      <c r="T1482" s="36"/>
      <c r="U1482" s="36">
        <f>Rutas[[#This Row],[Precio x Galón ($/gal)]]*Rutas[[#This Row],[Volumen de Combustible (gal)]]</f>
        <v>0</v>
      </c>
      <c r="V1482" s="36"/>
      <c r="W1482" s="36"/>
      <c r="X1482" s="36"/>
      <c r="Y1482" s="145">
        <f t="shared" si="468"/>
        <v>0</v>
      </c>
      <c r="Z1482" s="572"/>
      <c r="AA1482" s="12"/>
      <c r="AB1482" s="12">
        <f t="shared" si="469"/>
        <v>0</v>
      </c>
      <c r="AC1482" s="12">
        <f t="shared" si="470"/>
        <v>0</v>
      </c>
      <c r="AD1482" s="34"/>
    </row>
    <row r="1483" spans="3:30" ht="16" x14ac:dyDescent="0.2">
      <c r="C1483" s="176">
        <f t="shared" si="465"/>
        <v>1480</v>
      </c>
      <c r="D1483" s="90">
        <v>45962</v>
      </c>
      <c r="E1483" s="90">
        <v>45963</v>
      </c>
      <c r="F1483" s="68" t="s">
        <v>208</v>
      </c>
      <c r="G1483" s="379" t="str">
        <f ca="1">IF(AND(E1483&lt;&gt;"",E1483&lt;TODAY()),"Disponible",IFERROR(INDEX(Vehiculos[Estado Vehiculo],MATCH(F1483,Vehiculos[Placa Vehiculo],0)),""))</f>
        <v>Disponible</v>
      </c>
      <c r="H1483" s="89"/>
      <c r="I1483" s="89" t="s">
        <v>273</v>
      </c>
      <c r="J1483" s="89"/>
      <c r="K1483" s="380">
        <v>121276</v>
      </c>
      <c r="L1483" s="380">
        <v>121837</v>
      </c>
      <c r="M1483" s="381">
        <f t="shared" si="466"/>
        <v>561</v>
      </c>
      <c r="N1483" s="381"/>
      <c r="O1483" s="380"/>
      <c r="P1483" s="92">
        <v>0.76</v>
      </c>
      <c r="Q1483" s="382">
        <f t="shared" si="467"/>
        <v>426.36</v>
      </c>
      <c r="R1483" s="89" t="s">
        <v>273</v>
      </c>
      <c r="S1483" s="89" t="s">
        <v>102</v>
      </c>
      <c r="T1483" s="92">
        <v>2.8</v>
      </c>
      <c r="U1483" s="92">
        <f>Rutas[[#This Row],[Precio x Galón ($/gal)]]*Rutas[[#This Row],[Volumen de Combustible (gal)]]</f>
        <v>221.98399999999998</v>
      </c>
      <c r="V1483" s="92"/>
      <c r="W1483" s="92"/>
      <c r="X1483" s="92"/>
      <c r="Y1483" s="382">
        <f t="shared" si="468"/>
        <v>221.98399999999998</v>
      </c>
      <c r="Z1483" s="578"/>
      <c r="AA1483" s="382">
        <v>79.28</v>
      </c>
      <c r="AB1483" s="382">
        <f t="shared" si="469"/>
        <v>7.0761856710393545</v>
      </c>
      <c r="AC1483" s="382">
        <f t="shared" si="470"/>
        <v>0.76</v>
      </c>
      <c r="AD1483" s="89"/>
    </row>
    <row r="1484" spans="3:30" ht="16" x14ac:dyDescent="0.2">
      <c r="C1484" s="176">
        <f t="shared" si="465"/>
        <v>1481</v>
      </c>
      <c r="D1484" s="146">
        <v>45963</v>
      </c>
      <c r="E1484" s="37">
        <v>45966</v>
      </c>
      <c r="F1484" s="65" t="s">
        <v>208</v>
      </c>
      <c r="G1484" s="11" t="str">
        <f ca="1">IF(AND(E1484&lt;&gt;"",E1484&lt;TODAY()),"Disponible",IFERROR(INDEX(Vehiculos[Estado Vehiculo],MATCH(F1484,Vehiculos[Placa Vehiculo],0)),""))</f>
        <v>Disponible</v>
      </c>
      <c r="H1484" s="34"/>
      <c r="I1484" s="34" t="s">
        <v>273</v>
      </c>
      <c r="J1484" s="34"/>
      <c r="K1484" s="39">
        <v>121837</v>
      </c>
      <c r="L1484" s="39">
        <v>122573</v>
      </c>
      <c r="M1484" s="15">
        <f t="shared" si="466"/>
        <v>736</v>
      </c>
      <c r="N1484" s="15"/>
      <c r="O1484" s="39"/>
      <c r="P1484" s="36">
        <v>0.76</v>
      </c>
      <c r="Q1484" s="16">
        <f t="shared" si="467"/>
        <v>559.36</v>
      </c>
      <c r="R1484" s="34" t="s">
        <v>273</v>
      </c>
      <c r="S1484" s="34" t="s">
        <v>102</v>
      </c>
      <c r="T1484" s="36">
        <v>2.8</v>
      </c>
      <c r="U1484" s="36">
        <f>Rutas[[#This Row],[Precio x Galón ($/gal)]]*Rutas[[#This Row],[Volumen de Combustible (gal)]]</f>
        <v>301.81200000000001</v>
      </c>
      <c r="V1484" s="36"/>
      <c r="W1484" s="36"/>
      <c r="X1484" s="36"/>
      <c r="Y1484" s="145">
        <f t="shared" si="468"/>
        <v>301.81200000000001</v>
      </c>
      <c r="Z1484" s="572"/>
      <c r="AA1484" s="12">
        <v>107.79</v>
      </c>
      <c r="AB1484" s="12">
        <f t="shared" si="469"/>
        <v>6.8280916597086927</v>
      </c>
      <c r="AC1484" s="12">
        <f t="shared" si="470"/>
        <v>0.76</v>
      </c>
      <c r="AD1484" s="34"/>
    </row>
    <row r="1485" spans="3:30" ht="16" x14ac:dyDescent="0.2">
      <c r="C1485" s="176">
        <f t="shared" si="465"/>
        <v>1482</v>
      </c>
      <c r="D1485" s="146">
        <v>45966</v>
      </c>
      <c r="E1485" s="37">
        <v>45969</v>
      </c>
      <c r="F1485" s="65" t="s">
        <v>208</v>
      </c>
      <c r="G1485" s="11" t="str">
        <f ca="1">IF(AND(E1485&lt;&gt;"",E1485&lt;TODAY()),"Disponible",IFERROR(INDEX(Vehiculos[Estado Vehiculo],MATCH(F1485,Vehiculos[Placa Vehiculo],0)),""))</f>
        <v>Disponible</v>
      </c>
      <c r="H1485" s="34"/>
      <c r="I1485" s="34" t="s">
        <v>273</v>
      </c>
      <c r="J1485" s="34"/>
      <c r="K1485" s="39">
        <v>122573</v>
      </c>
      <c r="L1485" s="39">
        <v>123110</v>
      </c>
      <c r="M1485" s="15">
        <f t="shared" si="466"/>
        <v>537</v>
      </c>
      <c r="N1485" s="15"/>
      <c r="O1485" s="39"/>
      <c r="P1485" s="36">
        <v>0.76</v>
      </c>
      <c r="Q1485" s="16">
        <f t="shared" si="467"/>
        <v>408.12</v>
      </c>
      <c r="R1485" s="34" t="s">
        <v>273</v>
      </c>
      <c r="S1485" s="34" t="s">
        <v>102</v>
      </c>
      <c r="T1485" s="36">
        <v>2.8</v>
      </c>
      <c r="U1485" s="36">
        <f>Rutas[[#This Row],[Precio x Galón ($/gal)]]*Rutas[[#This Row],[Volumen de Combustible (gal)]]</f>
        <v>244.52399999999997</v>
      </c>
      <c r="V1485" s="36"/>
      <c r="W1485" s="36"/>
      <c r="X1485" s="36"/>
      <c r="Y1485" s="145">
        <f t="shared" si="468"/>
        <v>244.52399999999997</v>
      </c>
      <c r="Z1485" s="572"/>
      <c r="AA1485" s="12">
        <v>87.33</v>
      </c>
      <c r="AB1485" s="12">
        <f t="shared" si="469"/>
        <v>6.1490896599106835</v>
      </c>
      <c r="AC1485" s="12">
        <f t="shared" si="470"/>
        <v>0.76</v>
      </c>
      <c r="AD1485" s="34"/>
    </row>
    <row r="1486" spans="3:30" ht="16" x14ac:dyDescent="0.2">
      <c r="C1486" s="176">
        <f t="shared" si="465"/>
        <v>1483</v>
      </c>
      <c r="D1486" s="146">
        <v>45969</v>
      </c>
      <c r="E1486" s="37">
        <v>45972</v>
      </c>
      <c r="F1486" s="65" t="s">
        <v>208</v>
      </c>
      <c r="G1486" s="11" t="str">
        <f ca="1">IF(AND(E1486&lt;&gt;"",E1486&lt;TODAY()),"Disponible",IFERROR(INDEX(Vehiculos[Estado Vehiculo],MATCH(F1486,Vehiculos[Placa Vehiculo],0)),""))</f>
        <v>Disponible</v>
      </c>
      <c r="H1486" s="34" t="s">
        <v>426</v>
      </c>
      <c r="I1486" s="34" t="s">
        <v>273</v>
      </c>
      <c r="J1486" s="34"/>
      <c r="K1486" s="39">
        <v>123110</v>
      </c>
      <c r="L1486" s="39">
        <v>123601</v>
      </c>
      <c r="M1486" s="15">
        <f t="shared" si="466"/>
        <v>491</v>
      </c>
      <c r="N1486" s="15"/>
      <c r="O1486" s="39"/>
      <c r="P1486" s="36">
        <v>0.76</v>
      </c>
      <c r="Q1486" s="16">
        <f t="shared" si="467"/>
        <v>373.16</v>
      </c>
      <c r="R1486" s="34" t="s">
        <v>339</v>
      </c>
      <c r="S1486" s="34" t="s">
        <v>102</v>
      </c>
      <c r="T1486" s="36">
        <v>2.8</v>
      </c>
      <c r="U1486" s="36">
        <f>Rutas[[#This Row],[Precio x Galón ($/gal)]]*Rutas[[#This Row],[Volumen de Combustible (gal)]]</f>
        <v>229.99199999999999</v>
      </c>
      <c r="V1486" s="36"/>
      <c r="W1486" s="36"/>
      <c r="X1486" s="36"/>
      <c r="Y1486" s="145">
        <f t="shared" si="468"/>
        <v>229.99199999999999</v>
      </c>
      <c r="Z1486" s="572"/>
      <c r="AA1486" s="12">
        <v>82.14</v>
      </c>
      <c r="AB1486" s="12">
        <f t="shared" si="469"/>
        <v>5.977599220842464</v>
      </c>
      <c r="AC1486" s="12">
        <f t="shared" si="470"/>
        <v>0.76</v>
      </c>
      <c r="AD1486" s="34"/>
    </row>
    <row r="1487" spans="3:30" ht="16" x14ac:dyDescent="0.2">
      <c r="C1487" s="176">
        <f t="shared" si="465"/>
        <v>1484</v>
      </c>
      <c r="D1487" s="146">
        <v>45972</v>
      </c>
      <c r="E1487" s="37">
        <v>45975</v>
      </c>
      <c r="F1487" s="65" t="s">
        <v>208</v>
      </c>
      <c r="G1487" s="11" t="str">
        <f ca="1">IF(AND(E1487&lt;&gt;"",E1487&lt;TODAY()),"Disponible",IFERROR(INDEX(Vehiculos[Estado Vehiculo],MATCH(F1487,Vehiculos[Placa Vehiculo],0)),""))</f>
        <v>Disponible</v>
      </c>
      <c r="H1487" s="34"/>
      <c r="I1487" s="34" t="s">
        <v>273</v>
      </c>
      <c r="J1487" s="34"/>
      <c r="K1487" s="39">
        <v>123601</v>
      </c>
      <c r="L1487" s="39">
        <v>124137</v>
      </c>
      <c r="M1487" s="15">
        <f t="shared" si="466"/>
        <v>536</v>
      </c>
      <c r="N1487" s="15"/>
      <c r="O1487" s="39"/>
      <c r="P1487" s="36">
        <v>0.76</v>
      </c>
      <c r="Q1487" s="16">
        <f t="shared" si="467"/>
        <v>407.36</v>
      </c>
      <c r="R1487" s="34" t="s">
        <v>273</v>
      </c>
      <c r="S1487" s="34" t="s">
        <v>102</v>
      </c>
      <c r="T1487" s="36">
        <v>2.8</v>
      </c>
      <c r="U1487" s="36">
        <f>Rutas[[#This Row],[Precio x Galón ($/gal)]]*Rutas[[#This Row],[Volumen de Combustible (gal)]]</f>
        <v>194.404</v>
      </c>
      <c r="V1487" s="36"/>
      <c r="W1487" s="36"/>
      <c r="X1487" s="36"/>
      <c r="Y1487" s="145">
        <f t="shared" si="468"/>
        <v>194.404</v>
      </c>
      <c r="Z1487" s="572"/>
      <c r="AA1487" s="12">
        <v>69.430000000000007</v>
      </c>
      <c r="AB1487" s="12">
        <f t="shared" si="469"/>
        <v>7.7200057611983288</v>
      </c>
      <c r="AC1487" s="12">
        <f t="shared" si="470"/>
        <v>0.76</v>
      </c>
      <c r="AD1487" s="34"/>
    </row>
    <row r="1488" spans="3:30" ht="16" x14ac:dyDescent="0.2">
      <c r="C1488" s="176">
        <f t="shared" si="465"/>
        <v>1485</v>
      </c>
      <c r="D1488" s="454">
        <v>45975</v>
      </c>
      <c r="E1488" s="37">
        <v>45976</v>
      </c>
      <c r="F1488" s="65" t="s">
        <v>208</v>
      </c>
      <c r="G1488" s="11" t="str">
        <f ca="1">IF(AND(E1488&lt;&gt;"",E1488&lt;TODAY()),"Disponible",IFERROR(INDEX(Vehiculos[Estado Vehiculo],MATCH(F1488,Vehiculos[Placa Vehiculo],0)),""))</f>
        <v>Disponible</v>
      </c>
      <c r="H1488" s="34" t="s">
        <v>426</v>
      </c>
      <c r="I1488" s="34" t="s">
        <v>273</v>
      </c>
      <c r="J1488" s="34"/>
      <c r="K1488" s="39">
        <v>124137</v>
      </c>
      <c r="L1488" s="39">
        <v>124236</v>
      </c>
      <c r="M1488" s="15">
        <f t="shared" ref="M1488:M1492" si="471">L1488-K1488</f>
        <v>99</v>
      </c>
      <c r="N1488" s="15"/>
      <c r="O1488" s="39"/>
      <c r="P1488" s="36">
        <v>0.76</v>
      </c>
      <c r="Q1488" s="16">
        <f t="shared" ref="Q1488:Q1492" si="472">M1488*P1488</f>
        <v>75.239999999999995</v>
      </c>
      <c r="R1488" s="34" t="s">
        <v>339</v>
      </c>
      <c r="S1488" s="34" t="s">
        <v>102</v>
      </c>
      <c r="T1488" s="36">
        <v>2.8</v>
      </c>
      <c r="U1488" s="36">
        <f>Rutas[[#This Row],[Precio x Galón ($/gal)]]*Rutas[[#This Row],[Volumen de Combustible (gal)]]</f>
        <v>109.22799999999999</v>
      </c>
      <c r="V1488" s="36"/>
      <c r="W1488" s="36"/>
      <c r="X1488" s="36"/>
      <c r="Y1488" s="145">
        <f t="shared" ref="Y1488:Y1492" si="473">U1488+SUM(V1488:X1488)</f>
        <v>109.22799999999999</v>
      </c>
      <c r="Z1488" s="567"/>
      <c r="AA1488" s="12">
        <v>39.01</v>
      </c>
      <c r="AB1488" s="12">
        <f t="shared" ref="AB1488:AB1492" si="474">IFERROR(M1488/AA1488,0)</f>
        <v>2.5378108177390413</v>
      </c>
      <c r="AC1488" s="12">
        <f t="shared" ref="AC1488:AC1492" si="475">IFERROR(Q1488/M1488,0)</f>
        <v>0.7599999999999999</v>
      </c>
      <c r="AD1488" s="34"/>
    </row>
    <row r="1489" spans="3:30" ht="16" x14ac:dyDescent="0.2">
      <c r="C1489" s="176">
        <f t="shared" si="465"/>
        <v>1486</v>
      </c>
      <c r="D1489" s="454">
        <v>45976</v>
      </c>
      <c r="E1489" s="37">
        <v>45978</v>
      </c>
      <c r="F1489" s="65" t="s">
        <v>208</v>
      </c>
      <c r="G1489" s="11" t="str">
        <f ca="1">IF(AND(E1489&lt;&gt;"",E1489&lt;TODAY()),"Disponible",IFERROR(INDEX(Vehiculos[Estado Vehiculo],MATCH(F1489,Vehiculos[Placa Vehiculo],0)),""))</f>
        <v>Disponible</v>
      </c>
      <c r="H1489" s="34"/>
      <c r="I1489" s="34" t="s">
        <v>273</v>
      </c>
      <c r="J1489" s="34"/>
      <c r="K1489" s="39">
        <v>124236</v>
      </c>
      <c r="L1489" s="39">
        <v>124696</v>
      </c>
      <c r="M1489" s="15">
        <f t="shared" si="471"/>
        <v>460</v>
      </c>
      <c r="N1489" s="15"/>
      <c r="O1489" s="39"/>
      <c r="P1489" s="36">
        <v>0.76</v>
      </c>
      <c r="Q1489" s="16">
        <f t="shared" si="472"/>
        <v>349.6</v>
      </c>
      <c r="R1489" s="34" t="s">
        <v>273</v>
      </c>
      <c r="S1489" s="34" t="s">
        <v>102</v>
      </c>
      <c r="T1489" s="36">
        <v>2.8</v>
      </c>
      <c r="U1489" s="36">
        <f>Rutas[[#This Row],[Precio x Galón ($/gal)]]*Rutas[[#This Row],[Volumen de Combustible (gal)]]</f>
        <v>216.804</v>
      </c>
      <c r="V1489" s="36"/>
      <c r="W1489" s="36"/>
      <c r="X1489" s="36"/>
      <c r="Y1489" s="145">
        <f t="shared" si="473"/>
        <v>216.804</v>
      </c>
      <c r="Z1489" s="567"/>
      <c r="AA1489" s="12">
        <v>77.430000000000007</v>
      </c>
      <c r="AB1489" s="12">
        <f t="shared" si="474"/>
        <v>5.9408497998191914</v>
      </c>
      <c r="AC1489" s="12">
        <f t="shared" si="475"/>
        <v>0.76</v>
      </c>
      <c r="AD1489" s="34"/>
    </row>
    <row r="1490" spans="3:30" ht="16" x14ac:dyDescent="0.2">
      <c r="C1490" s="176">
        <f t="shared" si="465"/>
        <v>1487</v>
      </c>
      <c r="D1490" s="454">
        <v>45978</v>
      </c>
      <c r="E1490" s="37">
        <v>45981</v>
      </c>
      <c r="F1490" s="65" t="s">
        <v>208</v>
      </c>
      <c r="G1490" s="11" t="str">
        <f ca="1">IF(AND(E1490&lt;&gt;"",E1490&lt;TODAY()),"Disponible",IFERROR(INDEX(Vehiculos[Estado Vehiculo],MATCH(F1490,Vehiculos[Placa Vehiculo],0)),""))</f>
        <v>Disponible</v>
      </c>
      <c r="H1490" s="34"/>
      <c r="I1490" s="34" t="s">
        <v>273</v>
      </c>
      <c r="J1490" s="34"/>
      <c r="K1490" s="39">
        <v>124696</v>
      </c>
      <c r="L1490" s="39">
        <v>125203</v>
      </c>
      <c r="M1490" s="15">
        <f t="shared" si="471"/>
        <v>507</v>
      </c>
      <c r="N1490" s="15"/>
      <c r="O1490" s="39"/>
      <c r="P1490" s="36">
        <v>0.76</v>
      </c>
      <c r="Q1490" s="16">
        <f t="shared" si="472"/>
        <v>385.32</v>
      </c>
      <c r="R1490" s="34" t="s">
        <v>273</v>
      </c>
      <c r="S1490" s="34" t="s">
        <v>102</v>
      </c>
      <c r="T1490" s="36">
        <v>2.8</v>
      </c>
      <c r="U1490" s="36">
        <f>Rutas[[#This Row],[Precio x Galón ($/gal)]]*Rutas[[#This Row],[Volumen de Combustible (gal)]]</f>
        <v>210.7</v>
      </c>
      <c r="V1490" s="36"/>
      <c r="W1490" s="36"/>
      <c r="X1490" s="36"/>
      <c r="Y1490" s="145">
        <f t="shared" si="473"/>
        <v>210.7</v>
      </c>
      <c r="Z1490" s="567"/>
      <c r="AA1490" s="12">
        <v>75.25</v>
      </c>
      <c r="AB1490" s="12">
        <f t="shared" si="474"/>
        <v>6.7375415282392028</v>
      </c>
      <c r="AC1490" s="12">
        <f t="shared" si="475"/>
        <v>0.76</v>
      </c>
      <c r="AD1490" s="34"/>
    </row>
    <row r="1491" spans="3:30" ht="16" x14ac:dyDescent="0.2">
      <c r="C1491" s="176">
        <f t="shared" si="465"/>
        <v>1488</v>
      </c>
      <c r="D1491" s="454">
        <v>45981</v>
      </c>
      <c r="E1491" s="37">
        <v>45984</v>
      </c>
      <c r="F1491" s="65" t="s">
        <v>208</v>
      </c>
      <c r="G1491" s="11" t="str">
        <f ca="1">IF(AND(E1491&lt;&gt;"",E1491&lt;TODAY()),"Disponible",IFERROR(INDEX(Vehiculos[Estado Vehiculo],MATCH(F1491,Vehiculos[Placa Vehiculo],0)),""))</f>
        <v>Disponible</v>
      </c>
      <c r="H1491" s="34"/>
      <c r="I1491" s="34" t="s">
        <v>273</v>
      </c>
      <c r="J1491" s="34"/>
      <c r="K1491" s="39">
        <v>125203</v>
      </c>
      <c r="L1491" s="39">
        <v>125765</v>
      </c>
      <c r="M1491" s="15">
        <f t="shared" si="471"/>
        <v>562</v>
      </c>
      <c r="N1491" s="15"/>
      <c r="O1491" s="39"/>
      <c r="P1491" s="36">
        <v>0.76</v>
      </c>
      <c r="Q1491" s="16">
        <f t="shared" si="472"/>
        <v>427.12</v>
      </c>
      <c r="R1491" s="34" t="s">
        <v>273</v>
      </c>
      <c r="S1491" s="34" t="s">
        <v>102</v>
      </c>
      <c r="T1491" s="36">
        <v>2.8</v>
      </c>
      <c r="U1491" s="36">
        <f>Rutas[[#This Row],[Precio x Galón ($/gal)]]*Rutas[[#This Row],[Volumen de Combustible (gal)]]</f>
        <v>255.55599999999998</v>
      </c>
      <c r="V1491" s="36"/>
      <c r="W1491" s="36"/>
      <c r="X1491" s="36"/>
      <c r="Y1491" s="145">
        <f t="shared" si="473"/>
        <v>255.55599999999998</v>
      </c>
      <c r="Z1491" s="567"/>
      <c r="AA1491" s="12">
        <v>91.27</v>
      </c>
      <c r="AB1491" s="12">
        <f t="shared" si="474"/>
        <v>6.157554508600855</v>
      </c>
      <c r="AC1491" s="12">
        <f t="shared" si="475"/>
        <v>0.76</v>
      </c>
      <c r="AD1491" s="34"/>
    </row>
    <row r="1492" spans="3:30" ht="16" x14ac:dyDescent="0.2">
      <c r="C1492" s="176">
        <f t="shared" si="465"/>
        <v>1489</v>
      </c>
      <c r="D1492" s="454">
        <v>45984</v>
      </c>
      <c r="E1492" s="37">
        <v>45987</v>
      </c>
      <c r="F1492" s="65" t="s">
        <v>208</v>
      </c>
      <c r="G1492" s="11" t="str">
        <f ca="1">IF(AND(E1492&lt;&gt;"",E1492&lt;TODAY()),"Disponible",IFERROR(INDEX(Vehiculos[Estado Vehiculo],MATCH(F1492,Vehiculos[Placa Vehiculo],0)),""))</f>
        <v>Disponible</v>
      </c>
      <c r="H1492" s="34"/>
      <c r="I1492" s="34" t="s">
        <v>273</v>
      </c>
      <c r="J1492" s="34"/>
      <c r="K1492" s="39">
        <v>125765</v>
      </c>
      <c r="L1492" s="39">
        <v>126316</v>
      </c>
      <c r="M1492" s="15">
        <f t="shared" si="471"/>
        <v>551</v>
      </c>
      <c r="N1492" s="452">
        <v>560</v>
      </c>
      <c r="O1492" s="39"/>
      <c r="P1492" s="36">
        <v>0.76</v>
      </c>
      <c r="Q1492" s="16">
        <f t="shared" si="472"/>
        <v>418.76</v>
      </c>
      <c r="R1492" s="34" t="s">
        <v>273</v>
      </c>
      <c r="S1492" s="34" t="s">
        <v>102</v>
      </c>
      <c r="T1492" s="36">
        <v>2.8</v>
      </c>
      <c r="U1492" s="36">
        <f>Rutas[[#This Row],[Precio x Galón ($/gal)]]*Rutas[[#This Row],[Volumen de Combustible (gal)]]</f>
        <v>251.85999999999999</v>
      </c>
      <c r="V1492" s="36"/>
      <c r="W1492" s="36"/>
      <c r="X1492" s="36"/>
      <c r="Y1492" s="145">
        <f t="shared" si="473"/>
        <v>251.85999999999999</v>
      </c>
      <c r="Z1492" s="567"/>
      <c r="AA1492" s="12">
        <v>89.95</v>
      </c>
      <c r="AB1492" s="12">
        <f t="shared" si="474"/>
        <v>6.1256253474152302</v>
      </c>
      <c r="AC1492" s="12">
        <f t="shared" si="475"/>
        <v>0.76</v>
      </c>
      <c r="AD1492" s="34"/>
    </row>
    <row r="1493" spans="3:30" ht="16" x14ac:dyDescent="0.2">
      <c r="C1493" s="176">
        <f t="shared" si="465"/>
        <v>1490</v>
      </c>
      <c r="D1493" s="146"/>
      <c r="E1493" s="37"/>
      <c r="F1493" s="65"/>
      <c r="G1493" s="11" t="str">
        <f ca="1">IF(AND(E1493&lt;&gt;"",E1493&lt;TODAY()),"Disponible",IFERROR(INDEX(Vehiculos[Estado Vehiculo],MATCH(F1493,Vehiculos[Placa Vehiculo],0)),""))</f>
        <v/>
      </c>
      <c r="H1493" s="34"/>
      <c r="I1493" s="34"/>
      <c r="J1493" s="34"/>
      <c r="K1493" s="39"/>
      <c r="L1493" s="39"/>
      <c r="M1493" s="15">
        <f t="shared" si="466"/>
        <v>0</v>
      </c>
      <c r="N1493" s="15"/>
      <c r="O1493" s="39"/>
      <c r="P1493" s="36"/>
      <c r="Q1493" s="16">
        <f t="shared" si="467"/>
        <v>0</v>
      </c>
      <c r="R1493" s="34"/>
      <c r="S1493" s="34"/>
      <c r="T1493" s="36"/>
      <c r="U1493" s="36">
        <f>Rutas[[#This Row],[Precio x Galón ($/gal)]]*Rutas[[#This Row],[Volumen de Combustible (gal)]]</f>
        <v>0</v>
      </c>
      <c r="V1493" s="36"/>
      <c r="W1493" s="36"/>
      <c r="X1493" s="36"/>
      <c r="Y1493" s="145">
        <f t="shared" si="468"/>
        <v>0</v>
      </c>
      <c r="Z1493" s="572"/>
      <c r="AA1493" s="12"/>
      <c r="AB1493" s="12">
        <f t="shared" si="469"/>
        <v>0</v>
      </c>
      <c r="AC1493" s="12">
        <f t="shared" si="470"/>
        <v>0</v>
      </c>
      <c r="AD1493" s="34"/>
    </row>
    <row r="1494" spans="3:30" ht="16" x14ac:dyDescent="0.2">
      <c r="C1494" s="176">
        <f t="shared" si="465"/>
        <v>1491</v>
      </c>
      <c r="D1494" s="90">
        <v>45962</v>
      </c>
      <c r="E1494" s="90">
        <v>45964</v>
      </c>
      <c r="F1494" s="68" t="s">
        <v>209</v>
      </c>
      <c r="G1494" s="379" t="str">
        <f ca="1">IF(AND(E1494&lt;&gt;"",E1494&lt;TODAY()),"Disponible",IFERROR(INDEX(Vehiculos[Estado Vehiculo],MATCH(F1494,Vehiculos[Placa Vehiculo],0)),""))</f>
        <v>Disponible</v>
      </c>
      <c r="H1494" s="89"/>
      <c r="I1494" s="89" t="s">
        <v>273</v>
      </c>
      <c r="J1494" s="89"/>
      <c r="K1494" s="380">
        <v>122178</v>
      </c>
      <c r="L1494" s="380">
        <v>122907</v>
      </c>
      <c r="M1494" s="381">
        <f t="shared" si="466"/>
        <v>729</v>
      </c>
      <c r="N1494" s="381"/>
      <c r="O1494" s="380"/>
      <c r="P1494" s="92">
        <v>0.76</v>
      </c>
      <c r="Q1494" s="382">
        <f t="shared" si="467"/>
        <v>554.04</v>
      </c>
      <c r="R1494" s="89" t="s">
        <v>339</v>
      </c>
      <c r="S1494" s="89" t="s">
        <v>102</v>
      </c>
      <c r="T1494" s="92">
        <v>2.8</v>
      </c>
      <c r="U1494" s="92">
        <f>Rutas[[#This Row],[Precio x Galón ($/gal)]]*Rutas[[#This Row],[Volumen de Combustible (gal)]]</f>
        <v>340.03199999999998</v>
      </c>
      <c r="V1494" s="92"/>
      <c r="W1494" s="92"/>
      <c r="X1494" s="92"/>
      <c r="Y1494" s="382">
        <f t="shared" si="468"/>
        <v>340.03199999999998</v>
      </c>
      <c r="Z1494" s="578"/>
      <c r="AA1494" s="382">
        <v>121.44</v>
      </c>
      <c r="AB1494" s="382">
        <f t="shared" si="469"/>
        <v>6.0029644268774707</v>
      </c>
      <c r="AC1494" s="382">
        <f t="shared" si="470"/>
        <v>0.7599999999999999</v>
      </c>
      <c r="AD1494" s="89"/>
    </row>
    <row r="1495" spans="3:30" ht="16" x14ac:dyDescent="0.2">
      <c r="C1495" s="176">
        <f t="shared" si="465"/>
        <v>1492</v>
      </c>
      <c r="D1495" s="146">
        <v>45964</v>
      </c>
      <c r="E1495" s="37">
        <v>45968</v>
      </c>
      <c r="F1495" s="65" t="s">
        <v>209</v>
      </c>
      <c r="G1495" s="11" t="str">
        <f ca="1">IF(AND(E1495&lt;&gt;"",E1495&lt;TODAY()),"Disponible",IFERROR(INDEX(Vehiculos[Estado Vehiculo],MATCH(F1495,Vehiculos[Placa Vehiculo],0)),""))</f>
        <v>Disponible</v>
      </c>
      <c r="H1495" s="34"/>
      <c r="I1495" s="34" t="s">
        <v>273</v>
      </c>
      <c r="J1495" s="34"/>
      <c r="K1495" s="39">
        <v>122907</v>
      </c>
      <c r="L1495" s="39">
        <v>123507</v>
      </c>
      <c r="M1495" s="15">
        <f t="shared" si="466"/>
        <v>600</v>
      </c>
      <c r="N1495" s="15"/>
      <c r="O1495" s="39"/>
      <c r="P1495" s="36">
        <v>0.76</v>
      </c>
      <c r="Q1495" s="16">
        <f t="shared" si="467"/>
        <v>456</v>
      </c>
      <c r="R1495" s="34" t="s">
        <v>273</v>
      </c>
      <c r="S1495" s="34" t="s">
        <v>102</v>
      </c>
      <c r="T1495" s="36">
        <v>2.8</v>
      </c>
      <c r="U1495" s="36">
        <f>Rutas[[#This Row],[Precio x Galón ($/gal)]]*Rutas[[#This Row],[Volumen de Combustible (gal)]]</f>
        <v>281.93199999999996</v>
      </c>
      <c r="V1495" s="36"/>
      <c r="W1495" s="36"/>
      <c r="X1495" s="36"/>
      <c r="Y1495" s="145">
        <f t="shared" si="468"/>
        <v>281.93199999999996</v>
      </c>
      <c r="Z1495" s="572"/>
      <c r="AA1495" s="12">
        <v>100.69</v>
      </c>
      <c r="AB1495" s="12">
        <f t="shared" si="469"/>
        <v>5.9588837024530736</v>
      </c>
      <c r="AC1495" s="12">
        <f t="shared" si="470"/>
        <v>0.76</v>
      </c>
      <c r="AD1495" s="34"/>
    </row>
    <row r="1496" spans="3:30" ht="16" x14ac:dyDescent="0.2">
      <c r="C1496" s="176">
        <f t="shared" si="465"/>
        <v>1493</v>
      </c>
      <c r="D1496" s="146">
        <v>45968</v>
      </c>
      <c r="E1496" s="37">
        <v>45970</v>
      </c>
      <c r="F1496" s="65" t="s">
        <v>209</v>
      </c>
      <c r="G1496" s="11" t="str">
        <f ca="1">IF(AND(E1496&lt;&gt;"",E1496&lt;TODAY()),"Disponible",IFERROR(INDEX(Vehiculos[Estado Vehiculo],MATCH(F1496,Vehiculos[Placa Vehiculo],0)),""))</f>
        <v>Disponible</v>
      </c>
      <c r="H1496" s="34"/>
      <c r="I1496" s="34" t="s">
        <v>273</v>
      </c>
      <c r="J1496" s="34"/>
      <c r="K1496" s="39">
        <v>123507</v>
      </c>
      <c r="L1496" s="39">
        <v>124056</v>
      </c>
      <c r="M1496" s="15">
        <f t="shared" si="466"/>
        <v>549</v>
      </c>
      <c r="N1496" s="15"/>
      <c r="O1496" s="39"/>
      <c r="P1496" s="36">
        <v>0.76</v>
      </c>
      <c r="Q1496" s="16">
        <f t="shared" si="467"/>
        <v>417.24</v>
      </c>
      <c r="R1496" s="34" t="s">
        <v>273</v>
      </c>
      <c r="S1496" s="34" t="s">
        <v>102</v>
      </c>
      <c r="T1496" s="36">
        <v>2.8</v>
      </c>
      <c r="U1496" s="36">
        <f>Rutas[[#This Row],[Precio x Galón ($/gal)]]*Rutas[[#This Row],[Volumen de Combustible (gal)]]</f>
        <v>259.19599999999997</v>
      </c>
      <c r="V1496" s="36"/>
      <c r="W1496" s="36"/>
      <c r="X1496" s="36"/>
      <c r="Y1496" s="145">
        <f t="shared" si="468"/>
        <v>259.19599999999997</v>
      </c>
      <c r="Z1496" s="572"/>
      <c r="AA1496" s="12">
        <v>92.57</v>
      </c>
      <c r="AB1496" s="12">
        <f t="shared" si="469"/>
        <v>5.9306470778870048</v>
      </c>
      <c r="AC1496" s="12">
        <f t="shared" si="470"/>
        <v>0.76</v>
      </c>
      <c r="AD1496" s="34"/>
    </row>
    <row r="1497" spans="3:30" ht="16" x14ac:dyDescent="0.2">
      <c r="C1497" s="176">
        <f t="shared" si="465"/>
        <v>1494</v>
      </c>
      <c r="D1497" s="454">
        <v>45970</v>
      </c>
      <c r="E1497" s="37">
        <v>45974</v>
      </c>
      <c r="F1497" s="65" t="s">
        <v>209</v>
      </c>
      <c r="G1497" s="11" t="str">
        <f ca="1">IF(AND(E1497&lt;&gt;"",E1497&lt;TODAY()),"Disponible",IFERROR(INDEX(Vehiculos[Estado Vehiculo],MATCH(F1497,Vehiculos[Placa Vehiculo],0)),""))</f>
        <v>Disponible</v>
      </c>
      <c r="H1497" s="34"/>
      <c r="I1497" s="34" t="s">
        <v>273</v>
      </c>
      <c r="J1497" s="34"/>
      <c r="K1497" s="39">
        <v>124056</v>
      </c>
      <c r="L1497" s="39">
        <v>124777</v>
      </c>
      <c r="M1497" s="15">
        <f t="shared" ref="M1497:M1502" si="476">L1497-K1497</f>
        <v>721</v>
      </c>
      <c r="N1497" s="15"/>
      <c r="O1497" s="39"/>
      <c r="P1497" s="36">
        <v>0.76</v>
      </c>
      <c r="Q1497" s="16">
        <f t="shared" ref="Q1497:Q1501" si="477">M1497*P1497</f>
        <v>547.96</v>
      </c>
      <c r="R1497" s="34" t="s">
        <v>339</v>
      </c>
      <c r="S1497" s="34" t="s">
        <v>102</v>
      </c>
      <c r="T1497" s="36">
        <v>2.8</v>
      </c>
      <c r="U1497" s="36">
        <f>Rutas[[#This Row],[Precio x Galón ($/gal)]]*Rutas[[#This Row],[Volumen de Combustible (gal)]]</f>
        <v>292.62799999999999</v>
      </c>
      <c r="V1497" s="36"/>
      <c r="W1497" s="36"/>
      <c r="X1497" s="36"/>
      <c r="Y1497" s="145">
        <f t="shared" ref="Y1497:Y1502" si="478">U1497+SUM(V1497:X1497)</f>
        <v>292.62799999999999</v>
      </c>
      <c r="Z1497" s="567"/>
      <c r="AA1497" s="12">
        <v>104.51</v>
      </c>
      <c r="AB1497" s="12">
        <f t="shared" ref="AB1497:AB1502" si="479">IFERROR(M1497/AA1497,0)</f>
        <v>6.8988613529805756</v>
      </c>
      <c r="AC1497" s="12">
        <f t="shared" ref="AC1497:AC1502" si="480">IFERROR(Q1497/M1497,0)</f>
        <v>0.76</v>
      </c>
      <c r="AD1497" s="34"/>
    </row>
    <row r="1498" spans="3:30" ht="16" x14ac:dyDescent="0.2">
      <c r="C1498" s="176">
        <f t="shared" si="465"/>
        <v>1495</v>
      </c>
      <c r="D1498" s="454">
        <v>45974</v>
      </c>
      <c r="E1498" s="37">
        <v>45977</v>
      </c>
      <c r="F1498" s="65" t="s">
        <v>209</v>
      </c>
      <c r="G1498" s="11" t="str">
        <f ca="1">IF(AND(E1498&lt;&gt;"",E1498&lt;TODAY()),"Disponible",IFERROR(INDEX(Vehiculos[Estado Vehiculo],MATCH(F1498,Vehiculos[Placa Vehiculo],0)),""))</f>
        <v>Disponible</v>
      </c>
      <c r="H1498" s="34"/>
      <c r="I1498" s="34" t="s">
        <v>273</v>
      </c>
      <c r="J1498" s="34"/>
      <c r="K1498" s="39">
        <v>124777</v>
      </c>
      <c r="L1498" s="39">
        <v>125144</v>
      </c>
      <c r="M1498" s="15">
        <f t="shared" si="476"/>
        <v>367</v>
      </c>
      <c r="N1498" s="15"/>
      <c r="O1498" s="39"/>
      <c r="P1498" s="36">
        <v>0.76</v>
      </c>
      <c r="Q1498" s="16">
        <f t="shared" si="477"/>
        <v>278.92</v>
      </c>
      <c r="R1498" s="34" t="s">
        <v>273</v>
      </c>
      <c r="S1498" s="34" t="s">
        <v>102</v>
      </c>
      <c r="T1498" s="36">
        <v>2.8</v>
      </c>
      <c r="U1498" s="36">
        <f>Rutas[[#This Row],[Precio x Galón ($/gal)]]*Rutas[[#This Row],[Volumen de Combustible (gal)]]</f>
        <v>167.57999999999998</v>
      </c>
      <c r="V1498" s="36"/>
      <c r="W1498" s="36"/>
      <c r="X1498" s="36"/>
      <c r="Y1498" s="145">
        <f t="shared" si="478"/>
        <v>167.57999999999998</v>
      </c>
      <c r="Z1498" s="567"/>
      <c r="AA1498" s="12">
        <v>59.85</v>
      </c>
      <c r="AB1498" s="12">
        <f t="shared" si="479"/>
        <v>6.1319966583124472</v>
      </c>
      <c r="AC1498" s="12">
        <f t="shared" si="480"/>
        <v>0.76</v>
      </c>
      <c r="AD1498" s="34"/>
    </row>
    <row r="1499" spans="3:30" ht="16" x14ac:dyDescent="0.2">
      <c r="C1499" s="176">
        <f t="shared" si="465"/>
        <v>1496</v>
      </c>
      <c r="D1499" s="454">
        <v>45977</v>
      </c>
      <c r="E1499" s="37">
        <v>45980</v>
      </c>
      <c r="F1499" s="65" t="s">
        <v>209</v>
      </c>
      <c r="G1499" s="11" t="str">
        <f ca="1">IF(AND(E1499&lt;&gt;"",E1499&lt;TODAY()),"Disponible",IFERROR(INDEX(Vehiculos[Estado Vehiculo],MATCH(F1499,Vehiculos[Placa Vehiculo],0)),""))</f>
        <v>Disponible</v>
      </c>
      <c r="H1499" s="34"/>
      <c r="I1499" s="34" t="s">
        <v>273</v>
      </c>
      <c r="J1499" s="34"/>
      <c r="K1499" s="39">
        <v>125144</v>
      </c>
      <c r="L1499" s="39">
        <v>125786</v>
      </c>
      <c r="M1499" s="15">
        <f t="shared" si="476"/>
        <v>642</v>
      </c>
      <c r="N1499" s="15"/>
      <c r="O1499" s="39"/>
      <c r="P1499" s="36">
        <v>0.76</v>
      </c>
      <c r="Q1499" s="16">
        <f t="shared" si="477"/>
        <v>487.92</v>
      </c>
      <c r="R1499" s="34" t="s">
        <v>273</v>
      </c>
      <c r="S1499" s="34" t="s">
        <v>102</v>
      </c>
      <c r="T1499" s="36">
        <v>2.8</v>
      </c>
      <c r="U1499" s="36">
        <f>Rutas[[#This Row],[Precio x Galón ($/gal)]]*Rutas[[#This Row],[Volumen de Combustible (gal)]]</f>
        <v>324.79999999999995</v>
      </c>
      <c r="V1499" s="36"/>
      <c r="W1499" s="36"/>
      <c r="X1499" s="36"/>
      <c r="Y1499" s="145">
        <f t="shared" si="478"/>
        <v>324.79999999999995</v>
      </c>
      <c r="Z1499" s="567"/>
      <c r="AA1499" s="12">
        <v>116</v>
      </c>
      <c r="AB1499" s="12">
        <f t="shared" si="479"/>
        <v>5.5344827586206895</v>
      </c>
      <c r="AC1499" s="12">
        <f t="shared" si="480"/>
        <v>0.76</v>
      </c>
      <c r="AD1499" s="34"/>
    </row>
    <row r="1500" spans="3:30" ht="16" x14ac:dyDescent="0.2">
      <c r="C1500" s="176">
        <f t="shared" si="465"/>
        <v>1497</v>
      </c>
      <c r="D1500" s="454">
        <v>45980</v>
      </c>
      <c r="E1500" s="37">
        <v>45982</v>
      </c>
      <c r="F1500" s="65" t="s">
        <v>209</v>
      </c>
      <c r="G1500" s="11" t="str">
        <f ca="1">IF(AND(E1500&lt;&gt;"",E1500&lt;TODAY()),"Disponible",IFERROR(INDEX(Vehiculos[Estado Vehiculo],MATCH(F1500,Vehiculos[Placa Vehiculo],0)),""))</f>
        <v>Disponible</v>
      </c>
      <c r="H1500" s="34"/>
      <c r="I1500" s="34" t="s">
        <v>273</v>
      </c>
      <c r="J1500" s="34"/>
      <c r="K1500" s="39">
        <v>125786</v>
      </c>
      <c r="L1500" s="39">
        <v>126156</v>
      </c>
      <c r="M1500" s="15">
        <f t="shared" si="476"/>
        <v>370</v>
      </c>
      <c r="N1500" s="15"/>
      <c r="O1500" s="39"/>
      <c r="P1500" s="36">
        <v>0.76</v>
      </c>
      <c r="Q1500" s="16">
        <f t="shared" si="477"/>
        <v>281.2</v>
      </c>
      <c r="R1500" s="34" t="s">
        <v>273</v>
      </c>
      <c r="S1500" s="34" t="s">
        <v>102</v>
      </c>
      <c r="T1500" s="36">
        <v>2.8</v>
      </c>
      <c r="U1500" s="36">
        <f>Rutas[[#This Row],[Precio x Galón ($/gal)]]*Rutas[[#This Row],[Volumen de Combustible (gal)]]</f>
        <v>179.28399999999999</v>
      </c>
      <c r="V1500" s="36"/>
      <c r="W1500" s="36"/>
      <c r="X1500" s="36"/>
      <c r="Y1500" s="145">
        <f t="shared" si="478"/>
        <v>179.28399999999999</v>
      </c>
      <c r="Z1500" s="567"/>
      <c r="AA1500" s="12">
        <v>64.03</v>
      </c>
      <c r="AB1500" s="12">
        <f t="shared" si="479"/>
        <v>5.7785413087615183</v>
      </c>
      <c r="AC1500" s="12">
        <f t="shared" si="480"/>
        <v>0.76</v>
      </c>
      <c r="AD1500" s="34"/>
    </row>
    <row r="1501" spans="3:30" ht="16" x14ac:dyDescent="0.2">
      <c r="C1501" s="176">
        <f t="shared" si="465"/>
        <v>1498</v>
      </c>
      <c r="D1501" s="454">
        <v>45982</v>
      </c>
      <c r="E1501" s="37">
        <v>45986</v>
      </c>
      <c r="F1501" s="65" t="s">
        <v>209</v>
      </c>
      <c r="G1501" s="11" t="str">
        <f ca="1">IF(AND(E1501&lt;&gt;"",E1501&lt;TODAY()),"Disponible",IFERROR(INDEX(Vehiculos[Estado Vehiculo],MATCH(F1501,Vehiculos[Placa Vehiculo],0)),""))</f>
        <v>Disponible</v>
      </c>
      <c r="H1501" s="34"/>
      <c r="I1501" s="34" t="s">
        <v>273</v>
      </c>
      <c r="J1501" s="34"/>
      <c r="K1501" s="39">
        <v>126156</v>
      </c>
      <c r="L1501" s="39">
        <v>126779</v>
      </c>
      <c r="M1501" s="15">
        <f t="shared" si="476"/>
        <v>623</v>
      </c>
      <c r="N1501" s="15"/>
      <c r="O1501" s="39"/>
      <c r="P1501" s="36">
        <v>0.76</v>
      </c>
      <c r="Q1501" s="16">
        <f t="shared" si="477"/>
        <v>473.48</v>
      </c>
      <c r="R1501" s="34" t="s">
        <v>273</v>
      </c>
      <c r="S1501" s="34" t="s">
        <v>102</v>
      </c>
      <c r="T1501" s="36">
        <v>2.8</v>
      </c>
      <c r="U1501" s="36">
        <f>Rutas[[#This Row],[Precio x Galón ($/gal)]]*Rutas[[#This Row],[Volumen de Combustible (gal)]]</f>
        <v>340.06</v>
      </c>
      <c r="V1501" s="36"/>
      <c r="W1501" s="36"/>
      <c r="X1501" s="36"/>
      <c r="Y1501" s="145">
        <f t="shared" si="478"/>
        <v>340.06</v>
      </c>
      <c r="Z1501" s="567"/>
      <c r="AA1501" s="12">
        <v>121.45</v>
      </c>
      <c r="AB1501" s="12">
        <f t="shared" si="479"/>
        <v>5.1296829971181559</v>
      </c>
      <c r="AC1501" s="12">
        <f t="shared" si="480"/>
        <v>0.76</v>
      </c>
      <c r="AD1501" s="34"/>
    </row>
    <row r="1502" spans="3:30" ht="16" x14ac:dyDescent="0.2">
      <c r="C1502" s="176">
        <f t="shared" si="465"/>
        <v>1499</v>
      </c>
      <c r="D1502" s="454">
        <v>45986</v>
      </c>
      <c r="E1502" s="37">
        <v>45989</v>
      </c>
      <c r="F1502" s="65" t="s">
        <v>209</v>
      </c>
      <c r="G1502" s="11" t="str">
        <f ca="1">IF(AND(E1502&lt;&gt;"",E1502&lt;TODAY()),"Disponible",IFERROR(INDEX(Vehiculos[Estado Vehiculo],MATCH(F1502,Vehiculos[Placa Vehiculo],0)),""))</f>
        <v>Disponible</v>
      </c>
      <c r="H1502" s="34"/>
      <c r="I1502" s="34" t="s">
        <v>273</v>
      </c>
      <c r="J1502" s="34"/>
      <c r="K1502" s="39">
        <v>126779</v>
      </c>
      <c r="L1502" s="39">
        <v>127318</v>
      </c>
      <c r="M1502" s="15">
        <f t="shared" si="476"/>
        <v>539</v>
      </c>
      <c r="N1502" s="452">
        <v>593</v>
      </c>
      <c r="O1502" s="39"/>
      <c r="P1502" s="36">
        <v>0.76</v>
      </c>
      <c r="Q1502" s="16"/>
      <c r="R1502" s="34" t="s">
        <v>273</v>
      </c>
      <c r="S1502" s="34" t="s">
        <v>102</v>
      </c>
      <c r="T1502" s="36">
        <v>2.8</v>
      </c>
      <c r="U1502" s="36">
        <f>Rutas[[#This Row],[Precio x Galón ($/gal)]]*Rutas[[#This Row],[Volumen de Combustible (gal)]]</f>
        <v>244.88799999999998</v>
      </c>
      <c r="V1502" s="36"/>
      <c r="W1502" s="36"/>
      <c r="X1502" s="36"/>
      <c r="Y1502" s="145">
        <f t="shared" si="478"/>
        <v>244.88799999999998</v>
      </c>
      <c r="Z1502" s="567"/>
      <c r="AA1502" s="12">
        <v>87.46</v>
      </c>
      <c r="AB1502" s="12">
        <f t="shared" si="479"/>
        <v>6.1628172879030414</v>
      </c>
      <c r="AC1502" s="12">
        <f t="shared" si="480"/>
        <v>0</v>
      </c>
      <c r="AD1502" s="34"/>
    </row>
    <row r="1503" spans="3:30" ht="16" x14ac:dyDescent="0.2">
      <c r="C1503" s="176">
        <f t="shared" si="465"/>
        <v>1500</v>
      </c>
      <c r="D1503" s="146"/>
      <c r="E1503" s="37"/>
      <c r="F1503" s="65"/>
      <c r="G1503" s="11" t="str">
        <f ca="1">IF(AND(E1503&lt;&gt;"",E1503&lt;TODAY()),"Disponible",IFERROR(INDEX(Vehiculos[Estado Vehiculo],MATCH(F1503,Vehiculos[Placa Vehiculo],0)),""))</f>
        <v/>
      </c>
      <c r="H1503" s="34"/>
      <c r="I1503" s="34"/>
      <c r="J1503" s="34"/>
      <c r="K1503" s="39"/>
      <c r="L1503" s="39"/>
      <c r="M1503" s="15">
        <f t="shared" si="466"/>
        <v>0</v>
      </c>
      <c r="N1503" s="15"/>
      <c r="O1503" s="39"/>
      <c r="P1503" s="36"/>
      <c r="Q1503" s="16">
        <f t="shared" si="467"/>
        <v>0</v>
      </c>
      <c r="R1503" s="34"/>
      <c r="S1503" s="34"/>
      <c r="T1503" s="36"/>
      <c r="U1503" s="36">
        <f>Rutas[[#This Row],[Precio x Galón ($/gal)]]*Rutas[[#This Row],[Volumen de Combustible (gal)]]</f>
        <v>0</v>
      </c>
      <c r="V1503" s="36"/>
      <c r="W1503" s="36"/>
      <c r="X1503" s="36"/>
      <c r="Y1503" s="145">
        <f t="shared" si="468"/>
        <v>0</v>
      </c>
      <c r="Z1503" s="572"/>
      <c r="AA1503" s="12"/>
      <c r="AB1503" s="12">
        <f t="shared" si="469"/>
        <v>0</v>
      </c>
      <c r="AC1503" s="12">
        <f t="shared" si="470"/>
        <v>0</v>
      </c>
      <c r="AD1503" s="34"/>
    </row>
    <row r="1504" spans="3:30" ht="16" x14ac:dyDescent="0.2">
      <c r="C1504" s="176">
        <f t="shared" si="465"/>
        <v>1501</v>
      </c>
      <c r="D1504" s="90">
        <v>45962</v>
      </c>
      <c r="E1504" s="90">
        <v>45965</v>
      </c>
      <c r="F1504" s="68" t="s">
        <v>210</v>
      </c>
      <c r="G1504" s="379" t="str">
        <f ca="1">IF(AND(E1504&lt;&gt;"",E1504&lt;TODAY()),"Disponible",IFERROR(INDEX(Vehiculos[Estado Vehiculo],MATCH(F1504,Vehiculos[Placa Vehiculo],0)),""))</f>
        <v>Disponible</v>
      </c>
      <c r="H1504" s="89"/>
      <c r="I1504" s="89" t="s">
        <v>273</v>
      </c>
      <c r="J1504" s="89"/>
      <c r="K1504" s="380">
        <v>107940</v>
      </c>
      <c r="L1504" s="380">
        <v>108591</v>
      </c>
      <c r="M1504" s="381">
        <f t="shared" si="466"/>
        <v>651</v>
      </c>
      <c r="N1504" s="381"/>
      <c r="O1504" s="380"/>
      <c r="P1504" s="92">
        <v>0.76</v>
      </c>
      <c r="Q1504" s="382">
        <f t="shared" si="467"/>
        <v>494.76</v>
      </c>
      <c r="R1504" s="89" t="s">
        <v>273</v>
      </c>
      <c r="S1504" s="89" t="s">
        <v>102</v>
      </c>
      <c r="T1504" s="92">
        <v>2.8</v>
      </c>
      <c r="U1504" s="92">
        <f>Rutas[[#This Row],[Precio x Galón ($/gal)]]*Rutas[[#This Row],[Volumen de Combustible (gal)]]</f>
        <v>315.22399999999999</v>
      </c>
      <c r="V1504" s="92"/>
      <c r="W1504" s="92"/>
      <c r="X1504" s="92"/>
      <c r="Y1504" s="382">
        <f t="shared" si="468"/>
        <v>315.22399999999999</v>
      </c>
      <c r="Z1504" s="578"/>
      <c r="AA1504" s="382">
        <v>112.58</v>
      </c>
      <c r="AB1504" s="382">
        <f t="shared" si="469"/>
        <v>5.7825546278202165</v>
      </c>
      <c r="AC1504" s="382">
        <f t="shared" si="470"/>
        <v>0.76</v>
      </c>
      <c r="AD1504" s="89"/>
    </row>
    <row r="1505" spans="3:30" ht="16" x14ac:dyDescent="0.2">
      <c r="C1505" s="176">
        <f t="shared" si="465"/>
        <v>1502</v>
      </c>
      <c r="D1505" s="146">
        <v>45965</v>
      </c>
      <c r="E1505" s="37">
        <v>45967</v>
      </c>
      <c r="F1505" s="65" t="s">
        <v>210</v>
      </c>
      <c r="G1505" s="11" t="str">
        <f ca="1">IF(AND(E1505&lt;&gt;"",E1505&lt;TODAY()),"Disponible",IFERROR(INDEX(Vehiculos[Estado Vehiculo],MATCH(F1505,Vehiculos[Placa Vehiculo],0)),""))</f>
        <v>Disponible</v>
      </c>
      <c r="H1505" s="34"/>
      <c r="I1505" s="34" t="s">
        <v>273</v>
      </c>
      <c r="J1505" s="34"/>
      <c r="K1505" s="39">
        <v>108591</v>
      </c>
      <c r="L1505" s="39">
        <v>109111</v>
      </c>
      <c r="M1505" s="15">
        <f t="shared" si="466"/>
        <v>520</v>
      </c>
      <c r="N1505" s="15"/>
      <c r="O1505" s="39"/>
      <c r="P1505" s="36">
        <v>0.76</v>
      </c>
      <c r="Q1505" s="16">
        <f t="shared" si="467"/>
        <v>395.2</v>
      </c>
      <c r="R1505" s="34" t="s">
        <v>273</v>
      </c>
      <c r="S1505" s="34" t="s">
        <v>102</v>
      </c>
      <c r="T1505" s="36">
        <v>2.8</v>
      </c>
      <c r="U1505" s="36">
        <f>Rutas[[#This Row],[Precio x Galón ($/gal)]]*Rutas[[#This Row],[Volumen de Combustible (gal)]]</f>
        <v>256.22800000000001</v>
      </c>
      <c r="V1505" s="36"/>
      <c r="W1505" s="36"/>
      <c r="X1505" s="36"/>
      <c r="Y1505" s="145">
        <f t="shared" si="468"/>
        <v>256.22800000000001</v>
      </c>
      <c r="Z1505" s="572"/>
      <c r="AA1505" s="12">
        <v>91.51</v>
      </c>
      <c r="AB1505" s="12">
        <f t="shared" si="469"/>
        <v>5.6824390776964266</v>
      </c>
      <c r="AC1505" s="12">
        <f t="shared" si="470"/>
        <v>0.76</v>
      </c>
      <c r="AD1505" s="34"/>
    </row>
    <row r="1506" spans="3:30" ht="16" x14ac:dyDescent="0.2">
      <c r="C1506" s="176">
        <f t="shared" si="465"/>
        <v>1503</v>
      </c>
      <c r="D1506" s="146">
        <v>45967</v>
      </c>
      <c r="E1506" s="37">
        <v>45970</v>
      </c>
      <c r="F1506" s="65" t="s">
        <v>210</v>
      </c>
      <c r="G1506" s="11" t="str">
        <f ca="1">IF(AND(E1506&lt;&gt;"",E1506&lt;TODAY()),"Disponible",IFERROR(INDEX(Vehiculos[Estado Vehiculo],MATCH(F1506,Vehiculos[Placa Vehiculo],0)),""))</f>
        <v>Disponible</v>
      </c>
      <c r="H1506" s="34"/>
      <c r="I1506" s="34" t="s">
        <v>273</v>
      </c>
      <c r="J1506" s="34"/>
      <c r="K1506" s="39">
        <v>109111</v>
      </c>
      <c r="L1506" s="39">
        <v>109680</v>
      </c>
      <c r="M1506" s="15">
        <f t="shared" si="466"/>
        <v>569</v>
      </c>
      <c r="N1506" s="15"/>
      <c r="O1506" s="39"/>
      <c r="P1506" s="36">
        <v>0.76</v>
      </c>
      <c r="Q1506" s="16">
        <f t="shared" si="467"/>
        <v>432.44</v>
      </c>
      <c r="R1506" s="34" t="s">
        <v>273</v>
      </c>
      <c r="S1506" s="34" t="s">
        <v>102</v>
      </c>
      <c r="T1506" s="36">
        <v>2.8</v>
      </c>
      <c r="U1506" s="36">
        <f>Rutas[[#This Row],[Precio x Galón ($/gal)]]*Rutas[[#This Row],[Volumen de Combustible (gal)]]</f>
        <v>269.584</v>
      </c>
      <c r="V1506" s="36"/>
      <c r="W1506" s="36"/>
      <c r="X1506" s="36"/>
      <c r="Y1506" s="145">
        <f t="shared" si="468"/>
        <v>269.584</v>
      </c>
      <c r="Z1506" s="572"/>
      <c r="AA1506" s="12">
        <v>96.28</v>
      </c>
      <c r="AB1506" s="12">
        <f t="shared" si="469"/>
        <v>5.9098462816784378</v>
      </c>
      <c r="AC1506" s="12">
        <f t="shared" si="470"/>
        <v>0.76</v>
      </c>
      <c r="AD1506" s="34"/>
    </row>
    <row r="1507" spans="3:30" ht="16" x14ac:dyDescent="0.2">
      <c r="C1507" s="176">
        <f t="shared" si="465"/>
        <v>1504</v>
      </c>
      <c r="D1507" s="146">
        <v>45970</v>
      </c>
      <c r="E1507" s="37">
        <v>45973</v>
      </c>
      <c r="F1507" s="65" t="s">
        <v>210</v>
      </c>
      <c r="G1507" s="11" t="str">
        <f ca="1">IF(AND(E1507&lt;&gt;"",E1507&lt;TODAY()),"Disponible",IFERROR(INDEX(Vehiculos[Estado Vehiculo],MATCH(F1507,Vehiculos[Placa Vehiculo],0)),""))</f>
        <v>Disponible</v>
      </c>
      <c r="H1507" s="34"/>
      <c r="I1507" s="34" t="s">
        <v>273</v>
      </c>
      <c r="J1507" s="34"/>
      <c r="K1507" s="39">
        <v>109680</v>
      </c>
      <c r="L1507" s="39">
        <v>110227</v>
      </c>
      <c r="M1507" s="15">
        <f t="shared" si="466"/>
        <v>547</v>
      </c>
      <c r="N1507" s="15"/>
      <c r="O1507" s="39"/>
      <c r="P1507" s="36">
        <v>0.76</v>
      </c>
      <c r="Q1507" s="16">
        <f t="shared" si="467"/>
        <v>415.72</v>
      </c>
      <c r="R1507" s="34" t="s">
        <v>273</v>
      </c>
      <c r="S1507" s="34" t="s">
        <v>102</v>
      </c>
      <c r="T1507" s="36">
        <v>2.8</v>
      </c>
      <c r="U1507" s="36">
        <f>Rutas[[#This Row],[Precio x Galón ($/gal)]]*Rutas[[#This Row],[Volumen de Combustible (gal)]]</f>
        <v>237.43999999999997</v>
      </c>
      <c r="V1507" s="36"/>
      <c r="W1507" s="36"/>
      <c r="X1507" s="36"/>
      <c r="Y1507" s="145">
        <f t="shared" si="468"/>
        <v>237.43999999999997</v>
      </c>
      <c r="Z1507" s="572"/>
      <c r="AA1507" s="12">
        <v>84.8</v>
      </c>
      <c r="AB1507" s="12">
        <f t="shared" si="469"/>
        <v>6.4504716981132075</v>
      </c>
      <c r="AC1507" s="12">
        <f t="shared" si="470"/>
        <v>0.76</v>
      </c>
      <c r="AD1507" s="34"/>
    </row>
    <row r="1508" spans="3:30" ht="16" x14ac:dyDescent="0.2">
      <c r="C1508" s="176">
        <f t="shared" si="465"/>
        <v>1505</v>
      </c>
      <c r="D1508" s="454">
        <v>45973</v>
      </c>
      <c r="E1508" s="37">
        <v>45977</v>
      </c>
      <c r="F1508" s="65" t="s">
        <v>210</v>
      </c>
      <c r="G1508" s="11" t="str">
        <f ca="1">IF(AND(E1508&lt;&gt;"",E1508&lt;TODAY()),"Disponible",IFERROR(INDEX(Vehiculos[Estado Vehiculo],MATCH(F1508,Vehiculos[Placa Vehiculo],0)),""))</f>
        <v>Disponible</v>
      </c>
      <c r="H1508" s="34"/>
      <c r="I1508" s="34" t="s">
        <v>273</v>
      </c>
      <c r="J1508" s="34"/>
      <c r="K1508" s="39">
        <v>110227</v>
      </c>
      <c r="L1508" s="39">
        <v>110790</v>
      </c>
      <c r="M1508" s="15">
        <f t="shared" ref="M1508:M1512" si="481">L1508-K1508</f>
        <v>563</v>
      </c>
      <c r="N1508" s="15"/>
      <c r="O1508" s="39"/>
      <c r="P1508" s="36">
        <v>0.76</v>
      </c>
      <c r="Q1508" s="16">
        <f t="shared" ref="Q1508:Q1512" si="482">M1508*P1508</f>
        <v>427.88</v>
      </c>
      <c r="R1508" s="34" t="s">
        <v>273</v>
      </c>
      <c r="S1508" s="34" t="s">
        <v>102</v>
      </c>
      <c r="T1508" s="36">
        <v>2.8</v>
      </c>
      <c r="U1508" s="36">
        <f>Rutas[[#This Row],[Precio x Galón ($/gal)]]*Rutas[[#This Row],[Volumen de Combustible (gal)]]</f>
        <v>238.75599999999997</v>
      </c>
      <c r="V1508" s="36"/>
      <c r="W1508" s="36"/>
      <c r="X1508" s="36"/>
      <c r="Y1508" s="145">
        <f t="shared" ref="Y1508:Y1512" si="483">U1508+SUM(V1508:X1508)</f>
        <v>238.75599999999997</v>
      </c>
      <c r="Z1508" s="567"/>
      <c r="AA1508" s="12">
        <v>85.27</v>
      </c>
      <c r="AB1508" s="12">
        <f t="shared" ref="AB1508:AB1512" si="484">IFERROR(M1508/AA1508,0)</f>
        <v>6.602556584965404</v>
      </c>
      <c r="AC1508" s="12">
        <f t="shared" ref="AC1508:AC1512" si="485">IFERROR(Q1508/M1508,0)</f>
        <v>0.76</v>
      </c>
      <c r="AD1508" s="34"/>
    </row>
    <row r="1509" spans="3:30" ht="16" x14ac:dyDescent="0.2">
      <c r="C1509" s="176">
        <f t="shared" si="465"/>
        <v>1506</v>
      </c>
      <c r="D1509" s="454">
        <v>45977</v>
      </c>
      <c r="E1509" s="37">
        <v>45980</v>
      </c>
      <c r="F1509" s="65" t="s">
        <v>210</v>
      </c>
      <c r="G1509" s="11" t="str">
        <f ca="1">IF(AND(E1509&lt;&gt;"",E1509&lt;TODAY()),"Disponible",IFERROR(INDEX(Vehiculos[Estado Vehiculo],MATCH(F1509,Vehiculos[Placa Vehiculo],0)),""))</f>
        <v>Disponible</v>
      </c>
      <c r="H1509" s="34"/>
      <c r="I1509" s="34" t="s">
        <v>273</v>
      </c>
      <c r="J1509" s="34"/>
      <c r="K1509" s="39">
        <v>110790</v>
      </c>
      <c r="L1509" s="39">
        <v>111344</v>
      </c>
      <c r="M1509" s="15">
        <f t="shared" si="481"/>
        <v>554</v>
      </c>
      <c r="N1509" s="15"/>
      <c r="O1509" s="39"/>
      <c r="P1509" s="36">
        <v>0.76</v>
      </c>
      <c r="Q1509" s="16">
        <f t="shared" si="482"/>
        <v>421.04</v>
      </c>
      <c r="R1509" s="34" t="s">
        <v>273</v>
      </c>
      <c r="S1509" s="34" t="s">
        <v>102</v>
      </c>
      <c r="T1509" s="36">
        <v>2.8</v>
      </c>
      <c r="U1509" s="36">
        <f>Rutas[[#This Row],[Precio x Galón ($/gal)]]*Rutas[[#This Row],[Volumen de Combustible (gal)]]</f>
        <v>191.1</v>
      </c>
      <c r="V1509" s="36"/>
      <c r="W1509" s="36"/>
      <c r="X1509" s="36"/>
      <c r="Y1509" s="145">
        <f t="shared" si="483"/>
        <v>191.1</v>
      </c>
      <c r="Z1509" s="567"/>
      <c r="AA1509" s="12">
        <v>68.25</v>
      </c>
      <c r="AB1509" s="12">
        <f t="shared" si="484"/>
        <v>8.1172161172161168</v>
      </c>
      <c r="AC1509" s="12">
        <f t="shared" si="485"/>
        <v>0.76</v>
      </c>
      <c r="AD1509" s="34"/>
    </row>
    <row r="1510" spans="3:30" ht="16" x14ac:dyDescent="0.2">
      <c r="C1510" s="176">
        <f t="shared" si="465"/>
        <v>1507</v>
      </c>
      <c r="D1510" s="454">
        <v>45980</v>
      </c>
      <c r="E1510" s="37">
        <v>45982</v>
      </c>
      <c r="F1510" s="65" t="s">
        <v>210</v>
      </c>
      <c r="G1510" s="11" t="str">
        <f ca="1">IF(AND(E1510&lt;&gt;"",E1510&lt;TODAY()),"Disponible",IFERROR(INDEX(Vehiculos[Estado Vehiculo],MATCH(F1510,Vehiculos[Placa Vehiculo],0)),""))</f>
        <v>Disponible</v>
      </c>
      <c r="H1510" s="34"/>
      <c r="I1510" s="34" t="s">
        <v>273</v>
      </c>
      <c r="J1510" s="34"/>
      <c r="K1510" s="39">
        <v>111344</v>
      </c>
      <c r="L1510" s="39">
        <v>111912</v>
      </c>
      <c r="M1510" s="15">
        <f t="shared" si="481"/>
        <v>568</v>
      </c>
      <c r="N1510" s="15"/>
      <c r="O1510" s="39"/>
      <c r="P1510" s="36">
        <v>0.76</v>
      </c>
      <c r="Q1510" s="16">
        <f t="shared" si="482"/>
        <v>431.68</v>
      </c>
      <c r="R1510" s="34" t="s">
        <v>273</v>
      </c>
      <c r="S1510" s="34" t="s">
        <v>102</v>
      </c>
      <c r="T1510" s="36">
        <v>2.8</v>
      </c>
      <c r="U1510" s="36">
        <f>Rutas[[#This Row],[Precio x Galón ($/gal)]]*Rutas[[#This Row],[Volumen de Combustible (gal)]]</f>
        <v>240.40799999999999</v>
      </c>
      <c r="V1510" s="36"/>
      <c r="W1510" s="36"/>
      <c r="X1510" s="36"/>
      <c r="Y1510" s="145">
        <f t="shared" si="483"/>
        <v>240.40799999999999</v>
      </c>
      <c r="Z1510" s="567"/>
      <c r="AA1510" s="12">
        <v>85.86</v>
      </c>
      <c r="AB1510" s="12">
        <f t="shared" si="484"/>
        <v>6.615420451898439</v>
      </c>
      <c r="AC1510" s="12">
        <f t="shared" si="485"/>
        <v>0.76</v>
      </c>
      <c r="AD1510" s="34"/>
    </row>
    <row r="1511" spans="3:30" ht="16" x14ac:dyDescent="0.2">
      <c r="C1511" s="176">
        <f t="shared" si="465"/>
        <v>1508</v>
      </c>
      <c r="D1511" s="454">
        <v>45982</v>
      </c>
      <c r="E1511" s="37">
        <v>45986</v>
      </c>
      <c r="F1511" s="65" t="s">
        <v>210</v>
      </c>
      <c r="G1511" s="11" t="str">
        <f ca="1">IF(AND(E1511&lt;&gt;"",E1511&lt;TODAY()),"Disponible",IFERROR(INDEX(Vehiculos[Estado Vehiculo],MATCH(F1511,Vehiculos[Placa Vehiculo],0)),""))</f>
        <v>Disponible</v>
      </c>
      <c r="H1511" s="34"/>
      <c r="I1511" s="34" t="s">
        <v>273</v>
      </c>
      <c r="J1511" s="34"/>
      <c r="K1511" s="39">
        <v>111912</v>
      </c>
      <c r="L1511" s="39">
        <v>112640</v>
      </c>
      <c r="M1511" s="15">
        <f t="shared" si="481"/>
        <v>728</v>
      </c>
      <c r="N1511" s="15"/>
      <c r="O1511" s="39"/>
      <c r="P1511" s="36">
        <v>0.76</v>
      </c>
      <c r="Q1511" s="16">
        <f t="shared" si="482"/>
        <v>553.28</v>
      </c>
      <c r="R1511" s="34" t="s">
        <v>273</v>
      </c>
      <c r="S1511" s="34" t="s">
        <v>102</v>
      </c>
      <c r="T1511" s="36">
        <v>2.8</v>
      </c>
      <c r="U1511" s="36">
        <f>Rutas[[#This Row],[Precio x Galón ($/gal)]]*Rutas[[#This Row],[Volumen de Combustible (gal)]]</f>
        <v>305.84399999999999</v>
      </c>
      <c r="V1511" s="36"/>
      <c r="W1511" s="36"/>
      <c r="X1511" s="36"/>
      <c r="Y1511" s="145">
        <f t="shared" si="483"/>
        <v>305.84399999999999</v>
      </c>
      <c r="Z1511" s="567"/>
      <c r="AA1511" s="12">
        <v>109.23</v>
      </c>
      <c r="AB1511" s="12">
        <f t="shared" si="484"/>
        <v>6.6648356678568152</v>
      </c>
      <c r="AC1511" s="12">
        <f t="shared" si="485"/>
        <v>0.76</v>
      </c>
      <c r="AD1511" s="34"/>
    </row>
    <row r="1512" spans="3:30" ht="16" x14ac:dyDescent="0.2">
      <c r="C1512" s="176">
        <f t="shared" si="465"/>
        <v>1509</v>
      </c>
      <c r="D1512" s="454">
        <v>45986</v>
      </c>
      <c r="E1512" s="37">
        <v>45989</v>
      </c>
      <c r="F1512" s="65" t="s">
        <v>210</v>
      </c>
      <c r="G1512" s="11" t="str">
        <f ca="1">IF(AND(E1512&lt;&gt;"",E1512&lt;TODAY()),"Disponible",IFERROR(INDEX(Vehiculos[Estado Vehiculo],MATCH(F1512,Vehiculos[Placa Vehiculo],0)),""))</f>
        <v>Disponible</v>
      </c>
      <c r="H1512" s="34"/>
      <c r="I1512" s="34" t="s">
        <v>273</v>
      </c>
      <c r="J1512" s="34"/>
      <c r="K1512" s="39">
        <v>112640</v>
      </c>
      <c r="L1512" s="39">
        <v>113204</v>
      </c>
      <c r="M1512" s="15">
        <f t="shared" si="481"/>
        <v>564</v>
      </c>
      <c r="N1512" s="452">
        <v>600</v>
      </c>
      <c r="O1512" s="39"/>
      <c r="P1512" s="36">
        <v>0.76</v>
      </c>
      <c r="Q1512" s="16">
        <f t="shared" si="482"/>
        <v>428.64</v>
      </c>
      <c r="R1512" s="34" t="s">
        <v>273</v>
      </c>
      <c r="S1512" s="34" t="s">
        <v>102</v>
      </c>
      <c r="T1512" s="36">
        <v>2.8</v>
      </c>
      <c r="U1512" s="36">
        <f>Rutas[[#This Row],[Precio x Galón ($/gal)]]*Rutas[[#This Row],[Volumen de Combustible (gal)]]</f>
        <v>255.75199999999998</v>
      </c>
      <c r="V1512" s="36"/>
      <c r="W1512" s="36"/>
      <c r="X1512" s="36"/>
      <c r="Y1512" s="145">
        <f t="shared" si="483"/>
        <v>255.75199999999998</v>
      </c>
      <c r="Z1512" s="567"/>
      <c r="AA1512" s="12">
        <v>91.34</v>
      </c>
      <c r="AB1512" s="12">
        <f t="shared" si="484"/>
        <v>6.1747317714035468</v>
      </c>
      <c r="AC1512" s="12">
        <f t="shared" si="485"/>
        <v>0.76</v>
      </c>
      <c r="AD1512" s="34"/>
    </row>
    <row r="1513" spans="3:30" ht="16" x14ac:dyDescent="0.2">
      <c r="C1513" s="176">
        <f t="shared" si="465"/>
        <v>1510</v>
      </c>
      <c r="D1513" s="146"/>
      <c r="E1513" s="37"/>
      <c r="F1513" s="65"/>
      <c r="G1513" s="11" t="str">
        <f ca="1">IF(AND(E1513&lt;&gt;"",E1513&lt;TODAY()),"Disponible",IFERROR(INDEX(Vehiculos[Estado Vehiculo],MATCH(F1513,Vehiculos[Placa Vehiculo],0)),""))</f>
        <v/>
      </c>
      <c r="H1513" s="34"/>
      <c r="I1513" s="34"/>
      <c r="J1513" s="34"/>
      <c r="K1513" s="39"/>
      <c r="L1513" s="39"/>
      <c r="M1513" s="15">
        <f t="shared" si="466"/>
        <v>0</v>
      </c>
      <c r="N1513" s="15"/>
      <c r="O1513" s="39"/>
      <c r="P1513" s="36"/>
      <c r="Q1513" s="16">
        <f t="shared" si="467"/>
        <v>0</v>
      </c>
      <c r="R1513" s="34"/>
      <c r="S1513" s="34"/>
      <c r="T1513" s="36"/>
      <c r="U1513" s="36">
        <f>Rutas[[#This Row],[Precio x Galón ($/gal)]]*Rutas[[#This Row],[Volumen de Combustible (gal)]]</f>
        <v>0</v>
      </c>
      <c r="V1513" s="36"/>
      <c r="W1513" s="36"/>
      <c r="X1513" s="36"/>
      <c r="Y1513" s="145">
        <f t="shared" si="468"/>
        <v>0</v>
      </c>
      <c r="Z1513" s="572"/>
      <c r="AA1513" s="12"/>
      <c r="AB1513" s="12">
        <f t="shared" si="469"/>
        <v>0</v>
      </c>
      <c r="AC1513" s="12">
        <f t="shared" si="470"/>
        <v>0</v>
      </c>
      <c r="AD1513" s="34"/>
    </row>
    <row r="1514" spans="3:30" ht="16" x14ac:dyDescent="0.2">
      <c r="C1514" s="176">
        <f t="shared" si="465"/>
        <v>1511</v>
      </c>
      <c r="D1514" s="90">
        <v>45962</v>
      </c>
      <c r="E1514" s="90">
        <v>45963</v>
      </c>
      <c r="F1514" s="68" t="s">
        <v>473</v>
      </c>
      <c r="G1514" s="379" t="str">
        <f ca="1">IF(AND(E1514&lt;&gt;"",E1514&lt;TODAY()),"Disponible",IFERROR(INDEX(Vehiculos[Estado Vehiculo],MATCH(F1514,Vehiculos[Placa Vehiculo],0)),""))</f>
        <v>Disponible</v>
      </c>
      <c r="H1514" s="89"/>
      <c r="I1514" s="89" t="s">
        <v>273</v>
      </c>
      <c r="J1514" s="89"/>
      <c r="K1514" s="380">
        <v>21471</v>
      </c>
      <c r="L1514" s="380">
        <v>26290</v>
      </c>
      <c r="M1514" s="381">
        <f t="shared" si="466"/>
        <v>4819</v>
      </c>
      <c r="N1514" s="381"/>
      <c r="O1514" s="380"/>
      <c r="P1514" s="92">
        <v>0.76</v>
      </c>
      <c r="Q1514" s="382">
        <f t="shared" si="467"/>
        <v>3662.44</v>
      </c>
      <c r="R1514" s="89" t="s">
        <v>273</v>
      </c>
      <c r="S1514" s="89" t="s">
        <v>102</v>
      </c>
      <c r="T1514" s="92">
        <v>2.8</v>
      </c>
      <c r="U1514" s="92">
        <f>Rutas[[#This Row],[Precio x Galón ($/gal)]]*Rutas[[#This Row],[Volumen de Combustible (gal)]]</f>
        <v>276.108</v>
      </c>
      <c r="V1514" s="92"/>
      <c r="W1514" s="92"/>
      <c r="X1514" s="92"/>
      <c r="Y1514" s="382">
        <f t="shared" si="468"/>
        <v>276.108</v>
      </c>
      <c r="Z1514" s="578"/>
      <c r="AA1514" s="382">
        <v>98.61</v>
      </c>
      <c r="AB1514" s="382">
        <f t="shared" si="469"/>
        <v>48.869283034175034</v>
      </c>
      <c r="AC1514" s="382">
        <f t="shared" si="470"/>
        <v>0.76</v>
      </c>
      <c r="AD1514" s="89"/>
    </row>
    <row r="1515" spans="3:30" ht="16" x14ac:dyDescent="0.2">
      <c r="C1515" s="176">
        <f t="shared" si="465"/>
        <v>1512</v>
      </c>
      <c r="D1515" s="146">
        <v>45963</v>
      </c>
      <c r="E1515" s="37">
        <v>45968</v>
      </c>
      <c r="F1515" s="65" t="s">
        <v>473</v>
      </c>
      <c r="G1515" s="11" t="str">
        <f ca="1">IF(AND(E1515&lt;&gt;"",E1515&lt;TODAY()),"Disponible",IFERROR(INDEX(Vehiculos[Estado Vehiculo],MATCH(F1515,Vehiculos[Placa Vehiculo],0)),""))</f>
        <v>Disponible</v>
      </c>
      <c r="H1515" s="34"/>
      <c r="I1515" s="34" t="s">
        <v>273</v>
      </c>
      <c r="J1515" s="34"/>
      <c r="K1515" s="39">
        <v>26290</v>
      </c>
      <c r="L1515" s="39">
        <v>26772</v>
      </c>
      <c r="M1515" s="15">
        <f t="shared" si="466"/>
        <v>482</v>
      </c>
      <c r="N1515" s="15"/>
      <c r="O1515" s="39"/>
      <c r="P1515" s="36">
        <v>0.76</v>
      </c>
      <c r="Q1515" s="16">
        <f t="shared" si="467"/>
        <v>366.32</v>
      </c>
      <c r="R1515" s="34" t="s">
        <v>273</v>
      </c>
      <c r="S1515" s="34" t="s">
        <v>102</v>
      </c>
      <c r="T1515" s="36">
        <v>2.8</v>
      </c>
      <c r="U1515" s="36">
        <f>Rutas[[#This Row],[Precio x Galón ($/gal)]]*Rutas[[#This Row],[Volumen de Combustible (gal)]]</f>
        <v>212.49199999999999</v>
      </c>
      <c r="V1515" s="36"/>
      <c r="W1515" s="36"/>
      <c r="X1515" s="36"/>
      <c r="Y1515" s="145">
        <f t="shared" si="468"/>
        <v>212.49199999999999</v>
      </c>
      <c r="Z1515" s="572"/>
      <c r="AA1515" s="12">
        <v>75.89</v>
      </c>
      <c r="AB1515" s="12">
        <f t="shared" si="469"/>
        <v>6.3512979312162336</v>
      </c>
      <c r="AC1515" s="12">
        <f t="shared" si="470"/>
        <v>0.76</v>
      </c>
      <c r="AD1515" s="34"/>
    </row>
    <row r="1516" spans="3:30" ht="16" x14ac:dyDescent="0.2">
      <c r="C1516" s="176">
        <f t="shared" si="465"/>
        <v>1513</v>
      </c>
      <c r="D1516" s="146">
        <v>45968</v>
      </c>
      <c r="E1516" s="37">
        <v>45974</v>
      </c>
      <c r="F1516" s="65" t="s">
        <v>473</v>
      </c>
      <c r="G1516" s="11" t="str">
        <f ca="1">IF(AND(E1516&lt;&gt;"",E1516&lt;TODAY()),"Disponible",IFERROR(INDEX(Vehiculos[Estado Vehiculo],MATCH(F1516,Vehiculos[Placa Vehiculo],0)),""))</f>
        <v>Disponible</v>
      </c>
      <c r="H1516" s="34"/>
      <c r="I1516" s="34" t="s">
        <v>273</v>
      </c>
      <c r="J1516" s="34"/>
      <c r="K1516" s="39">
        <v>26772</v>
      </c>
      <c r="L1516" s="39">
        <v>27265</v>
      </c>
      <c r="M1516" s="15">
        <f t="shared" si="466"/>
        <v>493</v>
      </c>
      <c r="N1516" s="15"/>
      <c r="O1516" s="39"/>
      <c r="P1516" s="36">
        <v>0.76</v>
      </c>
      <c r="Q1516" s="16">
        <f t="shared" si="467"/>
        <v>374.68</v>
      </c>
      <c r="R1516" s="34" t="s">
        <v>273</v>
      </c>
      <c r="S1516" s="34" t="s">
        <v>102</v>
      </c>
      <c r="T1516" s="36">
        <v>2.8</v>
      </c>
      <c r="U1516" s="36">
        <f>Rutas[[#This Row],[Precio x Galón ($/gal)]]*Rutas[[#This Row],[Volumen de Combustible (gal)]]</f>
        <v>267.98799999999994</v>
      </c>
      <c r="V1516" s="36"/>
      <c r="W1516" s="36"/>
      <c r="X1516" s="36"/>
      <c r="Y1516" s="145">
        <f t="shared" si="468"/>
        <v>267.98799999999994</v>
      </c>
      <c r="Z1516" s="572"/>
      <c r="AA1516" s="12">
        <v>95.71</v>
      </c>
      <c r="AB1516" s="12">
        <f t="shared" si="469"/>
        <v>5.1509769094138544</v>
      </c>
      <c r="AC1516" s="12">
        <f t="shared" si="470"/>
        <v>0.76</v>
      </c>
      <c r="AD1516" s="34"/>
    </row>
    <row r="1517" spans="3:30" ht="16" x14ac:dyDescent="0.2">
      <c r="C1517" s="176">
        <f t="shared" si="465"/>
        <v>1514</v>
      </c>
      <c r="D1517" s="454">
        <v>45974</v>
      </c>
      <c r="E1517" s="37">
        <v>45982</v>
      </c>
      <c r="F1517" s="65" t="s">
        <v>473</v>
      </c>
      <c r="G1517" s="11" t="str">
        <f ca="1">IF(AND(E1517&lt;&gt;"",E1517&lt;TODAY()),"Disponible",IFERROR(INDEX(Vehiculos[Estado Vehiculo],MATCH(F1517,Vehiculos[Placa Vehiculo],0)),""))</f>
        <v>Disponible</v>
      </c>
      <c r="H1517" s="34"/>
      <c r="I1517" s="34" t="s">
        <v>273</v>
      </c>
      <c r="J1517" s="34"/>
      <c r="K1517" s="39">
        <v>27265</v>
      </c>
      <c r="L1517" s="39">
        <v>27954</v>
      </c>
      <c r="M1517" s="15">
        <f>L1517-K1517</f>
        <v>689</v>
      </c>
      <c r="N1517" s="15"/>
      <c r="O1517" s="39"/>
      <c r="P1517" s="36">
        <v>0.76</v>
      </c>
      <c r="Q1517" s="16">
        <f>M1517*P1517</f>
        <v>523.64</v>
      </c>
      <c r="R1517" s="34" t="s">
        <v>273</v>
      </c>
      <c r="S1517" s="34" t="s">
        <v>102</v>
      </c>
      <c r="T1517" s="36">
        <v>2.8</v>
      </c>
      <c r="U1517" s="36">
        <f>Rutas[[#This Row],[Precio x Galón ($/gal)]]*Rutas[[#This Row],[Volumen de Combustible (gal)]]</f>
        <v>329</v>
      </c>
      <c r="V1517" s="36"/>
      <c r="W1517" s="36"/>
      <c r="X1517" s="36"/>
      <c r="Y1517" s="145">
        <f>U1517+SUM(V1517:X1517)</f>
        <v>329</v>
      </c>
      <c r="Z1517" s="567"/>
      <c r="AA1517" s="12">
        <v>117.5</v>
      </c>
      <c r="AB1517" s="12">
        <f>IFERROR(M1517/AA1517,0)</f>
        <v>5.8638297872340424</v>
      </c>
      <c r="AC1517" s="12">
        <f>IFERROR(Q1517/M1517,0)</f>
        <v>0.76</v>
      </c>
      <c r="AD1517" s="34"/>
    </row>
    <row r="1518" spans="3:30" ht="16" x14ac:dyDescent="0.2">
      <c r="C1518" s="176">
        <f t="shared" si="465"/>
        <v>1515</v>
      </c>
      <c r="D1518" s="454">
        <v>45982</v>
      </c>
      <c r="E1518" s="37">
        <v>45985</v>
      </c>
      <c r="F1518" s="65" t="s">
        <v>473</v>
      </c>
      <c r="G1518" s="11" t="str">
        <f ca="1">IF(AND(E1518&lt;&gt;"",E1518&lt;TODAY()),"Disponible",IFERROR(INDEX(Vehiculos[Estado Vehiculo],MATCH(F1518,Vehiculos[Placa Vehiculo],0)),""))</f>
        <v>Disponible</v>
      </c>
      <c r="H1518" s="34"/>
      <c r="I1518" s="34" t="s">
        <v>273</v>
      </c>
      <c r="J1518" s="34"/>
      <c r="K1518" s="39">
        <v>27954</v>
      </c>
      <c r="L1518" s="39">
        <v>28333</v>
      </c>
      <c r="M1518" s="15">
        <f>L1518-K1518</f>
        <v>379</v>
      </c>
      <c r="N1518" s="15"/>
      <c r="O1518" s="39"/>
      <c r="P1518" s="36">
        <v>0.76</v>
      </c>
      <c r="Q1518" s="16">
        <f>M1518*P1518</f>
        <v>288.04000000000002</v>
      </c>
      <c r="R1518" s="34" t="s">
        <v>273</v>
      </c>
      <c r="S1518" s="34" t="s">
        <v>102</v>
      </c>
      <c r="T1518" s="36">
        <v>2.8</v>
      </c>
      <c r="U1518" s="36">
        <f>Rutas[[#This Row],[Precio x Galón ($/gal)]]*Rutas[[#This Row],[Volumen de Combustible (gal)]]</f>
        <v>191.85599999999997</v>
      </c>
      <c r="V1518" s="36"/>
      <c r="W1518" s="36"/>
      <c r="X1518" s="36"/>
      <c r="Y1518" s="145">
        <f>U1518+SUM(V1518:X1518)</f>
        <v>191.85599999999997</v>
      </c>
      <c r="Z1518" s="567"/>
      <c r="AA1518" s="12">
        <v>68.52</v>
      </c>
      <c r="AB1518" s="12">
        <f>IFERROR(M1518/AA1518,0)</f>
        <v>5.5312317571511969</v>
      </c>
      <c r="AC1518" s="12">
        <f>IFERROR(Q1518/M1518,0)</f>
        <v>0.76</v>
      </c>
      <c r="AD1518" s="34"/>
    </row>
    <row r="1519" spans="3:30" ht="16" x14ac:dyDescent="0.2">
      <c r="C1519" s="176">
        <f t="shared" si="465"/>
        <v>1516</v>
      </c>
      <c r="D1519" s="454">
        <v>45985</v>
      </c>
      <c r="E1519" s="37">
        <v>45991</v>
      </c>
      <c r="F1519" s="65" t="s">
        <v>473</v>
      </c>
      <c r="G1519" s="11" t="str">
        <f ca="1">IF(AND(E1519&lt;&gt;"",E1519&lt;TODAY()),"Disponible",IFERROR(INDEX(Vehiculos[Estado Vehiculo],MATCH(F1519,Vehiculos[Placa Vehiculo],0)),""))</f>
        <v>Disponible</v>
      </c>
      <c r="H1519" s="34"/>
      <c r="I1519" s="34" t="s">
        <v>273</v>
      </c>
      <c r="J1519" s="34"/>
      <c r="K1519" s="39">
        <v>28333</v>
      </c>
      <c r="L1519" s="39">
        <v>28916</v>
      </c>
      <c r="M1519" s="15">
        <f>L1519-K1519</f>
        <v>583</v>
      </c>
      <c r="N1519" s="452">
        <v>340</v>
      </c>
      <c r="O1519" s="39"/>
      <c r="P1519" s="36">
        <v>0.76</v>
      </c>
      <c r="Q1519" s="16">
        <f>M1519*P1519</f>
        <v>443.08</v>
      </c>
      <c r="R1519" s="34" t="s">
        <v>273</v>
      </c>
      <c r="S1519" s="34" t="s">
        <v>102</v>
      </c>
      <c r="T1519" s="36">
        <v>2.8</v>
      </c>
      <c r="U1519" s="36">
        <f>Rutas[[#This Row],[Precio x Galón ($/gal)]]*Rutas[[#This Row],[Volumen de Combustible (gal)]]</f>
        <v>271.76799999999997</v>
      </c>
      <c r="V1519" s="36"/>
      <c r="W1519" s="36"/>
      <c r="X1519" s="36"/>
      <c r="Y1519" s="145">
        <f>U1519+SUM(V1519:X1519)</f>
        <v>271.76799999999997</v>
      </c>
      <c r="Z1519" s="567"/>
      <c r="AA1519" s="12">
        <v>97.06</v>
      </c>
      <c r="AB1519" s="12">
        <f>IFERROR(M1519/AA1519,0)</f>
        <v>6.0065938594683699</v>
      </c>
      <c r="AC1519" s="12">
        <f>IFERROR(Q1519/M1519,0)</f>
        <v>0.76</v>
      </c>
      <c r="AD1519" s="34"/>
    </row>
    <row r="1520" spans="3:30" ht="16" x14ac:dyDescent="0.2">
      <c r="C1520" s="176">
        <f t="shared" si="465"/>
        <v>1517</v>
      </c>
      <c r="D1520" s="146"/>
      <c r="E1520" s="37"/>
      <c r="F1520" s="65"/>
      <c r="G1520" s="11" t="str">
        <f ca="1">IF(AND(E1520&lt;&gt;"",E1520&lt;TODAY()),"Disponible",IFERROR(INDEX(Vehiculos[Estado Vehiculo],MATCH(F1520,Vehiculos[Placa Vehiculo],0)),""))</f>
        <v/>
      </c>
      <c r="H1520" s="34"/>
      <c r="I1520" s="34"/>
      <c r="J1520" s="34"/>
      <c r="K1520" s="39"/>
      <c r="L1520" s="39"/>
      <c r="M1520" s="15">
        <f t="shared" si="466"/>
        <v>0</v>
      </c>
      <c r="N1520" s="15"/>
      <c r="O1520" s="39"/>
      <c r="P1520" s="36"/>
      <c r="Q1520" s="16">
        <f t="shared" si="467"/>
        <v>0</v>
      </c>
      <c r="R1520" s="34"/>
      <c r="S1520" s="34"/>
      <c r="T1520" s="36"/>
      <c r="U1520" s="36">
        <f>Rutas[[#This Row],[Precio x Galón ($/gal)]]*Rutas[[#This Row],[Volumen de Combustible (gal)]]</f>
        <v>0</v>
      </c>
      <c r="V1520" s="36"/>
      <c r="W1520" s="36"/>
      <c r="X1520" s="36"/>
      <c r="Y1520" s="145">
        <f t="shared" si="468"/>
        <v>0</v>
      </c>
      <c r="Z1520" s="572"/>
      <c r="AA1520" s="12"/>
      <c r="AB1520" s="12">
        <f t="shared" si="469"/>
        <v>0</v>
      </c>
      <c r="AC1520" s="12">
        <f t="shared" si="470"/>
        <v>0</v>
      </c>
      <c r="AD1520" s="34"/>
    </row>
    <row r="1521" spans="3:30" ht="16" x14ac:dyDescent="0.2">
      <c r="C1521" s="176">
        <f t="shared" si="465"/>
        <v>1518</v>
      </c>
      <c r="D1521" s="90">
        <v>45962</v>
      </c>
      <c r="E1521" s="90">
        <v>45963</v>
      </c>
      <c r="F1521" s="68" t="s">
        <v>350</v>
      </c>
      <c r="G1521" s="379" t="str">
        <f ca="1">IF(AND(E1521&lt;&gt;"",E1521&lt;TODAY()),"Disponible",IFERROR(INDEX(Vehiculos[Estado Vehiculo],MATCH(F1521,Vehiculos[Placa Vehiculo],0)),""))</f>
        <v>Disponible</v>
      </c>
      <c r="H1521" s="89"/>
      <c r="I1521" s="89" t="s">
        <v>273</v>
      </c>
      <c r="J1521" s="89"/>
      <c r="K1521" s="380">
        <v>48487</v>
      </c>
      <c r="L1521" s="380">
        <v>49213</v>
      </c>
      <c r="M1521" s="381">
        <f t="shared" si="466"/>
        <v>726</v>
      </c>
      <c r="N1521" s="381"/>
      <c r="O1521" s="380"/>
      <c r="P1521" s="92">
        <v>0.76</v>
      </c>
      <c r="Q1521" s="382">
        <f t="shared" si="467"/>
        <v>551.76</v>
      </c>
      <c r="R1521" s="89" t="s">
        <v>273</v>
      </c>
      <c r="S1521" s="89" t="s">
        <v>102</v>
      </c>
      <c r="T1521" s="92">
        <v>2.8</v>
      </c>
      <c r="U1521" s="92">
        <f>Rutas[[#This Row],[Precio x Galón ($/gal)]]*Rutas[[#This Row],[Volumen de Combustible (gal)]]</f>
        <v>343.7</v>
      </c>
      <c r="V1521" s="92"/>
      <c r="W1521" s="92"/>
      <c r="X1521" s="92"/>
      <c r="Y1521" s="382">
        <f t="shared" si="468"/>
        <v>343.7</v>
      </c>
      <c r="Z1521" s="578"/>
      <c r="AA1521" s="382">
        <v>122.75</v>
      </c>
      <c r="AB1521" s="382">
        <f t="shared" si="469"/>
        <v>5.9144602851323826</v>
      </c>
      <c r="AC1521" s="382">
        <f t="shared" si="470"/>
        <v>0.76</v>
      </c>
      <c r="AD1521" s="89"/>
    </row>
    <row r="1522" spans="3:30" ht="16" x14ac:dyDescent="0.2">
      <c r="C1522" s="176">
        <f t="shared" si="465"/>
        <v>1519</v>
      </c>
      <c r="D1522" s="146">
        <v>45963</v>
      </c>
      <c r="E1522" s="37">
        <v>45967</v>
      </c>
      <c r="F1522" s="65" t="s">
        <v>350</v>
      </c>
      <c r="G1522" s="11" t="str">
        <f ca="1">IF(AND(E1522&lt;&gt;"",E1522&lt;TODAY()),"Disponible",IFERROR(INDEX(Vehiculos[Estado Vehiculo],MATCH(F1522,Vehiculos[Placa Vehiculo],0)),""))</f>
        <v>Disponible</v>
      </c>
      <c r="H1522" s="34"/>
      <c r="I1522" s="34" t="s">
        <v>273</v>
      </c>
      <c r="J1522" s="34"/>
      <c r="K1522" s="39">
        <v>49213</v>
      </c>
      <c r="L1522" s="39">
        <v>49817</v>
      </c>
      <c r="M1522" s="15">
        <f t="shared" si="466"/>
        <v>604</v>
      </c>
      <c r="N1522" s="15"/>
      <c r="O1522" s="39"/>
      <c r="P1522" s="36">
        <v>0.76</v>
      </c>
      <c r="Q1522" s="16">
        <f t="shared" si="467"/>
        <v>459.04</v>
      </c>
      <c r="R1522" s="34" t="s">
        <v>273</v>
      </c>
      <c r="S1522" s="34" t="s">
        <v>102</v>
      </c>
      <c r="T1522" s="36">
        <v>2.8</v>
      </c>
      <c r="U1522" s="36">
        <f>Rutas[[#This Row],[Precio x Galón ($/gal)]]*Rutas[[#This Row],[Volumen de Combustible (gal)]]</f>
        <v>311.83600000000001</v>
      </c>
      <c r="V1522" s="36"/>
      <c r="W1522" s="36"/>
      <c r="X1522" s="36"/>
      <c r="Y1522" s="145">
        <f t="shared" si="468"/>
        <v>311.83600000000001</v>
      </c>
      <c r="Z1522" s="572"/>
      <c r="AA1522" s="12">
        <v>111.37</v>
      </c>
      <c r="AB1522" s="12">
        <f t="shared" si="469"/>
        <v>5.4233635628984462</v>
      </c>
      <c r="AC1522" s="12">
        <f t="shared" si="470"/>
        <v>0.76</v>
      </c>
      <c r="AD1522" s="34"/>
    </row>
    <row r="1523" spans="3:30" ht="16" x14ac:dyDescent="0.2">
      <c r="C1523" s="176">
        <f t="shared" si="465"/>
        <v>1520</v>
      </c>
      <c r="D1523" s="146">
        <v>45967</v>
      </c>
      <c r="E1523" s="37">
        <v>45971</v>
      </c>
      <c r="F1523" s="65" t="s">
        <v>350</v>
      </c>
      <c r="G1523" s="11" t="str">
        <f ca="1">IF(AND(E1523&lt;&gt;"",E1523&lt;TODAY()),"Disponible",IFERROR(INDEX(Vehiculos[Estado Vehiculo],MATCH(F1523,Vehiculos[Placa Vehiculo],0)),""))</f>
        <v>Disponible</v>
      </c>
      <c r="H1523" s="34" t="s">
        <v>237</v>
      </c>
      <c r="I1523" s="34" t="s">
        <v>273</v>
      </c>
      <c r="J1523" s="34"/>
      <c r="K1523" s="39">
        <v>49817</v>
      </c>
      <c r="L1523" s="39">
        <v>50383</v>
      </c>
      <c r="M1523" s="15">
        <f t="shared" si="466"/>
        <v>566</v>
      </c>
      <c r="N1523" s="15"/>
      <c r="O1523" s="39"/>
      <c r="P1523" s="36">
        <v>0.76</v>
      </c>
      <c r="Q1523" s="16">
        <f t="shared" si="467"/>
        <v>430.16</v>
      </c>
      <c r="R1523" s="34" t="s">
        <v>339</v>
      </c>
      <c r="S1523" s="34" t="s">
        <v>102</v>
      </c>
      <c r="T1523" s="36">
        <v>2.8</v>
      </c>
      <c r="U1523" s="36">
        <f>Rutas[[#This Row],[Precio x Galón ($/gal)]]*Rutas[[#This Row],[Volumen de Combustible (gal)]]</f>
        <v>303.82799999999997</v>
      </c>
      <c r="V1523" s="36"/>
      <c r="W1523" s="36"/>
      <c r="X1523" s="36"/>
      <c r="Y1523" s="145">
        <f t="shared" si="468"/>
        <v>303.82799999999997</v>
      </c>
      <c r="Z1523" s="572"/>
      <c r="AA1523" s="12">
        <v>108.51</v>
      </c>
      <c r="AB1523" s="12">
        <f t="shared" si="469"/>
        <v>5.216109114367339</v>
      </c>
      <c r="AC1523" s="12">
        <f t="shared" si="470"/>
        <v>0.76</v>
      </c>
      <c r="AD1523" s="34"/>
    </row>
    <row r="1524" spans="3:30" ht="16" x14ac:dyDescent="0.2">
      <c r="C1524" s="176">
        <f t="shared" si="465"/>
        <v>1521</v>
      </c>
      <c r="D1524" s="146">
        <v>45971</v>
      </c>
      <c r="E1524" s="37">
        <v>45975</v>
      </c>
      <c r="F1524" s="65" t="s">
        <v>350</v>
      </c>
      <c r="G1524" s="11" t="str">
        <f ca="1">IF(AND(E1524&lt;&gt;"",E1524&lt;TODAY()),"Disponible",IFERROR(INDEX(Vehiculos[Estado Vehiculo],MATCH(F1524,Vehiculos[Placa Vehiculo],0)),""))</f>
        <v>Disponible</v>
      </c>
      <c r="H1524" s="34"/>
      <c r="I1524" s="34" t="s">
        <v>273</v>
      </c>
      <c r="J1524" s="34"/>
      <c r="K1524" s="39">
        <v>50383</v>
      </c>
      <c r="L1524" s="39">
        <v>50950</v>
      </c>
      <c r="M1524" s="15">
        <f t="shared" si="466"/>
        <v>567</v>
      </c>
      <c r="N1524" s="15"/>
      <c r="O1524" s="39"/>
      <c r="P1524" s="36">
        <v>0.76</v>
      </c>
      <c r="Q1524" s="16">
        <f t="shared" si="467"/>
        <v>430.92</v>
      </c>
      <c r="R1524" s="34" t="s">
        <v>273</v>
      </c>
      <c r="S1524" s="34" t="s">
        <v>102</v>
      </c>
      <c r="T1524" s="36">
        <v>2.8</v>
      </c>
      <c r="U1524" s="36">
        <f>Rutas[[#This Row],[Precio x Galón ($/gal)]]*Rutas[[#This Row],[Volumen de Combustible (gal)]]</f>
        <v>285.93599999999998</v>
      </c>
      <c r="V1524" s="36"/>
      <c r="W1524" s="36"/>
      <c r="X1524" s="36"/>
      <c r="Y1524" s="145">
        <f t="shared" si="468"/>
        <v>285.93599999999998</v>
      </c>
      <c r="Z1524" s="572"/>
      <c r="AA1524" s="12">
        <v>102.12</v>
      </c>
      <c r="AB1524" s="12">
        <f t="shared" si="469"/>
        <v>5.5522914218566388</v>
      </c>
      <c r="AC1524" s="12">
        <f t="shared" si="470"/>
        <v>0.76</v>
      </c>
      <c r="AD1524" s="34"/>
    </row>
    <row r="1525" spans="3:30" ht="16" x14ac:dyDescent="0.2">
      <c r="C1525" s="176">
        <f t="shared" si="465"/>
        <v>1522</v>
      </c>
      <c r="D1525" s="454">
        <v>45975</v>
      </c>
      <c r="E1525" s="37">
        <v>45978</v>
      </c>
      <c r="F1525" s="65" t="s">
        <v>350</v>
      </c>
      <c r="G1525" s="11" t="str">
        <f ca="1">IF(AND(E1525&lt;&gt;"",E1525&lt;TODAY()),"Disponible",IFERROR(INDEX(Vehiculos[Estado Vehiculo],MATCH(F1525,Vehiculos[Placa Vehiculo],0)),""))</f>
        <v>Disponible</v>
      </c>
      <c r="H1525" s="34"/>
      <c r="I1525" s="34" t="s">
        <v>273</v>
      </c>
      <c r="J1525" s="34"/>
      <c r="K1525" s="39">
        <v>50950</v>
      </c>
      <c r="L1525" s="39">
        <v>51371</v>
      </c>
      <c r="M1525" s="15">
        <f>L1525-K1525</f>
        <v>421</v>
      </c>
      <c r="N1525" s="15"/>
      <c r="O1525" s="39"/>
      <c r="P1525" s="36">
        <v>0.76</v>
      </c>
      <c r="Q1525" s="16">
        <f>M1525*P1525</f>
        <v>319.95999999999998</v>
      </c>
      <c r="R1525" s="34" t="s">
        <v>273</v>
      </c>
      <c r="S1525" s="34" t="s">
        <v>102</v>
      </c>
      <c r="T1525" s="36">
        <v>2.8</v>
      </c>
      <c r="U1525" s="36">
        <f>Rutas[[#This Row],[Precio x Galón ($/gal)]]*Rutas[[#This Row],[Volumen de Combustible (gal)]]</f>
        <v>252.58799999999997</v>
      </c>
      <c r="V1525" s="36"/>
      <c r="W1525" s="36"/>
      <c r="X1525" s="36"/>
      <c r="Y1525" s="145">
        <f>U1525+SUM(V1525:X1525)</f>
        <v>252.58799999999997</v>
      </c>
      <c r="Z1525" s="567"/>
      <c r="AA1525" s="12">
        <v>90.21</v>
      </c>
      <c r="AB1525" s="12">
        <f>IFERROR(M1525/AA1525,0)</f>
        <v>4.6668883715774312</v>
      </c>
      <c r="AC1525" s="12">
        <f>IFERROR(Q1525/M1525,0)</f>
        <v>0.7599999999999999</v>
      </c>
      <c r="AD1525" s="34"/>
    </row>
    <row r="1526" spans="3:30" ht="16" x14ac:dyDescent="0.2">
      <c r="C1526" s="176">
        <f t="shared" si="465"/>
        <v>1523</v>
      </c>
      <c r="D1526" s="454">
        <v>45978</v>
      </c>
      <c r="E1526" s="37">
        <v>45979</v>
      </c>
      <c r="F1526" s="65" t="s">
        <v>350</v>
      </c>
      <c r="G1526" s="11" t="str">
        <f ca="1">IF(AND(E1526&lt;&gt;"",E1526&lt;TODAY()),"Disponible",IFERROR(INDEX(Vehiculos[Estado Vehiculo],MATCH(F1526,Vehiculos[Placa Vehiculo],0)),""))</f>
        <v>Disponible</v>
      </c>
      <c r="H1526" s="34"/>
      <c r="I1526" s="34" t="s">
        <v>273</v>
      </c>
      <c r="J1526" s="34"/>
      <c r="K1526" s="39">
        <v>51371</v>
      </c>
      <c r="L1526" s="39">
        <v>51531</v>
      </c>
      <c r="M1526" s="15">
        <f>L1526-K1526</f>
        <v>160</v>
      </c>
      <c r="N1526" s="15"/>
      <c r="O1526" s="39"/>
      <c r="P1526" s="36">
        <v>0.76</v>
      </c>
      <c r="Q1526" s="16">
        <f>M1526*P1526</f>
        <v>121.6</v>
      </c>
      <c r="R1526" s="34" t="s">
        <v>273</v>
      </c>
      <c r="S1526" s="34" t="s">
        <v>102</v>
      </c>
      <c r="T1526" s="36">
        <v>2.8</v>
      </c>
      <c r="U1526" s="36">
        <f>Rutas[[#This Row],[Precio x Galón ($/gal)]]*Rutas[[#This Row],[Volumen de Combustible (gal)]]</f>
        <v>90.943999999999988</v>
      </c>
      <c r="V1526" s="36"/>
      <c r="W1526" s="36"/>
      <c r="X1526" s="36"/>
      <c r="Y1526" s="145">
        <f>U1526+SUM(V1526:X1526)</f>
        <v>90.943999999999988</v>
      </c>
      <c r="Z1526" s="567"/>
      <c r="AA1526" s="12">
        <v>32.479999999999997</v>
      </c>
      <c r="AB1526" s="12">
        <f>IFERROR(M1526/AA1526,0)</f>
        <v>4.9261083743842367</v>
      </c>
      <c r="AC1526" s="12">
        <f>IFERROR(Q1526/M1526,0)</f>
        <v>0.76</v>
      </c>
      <c r="AD1526" s="34"/>
    </row>
    <row r="1527" spans="3:30" ht="16" x14ac:dyDescent="0.2">
      <c r="C1527" s="176">
        <f t="shared" si="465"/>
        <v>1524</v>
      </c>
      <c r="D1527" s="454">
        <v>45979</v>
      </c>
      <c r="E1527" s="37">
        <v>45982</v>
      </c>
      <c r="F1527" s="65" t="s">
        <v>350</v>
      </c>
      <c r="G1527" s="11" t="str">
        <f ca="1">IF(AND(E1527&lt;&gt;"",E1527&lt;TODAY()),"Disponible",IFERROR(INDEX(Vehiculos[Estado Vehiculo],MATCH(F1527,Vehiculos[Placa Vehiculo],0)),""))</f>
        <v>Disponible</v>
      </c>
      <c r="H1527" s="34"/>
      <c r="I1527" s="34" t="s">
        <v>273</v>
      </c>
      <c r="J1527" s="34"/>
      <c r="K1527" s="39">
        <v>51531</v>
      </c>
      <c r="L1527" s="39">
        <v>51960</v>
      </c>
      <c r="M1527" s="15">
        <f>L1527-K1527</f>
        <v>429</v>
      </c>
      <c r="N1527" s="15"/>
      <c r="O1527" s="39"/>
      <c r="P1527" s="36">
        <v>0.76</v>
      </c>
      <c r="Q1527" s="16">
        <f>M1527*P1527</f>
        <v>326.04000000000002</v>
      </c>
      <c r="R1527" s="34" t="s">
        <v>273</v>
      </c>
      <c r="S1527" s="34" t="s">
        <v>102</v>
      </c>
      <c r="T1527" s="36">
        <v>2.8</v>
      </c>
      <c r="U1527" s="36">
        <f>Rutas[[#This Row],[Precio x Galón ($/gal)]]*Rutas[[#This Row],[Volumen de Combustible (gal)]]</f>
        <v>238.14</v>
      </c>
      <c r="V1527" s="36"/>
      <c r="W1527" s="36"/>
      <c r="X1527" s="36"/>
      <c r="Y1527" s="145">
        <f>U1527+SUM(V1527:X1527)</f>
        <v>238.14</v>
      </c>
      <c r="Z1527" s="567"/>
      <c r="AA1527" s="12">
        <v>85.05</v>
      </c>
      <c r="AB1527" s="12">
        <f>IFERROR(M1527/AA1527,0)</f>
        <v>5.0440917107583774</v>
      </c>
      <c r="AC1527" s="12">
        <f>IFERROR(Q1527/M1527,0)</f>
        <v>0.76</v>
      </c>
      <c r="AD1527" s="34"/>
    </row>
    <row r="1528" spans="3:30" ht="16" x14ac:dyDescent="0.2">
      <c r="C1528" s="176">
        <f t="shared" si="465"/>
        <v>1525</v>
      </c>
      <c r="D1528" s="454">
        <v>45982</v>
      </c>
      <c r="E1528" s="37">
        <v>45986</v>
      </c>
      <c r="F1528" s="65" t="s">
        <v>350</v>
      </c>
      <c r="G1528" s="11" t="str">
        <f ca="1">IF(AND(E1528&lt;&gt;"",E1528&lt;TODAY()),"Disponible",IFERROR(INDEX(Vehiculos[Estado Vehiculo],MATCH(F1528,Vehiculos[Placa Vehiculo],0)),""))</f>
        <v>Disponible</v>
      </c>
      <c r="H1528" s="34"/>
      <c r="I1528" s="34" t="s">
        <v>273</v>
      </c>
      <c r="J1528" s="34"/>
      <c r="K1528" s="39">
        <v>51960</v>
      </c>
      <c r="L1528" s="39">
        <v>52609</v>
      </c>
      <c r="M1528" s="15">
        <f>L1528-K1528</f>
        <v>649</v>
      </c>
      <c r="N1528" s="15"/>
      <c r="O1528" s="39"/>
      <c r="P1528" s="36">
        <v>0.76</v>
      </c>
      <c r="Q1528" s="16">
        <f>M1528*P1528</f>
        <v>493.24</v>
      </c>
      <c r="R1528" s="34" t="s">
        <v>273</v>
      </c>
      <c r="S1528" s="34" t="s">
        <v>102</v>
      </c>
      <c r="T1528" s="36">
        <v>2.8</v>
      </c>
      <c r="U1528" s="36">
        <f>Rutas[[#This Row],[Precio x Galón ($/gal)]]*Rutas[[#This Row],[Volumen de Combustible (gal)]]</f>
        <v>316.98799999999994</v>
      </c>
      <c r="V1528" s="36"/>
      <c r="W1528" s="36"/>
      <c r="X1528" s="36"/>
      <c r="Y1528" s="145">
        <f>U1528+SUM(V1528:X1528)</f>
        <v>316.98799999999994</v>
      </c>
      <c r="Z1528" s="567"/>
      <c r="AA1528" s="12">
        <v>113.21</v>
      </c>
      <c r="AB1528" s="12">
        <f>IFERROR(M1528/AA1528,0)</f>
        <v>5.7327091246356332</v>
      </c>
      <c r="AC1528" s="12">
        <f>IFERROR(Q1528/M1528,0)</f>
        <v>0.76</v>
      </c>
      <c r="AD1528" s="34"/>
    </row>
    <row r="1529" spans="3:30" ht="16" x14ac:dyDescent="0.2">
      <c r="C1529" s="176">
        <f t="shared" si="465"/>
        <v>1526</v>
      </c>
      <c r="D1529" s="454">
        <v>45986</v>
      </c>
      <c r="E1529" s="37">
        <v>45990</v>
      </c>
      <c r="F1529" s="65" t="s">
        <v>350</v>
      </c>
      <c r="G1529" s="11" t="str">
        <f ca="1">IF(AND(E1529&lt;&gt;"",E1529&lt;TODAY()),"Disponible",IFERROR(INDEX(Vehiculos[Estado Vehiculo],MATCH(F1529,Vehiculos[Placa Vehiculo],0)),""))</f>
        <v>Disponible</v>
      </c>
      <c r="H1529" s="34"/>
      <c r="I1529" s="34" t="s">
        <v>273</v>
      </c>
      <c r="J1529" s="34"/>
      <c r="K1529" s="39">
        <v>52609</v>
      </c>
      <c r="L1529" s="39">
        <v>53227</v>
      </c>
      <c r="M1529" s="15">
        <f>L1529-K1529</f>
        <v>618</v>
      </c>
      <c r="N1529" s="452">
        <v>601</v>
      </c>
      <c r="O1529" s="39"/>
      <c r="P1529" s="36">
        <v>0.76</v>
      </c>
      <c r="Q1529" s="16">
        <f>M1529*P1529</f>
        <v>469.68</v>
      </c>
      <c r="R1529" s="34" t="s">
        <v>273</v>
      </c>
      <c r="S1529" s="34" t="s">
        <v>102</v>
      </c>
      <c r="T1529" s="36">
        <v>2.8</v>
      </c>
      <c r="U1529" s="36">
        <f>Rutas[[#This Row],[Precio x Galón ($/gal)]]*Rutas[[#This Row],[Volumen de Combustible (gal)]]</f>
        <v>303.68799999999999</v>
      </c>
      <c r="V1529" s="36"/>
      <c r="W1529" s="36"/>
      <c r="X1529" s="36"/>
      <c r="Y1529" s="145">
        <f>U1529+SUM(V1529:X1529)</f>
        <v>303.68799999999999</v>
      </c>
      <c r="Z1529" s="567"/>
      <c r="AA1529" s="12">
        <v>108.46</v>
      </c>
      <c r="AB1529" s="12">
        <f>IFERROR(M1529/AA1529,0)</f>
        <v>5.697953162456205</v>
      </c>
      <c r="AC1529" s="12">
        <f>IFERROR(Q1529/M1529,0)</f>
        <v>0.76</v>
      </c>
      <c r="AD1529" s="34"/>
    </row>
    <row r="1530" spans="3:30" ht="16" x14ac:dyDescent="0.2">
      <c r="C1530" s="176">
        <f t="shared" si="465"/>
        <v>1527</v>
      </c>
      <c r="D1530" s="146"/>
      <c r="E1530" s="37"/>
      <c r="F1530" s="65"/>
      <c r="G1530" s="11" t="str">
        <f ca="1">IF(AND(E1530&lt;&gt;"",E1530&lt;TODAY()),"Disponible",IFERROR(INDEX(Vehiculos[Estado Vehiculo],MATCH(F1530,Vehiculos[Placa Vehiculo],0)),""))</f>
        <v/>
      </c>
      <c r="H1530" s="34"/>
      <c r="I1530" s="34"/>
      <c r="J1530" s="34"/>
      <c r="K1530" s="39"/>
      <c r="L1530" s="39"/>
      <c r="M1530" s="15">
        <f t="shared" si="466"/>
        <v>0</v>
      </c>
      <c r="N1530" s="15"/>
      <c r="O1530" s="39"/>
      <c r="P1530" s="36"/>
      <c r="Q1530" s="16">
        <f t="shared" si="467"/>
        <v>0</v>
      </c>
      <c r="R1530" s="34"/>
      <c r="S1530" s="34"/>
      <c r="T1530" s="36"/>
      <c r="U1530" s="36">
        <f>Rutas[[#This Row],[Precio x Galón ($/gal)]]*Rutas[[#This Row],[Volumen de Combustible (gal)]]</f>
        <v>0</v>
      </c>
      <c r="V1530" s="36"/>
      <c r="W1530" s="36"/>
      <c r="X1530" s="36"/>
      <c r="Y1530" s="145">
        <f t="shared" si="468"/>
        <v>0</v>
      </c>
      <c r="Z1530" s="572"/>
      <c r="AA1530" s="12"/>
      <c r="AB1530" s="12">
        <f t="shared" si="469"/>
        <v>0</v>
      </c>
      <c r="AC1530" s="12">
        <f t="shared" si="470"/>
        <v>0</v>
      </c>
      <c r="AD1530" s="34"/>
    </row>
    <row r="1531" spans="3:30" ht="16" x14ac:dyDescent="0.2">
      <c r="C1531" s="176">
        <f t="shared" si="465"/>
        <v>1528</v>
      </c>
      <c r="D1531" s="90">
        <v>45962</v>
      </c>
      <c r="E1531" s="90">
        <v>45971</v>
      </c>
      <c r="F1531" s="68" t="s">
        <v>213</v>
      </c>
      <c r="G1531" s="379" t="str">
        <f ca="1">IF(AND(E1531&lt;&gt;"",E1531&lt;TODAY()),"Disponible",IFERROR(INDEX(Vehiculos[Estado Vehiculo],MATCH(F1531,Vehiculos[Placa Vehiculo],0)),""))</f>
        <v>Disponible</v>
      </c>
      <c r="H1531" s="89"/>
      <c r="I1531" s="89" t="s">
        <v>273</v>
      </c>
      <c r="J1531" s="89"/>
      <c r="K1531" s="380">
        <v>423980</v>
      </c>
      <c r="L1531" s="380">
        <v>425277</v>
      </c>
      <c r="M1531" s="381">
        <f t="shared" si="466"/>
        <v>1297</v>
      </c>
      <c r="N1531" s="381"/>
      <c r="O1531" s="380"/>
      <c r="P1531" s="92">
        <v>0.55000000000000004</v>
      </c>
      <c r="Q1531" s="382">
        <f t="shared" si="467"/>
        <v>713.35</v>
      </c>
      <c r="R1531" s="89" t="s">
        <v>339</v>
      </c>
      <c r="S1531" s="89" t="s">
        <v>102</v>
      </c>
      <c r="T1531" s="92">
        <v>2.8</v>
      </c>
      <c r="U1531" s="92">
        <f>Rutas[[#This Row],[Precio x Galón ($/gal)]]*Rutas[[#This Row],[Volumen de Combustible (gal)]]</f>
        <v>461.99999999999994</v>
      </c>
      <c r="V1531" s="92"/>
      <c r="W1531" s="92"/>
      <c r="X1531" s="92"/>
      <c r="Y1531" s="382">
        <f t="shared" si="468"/>
        <v>461.99999999999994</v>
      </c>
      <c r="Z1531" s="578"/>
      <c r="AA1531" s="382">
        <v>165</v>
      </c>
      <c r="AB1531" s="382">
        <f t="shared" si="469"/>
        <v>7.8606060606060604</v>
      </c>
      <c r="AC1531" s="382">
        <f t="shared" si="470"/>
        <v>0.55000000000000004</v>
      </c>
      <c r="AD1531" s="89"/>
    </row>
    <row r="1532" spans="3:30" ht="16" x14ac:dyDescent="0.2">
      <c r="C1532" s="176">
        <f t="shared" si="465"/>
        <v>1529</v>
      </c>
      <c r="D1532" s="146">
        <v>45971</v>
      </c>
      <c r="E1532" s="37">
        <v>45981</v>
      </c>
      <c r="F1532" s="65" t="s">
        <v>213</v>
      </c>
      <c r="G1532" s="11" t="str">
        <f ca="1">IF(AND(E1532&lt;&gt;"",E1532&lt;TODAY()),"Disponible",IFERROR(INDEX(Vehiculos[Estado Vehiculo],MATCH(F1532,Vehiculos[Placa Vehiculo],0)),""))</f>
        <v>Disponible</v>
      </c>
      <c r="H1532" s="34"/>
      <c r="I1532" s="34" t="s">
        <v>273</v>
      </c>
      <c r="J1532" s="34"/>
      <c r="K1532" s="39">
        <v>425277</v>
      </c>
      <c r="L1532" s="39">
        <v>426584</v>
      </c>
      <c r="M1532" s="15">
        <f t="shared" ref="M1532:M1552" si="486">L1532-K1532</f>
        <v>1307</v>
      </c>
      <c r="N1532" s="15"/>
      <c r="O1532" s="39"/>
      <c r="P1532" s="36">
        <v>0.55000000000000004</v>
      </c>
      <c r="Q1532" s="16">
        <f t="shared" ref="Q1532:Q1552" si="487">M1532*P1532</f>
        <v>718.85</v>
      </c>
      <c r="R1532" s="34" t="s">
        <v>339</v>
      </c>
      <c r="S1532" s="34" t="s">
        <v>102</v>
      </c>
      <c r="T1532" s="36">
        <v>2.8</v>
      </c>
      <c r="U1532" s="36">
        <f>Rutas[[#This Row],[Precio x Galón ($/gal)]]*Rutas[[#This Row],[Volumen de Combustible (gal)]]</f>
        <v>308</v>
      </c>
      <c r="V1532" s="36"/>
      <c r="W1532" s="36"/>
      <c r="X1532" s="36"/>
      <c r="Y1532" s="145">
        <f t="shared" ref="Y1532:Y1552" si="488">U1532+SUM(V1532:X1532)</f>
        <v>308</v>
      </c>
      <c r="Z1532" s="572"/>
      <c r="AA1532" s="12">
        <v>110</v>
      </c>
      <c r="AB1532" s="12">
        <f t="shared" ref="AB1532:AB1552" si="489">IFERROR(M1532/AA1532,0)</f>
        <v>11.881818181818181</v>
      </c>
      <c r="AC1532" s="12">
        <f t="shared" ref="AC1532:AC1552" si="490">IFERROR(Q1532/M1532,0)</f>
        <v>0.55000000000000004</v>
      </c>
      <c r="AD1532" s="34"/>
    </row>
    <row r="1533" spans="3:30" ht="16" x14ac:dyDescent="0.2">
      <c r="C1533" s="176">
        <f t="shared" si="465"/>
        <v>1530</v>
      </c>
      <c r="D1533" s="146">
        <v>45981</v>
      </c>
      <c r="E1533" s="37">
        <v>45991</v>
      </c>
      <c r="F1533" s="65" t="s">
        <v>213</v>
      </c>
      <c r="G1533" s="11" t="str">
        <f ca="1">IF(AND(E1533&lt;&gt;"",E1533&lt;TODAY()),"Disponible",IFERROR(INDEX(Vehiculos[Estado Vehiculo],MATCH(F1533,Vehiculos[Placa Vehiculo],0)),""))</f>
        <v>Disponible</v>
      </c>
      <c r="H1533" s="34"/>
      <c r="I1533" s="34" t="s">
        <v>273</v>
      </c>
      <c r="J1533" s="34"/>
      <c r="K1533" s="39">
        <v>426584</v>
      </c>
      <c r="L1533" s="39">
        <v>428160</v>
      </c>
      <c r="M1533" s="15">
        <f t="shared" si="486"/>
        <v>1576</v>
      </c>
      <c r="N1533" s="452">
        <v>313</v>
      </c>
      <c r="O1533" s="39"/>
      <c r="P1533" s="36">
        <v>0.55000000000000004</v>
      </c>
      <c r="Q1533" s="16">
        <f t="shared" si="487"/>
        <v>866.80000000000007</v>
      </c>
      <c r="R1533" s="34" t="s">
        <v>339</v>
      </c>
      <c r="S1533" s="34" t="s">
        <v>102</v>
      </c>
      <c r="T1533" s="36">
        <v>2.8</v>
      </c>
      <c r="U1533" s="36">
        <f>Rutas[[#This Row],[Precio x Galón ($/gal)]]*Rutas[[#This Row],[Volumen de Combustible (gal)]]</f>
        <v>475.99999999999994</v>
      </c>
      <c r="V1533" s="36"/>
      <c r="W1533" s="36"/>
      <c r="X1533" s="36"/>
      <c r="Y1533" s="145">
        <f t="shared" si="488"/>
        <v>475.99999999999994</v>
      </c>
      <c r="Z1533" s="572"/>
      <c r="AA1533" s="12">
        <v>170</v>
      </c>
      <c r="AB1533" s="12">
        <f t="shared" si="489"/>
        <v>9.2705882352941185</v>
      </c>
      <c r="AC1533" s="12">
        <f t="shared" si="490"/>
        <v>0.55000000000000004</v>
      </c>
      <c r="AD1533" s="34"/>
    </row>
    <row r="1534" spans="3:30" ht="16" x14ac:dyDescent="0.2">
      <c r="C1534" s="176">
        <f t="shared" si="465"/>
        <v>1531</v>
      </c>
      <c r="D1534" s="146"/>
      <c r="E1534" s="37"/>
      <c r="F1534" s="65"/>
      <c r="G1534" s="11" t="str">
        <f ca="1">IF(AND(E1534&lt;&gt;"",E1534&lt;TODAY()),"Disponible",IFERROR(INDEX(Vehiculos[Estado Vehiculo],MATCH(F1534,Vehiculos[Placa Vehiculo],0)),""))</f>
        <v/>
      </c>
      <c r="H1534" s="34"/>
      <c r="I1534" s="34"/>
      <c r="J1534" s="34"/>
      <c r="K1534" s="39"/>
      <c r="L1534" s="39"/>
      <c r="M1534" s="15">
        <f t="shared" si="486"/>
        <v>0</v>
      </c>
      <c r="N1534" s="15"/>
      <c r="O1534" s="39"/>
      <c r="P1534" s="36"/>
      <c r="Q1534" s="16">
        <f t="shared" si="487"/>
        <v>0</v>
      </c>
      <c r="R1534" s="34"/>
      <c r="S1534" s="34"/>
      <c r="T1534" s="36"/>
      <c r="U1534" s="36">
        <f>Rutas[[#This Row],[Precio x Galón ($/gal)]]*Rutas[[#This Row],[Volumen de Combustible (gal)]]</f>
        <v>0</v>
      </c>
      <c r="V1534" s="36"/>
      <c r="W1534" s="36"/>
      <c r="X1534" s="36"/>
      <c r="Y1534" s="145">
        <f t="shared" si="488"/>
        <v>0</v>
      </c>
      <c r="Z1534" s="572"/>
      <c r="AA1534" s="12"/>
      <c r="AB1534" s="12">
        <f t="shared" si="489"/>
        <v>0</v>
      </c>
      <c r="AC1534" s="12">
        <f t="shared" si="490"/>
        <v>0</v>
      </c>
      <c r="AD1534" s="34"/>
    </row>
    <row r="1535" spans="3:30" ht="16" x14ac:dyDescent="0.2">
      <c r="C1535" s="176">
        <f t="shared" si="465"/>
        <v>1532</v>
      </c>
      <c r="D1535" s="90">
        <v>45962</v>
      </c>
      <c r="E1535" s="90">
        <v>45971</v>
      </c>
      <c r="F1535" s="68" t="s">
        <v>365</v>
      </c>
      <c r="G1535" s="379" t="str">
        <f ca="1">IF(AND(E1535&lt;&gt;"",E1535&lt;TODAY()),"Disponible",IFERROR(INDEX(Vehiculos[Estado Vehiculo],MATCH(F1535,Vehiculos[Placa Vehiculo],0)),""))</f>
        <v>Disponible</v>
      </c>
      <c r="H1535" s="89"/>
      <c r="I1535" s="89" t="s">
        <v>273</v>
      </c>
      <c r="J1535" s="89"/>
      <c r="K1535" s="380">
        <v>366944</v>
      </c>
      <c r="L1535" s="380">
        <v>367123</v>
      </c>
      <c r="M1535" s="381">
        <f t="shared" si="486"/>
        <v>179</v>
      </c>
      <c r="N1535" s="381"/>
      <c r="O1535" s="380"/>
      <c r="P1535" s="92">
        <v>0.55000000000000004</v>
      </c>
      <c r="Q1535" s="382">
        <f t="shared" si="487"/>
        <v>98.45</v>
      </c>
      <c r="R1535" s="89" t="s">
        <v>340</v>
      </c>
      <c r="S1535" s="89" t="s">
        <v>102</v>
      </c>
      <c r="T1535" s="92">
        <v>2.8</v>
      </c>
      <c r="U1535" s="92">
        <f>Rutas[[#This Row],[Precio x Galón ($/gal)]]*Rutas[[#This Row],[Volumen de Combustible (gal)]]</f>
        <v>448</v>
      </c>
      <c r="V1535" s="92"/>
      <c r="W1535" s="92"/>
      <c r="X1535" s="92"/>
      <c r="Y1535" s="382">
        <f t="shared" si="488"/>
        <v>448</v>
      </c>
      <c r="Z1535" s="578"/>
      <c r="AA1535" s="382">
        <v>160</v>
      </c>
      <c r="AB1535" s="382">
        <f t="shared" si="489"/>
        <v>1.1187499999999999</v>
      </c>
      <c r="AC1535" s="382">
        <f t="shared" si="490"/>
        <v>0.55000000000000004</v>
      </c>
      <c r="AD1535" s="89"/>
    </row>
    <row r="1536" spans="3:30" ht="16" x14ac:dyDescent="0.2">
      <c r="C1536" s="176">
        <f t="shared" si="465"/>
        <v>1533</v>
      </c>
      <c r="D1536" s="146">
        <v>45971</v>
      </c>
      <c r="E1536" s="37">
        <v>45981</v>
      </c>
      <c r="F1536" s="65" t="s">
        <v>365</v>
      </c>
      <c r="G1536" s="11" t="str">
        <f ca="1">IF(AND(E1536&lt;&gt;"",E1536&lt;TODAY()),"Disponible",IFERROR(INDEX(Vehiculos[Estado Vehiculo],MATCH(F1536,Vehiculos[Placa Vehiculo],0)),""))</f>
        <v>Disponible</v>
      </c>
      <c r="H1536" s="34"/>
      <c r="I1536" s="34" t="s">
        <v>273</v>
      </c>
      <c r="J1536" s="34"/>
      <c r="K1536" s="39">
        <v>367123</v>
      </c>
      <c r="L1536" s="39">
        <v>367892</v>
      </c>
      <c r="M1536" s="15">
        <f t="shared" si="486"/>
        <v>769</v>
      </c>
      <c r="N1536" s="15"/>
      <c r="O1536" s="39"/>
      <c r="P1536" s="36">
        <v>0.55000000000000004</v>
      </c>
      <c r="Q1536" s="16">
        <f t="shared" si="487"/>
        <v>422.95000000000005</v>
      </c>
      <c r="R1536" s="34" t="s">
        <v>340</v>
      </c>
      <c r="S1536" s="34" t="s">
        <v>102</v>
      </c>
      <c r="T1536" s="36">
        <v>2.8</v>
      </c>
      <c r="U1536" s="36">
        <f>Rutas[[#This Row],[Precio x Galón ($/gal)]]*Rutas[[#This Row],[Volumen de Combustible (gal)]]</f>
        <v>316.39999999999998</v>
      </c>
      <c r="V1536" s="36"/>
      <c r="W1536" s="36"/>
      <c r="X1536" s="36"/>
      <c r="Y1536" s="145">
        <f t="shared" si="488"/>
        <v>316.39999999999998</v>
      </c>
      <c r="Z1536" s="572"/>
      <c r="AA1536" s="12">
        <v>113</v>
      </c>
      <c r="AB1536" s="12">
        <f t="shared" si="489"/>
        <v>6.8053097345132745</v>
      </c>
      <c r="AC1536" s="12">
        <f t="shared" si="490"/>
        <v>0.55000000000000004</v>
      </c>
      <c r="AD1536" s="34"/>
    </row>
    <row r="1537" spans="3:30" ht="16" x14ac:dyDescent="0.2">
      <c r="C1537" s="176">
        <f t="shared" si="465"/>
        <v>1534</v>
      </c>
      <c r="D1537" s="146">
        <v>45981</v>
      </c>
      <c r="E1537" s="37">
        <v>45991</v>
      </c>
      <c r="F1537" s="65" t="s">
        <v>365</v>
      </c>
      <c r="G1537" s="11" t="str">
        <f ca="1">IF(AND(E1537&lt;&gt;"",E1537&lt;TODAY()),"Disponible",IFERROR(INDEX(Vehiculos[Estado Vehiculo],MATCH(F1537,Vehiculos[Placa Vehiculo],0)),""))</f>
        <v>Disponible</v>
      </c>
      <c r="H1537" s="34"/>
      <c r="I1537" s="34" t="s">
        <v>273</v>
      </c>
      <c r="J1537" s="34"/>
      <c r="K1537" s="39">
        <v>367892</v>
      </c>
      <c r="L1537" s="39">
        <v>368669</v>
      </c>
      <c r="M1537" s="15">
        <f t="shared" si="486"/>
        <v>777</v>
      </c>
      <c r="N1537" s="452">
        <v>302</v>
      </c>
      <c r="O1537" s="39"/>
      <c r="P1537" s="36">
        <v>0.55000000000000004</v>
      </c>
      <c r="Q1537" s="16">
        <f t="shared" si="487"/>
        <v>427.35</v>
      </c>
      <c r="R1537" s="34" t="s">
        <v>340</v>
      </c>
      <c r="S1537" s="34" t="s">
        <v>102</v>
      </c>
      <c r="T1537" s="36">
        <v>2.8</v>
      </c>
      <c r="U1537" s="36">
        <f>Rutas[[#This Row],[Precio x Galón ($/gal)]]*Rutas[[#This Row],[Volumen de Combustible (gal)]]</f>
        <v>162.39999999999998</v>
      </c>
      <c r="V1537" s="36"/>
      <c r="W1537" s="36"/>
      <c r="X1537" s="36"/>
      <c r="Y1537" s="145">
        <f t="shared" si="488"/>
        <v>162.39999999999998</v>
      </c>
      <c r="Z1537" s="572"/>
      <c r="AA1537" s="12">
        <v>58</v>
      </c>
      <c r="AB1537" s="12">
        <f t="shared" si="489"/>
        <v>13.396551724137931</v>
      </c>
      <c r="AC1537" s="12">
        <f t="shared" si="490"/>
        <v>0.55000000000000004</v>
      </c>
      <c r="AD1537" s="34"/>
    </row>
    <row r="1538" spans="3:30" ht="16" x14ac:dyDescent="0.2">
      <c r="C1538" s="176">
        <f t="shared" si="465"/>
        <v>1535</v>
      </c>
      <c r="D1538" s="146"/>
      <c r="E1538" s="37"/>
      <c r="F1538" s="65"/>
      <c r="G1538" s="11" t="str">
        <f ca="1">IF(AND(E1538&lt;&gt;"",E1538&lt;TODAY()),"Disponible",IFERROR(INDEX(Vehiculos[Estado Vehiculo],MATCH(F1538,Vehiculos[Placa Vehiculo],0)),""))</f>
        <v/>
      </c>
      <c r="H1538" s="34"/>
      <c r="I1538" s="34"/>
      <c r="J1538" s="34"/>
      <c r="K1538" s="39"/>
      <c r="L1538" s="39"/>
      <c r="M1538" s="15">
        <f t="shared" si="486"/>
        <v>0</v>
      </c>
      <c r="N1538" s="15"/>
      <c r="O1538" s="39"/>
      <c r="P1538" s="36"/>
      <c r="Q1538" s="16">
        <f t="shared" si="487"/>
        <v>0</v>
      </c>
      <c r="R1538" s="34"/>
      <c r="S1538" s="34"/>
      <c r="T1538" s="36"/>
      <c r="U1538" s="36">
        <f>Rutas[[#This Row],[Precio x Galón ($/gal)]]*Rutas[[#This Row],[Volumen de Combustible (gal)]]</f>
        <v>0</v>
      </c>
      <c r="V1538" s="36"/>
      <c r="W1538" s="36"/>
      <c r="X1538" s="36"/>
      <c r="Y1538" s="145">
        <f t="shared" si="488"/>
        <v>0</v>
      </c>
      <c r="Z1538" s="572"/>
      <c r="AA1538" s="12"/>
      <c r="AB1538" s="12">
        <f t="shared" si="489"/>
        <v>0</v>
      </c>
      <c r="AC1538" s="12">
        <f t="shared" si="490"/>
        <v>0</v>
      </c>
      <c r="AD1538" s="34"/>
    </row>
    <row r="1539" spans="3:30" ht="16" x14ac:dyDescent="0.2">
      <c r="C1539" s="176">
        <f t="shared" si="465"/>
        <v>1536</v>
      </c>
      <c r="D1539" s="90">
        <v>45962</v>
      </c>
      <c r="E1539" s="90">
        <v>45971</v>
      </c>
      <c r="F1539" s="68" t="s">
        <v>403</v>
      </c>
      <c r="G1539" s="379" t="str">
        <f ca="1">IF(AND(E1539&lt;&gt;"",E1539&lt;TODAY()),"Disponible",IFERROR(INDEX(Vehiculos[Estado Vehiculo],MATCH(F1539,Vehiculos[Placa Vehiculo],0)),""))</f>
        <v>Disponible</v>
      </c>
      <c r="H1539" s="89"/>
      <c r="I1539" s="89" t="s">
        <v>273</v>
      </c>
      <c r="J1539" s="89"/>
      <c r="K1539" s="380">
        <v>204842</v>
      </c>
      <c r="L1539" s="380">
        <v>206466</v>
      </c>
      <c r="M1539" s="381">
        <f t="shared" si="486"/>
        <v>1624</v>
      </c>
      <c r="N1539" s="381"/>
      <c r="O1539" s="380"/>
      <c r="P1539" s="92">
        <v>0.76</v>
      </c>
      <c r="Q1539" s="382">
        <f t="shared" si="487"/>
        <v>1234.24</v>
      </c>
      <c r="R1539" s="89" t="s">
        <v>340</v>
      </c>
      <c r="S1539" s="89" t="s">
        <v>102</v>
      </c>
      <c r="T1539" s="92">
        <v>2.8</v>
      </c>
      <c r="U1539" s="92">
        <f>Rutas[[#This Row],[Precio x Galón ($/gal)]]*Rutas[[#This Row],[Volumen de Combustible (gal)]]</f>
        <v>639.52</v>
      </c>
      <c r="V1539" s="92"/>
      <c r="W1539" s="92"/>
      <c r="X1539" s="92"/>
      <c r="Y1539" s="382">
        <f t="shared" si="488"/>
        <v>639.52</v>
      </c>
      <c r="Z1539" s="578"/>
      <c r="AA1539" s="382">
        <v>228.4</v>
      </c>
      <c r="AB1539" s="382">
        <f t="shared" si="489"/>
        <v>7.1103327495621711</v>
      </c>
      <c r="AC1539" s="382">
        <f t="shared" si="490"/>
        <v>0.76</v>
      </c>
      <c r="AD1539" s="89"/>
    </row>
    <row r="1540" spans="3:30" ht="16" x14ac:dyDescent="0.2">
      <c r="C1540" s="176">
        <f t="shared" ref="C1540:C1603" si="491">ROW(A1537)</f>
        <v>1537</v>
      </c>
      <c r="D1540" s="146">
        <v>45971</v>
      </c>
      <c r="E1540" s="37">
        <v>45981</v>
      </c>
      <c r="F1540" s="65" t="s">
        <v>403</v>
      </c>
      <c r="G1540" s="11" t="str">
        <f ca="1">IF(AND(E1540&lt;&gt;"",E1540&lt;TODAY()),"Disponible",IFERROR(INDEX(Vehiculos[Estado Vehiculo],MATCH(F1540,Vehiculos[Placa Vehiculo],0)),""))</f>
        <v>Disponible</v>
      </c>
      <c r="H1540" s="34"/>
      <c r="I1540" s="34" t="s">
        <v>273</v>
      </c>
      <c r="J1540" s="34"/>
      <c r="K1540" s="39">
        <v>206466</v>
      </c>
      <c r="L1540" s="39">
        <v>207920</v>
      </c>
      <c r="M1540" s="15">
        <f t="shared" si="486"/>
        <v>1454</v>
      </c>
      <c r="N1540" s="15"/>
      <c r="O1540" s="39"/>
      <c r="P1540" s="36">
        <v>0.76</v>
      </c>
      <c r="Q1540" s="16">
        <f t="shared" si="487"/>
        <v>1105.04</v>
      </c>
      <c r="R1540" s="34" t="s">
        <v>340</v>
      </c>
      <c r="S1540" s="34" t="s">
        <v>102</v>
      </c>
      <c r="T1540" s="36">
        <v>2.8</v>
      </c>
      <c r="U1540" s="36">
        <f>Rutas[[#This Row],[Precio x Galón ($/gal)]]*Rutas[[#This Row],[Volumen de Combustible (gal)]]</f>
        <v>725.53599999999994</v>
      </c>
      <c r="V1540" s="36"/>
      <c r="W1540" s="36"/>
      <c r="X1540" s="36"/>
      <c r="Y1540" s="145">
        <f t="shared" si="488"/>
        <v>725.53599999999994</v>
      </c>
      <c r="Z1540" s="572"/>
      <c r="AA1540" s="12">
        <v>259.12</v>
      </c>
      <c r="AB1540" s="12">
        <f t="shared" si="489"/>
        <v>5.6112997838839149</v>
      </c>
      <c r="AC1540" s="12">
        <f t="shared" si="490"/>
        <v>0.76</v>
      </c>
      <c r="AD1540" s="34"/>
    </row>
    <row r="1541" spans="3:30" ht="16" x14ac:dyDescent="0.2">
      <c r="C1541" s="176">
        <f t="shared" si="491"/>
        <v>1538</v>
      </c>
      <c r="D1541" s="146">
        <v>45981</v>
      </c>
      <c r="E1541" s="37">
        <v>45991</v>
      </c>
      <c r="F1541" s="65" t="s">
        <v>403</v>
      </c>
      <c r="G1541" s="11" t="str">
        <f ca="1">IF(AND(E1541&lt;&gt;"",E1541&lt;TODAY()),"Disponible",IFERROR(INDEX(Vehiculos[Estado Vehiculo],MATCH(F1541,Vehiculos[Placa Vehiculo],0)),""))</f>
        <v>Disponible</v>
      </c>
      <c r="H1541" s="34"/>
      <c r="I1541" s="34" t="s">
        <v>273</v>
      </c>
      <c r="J1541" s="34"/>
      <c r="K1541" s="39">
        <v>207920</v>
      </c>
      <c r="L1541" s="39">
        <v>209984</v>
      </c>
      <c r="M1541" s="15">
        <f t="shared" si="486"/>
        <v>2064</v>
      </c>
      <c r="N1541" s="452">
        <v>304</v>
      </c>
      <c r="O1541" s="39"/>
      <c r="P1541" s="36">
        <v>0.76</v>
      </c>
      <c r="Q1541" s="16">
        <f t="shared" si="487"/>
        <v>1568.64</v>
      </c>
      <c r="R1541" s="34" t="s">
        <v>340</v>
      </c>
      <c r="S1541" s="34" t="s">
        <v>102</v>
      </c>
      <c r="T1541" s="36">
        <v>2.8</v>
      </c>
      <c r="U1541" s="36">
        <f>Rutas[[#This Row],[Precio x Galón ($/gal)]]*Rutas[[#This Row],[Volumen de Combustible (gal)]]</f>
        <v>799.68000000000006</v>
      </c>
      <c r="V1541" s="36"/>
      <c r="W1541" s="36"/>
      <c r="X1541" s="36"/>
      <c r="Y1541" s="145">
        <f t="shared" si="488"/>
        <v>799.68000000000006</v>
      </c>
      <c r="Z1541" s="572"/>
      <c r="AA1541" s="12">
        <v>285.60000000000002</v>
      </c>
      <c r="AB1541" s="12">
        <f t="shared" si="489"/>
        <v>7.2268907563025202</v>
      </c>
      <c r="AC1541" s="12">
        <f t="shared" si="490"/>
        <v>0.76</v>
      </c>
      <c r="AD1541" s="34"/>
    </row>
    <row r="1542" spans="3:30" ht="16" x14ac:dyDescent="0.2">
      <c r="C1542" s="176">
        <f t="shared" si="491"/>
        <v>1539</v>
      </c>
      <c r="D1542" s="146"/>
      <c r="E1542" s="37"/>
      <c r="F1542" s="65"/>
      <c r="G1542" s="11" t="str">
        <f ca="1">IF(AND(E1542&lt;&gt;"",E1542&lt;TODAY()),"Disponible",IFERROR(INDEX(Vehiculos[Estado Vehiculo],MATCH(F1542,Vehiculos[Placa Vehiculo],0)),""))</f>
        <v/>
      </c>
      <c r="H1542" s="34"/>
      <c r="I1542" s="34"/>
      <c r="J1542" s="34"/>
      <c r="K1542" s="39"/>
      <c r="L1542" s="39"/>
      <c r="M1542" s="15">
        <f t="shared" si="486"/>
        <v>0</v>
      </c>
      <c r="N1542" s="15"/>
      <c r="O1542" s="39"/>
      <c r="P1542" s="36"/>
      <c r="Q1542" s="16">
        <f t="shared" si="487"/>
        <v>0</v>
      </c>
      <c r="R1542" s="34"/>
      <c r="S1542" s="34"/>
      <c r="T1542" s="36"/>
      <c r="U1542" s="36">
        <f>Rutas[[#This Row],[Precio x Galón ($/gal)]]*Rutas[[#This Row],[Volumen de Combustible (gal)]]</f>
        <v>0</v>
      </c>
      <c r="V1542" s="36"/>
      <c r="W1542" s="36"/>
      <c r="X1542" s="36"/>
      <c r="Y1542" s="145">
        <f t="shared" si="488"/>
        <v>0</v>
      </c>
      <c r="Z1542" s="572"/>
      <c r="AA1542" s="12"/>
      <c r="AB1542" s="12">
        <f t="shared" si="489"/>
        <v>0</v>
      </c>
      <c r="AC1542" s="12">
        <f t="shared" si="490"/>
        <v>0</v>
      </c>
      <c r="AD1542" s="34"/>
    </row>
    <row r="1543" spans="3:30" ht="16" x14ac:dyDescent="0.2">
      <c r="C1543" s="176">
        <f t="shared" si="491"/>
        <v>1540</v>
      </c>
      <c r="D1543" s="90">
        <v>45962</v>
      </c>
      <c r="E1543" s="90">
        <v>45966</v>
      </c>
      <c r="F1543" s="68" t="s">
        <v>286</v>
      </c>
      <c r="G1543" s="379" t="str">
        <f ca="1">IF(AND(E1543&lt;&gt;"",E1543&lt;TODAY()),"Disponible",IFERROR(INDEX(Vehiculos[Estado Vehiculo],MATCH(F1543,Vehiculos[Placa Vehiculo],0)),""))</f>
        <v>Disponible</v>
      </c>
      <c r="H1543" s="89"/>
      <c r="I1543" s="89" t="s">
        <v>273</v>
      </c>
      <c r="J1543" s="89"/>
      <c r="K1543" s="380">
        <v>109259</v>
      </c>
      <c r="L1543" s="380">
        <v>109880</v>
      </c>
      <c r="M1543" s="381">
        <f t="shared" si="486"/>
        <v>621</v>
      </c>
      <c r="N1543" s="381"/>
      <c r="O1543" s="380"/>
      <c r="P1543" s="92"/>
      <c r="Q1543" s="382">
        <f t="shared" si="487"/>
        <v>0</v>
      </c>
      <c r="R1543" s="89" t="s">
        <v>273</v>
      </c>
      <c r="S1543" s="89" t="s">
        <v>102</v>
      </c>
      <c r="T1543" s="92">
        <v>2.8</v>
      </c>
      <c r="U1543" s="92">
        <f>Rutas[[#This Row],[Precio x Galón ($/gal)]]*Rutas[[#This Row],[Volumen de Combustible (gal)]]</f>
        <v>44.24</v>
      </c>
      <c r="V1543" s="92"/>
      <c r="W1543" s="92"/>
      <c r="X1543" s="92"/>
      <c r="Y1543" s="382">
        <f t="shared" si="488"/>
        <v>44.24</v>
      </c>
      <c r="Z1543" s="578"/>
      <c r="AA1543" s="382">
        <v>15.8</v>
      </c>
      <c r="AB1543" s="382">
        <f t="shared" si="489"/>
        <v>39.303797468354432</v>
      </c>
      <c r="AC1543" s="382">
        <f t="shared" si="490"/>
        <v>0</v>
      </c>
      <c r="AD1543" s="89"/>
    </row>
    <row r="1544" spans="3:30" ht="16" x14ac:dyDescent="0.2">
      <c r="C1544" s="176">
        <f t="shared" si="491"/>
        <v>1541</v>
      </c>
      <c r="D1544" s="146">
        <v>45966</v>
      </c>
      <c r="E1544" s="37">
        <v>45970</v>
      </c>
      <c r="F1544" s="65" t="s">
        <v>286</v>
      </c>
      <c r="G1544" s="11" t="str">
        <f ca="1">IF(AND(E1544&lt;&gt;"",E1544&lt;TODAY()),"Disponible",IFERROR(INDEX(Vehiculos[Estado Vehiculo],MATCH(F1544,Vehiculos[Placa Vehiculo],0)),""))</f>
        <v>Disponible</v>
      </c>
      <c r="H1544" s="34"/>
      <c r="I1544" s="34" t="s">
        <v>273</v>
      </c>
      <c r="J1544" s="34"/>
      <c r="K1544" s="39">
        <v>109880</v>
      </c>
      <c r="L1544" s="39">
        <v>110400</v>
      </c>
      <c r="M1544" s="15">
        <f t="shared" si="486"/>
        <v>520</v>
      </c>
      <c r="N1544" s="15"/>
      <c r="O1544" s="39"/>
      <c r="P1544" s="36"/>
      <c r="Q1544" s="16">
        <f t="shared" si="487"/>
        <v>0</v>
      </c>
      <c r="R1544" s="34" t="s">
        <v>273</v>
      </c>
      <c r="S1544" s="34" t="s">
        <v>102</v>
      </c>
      <c r="T1544" s="36">
        <v>2.8</v>
      </c>
      <c r="U1544" s="36">
        <f>Rutas[[#This Row],[Precio x Galón ($/gal)]]*Rutas[[#This Row],[Volumen de Combustible (gal)]]</f>
        <v>41.076000000000001</v>
      </c>
      <c r="V1544" s="36"/>
      <c r="W1544" s="36"/>
      <c r="X1544" s="36"/>
      <c r="Y1544" s="145">
        <f t="shared" si="488"/>
        <v>41.076000000000001</v>
      </c>
      <c r="Z1544" s="572"/>
      <c r="AA1544" s="12">
        <v>14.67</v>
      </c>
      <c r="AB1544" s="12">
        <f t="shared" si="489"/>
        <v>35.446489434219494</v>
      </c>
      <c r="AC1544" s="12">
        <f t="shared" si="490"/>
        <v>0</v>
      </c>
      <c r="AD1544" s="34"/>
    </row>
    <row r="1545" spans="3:30" ht="16" x14ac:dyDescent="0.2">
      <c r="C1545" s="176">
        <f t="shared" si="491"/>
        <v>1542</v>
      </c>
      <c r="D1545" s="146">
        <v>45970</v>
      </c>
      <c r="E1545" s="37">
        <v>45972</v>
      </c>
      <c r="F1545" s="65" t="s">
        <v>286</v>
      </c>
      <c r="G1545" s="11" t="str">
        <f ca="1">IF(AND(E1545&lt;&gt;"",E1545&lt;TODAY()),"Disponible",IFERROR(INDEX(Vehiculos[Estado Vehiculo],MATCH(F1545,Vehiculos[Placa Vehiculo],0)),""))</f>
        <v>Disponible</v>
      </c>
      <c r="H1545" s="34"/>
      <c r="I1545" s="34" t="s">
        <v>273</v>
      </c>
      <c r="J1545" s="34"/>
      <c r="K1545" s="39">
        <v>110400</v>
      </c>
      <c r="L1545" s="39">
        <v>110753</v>
      </c>
      <c r="M1545" s="15">
        <f t="shared" si="486"/>
        <v>353</v>
      </c>
      <c r="N1545" s="15"/>
      <c r="O1545" s="39"/>
      <c r="P1545" s="36"/>
      <c r="Q1545" s="16">
        <f t="shared" si="487"/>
        <v>0</v>
      </c>
      <c r="R1545" s="34" t="s">
        <v>273</v>
      </c>
      <c r="S1545" s="34" t="s">
        <v>102</v>
      </c>
      <c r="T1545" s="36">
        <v>2.8</v>
      </c>
      <c r="U1545" s="36">
        <f>Rutas[[#This Row],[Precio x Galón ($/gal)]]*Rutas[[#This Row],[Volumen de Combustible (gal)]]</f>
        <v>25.9</v>
      </c>
      <c r="V1545" s="36"/>
      <c r="W1545" s="36"/>
      <c r="X1545" s="36"/>
      <c r="Y1545" s="145">
        <f t="shared" si="488"/>
        <v>25.9</v>
      </c>
      <c r="Z1545" s="572"/>
      <c r="AA1545" s="12">
        <v>9.25</v>
      </c>
      <c r="AB1545" s="12">
        <f t="shared" si="489"/>
        <v>38.162162162162161</v>
      </c>
      <c r="AC1545" s="12">
        <f t="shared" si="490"/>
        <v>0</v>
      </c>
      <c r="AD1545" s="34"/>
    </row>
    <row r="1546" spans="3:30" ht="16" x14ac:dyDescent="0.2">
      <c r="C1546" s="176">
        <f t="shared" si="491"/>
        <v>1543</v>
      </c>
      <c r="D1546" s="146">
        <v>45972</v>
      </c>
      <c r="E1546" s="37">
        <v>45974</v>
      </c>
      <c r="F1546" s="65" t="s">
        <v>286</v>
      </c>
      <c r="G1546" s="11" t="str">
        <f ca="1">IF(AND(E1546&lt;&gt;"",E1546&lt;TODAY()),"Disponible",IFERROR(INDEX(Vehiculos[Estado Vehiculo],MATCH(F1546,Vehiculos[Placa Vehiculo],0)),""))</f>
        <v>Disponible</v>
      </c>
      <c r="H1546" s="34"/>
      <c r="I1546" s="34" t="s">
        <v>273</v>
      </c>
      <c r="J1546" s="34"/>
      <c r="K1546" s="39">
        <v>110753</v>
      </c>
      <c r="L1546" s="39">
        <v>111189</v>
      </c>
      <c r="M1546" s="15">
        <f t="shared" si="486"/>
        <v>436</v>
      </c>
      <c r="N1546" s="15"/>
      <c r="O1546" s="39"/>
      <c r="P1546" s="36"/>
      <c r="Q1546" s="16">
        <f t="shared" si="487"/>
        <v>0</v>
      </c>
      <c r="R1546" s="34" t="s">
        <v>273</v>
      </c>
      <c r="S1546" s="34" t="s">
        <v>102</v>
      </c>
      <c r="T1546" s="36">
        <v>2.8</v>
      </c>
      <c r="U1546" s="36">
        <f>Rutas[[#This Row],[Precio x Galón ($/gal)]]*Rutas[[#This Row],[Volumen de Combustible (gal)]]</f>
        <v>33.207999999999998</v>
      </c>
      <c r="V1546" s="36"/>
      <c r="W1546" s="36"/>
      <c r="X1546" s="36"/>
      <c r="Y1546" s="145">
        <f t="shared" si="488"/>
        <v>33.207999999999998</v>
      </c>
      <c r="Z1546" s="572"/>
      <c r="AA1546" s="12">
        <v>11.86</v>
      </c>
      <c r="AB1546" s="12">
        <f t="shared" si="489"/>
        <v>36.762225969645868</v>
      </c>
      <c r="AC1546" s="12">
        <f t="shared" si="490"/>
        <v>0</v>
      </c>
      <c r="AD1546" s="34"/>
    </row>
    <row r="1547" spans="3:30" ht="16" x14ac:dyDescent="0.2">
      <c r="C1547" s="176">
        <f t="shared" si="491"/>
        <v>1544</v>
      </c>
      <c r="D1547" s="454">
        <v>45974</v>
      </c>
      <c r="E1547" s="37">
        <v>45977</v>
      </c>
      <c r="F1547" s="65" t="s">
        <v>286</v>
      </c>
      <c r="G1547" s="11" t="str">
        <f ca="1">IF(AND(E1547&lt;&gt;"",E1547&lt;TODAY()),"Disponible",IFERROR(INDEX(Vehiculos[Estado Vehiculo],MATCH(F1547,Vehiculos[Placa Vehiculo],0)),""))</f>
        <v>Disponible</v>
      </c>
      <c r="H1547" s="34" t="s">
        <v>288</v>
      </c>
      <c r="I1547" s="34" t="s">
        <v>273</v>
      </c>
      <c r="J1547" s="34"/>
      <c r="K1547" s="39">
        <v>111189</v>
      </c>
      <c r="L1547" s="39">
        <v>111666</v>
      </c>
      <c r="M1547" s="15">
        <f>L1547-K1547</f>
        <v>477</v>
      </c>
      <c r="N1547" s="15"/>
      <c r="O1547" s="39"/>
      <c r="P1547" s="36"/>
      <c r="Q1547" s="16">
        <f>M1547*P1547</f>
        <v>0</v>
      </c>
      <c r="R1547" s="34" t="s">
        <v>273</v>
      </c>
      <c r="S1547" s="34" t="s">
        <v>102</v>
      </c>
      <c r="T1547" s="36">
        <v>2.8</v>
      </c>
      <c r="U1547" s="36">
        <f>Rutas[[#This Row],[Precio x Galón ($/gal)]]*Rutas[[#This Row],[Volumen de Combustible (gal)]]</f>
        <v>32.844000000000001</v>
      </c>
      <c r="V1547" s="36"/>
      <c r="W1547" s="36"/>
      <c r="X1547" s="36"/>
      <c r="Y1547" s="145">
        <f>U1547+SUM(V1547:X1547)</f>
        <v>32.844000000000001</v>
      </c>
      <c r="Z1547" s="567"/>
      <c r="AA1547" s="12">
        <v>11.73</v>
      </c>
      <c r="AB1547" s="12">
        <f>IFERROR(M1547/AA1547,0)</f>
        <v>40.664961636828643</v>
      </c>
      <c r="AC1547" s="12">
        <f>IFERROR(Q1547/M1547,0)</f>
        <v>0</v>
      </c>
      <c r="AD1547" s="34"/>
    </row>
    <row r="1548" spans="3:30" ht="16" x14ac:dyDescent="0.2">
      <c r="C1548" s="176">
        <f t="shared" si="491"/>
        <v>1545</v>
      </c>
      <c r="D1548" s="454">
        <v>45977</v>
      </c>
      <c r="E1548" s="37">
        <v>45982</v>
      </c>
      <c r="F1548" s="65" t="s">
        <v>286</v>
      </c>
      <c r="G1548" s="11" t="str">
        <f ca="1">IF(AND(E1548&lt;&gt;"",E1548&lt;TODAY()),"Disponible",IFERROR(INDEX(Vehiculos[Estado Vehiculo],MATCH(F1548,Vehiculos[Placa Vehiculo],0)),""))</f>
        <v>Disponible</v>
      </c>
      <c r="H1548" s="34" t="s">
        <v>288</v>
      </c>
      <c r="I1548" s="34" t="s">
        <v>273</v>
      </c>
      <c r="J1548" s="34"/>
      <c r="K1548" s="39">
        <v>111666</v>
      </c>
      <c r="L1548" s="39">
        <v>112103</v>
      </c>
      <c r="M1548" s="15">
        <f>L1548-K1548</f>
        <v>437</v>
      </c>
      <c r="N1548" s="15"/>
      <c r="O1548" s="39"/>
      <c r="P1548" s="36"/>
      <c r="Q1548" s="16">
        <f>M1548*P1548</f>
        <v>0</v>
      </c>
      <c r="R1548" s="34" t="s">
        <v>273</v>
      </c>
      <c r="S1548" s="34" t="s">
        <v>102</v>
      </c>
      <c r="T1548" s="36">
        <v>2.8</v>
      </c>
      <c r="U1548" s="36">
        <f>Rutas[[#This Row],[Precio x Galón ($/gal)]]*Rutas[[#This Row],[Volumen de Combustible (gal)]]</f>
        <v>39.031999999999996</v>
      </c>
      <c r="V1548" s="36"/>
      <c r="W1548" s="36"/>
      <c r="X1548" s="36"/>
      <c r="Y1548" s="145">
        <f>U1548+SUM(V1548:X1548)</f>
        <v>39.031999999999996</v>
      </c>
      <c r="Z1548" s="567"/>
      <c r="AA1548" s="12">
        <v>13.94</v>
      </c>
      <c r="AB1548" s="12">
        <f>IFERROR(M1548/AA1548,0)</f>
        <v>31.348637015781925</v>
      </c>
      <c r="AC1548" s="12">
        <f>IFERROR(Q1548/M1548,0)</f>
        <v>0</v>
      </c>
      <c r="AD1548" s="34"/>
    </row>
    <row r="1549" spans="3:30" ht="16" x14ac:dyDescent="0.2">
      <c r="C1549" s="176">
        <f t="shared" si="491"/>
        <v>1546</v>
      </c>
      <c r="D1549" s="454">
        <v>45982</v>
      </c>
      <c r="E1549" s="37">
        <v>45987</v>
      </c>
      <c r="F1549" s="65" t="s">
        <v>286</v>
      </c>
      <c r="G1549" s="11" t="str">
        <f ca="1">IF(AND(E1549&lt;&gt;"",E1549&lt;TODAY()),"Disponible",IFERROR(INDEX(Vehiculos[Estado Vehiculo],MATCH(F1549,Vehiculos[Placa Vehiculo],0)),""))</f>
        <v>Disponible</v>
      </c>
      <c r="H1549" s="34" t="s">
        <v>288</v>
      </c>
      <c r="I1549" s="34" t="s">
        <v>273</v>
      </c>
      <c r="J1549" s="34"/>
      <c r="K1549" s="39">
        <v>112103</v>
      </c>
      <c r="L1549" s="39">
        <v>112656</v>
      </c>
      <c r="M1549" s="15">
        <f>L1549-K1549</f>
        <v>553</v>
      </c>
      <c r="N1549" s="15"/>
      <c r="O1549" s="39"/>
      <c r="P1549" s="36"/>
      <c r="Q1549" s="16">
        <f>M1549*P1549</f>
        <v>0</v>
      </c>
      <c r="R1549" s="34" t="s">
        <v>273</v>
      </c>
      <c r="S1549" s="34" t="s">
        <v>102</v>
      </c>
      <c r="T1549" s="36">
        <v>2.8</v>
      </c>
      <c r="U1549" s="36">
        <f>Rutas[[#This Row],[Precio x Galón ($/gal)]]*Rutas[[#This Row],[Volumen de Combustible (gal)]]</f>
        <v>44.911999999999992</v>
      </c>
      <c r="V1549" s="36"/>
      <c r="W1549" s="36"/>
      <c r="X1549" s="36"/>
      <c r="Y1549" s="145">
        <f>U1549+SUM(V1549:X1549)</f>
        <v>44.911999999999992</v>
      </c>
      <c r="Z1549" s="567"/>
      <c r="AA1549" s="12">
        <v>16.04</v>
      </c>
      <c r="AB1549" s="12">
        <f>IFERROR(M1549/AA1549,0)</f>
        <v>34.476309226932671</v>
      </c>
      <c r="AC1549" s="12">
        <f>IFERROR(Q1549/M1549,0)</f>
        <v>0</v>
      </c>
      <c r="AD1549" s="34"/>
    </row>
    <row r="1550" spans="3:30" ht="16" x14ac:dyDescent="0.2">
      <c r="C1550" s="176">
        <f t="shared" si="491"/>
        <v>1547</v>
      </c>
      <c r="D1550" s="454">
        <v>45987</v>
      </c>
      <c r="E1550" s="37">
        <v>45991</v>
      </c>
      <c r="F1550" s="65" t="s">
        <v>286</v>
      </c>
      <c r="G1550" s="11" t="str">
        <f ca="1">IF(AND(E1550&lt;&gt;"",E1550&lt;TODAY()),"Disponible",IFERROR(INDEX(Vehiculos[Estado Vehiculo],MATCH(F1550,Vehiculos[Placa Vehiculo],0)),""))</f>
        <v>Disponible</v>
      </c>
      <c r="H1550" s="34" t="s">
        <v>288</v>
      </c>
      <c r="I1550" s="34" t="s">
        <v>273</v>
      </c>
      <c r="J1550" s="34"/>
      <c r="K1550" s="39">
        <v>112656</v>
      </c>
      <c r="L1550" s="39">
        <v>113030</v>
      </c>
      <c r="M1550" s="15">
        <f>L1550-K1550</f>
        <v>374</v>
      </c>
      <c r="N1550" s="15"/>
      <c r="O1550" s="39"/>
      <c r="P1550" s="36"/>
      <c r="Q1550" s="16">
        <f>M1550*P1550</f>
        <v>0</v>
      </c>
      <c r="R1550" s="34" t="s">
        <v>273</v>
      </c>
      <c r="S1550" s="34" t="s">
        <v>102</v>
      </c>
      <c r="T1550" s="36">
        <v>2.8</v>
      </c>
      <c r="U1550" s="36">
        <f>Rutas[[#This Row],[Precio x Galón ($/gal)]]*Rutas[[#This Row],[Volumen de Combustible (gal)]]</f>
        <v>33.375999999999998</v>
      </c>
      <c r="V1550" s="36"/>
      <c r="W1550" s="36"/>
      <c r="X1550" s="36"/>
      <c r="Y1550" s="145">
        <f>U1550+SUM(V1550:X1550)</f>
        <v>33.375999999999998</v>
      </c>
      <c r="Z1550" s="567"/>
      <c r="AA1550" s="12">
        <v>11.92</v>
      </c>
      <c r="AB1550" s="12">
        <f>IFERROR(M1550/AA1550,0)</f>
        <v>31.375838926174495</v>
      </c>
      <c r="AC1550" s="12">
        <f>IFERROR(Q1550/M1550,0)</f>
        <v>0</v>
      </c>
      <c r="AD1550" s="34"/>
    </row>
    <row r="1551" spans="3:30" ht="16" x14ac:dyDescent="0.2">
      <c r="C1551" s="176">
        <f t="shared" si="491"/>
        <v>1548</v>
      </c>
      <c r="D1551" s="454"/>
      <c r="E1551" s="37"/>
      <c r="F1551" s="65"/>
      <c r="G1551" s="11" t="str">
        <f ca="1">IF(AND(E1551&lt;&gt;"",E1551&lt;TODAY()),"Disponible",IFERROR(INDEX(Vehiculos[Estado Vehiculo],MATCH(F1551,Vehiculos[Placa Vehiculo],0)),""))</f>
        <v/>
      </c>
      <c r="H1551" s="34"/>
      <c r="I1551" s="34"/>
      <c r="J1551" s="34"/>
      <c r="K1551" s="39"/>
      <c r="L1551" s="39"/>
      <c r="M1551" s="15">
        <f>L1551-K1551</f>
        <v>0</v>
      </c>
      <c r="N1551" s="15"/>
      <c r="O1551" s="39"/>
      <c r="P1551" s="36"/>
      <c r="Q1551" s="16">
        <f>M1551*P1551</f>
        <v>0</v>
      </c>
      <c r="R1551" s="34"/>
      <c r="S1551" s="34"/>
      <c r="T1551" s="36"/>
      <c r="U1551" s="36"/>
      <c r="V1551" s="36"/>
      <c r="W1551" s="36"/>
      <c r="X1551" s="36"/>
      <c r="Y1551" s="145">
        <f>U1551+SUM(V1551:X1551)</f>
        <v>0</v>
      </c>
      <c r="Z1551" s="567"/>
      <c r="AA1551" s="12"/>
      <c r="AB1551" s="12">
        <f>IFERROR(M1551/AA1551,0)</f>
        <v>0</v>
      </c>
      <c r="AC1551" s="12">
        <f>IFERROR(Q1551/M1551,0)</f>
        <v>0</v>
      </c>
      <c r="AD1551" s="34"/>
    </row>
    <row r="1552" spans="3:30" ht="16" x14ac:dyDescent="0.2">
      <c r="C1552" s="176">
        <f t="shared" si="491"/>
        <v>1549</v>
      </c>
      <c r="D1552" s="146"/>
      <c r="E1552" s="37"/>
      <c r="F1552" s="65"/>
      <c r="G1552" s="11" t="str">
        <f ca="1">IF(AND(E1552&lt;&gt;"",E1552&lt;TODAY()),"Disponible",IFERROR(INDEX(Vehiculos[Estado Vehiculo],MATCH(F1552,Vehiculos[Placa Vehiculo],0)),""))</f>
        <v/>
      </c>
      <c r="H1552" s="34"/>
      <c r="I1552" s="34"/>
      <c r="J1552" s="34"/>
      <c r="K1552" s="39"/>
      <c r="L1552" s="39"/>
      <c r="M1552" s="15">
        <f t="shared" si="486"/>
        <v>0</v>
      </c>
      <c r="N1552" s="15"/>
      <c r="O1552" s="39"/>
      <c r="P1552" s="36"/>
      <c r="Q1552" s="16">
        <f t="shared" si="487"/>
        <v>0</v>
      </c>
      <c r="R1552" s="34"/>
      <c r="S1552" s="34"/>
      <c r="T1552" s="36"/>
      <c r="U1552" s="36">
        <f>Rutas[[#This Row],[Precio x Galón ($/gal)]]*Rutas[[#This Row],[Volumen de Combustible (gal)]]</f>
        <v>0</v>
      </c>
      <c r="V1552" s="36"/>
      <c r="W1552" s="36"/>
      <c r="X1552" s="36"/>
      <c r="Y1552" s="145">
        <f t="shared" si="488"/>
        <v>0</v>
      </c>
      <c r="Z1552" s="572"/>
      <c r="AA1552" s="12"/>
      <c r="AB1552" s="12">
        <f t="shared" si="489"/>
        <v>0</v>
      </c>
      <c r="AC1552" s="12">
        <f t="shared" si="490"/>
        <v>0</v>
      </c>
      <c r="AD1552" s="34"/>
    </row>
    <row r="1553" spans="3:30" ht="16" x14ac:dyDescent="0.2">
      <c r="C1553" s="176">
        <f t="shared" si="491"/>
        <v>1550</v>
      </c>
      <c r="D1553" s="90">
        <v>45962</v>
      </c>
      <c r="E1553" s="90">
        <v>45964</v>
      </c>
      <c r="F1553" s="68" t="s">
        <v>320</v>
      </c>
      <c r="G1553" s="379" t="str">
        <f ca="1">IF(AND(E1553&lt;&gt;"",E1553&lt;TODAY()),"Disponible",IFERROR(INDEX(Vehiculos[Estado Vehiculo],MATCH(F1553,Vehiculos[Placa Vehiculo],0)),""))</f>
        <v>Disponible</v>
      </c>
      <c r="H1553" s="89"/>
      <c r="I1553" s="89" t="s">
        <v>273</v>
      </c>
      <c r="J1553" s="89"/>
      <c r="K1553" s="380">
        <v>3594</v>
      </c>
      <c r="L1553" s="380">
        <v>3630</v>
      </c>
      <c r="M1553" s="381">
        <f t="shared" ref="M1553:M1596" si="492">L1553-K1553</f>
        <v>36</v>
      </c>
      <c r="N1553" s="381">
        <f>Rutas[[#This Row],[Kms Recorridos]]</f>
        <v>36</v>
      </c>
      <c r="O1553" s="380"/>
      <c r="P1553" s="92"/>
      <c r="Q1553" s="382">
        <f t="shared" ref="Q1553:Q1596" si="493">M1553*P1553</f>
        <v>0</v>
      </c>
      <c r="R1553" s="89" t="s">
        <v>339</v>
      </c>
      <c r="S1553" s="89" t="s">
        <v>102</v>
      </c>
      <c r="T1553" s="92">
        <v>2.8</v>
      </c>
      <c r="U1553" s="92">
        <f>Rutas[[#This Row],[Precio x Galón ($/gal)]]*Rutas[[#This Row],[Volumen de Combustible (gal)]]</f>
        <v>72.828000000000003</v>
      </c>
      <c r="V1553" s="92"/>
      <c r="W1553" s="92"/>
      <c r="X1553" s="92"/>
      <c r="Y1553" s="382">
        <f t="shared" ref="Y1553:Y1596" si="494">U1553+SUM(V1553:X1553)</f>
        <v>72.828000000000003</v>
      </c>
      <c r="Z1553" s="382"/>
      <c r="AA1553" s="382">
        <v>26.01</v>
      </c>
      <c r="AB1553" s="382">
        <f t="shared" ref="AB1553:AB1596" si="495">IFERROR(M1553/AA1553,0)</f>
        <v>1.3840830449826989</v>
      </c>
      <c r="AC1553" s="382">
        <f t="shared" ref="AC1553:AC1596" si="496">IFERROR(Q1553/M1553,0)</f>
        <v>0</v>
      </c>
      <c r="AD1553" s="89"/>
    </row>
    <row r="1554" spans="3:30" ht="16" x14ac:dyDescent="0.2">
      <c r="C1554" s="176">
        <f t="shared" si="491"/>
        <v>1551</v>
      </c>
      <c r="D1554" s="454">
        <v>45964</v>
      </c>
      <c r="E1554" s="37">
        <v>45968</v>
      </c>
      <c r="F1554" s="65" t="s">
        <v>320</v>
      </c>
      <c r="G1554" s="11" t="str">
        <f ca="1">IF(AND(E1554&lt;&gt;"",E1554&lt;TODAY()),"Disponible",IFERROR(INDEX(Vehiculos[Estado Vehiculo],MATCH(F1554,Vehiculos[Placa Vehiculo],0)),""))</f>
        <v>Disponible</v>
      </c>
      <c r="H1554" s="34"/>
      <c r="I1554" s="34" t="s">
        <v>273</v>
      </c>
      <c r="J1554" s="34"/>
      <c r="K1554" s="39">
        <v>3630</v>
      </c>
      <c r="L1554" s="39">
        <v>3657</v>
      </c>
      <c r="M1554" s="15">
        <f t="shared" si="492"/>
        <v>27</v>
      </c>
      <c r="N1554" s="15">
        <f>Rutas[[#This Row],[Kms Recorridos]]</f>
        <v>27</v>
      </c>
      <c r="O1554" s="39"/>
      <c r="P1554" s="36"/>
      <c r="Q1554" s="16">
        <f t="shared" si="493"/>
        <v>0</v>
      </c>
      <c r="R1554" s="34" t="s">
        <v>273</v>
      </c>
      <c r="S1554" s="34" t="s">
        <v>102</v>
      </c>
      <c r="T1554" s="36">
        <v>2.8</v>
      </c>
      <c r="U1554" s="36">
        <f>Rutas[[#This Row],[Precio x Galón ($/gal)]]*Rutas[[#This Row],[Volumen de Combustible (gal)]]</f>
        <v>55.355999999999995</v>
      </c>
      <c r="V1554" s="36"/>
      <c r="W1554" s="36"/>
      <c r="X1554" s="36"/>
      <c r="Y1554" s="145">
        <f t="shared" si="494"/>
        <v>55.355999999999995</v>
      </c>
      <c r="Z1554" s="567"/>
      <c r="AA1554" s="12">
        <v>19.77</v>
      </c>
      <c r="AB1554" s="12">
        <f t="shared" si="495"/>
        <v>1.3657056145675266</v>
      </c>
      <c r="AC1554" s="12">
        <f t="shared" si="496"/>
        <v>0</v>
      </c>
      <c r="AD1554" s="34"/>
    </row>
    <row r="1555" spans="3:30" ht="16" x14ac:dyDescent="0.2">
      <c r="C1555" s="176">
        <f t="shared" si="491"/>
        <v>1552</v>
      </c>
      <c r="D1555" s="454">
        <v>45968</v>
      </c>
      <c r="E1555" s="37">
        <v>45970</v>
      </c>
      <c r="F1555" s="65" t="s">
        <v>320</v>
      </c>
      <c r="G1555" s="11" t="str">
        <f ca="1">IF(AND(E1555&lt;&gt;"",E1555&lt;TODAY()),"Disponible",IFERROR(INDEX(Vehiculos[Estado Vehiculo],MATCH(F1555,Vehiculos[Placa Vehiculo],0)),""))</f>
        <v>Disponible</v>
      </c>
      <c r="H1555" s="34"/>
      <c r="I1555" s="34" t="s">
        <v>273</v>
      </c>
      <c r="J1555" s="34"/>
      <c r="K1555" s="39">
        <v>3657</v>
      </c>
      <c r="L1555" s="39">
        <v>3679</v>
      </c>
      <c r="M1555" s="15">
        <f t="shared" si="492"/>
        <v>22</v>
      </c>
      <c r="N1555" s="15">
        <f>Rutas[[#This Row],[Kms Recorridos]]</f>
        <v>22</v>
      </c>
      <c r="O1555" s="39"/>
      <c r="P1555" s="36"/>
      <c r="Q1555" s="16">
        <f t="shared" si="493"/>
        <v>0</v>
      </c>
      <c r="R1555" s="34" t="s">
        <v>273</v>
      </c>
      <c r="S1555" s="34" t="s">
        <v>102</v>
      </c>
      <c r="T1555" s="36">
        <v>2.8</v>
      </c>
      <c r="U1555" s="36">
        <f>Rutas[[#This Row],[Precio x Galón ($/gal)]]*Rutas[[#This Row],[Volumen de Combustible (gal)]]</f>
        <v>46.955999999999996</v>
      </c>
      <c r="V1555" s="36"/>
      <c r="W1555" s="36"/>
      <c r="X1555" s="36"/>
      <c r="Y1555" s="145">
        <f t="shared" si="494"/>
        <v>46.955999999999996</v>
      </c>
      <c r="Z1555" s="567"/>
      <c r="AA1555" s="12">
        <v>16.77</v>
      </c>
      <c r="AB1555" s="12">
        <f t="shared" si="495"/>
        <v>1.3118664281454979</v>
      </c>
      <c r="AC1555" s="12">
        <f t="shared" si="496"/>
        <v>0</v>
      </c>
      <c r="AD1555" s="34"/>
    </row>
    <row r="1556" spans="3:30" ht="16" x14ac:dyDescent="0.2">
      <c r="C1556" s="176">
        <f t="shared" si="491"/>
        <v>1553</v>
      </c>
      <c r="D1556" s="454">
        <v>45970</v>
      </c>
      <c r="E1556" s="37">
        <v>45974</v>
      </c>
      <c r="F1556" s="65" t="s">
        <v>320</v>
      </c>
      <c r="G1556" s="11" t="str">
        <f ca="1">IF(AND(E1556&lt;&gt;"",E1556&lt;TODAY()),"Disponible",IFERROR(INDEX(Vehiculos[Estado Vehiculo],MATCH(F1556,Vehiculos[Placa Vehiculo],0)),""))</f>
        <v>Disponible</v>
      </c>
      <c r="H1556" s="34"/>
      <c r="I1556" s="34" t="s">
        <v>273</v>
      </c>
      <c r="J1556" s="34"/>
      <c r="K1556" s="39">
        <v>3679</v>
      </c>
      <c r="L1556" s="39">
        <v>3711</v>
      </c>
      <c r="M1556" s="15">
        <f t="shared" si="492"/>
        <v>32</v>
      </c>
      <c r="N1556" s="15">
        <f>Rutas[[#This Row],[Kms Recorridos]]</f>
        <v>32</v>
      </c>
      <c r="O1556" s="39"/>
      <c r="P1556" s="36"/>
      <c r="Q1556" s="16">
        <f t="shared" si="493"/>
        <v>0</v>
      </c>
      <c r="R1556" s="34" t="s">
        <v>339</v>
      </c>
      <c r="S1556" s="34" t="s">
        <v>102</v>
      </c>
      <c r="T1556" s="36">
        <v>2.8</v>
      </c>
      <c r="U1556" s="36">
        <f>Rutas[[#This Row],[Precio x Galón ($/gal)]]*Rutas[[#This Row],[Volumen de Combustible (gal)]]</f>
        <v>56.027999999999999</v>
      </c>
      <c r="V1556" s="36"/>
      <c r="W1556" s="36"/>
      <c r="X1556" s="36"/>
      <c r="Y1556" s="145">
        <f t="shared" si="494"/>
        <v>56.027999999999999</v>
      </c>
      <c r="Z1556" s="567"/>
      <c r="AA1556" s="12">
        <v>20.010000000000002</v>
      </c>
      <c r="AB1556" s="12">
        <f t="shared" si="495"/>
        <v>1.5992003998000999</v>
      </c>
      <c r="AC1556" s="12">
        <f t="shared" si="496"/>
        <v>0</v>
      </c>
      <c r="AD1556" s="34"/>
    </row>
    <row r="1557" spans="3:30" ht="16" x14ac:dyDescent="0.2">
      <c r="C1557" s="176">
        <f t="shared" si="491"/>
        <v>1554</v>
      </c>
      <c r="D1557" s="454">
        <v>45974</v>
      </c>
      <c r="E1557" s="37">
        <v>45976</v>
      </c>
      <c r="F1557" s="65" t="s">
        <v>320</v>
      </c>
      <c r="G1557" s="11" t="str">
        <f ca="1">IF(AND(E1557&lt;&gt;"",E1557&lt;TODAY()),"Disponible",IFERROR(INDEX(Vehiculos[Estado Vehiculo],MATCH(F1557,Vehiculos[Placa Vehiculo],0)),""))</f>
        <v>Disponible</v>
      </c>
      <c r="H1557" s="34"/>
      <c r="I1557" s="34" t="s">
        <v>273</v>
      </c>
      <c r="J1557" s="34"/>
      <c r="K1557" s="39">
        <v>3711</v>
      </c>
      <c r="L1557" s="39">
        <v>3728</v>
      </c>
      <c r="M1557" s="15">
        <f t="shared" ref="M1557:M1561" si="497">L1557-K1557</f>
        <v>17</v>
      </c>
      <c r="N1557" s="15">
        <f>Rutas[[#This Row],[Kms Recorridos]]</f>
        <v>17</v>
      </c>
      <c r="O1557" s="39"/>
      <c r="P1557" s="36"/>
      <c r="Q1557" s="16">
        <f t="shared" ref="Q1557:Q1561" si="498">M1557*P1557</f>
        <v>0</v>
      </c>
      <c r="R1557" s="34" t="s">
        <v>273</v>
      </c>
      <c r="S1557" s="34" t="s">
        <v>102</v>
      </c>
      <c r="T1557" s="36">
        <v>2.8</v>
      </c>
      <c r="U1557" s="36">
        <f>Rutas[[#This Row],[Precio x Galón ($/gal)]]*Rutas[[#This Row],[Volumen de Combustible (gal)]]</f>
        <v>58.576000000000001</v>
      </c>
      <c r="V1557" s="36"/>
      <c r="W1557" s="36"/>
      <c r="X1557" s="36"/>
      <c r="Y1557" s="145">
        <f t="shared" ref="Y1557:Y1561" si="499">U1557+SUM(V1557:X1557)</f>
        <v>58.576000000000001</v>
      </c>
      <c r="Z1557" s="567"/>
      <c r="AA1557" s="12">
        <v>20.92</v>
      </c>
      <c r="AB1557" s="12">
        <f t="shared" ref="AB1557:AB1561" si="500">IFERROR(M1557/AA1557,0)</f>
        <v>0.81261950286806872</v>
      </c>
      <c r="AC1557" s="12">
        <f t="shared" ref="AC1557:AC1561" si="501">IFERROR(Q1557/M1557,0)</f>
        <v>0</v>
      </c>
      <c r="AD1557" s="34"/>
    </row>
    <row r="1558" spans="3:30" ht="16" x14ac:dyDescent="0.2">
      <c r="C1558" s="176">
        <f t="shared" si="491"/>
        <v>1555</v>
      </c>
      <c r="D1558" s="454">
        <v>45976</v>
      </c>
      <c r="E1558" s="37">
        <v>45980</v>
      </c>
      <c r="F1558" s="65" t="s">
        <v>320</v>
      </c>
      <c r="G1558" s="11" t="str">
        <f ca="1">IF(AND(E1558&lt;&gt;"",E1558&lt;TODAY()),"Disponible",IFERROR(INDEX(Vehiculos[Estado Vehiculo],MATCH(F1558,Vehiculos[Placa Vehiculo],0)),""))</f>
        <v>Disponible</v>
      </c>
      <c r="H1558" s="34"/>
      <c r="I1558" s="34" t="s">
        <v>273</v>
      </c>
      <c r="J1558" s="34"/>
      <c r="K1558" s="39">
        <v>3728</v>
      </c>
      <c r="L1558" s="39">
        <v>3761</v>
      </c>
      <c r="M1558" s="15">
        <f t="shared" si="497"/>
        <v>33</v>
      </c>
      <c r="N1558" s="15">
        <f>Rutas[[#This Row],[Kms Recorridos]]</f>
        <v>33</v>
      </c>
      <c r="O1558" s="39"/>
      <c r="P1558" s="36"/>
      <c r="Q1558" s="16">
        <f t="shared" si="498"/>
        <v>0</v>
      </c>
      <c r="R1558" s="34" t="s">
        <v>273</v>
      </c>
      <c r="S1558" s="34" t="s">
        <v>102</v>
      </c>
      <c r="T1558" s="36">
        <v>2.8</v>
      </c>
      <c r="U1558" s="36">
        <f>Rutas[[#This Row],[Precio x Galón ($/gal)]]*Rutas[[#This Row],[Volumen de Combustible (gal)]]</f>
        <v>55.495999999999995</v>
      </c>
      <c r="V1558" s="36"/>
      <c r="W1558" s="36"/>
      <c r="X1558" s="36"/>
      <c r="Y1558" s="145">
        <f t="shared" si="499"/>
        <v>55.495999999999995</v>
      </c>
      <c r="Z1558" s="567"/>
      <c r="AA1558" s="12">
        <v>19.82</v>
      </c>
      <c r="AB1558" s="12">
        <f t="shared" si="500"/>
        <v>1.6649848637739657</v>
      </c>
      <c r="AC1558" s="12">
        <f t="shared" si="501"/>
        <v>0</v>
      </c>
      <c r="AD1558" s="34"/>
    </row>
    <row r="1559" spans="3:30" ht="16" x14ac:dyDescent="0.2">
      <c r="C1559" s="176">
        <f t="shared" si="491"/>
        <v>1556</v>
      </c>
      <c r="D1559" s="454">
        <v>45980</v>
      </c>
      <c r="E1559" s="37">
        <v>45982</v>
      </c>
      <c r="F1559" s="65" t="s">
        <v>320</v>
      </c>
      <c r="G1559" s="11" t="str">
        <f ca="1">IF(AND(E1559&lt;&gt;"",E1559&lt;TODAY()),"Disponible",IFERROR(INDEX(Vehiculos[Estado Vehiculo],MATCH(F1559,Vehiculos[Placa Vehiculo],0)),""))</f>
        <v>Disponible</v>
      </c>
      <c r="H1559" s="34"/>
      <c r="I1559" s="34" t="s">
        <v>273</v>
      </c>
      <c r="J1559" s="34"/>
      <c r="K1559" s="39">
        <v>3761</v>
      </c>
      <c r="L1559" s="39">
        <v>3779</v>
      </c>
      <c r="M1559" s="15">
        <f t="shared" si="497"/>
        <v>18</v>
      </c>
      <c r="N1559" s="15">
        <f>Rutas[[#This Row],[Kms Recorridos]]</f>
        <v>18</v>
      </c>
      <c r="O1559" s="39"/>
      <c r="P1559" s="36"/>
      <c r="Q1559" s="16">
        <f t="shared" si="498"/>
        <v>0</v>
      </c>
      <c r="R1559" s="34" t="s">
        <v>273</v>
      </c>
      <c r="S1559" s="34" t="s">
        <v>102</v>
      </c>
      <c r="T1559" s="36">
        <v>2.8</v>
      </c>
      <c r="U1559" s="36">
        <f>Rutas[[#This Row],[Precio x Galón ($/gal)]]*Rutas[[#This Row],[Volumen de Combustible (gal)]]</f>
        <v>41.775999999999996</v>
      </c>
      <c r="V1559" s="36"/>
      <c r="W1559" s="36"/>
      <c r="X1559" s="36"/>
      <c r="Y1559" s="145">
        <f t="shared" si="499"/>
        <v>41.775999999999996</v>
      </c>
      <c r="Z1559" s="567"/>
      <c r="AA1559" s="12">
        <v>14.92</v>
      </c>
      <c r="AB1559" s="12">
        <f t="shared" si="500"/>
        <v>1.2064343163538873</v>
      </c>
      <c r="AC1559" s="12">
        <f t="shared" si="501"/>
        <v>0</v>
      </c>
      <c r="AD1559" s="34"/>
    </row>
    <row r="1560" spans="3:30" ht="16" x14ac:dyDescent="0.2">
      <c r="C1560" s="176">
        <f t="shared" si="491"/>
        <v>1557</v>
      </c>
      <c r="D1560" s="454">
        <v>45982</v>
      </c>
      <c r="E1560" s="37">
        <v>45986</v>
      </c>
      <c r="F1560" s="65" t="s">
        <v>320</v>
      </c>
      <c r="G1560" s="11" t="str">
        <f ca="1">IF(AND(E1560&lt;&gt;"",E1560&lt;TODAY()),"Disponible",IFERROR(INDEX(Vehiculos[Estado Vehiculo],MATCH(F1560,Vehiculos[Placa Vehiculo],0)),""))</f>
        <v>Disponible</v>
      </c>
      <c r="H1560" s="34"/>
      <c r="I1560" s="34" t="s">
        <v>273</v>
      </c>
      <c r="J1560" s="34"/>
      <c r="K1560" s="39">
        <v>3779</v>
      </c>
      <c r="L1560" s="39">
        <v>3819</v>
      </c>
      <c r="M1560" s="15">
        <f t="shared" si="497"/>
        <v>40</v>
      </c>
      <c r="N1560" s="15">
        <f>Rutas[[#This Row],[Kms Recorridos]]</f>
        <v>40</v>
      </c>
      <c r="O1560" s="39"/>
      <c r="P1560" s="36"/>
      <c r="Q1560" s="16">
        <f t="shared" si="498"/>
        <v>0</v>
      </c>
      <c r="R1560" s="34" t="s">
        <v>273</v>
      </c>
      <c r="S1560" s="34" t="s">
        <v>102</v>
      </c>
      <c r="T1560" s="36">
        <v>2.8</v>
      </c>
      <c r="U1560" s="36">
        <f>Rutas[[#This Row],[Precio x Galón ($/gal)]]*Rutas[[#This Row],[Volumen de Combustible (gal)]]</f>
        <v>52.64</v>
      </c>
      <c r="V1560" s="36"/>
      <c r="W1560" s="36"/>
      <c r="X1560" s="36"/>
      <c r="Y1560" s="145">
        <f t="shared" si="499"/>
        <v>52.64</v>
      </c>
      <c r="Z1560" s="567"/>
      <c r="AA1560" s="12">
        <v>18.8</v>
      </c>
      <c r="AB1560" s="12">
        <f t="shared" si="500"/>
        <v>2.1276595744680851</v>
      </c>
      <c r="AC1560" s="12">
        <f t="shared" si="501"/>
        <v>0</v>
      </c>
      <c r="AD1560" s="34"/>
    </row>
    <row r="1561" spans="3:30" ht="16" x14ac:dyDescent="0.2">
      <c r="C1561" s="176">
        <f t="shared" si="491"/>
        <v>1558</v>
      </c>
      <c r="D1561" s="454">
        <v>45986</v>
      </c>
      <c r="E1561" s="37">
        <v>45989</v>
      </c>
      <c r="F1561" s="65" t="s">
        <v>320</v>
      </c>
      <c r="G1561" s="11" t="str">
        <f ca="1">IF(AND(E1561&lt;&gt;"",E1561&lt;TODAY()),"Disponible",IFERROR(INDEX(Vehiculos[Estado Vehiculo],MATCH(F1561,Vehiculos[Placa Vehiculo],0)),""))</f>
        <v>Disponible</v>
      </c>
      <c r="H1561" s="34"/>
      <c r="I1561" s="34" t="s">
        <v>273</v>
      </c>
      <c r="J1561" s="34"/>
      <c r="K1561" s="39">
        <v>3819</v>
      </c>
      <c r="L1561" s="39">
        <v>3845</v>
      </c>
      <c r="M1561" s="15">
        <f t="shared" si="497"/>
        <v>26</v>
      </c>
      <c r="N1561" s="15">
        <f>Rutas[[#This Row],[Kms Recorridos]]</f>
        <v>26</v>
      </c>
      <c r="O1561" s="39"/>
      <c r="P1561" s="36"/>
      <c r="Q1561" s="16">
        <f t="shared" si="498"/>
        <v>0</v>
      </c>
      <c r="R1561" s="34" t="s">
        <v>273</v>
      </c>
      <c r="S1561" s="34" t="s">
        <v>102</v>
      </c>
      <c r="T1561" s="36">
        <v>2.8</v>
      </c>
      <c r="U1561" s="36"/>
      <c r="V1561" s="36"/>
      <c r="W1561" s="36"/>
      <c r="X1561" s="36"/>
      <c r="Y1561" s="145">
        <f t="shared" si="499"/>
        <v>0</v>
      </c>
      <c r="Z1561" s="567"/>
      <c r="AA1561" s="12">
        <v>19.48</v>
      </c>
      <c r="AB1561" s="12">
        <f t="shared" si="500"/>
        <v>1.3347022587268993</v>
      </c>
      <c r="AC1561" s="12">
        <f t="shared" si="501"/>
        <v>0</v>
      </c>
      <c r="AD1561" s="34"/>
    </row>
    <row r="1562" spans="3:30" ht="16" x14ac:dyDescent="0.2">
      <c r="C1562" s="176">
        <f t="shared" si="491"/>
        <v>1559</v>
      </c>
      <c r="D1562" s="454"/>
      <c r="E1562" s="37"/>
      <c r="F1562" s="65"/>
      <c r="G1562" s="11" t="str">
        <f ca="1">IF(AND(E1562&lt;&gt;"",E1562&lt;TODAY()),"Disponible",IFERROR(INDEX(Vehiculos[Estado Vehiculo],MATCH(F1562,Vehiculos[Placa Vehiculo],0)),""))</f>
        <v/>
      </c>
      <c r="H1562" s="34"/>
      <c r="I1562" s="34"/>
      <c r="J1562" s="34"/>
      <c r="K1562" s="39"/>
      <c r="L1562" s="39"/>
      <c r="M1562" s="15">
        <f t="shared" si="492"/>
        <v>0</v>
      </c>
      <c r="N1562" s="15"/>
      <c r="O1562" s="39"/>
      <c r="P1562" s="36"/>
      <c r="Q1562" s="16">
        <f t="shared" si="493"/>
        <v>0</v>
      </c>
      <c r="R1562" s="34"/>
      <c r="S1562" s="34"/>
      <c r="T1562" s="36"/>
      <c r="U1562" s="36">
        <f>Rutas[[#This Row],[Precio x Galón ($/gal)]]*Rutas[[#This Row],[Volumen de Combustible (gal)]]</f>
        <v>0</v>
      </c>
      <c r="V1562" s="36"/>
      <c r="W1562" s="36"/>
      <c r="X1562" s="36"/>
      <c r="Y1562" s="145">
        <f t="shared" si="494"/>
        <v>0</v>
      </c>
      <c r="Z1562" s="567"/>
      <c r="AA1562" s="12"/>
      <c r="AB1562" s="12">
        <f t="shared" si="495"/>
        <v>0</v>
      </c>
      <c r="AC1562" s="12">
        <f t="shared" si="496"/>
        <v>0</v>
      </c>
      <c r="AD1562" s="34"/>
    </row>
    <row r="1563" spans="3:30" ht="16" x14ac:dyDescent="0.2">
      <c r="C1563" s="176">
        <f t="shared" si="491"/>
        <v>1560</v>
      </c>
      <c r="D1563" s="90">
        <v>45962</v>
      </c>
      <c r="E1563" s="90">
        <v>45963</v>
      </c>
      <c r="F1563" s="68" t="s">
        <v>318</v>
      </c>
      <c r="G1563" s="379" t="str">
        <f ca="1">IF(AND(E1563&lt;&gt;"",E1563&lt;TODAY()),"Disponible",IFERROR(INDEX(Vehiculos[Estado Vehiculo],MATCH(F1563,Vehiculos[Placa Vehiculo],0)),""))</f>
        <v>Disponible</v>
      </c>
      <c r="H1563" s="89"/>
      <c r="I1563" s="89" t="s">
        <v>273</v>
      </c>
      <c r="J1563" s="89"/>
      <c r="K1563" s="380">
        <v>1161</v>
      </c>
      <c r="L1563" s="380">
        <v>1188</v>
      </c>
      <c r="M1563" s="381">
        <f t="shared" si="492"/>
        <v>27</v>
      </c>
      <c r="N1563" s="381">
        <f>Rutas[[#This Row],[Kms Recorridos]]</f>
        <v>27</v>
      </c>
      <c r="O1563" s="380"/>
      <c r="P1563" s="92"/>
      <c r="Q1563" s="382">
        <f t="shared" si="493"/>
        <v>0</v>
      </c>
      <c r="R1563" s="89" t="s">
        <v>273</v>
      </c>
      <c r="S1563" s="89" t="s">
        <v>102</v>
      </c>
      <c r="T1563" s="92">
        <v>2.8</v>
      </c>
      <c r="U1563" s="92">
        <f>Rutas[[#This Row],[Precio x Galón ($/gal)]]*Rutas[[#This Row],[Volumen de Combustible (gal)]]</f>
        <v>46.815999999999995</v>
      </c>
      <c r="V1563" s="92"/>
      <c r="W1563" s="92"/>
      <c r="X1563" s="92"/>
      <c r="Y1563" s="382">
        <f t="shared" si="494"/>
        <v>46.815999999999995</v>
      </c>
      <c r="Z1563" s="382"/>
      <c r="AA1563" s="382">
        <v>16.72</v>
      </c>
      <c r="AB1563" s="382">
        <f t="shared" si="495"/>
        <v>1.6148325358851676</v>
      </c>
      <c r="AC1563" s="382">
        <f t="shared" si="496"/>
        <v>0</v>
      </c>
      <c r="AD1563" s="89"/>
    </row>
    <row r="1564" spans="3:30" ht="16" x14ac:dyDescent="0.2">
      <c r="C1564" s="176">
        <f t="shared" si="491"/>
        <v>1561</v>
      </c>
      <c r="D1564" s="454">
        <v>45963</v>
      </c>
      <c r="E1564" s="37">
        <v>45970</v>
      </c>
      <c r="F1564" s="65" t="s">
        <v>318</v>
      </c>
      <c r="G1564" s="11" t="str">
        <f ca="1">IF(AND(E1564&lt;&gt;"",E1564&lt;TODAY()),"Disponible",IFERROR(INDEX(Vehiculos[Estado Vehiculo],MATCH(F1564,Vehiculos[Placa Vehiculo],0)),""))</f>
        <v>Disponible</v>
      </c>
      <c r="H1564" s="34"/>
      <c r="I1564" s="34" t="s">
        <v>273</v>
      </c>
      <c r="J1564" s="34"/>
      <c r="K1564" s="39">
        <v>1188</v>
      </c>
      <c r="L1564" s="39">
        <v>1208</v>
      </c>
      <c r="M1564" s="15">
        <f t="shared" si="492"/>
        <v>20</v>
      </c>
      <c r="N1564" s="15">
        <f>Rutas[[#This Row],[Kms Recorridos]]</f>
        <v>20</v>
      </c>
      <c r="O1564" s="39"/>
      <c r="P1564" s="36"/>
      <c r="Q1564" s="16">
        <f t="shared" si="493"/>
        <v>0</v>
      </c>
      <c r="R1564" s="34" t="s">
        <v>273</v>
      </c>
      <c r="S1564" s="34" t="s">
        <v>102</v>
      </c>
      <c r="T1564" s="36">
        <v>2.8</v>
      </c>
      <c r="U1564" s="36">
        <f>Rutas[[#This Row],[Precio x Galón ($/gal)]]*Rutas[[#This Row],[Volumen de Combustible (gal)]]</f>
        <v>48.411999999999992</v>
      </c>
      <c r="V1564" s="36"/>
      <c r="W1564" s="36"/>
      <c r="X1564" s="36"/>
      <c r="Y1564" s="145">
        <f t="shared" si="494"/>
        <v>48.411999999999992</v>
      </c>
      <c r="Z1564" s="567"/>
      <c r="AA1564" s="12">
        <v>17.29</v>
      </c>
      <c r="AB1564" s="12">
        <f t="shared" si="495"/>
        <v>1.156737998843262</v>
      </c>
      <c r="AC1564" s="12">
        <f t="shared" si="496"/>
        <v>0</v>
      </c>
      <c r="AD1564" s="34"/>
    </row>
    <row r="1565" spans="3:30" ht="16" x14ac:dyDescent="0.2">
      <c r="C1565" s="176">
        <f t="shared" si="491"/>
        <v>1562</v>
      </c>
      <c r="D1565" s="454">
        <v>45970</v>
      </c>
      <c r="E1565" s="37">
        <v>45974</v>
      </c>
      <c r="F1565" s="65" t="s">
        <v>318</v>
      </c>
      <c r="G1565" s="11" t="str">
        <f ca="1">IF(AND(E1565&lt;&gt;"",E1565&lt;TODAY()),"Disponible",IFERROR(INDEX(Vehiculos[Estado Vehiculo],MATCH(F1565,Vehiculos[Placa Vehiculo],0)),""))</f>
        <v>Disponible</v>
      </c>
      <c r="H1565" s="34"/>
      <c r="I1565" s="34" t="s">
        <v>273</v>
      </c>
      <c r="J1565" s="34"/>
      <c r="K1565" s="39">
        <v>1208</v>
      </c>
      <c r="L1565" s="39">
        <v>1221</v>
      </c>
      <c r="M1565" s="15">
        <f t="shared" si="492"/>
        <v>13</v>
      </c>
      <c r="N1565" s="15">
        <f>Rutas[[#This Row],[Kms Recorridos]]</f>
        <v>13</v>
      </c>
      <c r="O1565" s="39"/>
      <c r="P1565" s="36"/>
      <c r="Q1565" s="16">
        <f t="shared" si="493"/>
        <v>0</v>
      </c>
      <c r="R1565" s="34" t="s">
        <v>273</v>
      </c>
      <c r="S1565" s="34" t="s">
        <v>102</v>
      </c>
      <c r="T1565" s="36">
        <v>2.8</v>
      </c>
      <c r="U1565" s="36">
        <f>Rutas[[#This Row],[Precio x Galón ($/gal)]]*Rutas[[#This Row],[Volumen de Combustible (gal)]]</f>
        <v>5.3199999999999994</v>
      </c>
      <c r="V1565" s="36"/>
      <c r="W1565" s="36"/>
      <c r="X1565" s="36"/>
      <c r="Y1565" s="145">
        <f t="shared" si="494"/>
        <v>5.3199999999999994</v>
      </c>
      <c r="Z1565" s="567"/>
      <c r="AA1565" s="12">
        <v>1.9</v>
      </c>
      <c r="AB1565" s="12">
        <f t="shared" si="495"/>
        <v>6.8421052631578947</v>
      </c>
      <c r="AC1565" s="12">
        <f t="shared" si="496"/>
        <v>0</v>
      </c>
      <c r="AD1565" s="34"/>
    </row>
    <row r="1566" spans="3:30" ht="16" x14ac:dyDescent="0.2">
      <c r="C1566" s="176">
        <f t="shared" si="491"/>
        <v>1563</v>
      </c>
      <c r="D1566" s="454">
        <v>45974</v>
      </c>
      <c r="E1566" s="37">
        <v>45975</v>
      </c>
      <c r="F1566" s="65" t="s">
        <v>318</v>
      </c>
      <c r="G1566" s="11" t="str">
        <f ca="1">IF(AND(E1566&lt;&gt;"",E1566&lt;TODAY()),"Disponible",IFERROR(INDEX(Vehiculos[Estado Vehiculo],MATCH(F1566,Vehiculos[Placa Vehiculo],0)),""))</f>
        <v>Disponible</v>
      </c>
      <c r="H1566" s="34"/>
      <c r="I1566" s="34" t="s">
        <v>273</v>
      </c>
      <c r="J1566" s="34"/>
      <c r="K1566" s="39">
        <v>1221</v>
      </c>
      <c r="L1566" s="39">
        <v>1225</v>
      </c>
      <c r="M1566" s="15">
        <f t="shared" si="492"/>
        <v>4</v>
      </c>
      <c r="N1566" s="15">
        <f>Rutas[[#This Row],[Kms Recorridos]]</f>
        <v>4</v>
      </c>
      <c r="O1566" s="39"/>
      <c r="P1566" s="36"/>
      <c r="Q1566" s="16">
        <f t="shared" si="493"/>
        <v>0</v>
      </c>
      <c r="R1566" s="34" t="s">
        <v>273</v>
      </c>
      <c r="S1566" s="34" t="s">
        <v>102</v>
      </c>
      <c r="T1566" s="36">
        <v>2.8</v>
      </c>
      <c r="U1566" s="36">
        <f>Rutas[[#This Row],[Precio x Galón ($/gal)]]*Rutas[[#This Row],[Volumen de Combustible (gal)]]</f>
        <v>28.335999999999995</v>
      </c>
      <c r="V1566" s="36"/>
      <c r="W1566" s="36"/>
      <c r="X1566" s="36"/>
      <c r="Y1566" s="145">
        <f t="shared" si="494"/>
        <v>28.335999999999995</v>
      </c>
      <c r="Z1566" s="567"/>
      <c r="AA1566" s="12">
        <v>10.119999999999999</v>
      </c>
      <c r="AB1566" s="12">
        <f t="shared" si="495"/>
        <v>0.39525691699604748</v>
      </c>
      <c r="AC1566" s="12">
        <f t="shared" si="496"/>
        <v>0</v>
      </c>
      <c r="AD1566" s="34"/>
    </row>
    <row r="1567" spans="3:30" ht="16" x14ac:dyDescent="0.2">
      <c r="C1567" s="176">
        <f t="shared" si="491"/>
        <v>1564</v>
      </c>
      <c r="D1567" s="454">
        <v>45975</v>
      </c>
      <c r="E1567" s="37">
        <v>45982</v>
      </c>
      <c r="F1567" s="65" t="s">
        <v>318</v>
      </c>
      <c r="G1567" s="11" t="str">
        <f ca="1">IF(AND(E1567&lt;&gt;"",E1567&lt;TODAY()),"Disponible",IFERROR(INDEX(Vehiculos[Estado Vehiculo],MATCH(F1567,Vehiculos[Placa Vehiculo],0)),""))</f>
        <v>Disponible</v>
      </c>
      <c r="H1567" s="34"/>
      <c r="I1567" s="34" t="s">
        <v>273</v>
      </c>
      <c r="J1567" s="34"/>
      <c r="K1567" s="39">
        <v>1225</v>
      </c>
      <c r="L1567" s="39">
        <v>1248</v>
      </c>
      <c r="M1567" s="15">
        <f>L1567-K1567</f>
        <v>23</v>
      </c>
      <c r="N1567" s="15">
        <f>Rutas[[#This Row],[Kms Recorridos]]</f>
        <v>23</v>
      </c>
      <c r="O1567" s="39"/>
      <c r="P1567" s="36"/>
      <c r="Q1567" s="16">
        <f>M1567*P1567</f>
        <v>0</v>
      </c>
      <c r="R1567" s="34" t="s">
        <v>273</v>
      </c>
      <c r="S1567" s="34" t="s">
        <v>102</v>
      </c>
      <c r="T1567" s="36">
        <v>2.8</v>
      </c>
      <c r="U1567" s="36">
        <f>Rutas[[#This Row],[Precio x Galón ($/gal)]]*Rutas[[#This Row],[Volumen de Combustible (gal)]]</f>
        <v>48.971999999999994</v>
      </c>
      <c r="V1567" s="36"/>
      <c r="W1567" s="36"/>
      <c r="X1567" s="36"/>
      <c r="Y1567" s="145">
        <f>U1567+SUM(V1567:X1567)</f>
        <v>48.971999999999994</v>
      </c>
      <c r="Z1567" s="567"/>
      <c r="AA1567" s="12">
        <v>17.489999999999998</v>
      </c>
      <c r="AB1567" s="12">
        <f>IFERROR(M1567/AA1567,0)</f>
        <v>1.3150371640937679</v>
      </c>
      <c r="AC1567" s="12">
        <f>IFERROR(Q1567/M1567,0)</f>
        <v>0</v>
      </c>
      <c r="AD1567" s="34"/>
    </row>
    <row r="1568" spans="3:30" ht="16" x14ac:dyDescent="0.2">
      <c r="C1568" s="176">
        <f t="shared" si="491"/>
        <v>1565</v>
      </c>
      <c r="D1568" s="454">
        <v>45982</v>
      </c>
      <c r="E1568" s="37">
        <v>45985</v>
      </c>
      <c r="F1568" s="65" t="s">
        <v>318</v>
      </c>
      <c r="G1568" s="11" t="str">
        <f ca="1">IF(AND(E1568&lt;&gt;"",E1568&lt;TODAY()),"Disponible",IFERROR(INDEX(Vehiculos[Estado Vehiculo],MATCH(F1568,Vehiculos[Placa Vehiculo],0)),""))</f>
        <v>Disponible</v>
      </c>
      <c r="H1568" s="34"/>
      <c r="I1568" s="34" t="s">
        <v>273</v>
      </c>
      <c r="J1568" s="34"/>
      <c r="K1568" s="39">
        <v>1248</v>
      </c>
      <c r="L1568" s="39">
        <v>1263</v>
      </c>
      <c r="M1568" s="15">
        <f>L1568-K1568</f>
        <v>15</v>
      </c>
      <c r="N1568" s="15">
        <f>Rutas[[#This Row],[Kms Recorridos]]</f>
        <v>15</v>
      </c>
      <c r="O1568" s="39"/>
      <c r="P1568" s="36"/>
      <c r="Q1568" s="16">
        <f>M1568*P1568</f>
        <v>0</v>
      </c>
      <c r="R1568" s="34" t="s">
        <v>273</v>
      </c>
      <c r="S1568" s="34" t="s">
        <v>102</v>
      </c>
      <c r="T1568" s="36">
        <v>2.8</v>
      </c>
      <c r="U1568" s="36">
        <f>Rutas[[#This Row],[Precio x Galón ($/gal)]]*Rutas[[#This Row],[Volumen de Combustible (gal)]]</f>
        <v>14.363999999999999</v>
      </c>
      <c r="V1568" s="36"/>
      <c r="W1568" s="36"/>
      <c r="X1568" s="36"/>
      <c r="Y1568" s="145">
        <f>U1568+SUM(V1568:X1568)</f>
        <v>14.363999999999999</v>
      </c>
      <c r="Z1568" s="567"/>
      <c r="AA1568" s="12">
        <v>5.13</v>
      </c>
      <c r="AB1568" s="12">
        <f>IFERROR(M1568/AA1568,0)</f>
        <v>2.9239766081871346</v>
      </c>
      <c r="AC1568" s="12">
        <f>IFERROR(Q1568/M1568,0)</f>
        <v>0</v>
      </c>
      <c r="AD1568" s="34"/>
    </row>
    <row r="1569" spans="3:30" ht="16" x14ac:dyDescent="0.2">
      <c r="C1569" s="176">
        <f t="shared" si="491"/>
        <v>1566</v>
      </c>
      <c r="D1569" s="454">
        <v>45985</v>
      </c>
      <c r="E1569" s="37">
        <v>45991</v>
      </c>
      <c r="F1569" s="65" t="s">
        <v>318</v>
      </c>
      <c r="G1569" s="11" t="str">
        <f ca="1">IF(AND(E1569&lt;&gt;"",E1569&lt;TODAY()),"Disponible",IFERROR(INDEX(Vehiculos[Estado Vehiculo],MATCH(F1569,Vehiculos[Placa Vehiculo],0)),""))</f>
        <v>Disponible</v>
      </c>
      <c r="H1569" s="34"/>
      <c r="I1569" s="34" t="s">
        <v>273</v>
      </c>
      <c r="J1569" s="34"/>
      <c r="K1569" s="39">
        <v>1263</v>
      </c>
      <c r="L1569" s="39">
        <v>1285</v>
      </c>
      <c r="M1569" s="15">
        <f t="shared" si="492"/>
        <v>22</v>
      </c>
      <c r="N1569" s="15">
        <f>Rutas[[#This Row],[Kms Recorridos]]</f>
        <v>22</v>
      </c>
      <c r="O1569" s="39"/>
      <c r="P1569" s="36"/>
      <c r="Q1569" s="16">
        <f t="shared" si="493"/>
        <v>0</v>
      </c>
      <c r="R1569" s="34" t="s">
        <v>273</v>
      </c>
      <c r="S1569" s="34" t="s">
        <v>102</v>
      </c>
      <c r="T1569" s="36">
        <v>2.8</v>
      </c>
      <c r="U1569" s="36">
        <f>Rutas[[#This Row],[Precio x Galón ($/gal)]]*Rutas[[#This Row],[Volumen de Combustible (gal)]]</f>
        <v>48.58</v>
      </c>
      <c r="V1569" s="36"/>
      <c r="W1569" s="36"/>
      <c r="X1569" s="36"/>
      <c r="Y1569" s="145">
        <f t="shared" si="494"/>
        <v>48.58</v>
      </c>
      <c r="Z1569" s="567"/>
      <c r="AA1569" s="12">
        <v>17.350000000000001</v>
      </c>
      <c r="AB1569" s="12">
        <f t="shared" si="495"/>
        <v>1.2680115273775214</v>
      </c>
      <c r="AC1569" s="12">
        <f t="shared" si="496"/>
        <v>0</v>
      </c>
      <c r="AD1569" s="34"/>
    </row>
    <row r="1570" spans="3:30" ht="16" x14ac:dyDescent="0.2">
      <c r="C1570" s="176">
        <f t="shared" si="491"/>
        <v>1567</v>
      </c>
      <c r="D1570" s="454"/>
      <c r="E1570" s="37"/>
      <c r="F1570" s="65"/>
      <c r="G1570" s="11" t="str">
        <f ca="1">IF(AND(E1570&lt;&gt;"",E1570&lt;TODAY()),"Disponible",IFERROR(INDEX(Vehiculos[Estado Vehiculo],MATCH(F1570,Vehiculos[Placa Vehiculo],0)),""))</f>
        <v/>
      </c>
      <c r="H1570" s="34"/>
      <c r="I1570" s="34"/>
      <c r="J1570" s="34"/>
      <c r="K1570" s="39"/>
      <c r="L1570" s="39"/>
      <c r="M1570" s="15">
        <f t="shared" si="492"/>
        <v>0</v>
      </c>
      <c r="N1570" s="15"/>
      <c r="O1570" s="39"/>
      <c r="P1570" s="36"/>
      <c r="Q1570" s="16">
        <f t="shared" si="493"/>
        <v>0</v>
      </c>
      <c r="R1570" s="34"/>
      <c r="S1570" s="34"/>
      <c r="T1570" s="36"/>
      <c r="U1570" s="36">
        <f>Rutas[[#This Row],[Precio x Galón ($/gal)]]*Rutas[[#This Row],[Volumen de Combustible (gal)]]</f>
        <v>0</v>
      </c>
      <c r="V1570" s="36"/>
      <c r="W1570" s="36"/>
      <c r="X1570" s="36"/>
      <c r="Y1570" s="145">
        <f t="shared" si="494"/>
        <v>0</v>
      </c>
      <c r="Z1570" s="567"/>
      <c r="AA1570" s="12"/>
      <c r="AB1570" s="12">
        <f t="shared" si="495"/>
        <v>0</v>
      </c>
      <c r="AC1570" s="12">
        <f t="shared" si="496"/>
        <v>0</v>
      </c>
      <c r="AD1570" s="34"/>
    </row>
    <row r="1571" spans="3:30" ht="16" x14ac:dyDescent="0.2">
      <c r="C1571" s="176">
        <f t="shared" si="491"/>
        <v>1568</v>
      </c>
      <c r="D1571" s="90">
        <v>45962</v>
      </c>
      <c r="E1571" s="90">
        <v>45963</v>
      </c>
      <c r="F1571" s="68" t="s">
        <v>352</v>
      </c>
      <c r="G1571" s="379" t="str">
        <f ca="1">IF(AND(E1571&lt;&gt;"",E1571&lt;TODAY()),"Disponible",IFERROR(INDEX(Vehiculos[Estado Vehiculo],MATCH(F1571,Vehiculos[Placa Vehiculo],0)),""))</f>
        <v>Disponible</v>
      </c>
      <c r="H1571" s="89"/>
      <c r="I1571" s="89" t="s">
        <v>273</v>
      </c>
      <c r="J1571" s="89"/>
      <c r="K1571" s="380">
        <v>285</v>
      </c>
      <c r="L1571" s="380">
        <v>310</v>
      </c>
      <c r="M1571" s="381">
        <f t="shared" si="492"/>
        <v>25</v>
      </c>
      <c r="N1571" s="381">
        <f>Rutas[[#This Row],[Kms Recorridos]]</f>
        <v>25</v>
      </c>
      <c r="O1571" s="380"/>
      <c r="P1571" s="92"/>
      <c r="Q1571" s="382">
        <f t="shared" si="493"/>
        <v>0</v>
      </c>
      <c r="R1571" s="89" t="s">
        <v>273</v>
      </c>
      <c r="S1571" s="89" t="s">
        <v>102</v>
      </c>
      <c r="T1571" s="92">
        <v>2.8</v>
      </c>
      <c r="U1571" s="92">
        <f>Rutas[[#This Row],[Precio x Galón ($/gal)]]*Rutas[[#This Row],[Volumen de Combustible (gal)]]</f>
        <v>58.631999999999998</v>
      </c>
      <c r="V1571" s="92"/>
      <c r="W1571" s="92"/>
      <c r="X1571" s="92"/>
      <c r="Y1571" s="382">
        <f t="shared" si="494"/>
        <v>58.631999999999998</v>
      </c>
      <c r="Z1571" s="382"/>
      <c r="AA1571" s="382">
        <v>20.94</v>
      </c>
      <c r="AB1571" s="382">
        <f t="shared" si="495"/>
        <v>1.1938872970391594</v>
      </c>
      <c r="AC1571" s="382">
        <f t="shared" si="496"/>
        <v>0</v>
      </c>
      <c r="AD1571" s="89"/>
    </row>
    <row r="1572" spans="3:30" ht="16" x14ac:dyDescent="0.2">
      <c r="C1572" s="176">
        <f t="shared" si="491"/>
        <v>1569</v>
      </c>
      <c r="D1572" s="454">
        <v>45963</v>
      </c>
      <c r="E1572" s="37">
        <v>45965</v>
      </c>
      <c r="F1572" s="65" t="s">
        <v>352</v>
      </c>
      <c r="G1572" s="11" t="str">
        <f ca="1">IF(AND(E1572&lt;&gt;"",E1572&lt;TODAY()),"Disponible",IFERROR(INDEX(Vehiculos[Estado Vehiculo],MATCH(F1572,Vehiculos[Placa Vehiculo],0)),""))</f>
        <v>Disponible</v>
      </c>
      <c r="H1572" s="34"/>
      <c r="I1572" s="34" t="s">
        <v>273</v>
      </c>
      <c r="J1572" s="34"/>
      <c r="K1572" s="39">
        <v>310</v>
      </c>
      <c r="L1572" s="39">
        <v>334</v>
      </c>
      <c r="M1572" s="15">
        <f t="shared" si="492"/>
        <v>24</v>
      </c>
      <c r="N1572" s="15">
        <f>Rutas[[#This Row],[Kms Recorridos]]</f>
        <v>24</v>
      </c>
      <c r="O1572" s="39"/>
      <c r="P1572" s="36"/>
      <c r="Q1572" s="16">
        <f t="shared" si="493"/>
        <v>0</v>
      </c>
      <c r="R1572" s="34" t="s">
        <v>196</v>
      </c>
      <c r="S1572" s="34" t="s">
        <v>102</v>
      </c>
      <c r="T1572" s="36">
        <v>2.8</v>
      </c>
      <c r="U1572" s="36">
        <f>Rutas[[#This Row],[Precio x Galón ($/gal)]]*Rutas[[#This Row],[Volumen de Combustible (gal)]]</f>
        <v>53.199999999999996</v>
      </c>
      <c r="V1572" s="36"/>
      <c r="W1572" s="36"/>
      <c r="X1572" s="36"/>
      <c r="Y1572" s="145">
        <f t="shared" si="494"/>
        <v>53.199999999999996</v>
      </c>
      <c r="Z1572" s="567"/>
      <c r="AA1572" s="12">
        <v>19</v>
      </c>
      <c r="AB1572" s="12">
        <f t="shared" si="495"/>
        <v>1.263157894736842</v>
      </c>
      <c r="AC1572" s="12">
        <f t="shared" si="496"/>
        <v>0</v>
      </c>
      <c r="AD1572" s="34"/>
    </row>
    <row r="1573" spans="3:30" ht="16" x14ac:dyDescent="0.2">
      <c r="C1573" s="176">
        <f t="shared" si="491"/>
        <v>1570</v>
      </c>
      <c r="D1573" s="454">
        <v>45965</v>
      </c>
      <c r="E1573" s="37">
        <v>45969</v>
      </c>
      <c r="F1573" s="65" t="s">
        <v>352</v>
      </c>
      <c r="G1573" s="11" t="str">
        <f ca="1">IF(AND(E1573&lt;&gt;"",E1573&lt;TODAY()),"Disponible",IFERROR(INDEX(Vehiculos[Estado Vehiculo],MATCH(F1573,Vehiculos[Placa Vehiculo],0)),""))</f>
        <v>Disponible</v>
      </c>
      <c r="H1573" s="34"/>
      <c r="I1573" s="34" t="s">
        <v>273</v>
      </c>
      <c r="J1573" s="34"/>
      <c r="K1573" s="39">
        <v>334</v>
      </c>
      <c r="L1573" s="39">
        <v>366</v>
      </c>
      <c r="M1573" s="15">
        <f t="shared" si="492"/>
        <v>32</v>
      </c>
      <c r="N1573" s="15">
        <f>Rutas[[#This Row],[Kms Recorridos]]</f>
        <v>32</v>
      </c>
      <c r="O1573" s="39"/>
      <c r="P1573" s="36"/>
      <c r="Q1573" s="16">
        <f t="shared" si="493"/>
        <v>0</v>
      </c>
      <c r="R1573" s="34" t="s">
        <v>273</v>
      </c>
      <c r="S1573" s="34" t="s">
        <v>102</v>
      </c>
      <c r="T1573" s="36">
        <v>2.8</v>
      </c>
      <c r="U1573" s="36">
        <f>Rutas[[#This Row],[Precio x Galón ($/gal)]]*Rutas[[#This Row],[Volumen de Combustible (gal)]]</f>
        <v>60.48</v>
      </c>
      <c r="V1573" s="36"/>
      <c r="W1573" s="36"/>
      <c r="X1573" s="36"/>
      <c r="Y1573" s="145">
        <f t="shared" si="494"/>
        <v>60.48</v>
      </c>
      <c r="Z1573" s="567"/>
      <c r="AA1573" s="12">
        <v>21.6</v>
      </c>
      <c r="AB1573" s="12">
        <f t="shared" si="495"/>
        <v>1.4814814814814814</v>
      </c>
      <c r="AC1573" s="12">
        <f t="shared" si="496"/>
        <v>0</v>
      </c>
      <c r="AD1573" s="34"/>
    </row>
    <row r="1574" spans="3:30" ht="16" x14ac:dyDescent="0.2">
      <c r="C1574" s="176">
        <f t="shared" si="491"/>
        <v>1571</v>
      </c>
      <c r="D1574" s="454">
        <v>45969</v>
      </c>
      <c r="E1574" s="37">
        <v>45972</v>
      </c>
      <c r="F1574" s="65" t="s">
        <v>352</v>
      </c>
      <c r="G1574" s="11" t="str">
        <f ca="1">IF(AND(E1574&lt;&gt;"",E1574&lt;TODAY()),"Disponible",IFERROR(INDEX(Vehiculos[Estado Vehiculo],MATCH(F1574,Vehiculos[Placa Vehiculo],0)),""))</f>
        <v>Disponible</v>
      </c>
      <c r="H1574" s="34" t="s">
        <v>426</v>
      </c>
      <c r="I1574" s="34" t="s">
        <v>273</v>
      </c>
      <c r="J1574" s="34"/>
      <c r="K1574" s="39">
        <v>366</v>
      </c>
      <c r="L1574" s="39">
        <v>389</v>
      </c>
      <c r="M1574" s="15">
        <f t="shared" si="492"/>
        <v>23</v>
      </c>
      <c r="N1574" s="15">
        <f>Rutas[[#This Row],[Kms Recorridos]]</f>
        <v>23</v>
      </c>
      <c r="O1574" s="39"/>
      <c r="P1574" s="36"/>
      <c r="Q1574" s="16">
        <f t="shared" si="493"/>
        <v>0</v>
      </c>
      <c r="R1574" s="34" t="s">
        <v>339</v>
      </c>
      <c r="S1574" s="34" t="s">
        <v>102</v>
      </c>
      <c r="T1574" s="36">
        <v>2.8</v>
      </c>
      <c r="U1574" s="36">
        <f>Rutas[[#This Row],[Precio x Galón ($/gal)]]*Rutas[[#This Row],[Volumen de Combustible (gal)]]</f>
        <v>30.015999999999998</v>
      </c>
      <c r="V1574" s="36"/>
      <c r="W1574" s="36"/>
      <c r="X1574" s="36"/>
      <c r="Y1574" s="145">
        <f t="shared" si="494"/>
        <v>30.015999999999998</v>
      </c>
      <c r="Z1574" s="567"/>
      <c r="AA1574" s="12">
        <v>10.72</v>
      </c>
      <c r="AB1574" s="12">
        <f t="shared" si="495"/>
        <v>2.1455223880597014</v>
      </c>
      <c r="AC1574" s="12">
        <f t="shared" si="496"/>
        <v>0</v>
      </c>
      <c r="AD1574" s="34"/>
    </row>
    <row r="1575" spans="3:30" ht="16" x14ac:dyDescent="0.2">
      <c r="C1575" s="176">
        <f t="shared" si="491"/>
        <v>1572</v>
      </c>
      <c r="D1575" s="454">
        <v>45972</v>
      </c>
      <c r="E1575" s="37">
        <v>45975</v>
      </c>
      <c r="F1575" s="65" t="s">
        <v>352</v>
      </c>
      <c r="G1575" s="11" t="str">
        <f ca="1">IF(AND(E1575&lt;&gt;"",E1575&lt;TODAY()),"Disponible",IFERROR(INDEX(Vehiculos[Estado Vehiculo],MATCH(F1575,Vehiculos[Placa Vehiculo],0)),""))</f>
        <v>Disponible</v>
      </c>
      <c r="H1575" s="34"/>
      <c r="I1575" s="34" t="s">
        <v>273</v>
      </c>
      <c r="J1575" s="34"/>
      <c r="K1575" s="39">
        <v>389</v>
      </c>
      <c r="L1575" s="39">
        <v>412</v>
      </c>
      <c r="M1575" s="15">
        <f t="shared" si="492"/>
        <v>23</v>
      </c>
      <c r="N1575" s="15">
        <f>Rutas[[#This Row],[Kms Recorridos]]</f>
        <v>23</v>
      </c>
      <c r="O1575" s="39"/>
      <c r="P1575" s="36"/>
      <c r="Q1575" s="16">
        <f t="shared" si="493"/>
        <v>0</v>
      </c>
      <c r="R1575" s="34" t="s">
        <v>273</v>
      </c>
      <c r="S1575" s="34" t="s">
        <v>102</v>
      </c>
      <c r="T1575" s="36">
        <v>2.8</v>
      </c>
      <c r="U1575" s="36">
        <f>Rutas[[#This Row],[Precio x Galón ($/gal)]]*Rutas[[#This Row],[Volumen de Combustible (gal)]]</f>
        <v>14.923999999999999</v>
      </c>
      <c r="V1575" s="36"/>
      <c r="W1575" s="36"/>
      <c r="X1575" s="36"/>
      <c r="Y1575" s="145">
        <f t="shared" si="494"/>
        <v>14.923999999999999</v>
      </c>
      <c r="Z1575" s="567"/>
      <c r="AA1575" s="12">
        <v>5.33</v>
      </c>
      <c r="AB1575" s="12">
        <f t="shared" si="495"/>
        <v>4.3151969981238274</v>
      </c>
      <c r="AC1575" s="12">
        <f t="shared" si="496"/>
        <v>0</v>
      </c>
      <c r="AD1575" s="34"/>
    </row>
    <row r="1576" spans="3:30" ht="16" x14ac:dyDescent="0.2">
      <c r="C1576" s="176">
        <f t="shared" si="491"/>
        <v>1573</v>
      </c>
      <c r="D1576" s="454">
        <v>45975</v>
      </c>
      <c r="E1576" s="37" t="s">
        <v>492</v>
      </c>
      <c r="F1576" s="65" t="s">
        <v>352</v>
      </c>
      <c r="G1576" s="11" t="str">
        <f ca="1">IF(AND(E1576&lt;&gt;"",E1576&lt;TODAY()),"Disponible",IFERROR(INDEX(Vehiculos[Estado Vehiculo],MATCH(F1576,Vehiculos[Placa Vehiculo],0)),""))</f>
        <v>Disponible</v>
      </c>
      <c r="H1576" s="34" t="s">
        <v>426</v>
      </c>
      <c r="I1576" s="34" t="s">
        <v>273</v>
      </c>
      <c r="J1576" s="34"/>
      <c r="K1576" s="39">
        <v>412</v>
      </c>
      <c r="L1576" s="39">
        <v>417</v>
      </c>
      <c r="M1576" s="15">
        <f>L1576-K1576</f>
        <v>5</v>
      </c>
      <c r="N1576" s="15">
        <f>Rutas[[#This Row],[Kms Recorridos]]</f>
        <v>5</v>
      </c>
      <c r="O1576" s="39"/>
      <c r="P1576" s="36"/>
      <c r="Q1576" s="16">
        <f>M1576*P1576</f>
        <v>0</v>
      </c>
      <c r="R1576" s="34" t="s">
        <v>339</v>
      </c>
      <c r="S1576" s="34" t="s">
        <v>102</v>
      </c>
      <c r="T1576" s="36">
        <v>2.8</v>
      </c>
      <c r="U1576" s="36">
        <f>Rutas[[#This Row],[Precio x Galón ($/gal)]]*Rutas[[#This Row],[Volumen de Combustible (gal)]]</f>
        <v>37.744</v>
      </c>
      <c r="V1576" s="36"/>
      <c r="W1576" s="36"/>
      <c r="X1576" s="36"/>
      <c r="Y1576" s="145">
        <f>U1576+SUM(V1576:X1576)</f>
        <v>37.744</v>
      </c>
      <c r="Z1576" s="567"/>
      <c r="AA1576" s="12">
        <v>13.48</v>
      </c>
      <c r="AB1576" s="12">
        <f>IFERROR(M1576/AA1576,0)</f>
        <v>0.37091988130563797</v>
      </c>
      <c r="AC1576" s="12">
        <f>IFERROR(Q1576/M1576,0)</f>
        <v>0</v>
      </c>
      <c r="AD1576" s="34"/>
    </row>
    <row r="1577" spans="3:30" ht="16" x14ac:dyDescent="0.2">
      <c r="C1577" s="176">
        <f t="shared" si="491"/>
        <v>1574</v>
      </c>
      <c r="D1577" s="454">
        <v>45976</v>
      </c>
      <c r="E1577" s="37">
        <v>45978</v>
      </c>
      <c r="F1577" s="65" t="s">
        <v>352</v>
      </c>
      <c r="G1577" s="11" t="str">
        <f ca="1">IF(AND(E1577&lt;&gt;"",E1577&lt;TODAY()),"Disponible",IFERROR(INDEX(Vehiculos[Estado Vehiculo],MATCH(F1577,Vehiculos[Placa Vehiculo],0)),""))</f>
        <v>Disponible</v>
      </c>
      <c r="H1577" s="34" t="s">
        <v>231</v>
      </c>
      <c r="I1577" s="34" t="s">
        <v>273</v>
      </c>
      <c r="J1577" s="34"/>
      <c r="K1577" s="39">
        <v>417</v>
      </c>
      <c r="L1577" s="39">
        <v>439</v>
      </c>
      <c r="M1577" s="15">
        <f>L1577-K1577</f>
        <v>22</v>
      </c>
      <c r="N1577" s="15">
        <f>Rutas[[#This Row],[Kms Recorridos]]</f>
        <v>22</v>
      </c>
      <c r="O1577" s="39"/>
      <c r="P1577" s="36"/>
      <c r="Q1577" s="16">
        <f>M1577*P1577</f>
        <v>0</v>
      </c>
      <c r="R1577" s="34" t="s">
        <v>273</v>
      </c>
      <c r="S1577" s="34" t="s">
        <v>102</v>
      </c>
      <c r="T1577" s="36">
        <v>2.8</v>
      </c>
      <c r="U1577" s="36">
        <f>Rutas[[#This Row],[Precio x Galón ($/gal)]]*Rutas[[#This Row],[Volumen de Combustible (gal)]]</f>
        <v>58.687999999999995</v>
      </c>
      <c r="V1577" s="36"/>
      <c r="W1577" s="36"/>
      <c r="X1577" s="36"/>
      <c r="Y1577" s="145">
        <f>U1577+SUM(V1577:X1577)</f>
        <v>58.687999999999995</v>
      </c>
      <c r="Z1577" s="567"/>
      <c r="AA1577" s="12">
        <v>20.96</v>
      </c>
      <c r="AB1577" s="12">
        <f>IFERROR(M1577/AA1577,0)</f>
        <v>1.0496183206106871</v>
      </c>
      <c r="AC1577" s="12">
        <f>IFERROR(Q1577/M1577,0)</f>
        <v>0</v>
      </c>
      <c r="AD1577" s="34"/>
    </row>
    <row r="1578" spans="3:30" ht="16" x14ac:dyDescent="0.2">
      <c r="C1578" s="176">
        <f t="shared" si="491"/>
        <v>1575</v>
      </c>
      <c r="D1578" s="454">
        <v>45978</v>
      </c>
      <c r="E1578" s="37">
        <v>45981</v>
      </c>
      <c r="F1578" s="65" t="s">
        <v>352</v>
      </c>
      <c r="G1578" s="11" t="str">
        <f ca="1">IF(AND(E1578&lt;&gt;"",E1578&lt;TODAY()),"Disponible",IFERROR(INDEX(Vehiculos[Estado Vehiculo],MATCH(F1578,Vehiculos[Placa Vehiculo],0)),""))</f>
        <v>Disponible</v>
      </c>
      <c r="H1578" s="34"/>
      <c r="I1578" s="34" t="s">
        <v>273</v>
      </c>
      <c r="J1578" s="34"/>
      <c r="K1578" s="39">
        <v>439</v>
      </c>
      <c r="L1578" s="39">
        <v>468</v>
      </c>
      <c r="M1578" s="15">
        <f>L1578-K1578</f>
        <v>29</v>
      </c>
      <c r="N1578" s="15">
        <f>Rutas[[#This Row],[Kms Recorridos]]</f>
        <v>29</v>
      </c>
      <c r="O1578" s="39"/>
      <c r="P1578" s="36"/>
      <c r="Q1578" s="16">
        <f>M1578*P1578</f>
        <v>0</v>
      </c>
      <c r="R1578" s="34" t="s">
        <v>273</v>
      </c>
      <c r="S1578" s="34" t="s">
        <v>102</v>
      </c>
      <c r="T1578" s="36">
        <v>2.8</v>
      </c>
      <c r="U1578" s="36">
        <f>Rutas[[#This Row],[Precio x Galón ($/gal)]]*Rutas[[#This Row],[Volumen de Combustible (gal)]]</f>
        <v>69.803999999999988</v>
      </c>
      <c r="V1578" s="36"/>
      <c r="W1578" s="36"/>
      <c r="X1578" s="36"/>
      <c r="Y1578" s="145">
        <f>U1578+SUM(V1578:X1578)</f>
        <v>69.803999999999988</v>
      </c>
      <c r="Z1578" s="567"/>
      <c r="AA1578" s="12">
        <v>24.93</v>
      </c>
      <c r="AB1578" s="12">
        <f>IFERROR(M1578/AA1578,0)</f>
        <v>1.1632571199358204</v>
      </c>
      <c r="AC1578" s="12">
        <f>IFERROR(Q1578/M1578,0)</f>
        <v>0</v>
      </c>
      <c r="AD1578" s="34"/>
    </row>
    <row r="1579" spans="3:30" ht="16" x14ac:dyDescent="0.2">
      <c r="C1579" s="176">
        <f t="shared" si="491"/>
        <v>1576</v>
      </c>
      <c r="D1579" s="454">
        <v>45981</v>
      </c>
      <c r="E1579" s="37">
        <v>45984</v>
      </c>
      <c r="F1579" s="65" t="s">
        <v>352</v>
      </c>
      <c r="G1579" s="11" t="str">
        <f ca="1">IF(AND(E1579&lt;&gt;"",E1579&lt;TODAY()),"Disponible",IFERROR(INDEX(Vehiculos[Estado Vehiculo],MATCH(F1579,Vehiculos[Placa Vehiculo],0)),""))</f>
        <v>Disponible</v>
      </c>
      <c r="H1579" s="34"/>
      <c r="I1579" s="34" t="s">
        <v>273</v>
      </c>
      <c r="J1579" s="34"/>
      <c r="K1579" s="39">
        <v>468</v>
      </c>
      <c r="L1579" s="39">
        <v>494</v>
      </c>
      <c r="M1579" s="15">
        <f>L1579-K1579</f>
        <v>26</v>
      </c>
      <c r="N1579" s="15">
        <f>Rutas[[#This Row],[Kms Recorridos]]</f>
        <v>26</v>
      </c>
      <c r="O1579" s="39"/>
      <c r="P1579" s="36"/>
      <c r="Q1579" s="16">
        <f>M1579*P1579</f>
        <v>0</v>
      </c>
      <c r="R1579" s="34" t="s">
        <v>273</v>
      </c>
      <c r="S1579" s="34" t="s">
        <v>102</v>
      </c>
      <c r="T1579" s="36">
        <v>2.8</v>
      </c>
      <c r="U1579" s="36">
        <f>Rutas[[#This Row],[Precio x Galón ($/gal)]]*Rutas[[#This Row],[Volumen de Combustible (gal)]]</f>
        <v>70.084000000000003</v>
      </c>
      <c r="V1579" s="36"/>
      <c r="W1579" s="36"/>
      <c r="X1579" s="36"/>
      <c r="Y1579" s="145">
        <f>U1579+SUM(V1579:X1579)</f>
        <v>70.084000000000003</v>
      </c>
      <c r="Z1579" s="567"/>
      <c r="AA1579" s="12">
        <v>25.03</v>
      </c>
      <c r="AB1579" s="12">
        <f>IFERROR(M1579/AA1579,0)</f>
        <v>1.038753495805034</v>
      </c>
      <c r="AC1579" s="12">
        <f>IFERROR(Q1579/M1579,0)</f>
        <v>0</v>
      </c>
      <c r="AD1579" s="34"/>
    </row>
    <row r="1580" spans="3:30" ht="16" x14ac:dyDescent="0.2">
      <c r="C1580" s="176">
        <f t="shared" si="491"/>
        <v>1577</v>
      </c>
      <c r="D1580" s="454">
        <v>45984</v>
      </c>
      <c r="E1580" s="37">
        <v>45987</v>
      </c>
      <c r="F1580" s="65" t="s">
        <v>352</v>
      </c>
      <c r="G1580" s="11" t="str">
        <f ca="1">IF(AND(E1580&lt;&gt;"",E1580&lt;TODAY()),"Disponible",IFERROR(INDEX(Vehiculos[Estado Vehiculo],MATCH(F1580,Vehiculos[Placa Vehiculo],0)),""))</f>
        <v>Disponible</v>
      </c>
      <c r="H1580" s="34"/>
      <c r="I1580" s="34" t="s">
        <v>273</v>
      </c>
      <c r="J1580" s="34"/>
      <c r="K1580" s="39">
        <v>494</v>
      </c>
      <c r="L1580" s="39">
        <v>522</v>
      </c>
      <c r="M1580" s="15">
        <f>L1580-K1580</f>
        <v>28</v>
      </c>
      <c r="N1580" s="15">
        <f>Rutas[[#This Row],[Kms Recorridos]]</f>
        <v>28</v>
      </c>
      <c r="O1580" s="39"/>
      <c r="P1580" s="36"/>
      <c r="Q1580" s="16">
        <f>M1580*P1580</f>
        <v>0</v>
      </c>
      <c r="R1580" s="34" t="s">
        <v>273</v>
      </c>
      <c r="S1580" s="34" t="s">
        <v>102</v>
      </c>
      <c r="T1580" s="36">
        <v>2.8</v>
      </c>
      <c r="U1580" s="36">
        <f>Rutas[[#This Row],[Precio x Galón ($/gal)]]*Rutas[[#This Row],[Volumen de Combustible (gal)]]</f>
        <v>70.111999999999995</v>
      </c>
      <c r="V1580" s="36"/>
      <c r="W1580" s="36"/>
      <c r="X1580" s="36"/>
      <c r="Y1580" s="145">
        <f>U1580+SUM(V1580:X1580)</f>
        <v>70.111999999999995</v>
      </c>
      <c r="Z1580" s="567"/>
      <c r="AA1580" s="12">
        <v>25.04</v>
      </c>
      <c r="AB1580" s="12">
        <f>IFERROR(M1580/AA1580,0)</f>
        <v>1.1182108626198084</v>
      </c>
      <c r="AC1580" s="12">
        <f>IFERROR(Q1580/M1580,0)</f>
        <v>0</v>
      </c>
      <c r="AD1580" s="34"/>
    </row>
    <row r="1581" spans="3:30" ht="16" x14ac:dyDescent="0.2">
      <c r="C1581" s="176">
        <f t="shared" si="491"/>
        <v>1578</v>
      </c>
      <c r="D1581" s="454">
        <v>45987</v>
      </c>
      <c r="E1581" s="37">
        <v>45990</v>
      </c>
      <c r="F1581" s="65" t="s">
        <v>352</v>
      </c>
      <c r="G1581" s="11" t="str">
        <f ca="1">IF(AND(E1581&lt;&gt;"",E1581&lt;TODAY()),"Disponible",IFERROR(INDEX(Vehiculos[Estado Vehiculo],MATCH(F1581,Vehiculos[Placa Vehiculo],0)),""))</f>
        <v>Disponible</v>
      </c>
      <c r="H1581" s="34"/>
      <c r="I1581" s="34" t="s">
        <v>273</v>
      </c>
      <c r="J1581" s="34"/>
      <c r="K1581" s="39">
        <v>522</v>
      </c>
      <c r="L1581" s="39">
        <v>548</v>
      </c>
      <c r="M1581" s="15">
        <f t="shared" si="492"/>
        <v>26</v>
      </c>
      <c r="N1581" s="15">
        <f>Rutas[[#This Row],[Kms Recorridos]]</f>
        <v>26</v>
      </c>
      <c r="O1581" s="39"/>
      <c r="P1581" s="36"/>
      <c r="Q1581" s="16">
        <f t="shared" si="493"/>
        <v>0</v>
      </c>
      <c r="R1581" s="34" t="s">
        <v>273</v>
      </c>
      <c r="S1581" s="34" t="s">
        <v>102</v>
      </c>
      <c r="T1581" s="36">
        <v>2.8</v>
      </c>
      <c r="U1581" s="36">
        <f>Rutas[[#This Row],[Precio x Galón ($/gal)]]*Rutas[[#This Row],[Volumen de Combustible (gal)]]</f>
        <v>69.328000000000003</v>
      </c>
      <c r="V1581" s="36"/>
      <c r="W1581" s="36"/>
      <c r="X1581" s="36"/>
      <c r="Y1581" s="145">
        <f t="shared" si="494"/>
        <v>69.328000000000003</v>
      </c>
      <c r="Z1581" s="567"/>
      <c r="AA1581" s="12">
        <v>24.76</v>
      </c>
      <c r="AB1581" s="12">
        <f t="shared" si="495"/>
        <v>1.0500807754442649</v>
      </c>
      <c r="AC1581" s="12">
        <f t="shared" si="496"/>
        <v>0</v>
      </c>
      <c r="AD1581" s="34"/>
    </row>
    <row r="1582" spans="3:30" ht="16" x14ac:dyDescent="0.2">
      <c r="C1582" s="176">
        <f t="shared" si="491"/>
        <v>1579</v>
      </c>
      <c r="D1582" s="454"/>
      <c r="E1582" s="37"/>
      <c r="F1582" s="65"/>
      <c r="G1582" s="11" t="str">
        <f ca="1">IF(AND(E1582&lt;&gt;"",E1582&lt;TODAY()),"Disponible",IFERROR(INDEX(Vehiculos[Estado Vehiculo],MATCH(F1582,Vehiculos[Placa Vehiculo],0)),""))</f>
        <v/>
      </c>
      <c r="H1582" s="34"/>
      <c r="I1582" s="34"/>
      <c r="J1582" s="34"/>
      <c r="K1582" s="39"/>
      <c r="L1582" s="39"/>
      <c r="M1582" s="15">
        <f t="shared" si="492"/>
        <v>0</v>
      </c>
      <c r="N1582" s="15"/>
      <c r="O1582" s="39"/>
      <c r="P1582" s="36"/>
      <c r="Q1582" s="16">
        <f t="shared" si="493"/>
        <v>0</v>
      </c>
      <c r="R1582" s="34"/>
      <c r="S1582" s="34"/>
      <c r="T1582" s="36"/>
      <c r="U1582" s="36"/>
      <c r="V1582" s="36"/>
      <c r="W1582" s="36"/>
      <c r="X1582" s="36"/>
      <c r="Y1582" s="145">
        <f t="shared" si="494"/>
        <v>0</v>
      </c>
      <c r="Z1582" s="567"/>
      <c r="AA1582" s="12"/>
      <c r="AB1582" s="12">
        <f t="shared" si="495"/>
        <v>0</v>
      </c>
      <c r="AC1582" s="12">
        <f t="shared" si="496"/>
        <v>0</v>
      </c>
      <c r="AD1582" s="34"/>
    </row>
    <row r="1583" spans="3:30" ht="16" x14ac:dyDescent="0.2">
      <c r="C1583" s="176">
        <f t="shared" si="491"/>
        <v>1580</v>
      </c>
      <c r="D1583" s="90">
        <v>45962</v>
      </c>
      <c r="E1583" s="90">
        <v>45963</v>
      </c>
      <c r="F1583" s="68" t="s">
        <v>308</v>
      </c>
      <c r="G1583" s="379" t="str">
        <f ca="1">IF(AND(E1583&lt;&gt;"",E1583&lt;TODAY()),"Disponible",IFERROR(INDEX(Vehiculos[Estado Vehiculo],MATCH(F1583,Vehiculos[Placa Vehiculo],0)),""))</f>
        <v>Disponible</v>
      </c>
      <c r="H1583" s="89"/>
      <c r="I1583" s="89" t="s">
        <v>273</v>
      </c>
      <c r="J1583" s="89"/>
      <c r="K1583" s="380">
        <v>1551</v>
      </c>
      <c r="L1583" s="380">
        <v>1588</v>
      </c>
      <c r="M1583" s="381">
        <f t="shared" si="492"/>
        <v>37</v>
      </c>
      <c r="N1583" s="381">
        <f>Rutas[[#This Row],[Kms Recorridos]]</f>
        <v>37</v>
      </c>
      <c r="O1583" s="380"/>
      <c r="P1583" s="92"/>
      <c r="Q1583" s="382">
        <f t="shared" si="493"/>
        <v>0</v>
      </c>
      <c r="R1583" s="89" t="s">
        <v>273</v>
      </c>
      <c r="S1583" s="89" t="s">
        <v>102</v>
      </c>
      <c r="T1583" s="92">
        <v>2.8</v>
      </c>
      <c r="U1583" s="92">
        <f>Rutas[[#This Row],[Precio x Galón ($/gal)]]*Rutas[[#This Row],[Volumen de Combustible (gal)]]</f>
        <v>59.611999999999995</v>
      </c>
      <c r="V1583" s="92"/>
      <c r="W1583" s="92"/>
      <c r="X1583" s="92"/>
      <c r="Y1583" s="382">
        <f t="shared" si="494"/>
        <v>59.611999999999995</v>
      </c>
      <c r="Z1583" s="382"/>
      <c r="AA1583" s="382">
        <v>21.29</v>
      </c>
      <c r="AB1583" s="382">
        <f t="shared" si="495"/>
        <v>1.7379051197745421</v>
      </c>
      <c r="AC1583" s="382">
        <f t="shared" si="496"/>
        <v>0</v>
      </c>
      <c r="AD1583" s="89"/>
    </row>
    <row r="1584" spans="3:30" ht="16" x14ac:dyDescent="0.2">
      <c r="C1584" s="176">
        <f t="shared" si="491"/>
        <v>1581</v>
      </c>
      <c r="D1584" s="454">
        <v>45963</v>
      </c>
      <c r="E1584" s="37">
        <v>45967</v>
      </c>
      <c r="F1584" s="65" t="s">
        <v>308</v>
      </c>
      <c r="G1584" s="11" t="str">
        <f ca="1">IF(AND(E1584&lt;&gt;"",E1584&lt;TODAY()),"Disponible",IFERROR(INDEX(Vehiculos[Estado Vehiculo],MATCH(F1584,Vehiculos[Placa Vehiculo],0)),""))</f>
        <v>Disponible</v>
      </c>
      <c r="H1584" s="34"/>
      <c r="I1584" s="34" t="s">
        <v>273</v>
      </c>
      <c r="J1584" s="34"/>
      <c r="K1584" s="39">
        <v>1588</v>
      </c>
      <c r="L1584" s="39">
        <v>1628</v>
      </c>
      <c r="M1584" s="15">
        <f t="shared" si="492"/>
        <v>40</v>
      </c>
      <c r="N1584" s="15">
        <f>Rutas[[#This Row],[Kms Recorridos]]</f>
        <v>40</v>
      </c>
      <c r="O1584" s="39"/>
      <c r="P1584" s="36"/>
      <c r="Q1584" s="16">
        <f t="shared" si="493"/>
        <v>0</v>
      </c>
      <c r="R1584" s="34" t="s">
        <v>273</v>
      </c>
      <c r="S1584" s="34" t="s">
        <v>102</v>
      </c>
      <c r="T1584" s="36">
        <v>2.8</v>
      </c>
      <c r="U1584" s="36">
        <f>Rutas[[#This Row],[Precio x Galón ($/gal)]]*Rutas[[#This Row],[Volumen de Combustible (gal)]]</f>
        <v>50.623999999999995</v>
      </c>
      <c r="V1584" s="36"/>
      <c r="W1584" s="36"/>
      <c r="X1584" s="36"/>
      <c r="Y1584" s="145">
        <f t="shared" si="494"/>
        <v>50.623999999999995</v>
      </c>
      <c r="Z1584" s="567"/>
      <c r="AA1584" s="12">
        <v>18.079999999999998</v>
      </c>
      <c r="AB1584" s="12">
        <f t="shared" si="495"/>
        <v>2.2123893805309738</v>
      </c>
      <c r="AC1584" s="12">
        <f t="shared" si="496"/>
        <v>0</v>
      </c>
      <c r="AD1584" s="34"/>
    </row>
    <row r="1585" spans="3:30" ht="16" x14ac:dyDescent="0.2">
      <c r="C1585" s="176">
        <f t="shared" si="491"/>
        <v>1582</v>
      </c>
      <c r="D1585" s="454">
        <v>45967</v>
      </c>
      <c r="E1585" s="37">
        <v>45971</v>
      </c>
      <c r="F1585" s="65" t="s">
        <v>308</v>
      </c>
      <c r="G1585" s="11" t="str">
        <f ca="1">IF(AND(E1585&lt;&gt;"",E1585&lt;TODAY()),"Disponible",IFERROR(INDEX(Vehiculos[Estado Vehiculo],MATCH(F1585,Vehiculos[Placa Vehiculo],0)),""))</f>
        <v>Disponible</v>
      </c>
      <c r="H1585" s="34" t="s">
        <v>237</v>
      </c>
      <c r="I1585" s="34" t="s">
        <v>273</v>
      </c>
      <c r="J1585" s="34"/>
      <c r="K1585" s="39">
        <v>1628</v>
      </c>
      <c r="L1585" s="39">
        <v>1667</v>
      </c>
      <c r="M1585" s="15">
        <f t="shared" si="492"/>
        <v>39</v>
      </c>
      <c r="N1585" s="15">
        <f>Rutas[[#This Row],[Kms Recorridos]]</f>
        <v>39</v>
      </c>
      <c r="O1585" s="39"/>
      <c r="P1585" s="36"/>
      <c r="Q1585" s="16">
        <f t="shared" si="493"/>
        <v>0</v>
      </c>
      <c r="R1585" s="34" t="s">
        <v>339</v>
      </c>
      <c r="S1585" s="34" t="s">
        <v>102</v>
      </c>
      <c r="T1585" s="36">
        <v>2.8</v>
      </c>
      <c r="U1585" s="36">
        <f>Rutas[[#This Row],[Precio x Galón ($/gal)]]*Rutas[[#This Row],[Volumen de Combustible (gal)]]</f>
        <v>51.015999999999991</v>
      </c>
      <c r="V1585" s="36"/>
      <c r="W1585" s="36"/>
      <c r="X1585" s="36"/>
      <c r="Y1585" s="145">
        <f t="shared" si="494"/>
        <v>51.015999999999991</v>
      </c>
      <c r="Z1585" s="567"/>
      <c r="AA1585" s="12">
        <v>18.22</v>
      </c>
      <c r="AB1585" s="12">
        <f t="shared" si="495"/>
        <v>2.1405049396267839</v>
      </c>
      <c r="AC1585" s="12">
        <f t="shared" si="496"/>
        <v>0</v>
      </c>
      <c r="AD1585" s="34"/>
    </row>
    <row r="1586" spans="3:30" ht="16" x14ac:dyDescent="0.2">
      <c r="C1586" s="176">
        <f t="shared" si="491"/>
        <v>1583</v>
      </c>
      <c r="D1586" s="454">
        <v>45971</v>
      </c>
      <c r="E1586" s="37">
        <v>45975</v>
      </c>
      <c r="F1586" s="65" t="s">
        <v>308</v>
      </c>
      <c r="G1586" s="11" t="str">
        <f ca="1">IF(AND(E1586&lt;&gt;"",E1586&lt;TODAY()),"Disponible",IFERROR(INDEX(Vehiculos[Estado Vehiculo],MATCH(F1586,Vehiculos[Placa Vehiculo],0)),""))</f>
        <v>Disponible</v>
      </c>
      <c r="H1586" s="34"/>
      <c r="I1586" s="34" t="s">
        <v>273</v>
      </c>
      <c r="J1586" s="34"/>
      <c r="K1586" s="39">
        <v>1667</v>
      </c>
      <c r="L1586" s="39">
        <v>1710</v>
      </c>
      <c r="M1586" s="15">
        <f t="shared" si="492"/>
        <v>43</v>
      </c>
      <c r="N1586" s="15">
        <f>Rutas[[#This Row],[Kms Recorridos]]</f>
        <v>43</v>
      </c>
      <c r="O1586" s="39"/>
      <c r="P1586" s="36"/>
      <c r="Q1586" s="16">
        <f t="shared" si="493"/>
        <v>0</v>
      </c>
      <c r="R1586" s="34" t="s">
        <v>273</v>
      </c>
      <c r="S1586" s="34" t="s">
        <v>102</v>
      </c>
      <c r="T1586" s="36">
        <v>2.8</v>
      </c>
      <c r="U1586" s="36">
        <f>Rutas[[#This Row],[Precio x Galón ($/gal)]]*Rutas[[#This Row],[Volumen de Combustible (gal)]]</f>
        <v>29.82</v>
      </c>
      <c r="V1586" s="36"/>
      <c r="W1586" s="36"/>
      <c r="X1586" s="36"/>
      <c r="Y1586" s="145">
        <f t="shared" si="494"/>
        <v>29.82</v>
      </c>
      <c r="Z1586" s="567"/>
      <c r="AA1586" s="12">
        <v>10.65</v>
      </c>
      <c r="AB1586" s="12">
        <f t="shared" si="495"/>
        <v>4.037558685446009</v>
      </c>
      <c r="AC1586" s="12">
        <f t="shared" si="496"/>
        <v>0</v>
      </c>
      <c r="AD1586" s="34"/>
    </row>
    <row r="1587" spans="3:30" ht="16" x14ac:dyDescent="0.2">
      <c r="C1587" s="176">
        <f t="shared" si="491"/>
        <v>1584</v>
      </c>
      <c r="D1587" s="454">
        <v>45975</v>
      </c>
      <c r="E1587" s="37">
        <v>45978</v>
      </c>
      <c r="F1587" s="65" t="s">
        <v>308</v>
      </c>
      <c r="G1587" s="11" t="str">
        <f ca="1">IF(AND(E1587&lt;&gt;"",E1587&lt;TODAY()),"Disponible",IFERROR(INDEX(Vehiculos[Estado Vehiculo],MATCH(F1587,Vehiculos[Placa Vehiculo],0)),""))</f>
        <v>Disponible</v>
      </c>
      <c r="H1587" s="34"/>
      <c r="I1587" s="34" t="s">
        <v>273</v>
      </c>
      <c r="J1587" s="34"/>
      <c r="K1587" s="39">
        <v>1710</v>
      </c>
      <c r="L1587" s="39">
        <v>1744</v>
      </c>
      <c r="M1587" s="15">
        <f>L1587-K1587</f>
        <v>34</v>
      </c>
      <c r="N1587" s="15">
        <f>Rutas[[#This Row],[Kms Recorridos]]</f>
        <v>34</v>
      </c>
      <c r="O1587" s="39"/>
      <c r="P1587" s="36"/>
      <c r="Q1587" s="16">
        <f>M1587*P1587</f>
        <v>0</v>
      </c>
      <c r="R1587" s="34" t="s">
        <v>273</v>
      </c>
      <c r="S1587" s="34" t="s">
        <v>102</v>
      </c>
      <c r="T1587" s="36">
        <v>2.8</v>
      </c>
      <c r="U1587" s="36">
        <f>Rutas[[#This Row],[Precio x Galón ($/gal)]]*Rutas[[#This Row],[Volumen de Combustible (gal)]]</f>
        <v>36.567999999999998</v>
      </c>
      <c r="V1587" s="36"/>
      <c r="W1587" s="36"/>
      <c r="X1587" s="36"/>
      <c r="Y1587" s="145">
        <f>U1587+SUM(V1587:X1587)</f>
        <v>36.567999999999998</v>
      </c>
      <c r="Z1587" s="567"/>
      <c r="AA1587" s="12">
        <v>13.06</v>
      </c>
      <c r="AB1587" s="12">
        <f>IFERROR(M1587/AA1587,0)</f>
        <v>2.6033690658499231</v>
      </c>
      <c r="AC1587" s="12">
        <f>IFERROR(Q1587/M1587,0)</f>
        <v>0</v>
      </c>
      <c r="AD1587" s="34"/>
    </row>
    <row r="1588" spans="3:30" ht="16" x14ac:dyDescent="0.2">
      <c r="C1588" s="176">
        <f t="shared" si="491"/>
        <v>1585</v>
      </c>
      <c r="D1588" s="454">
        <v>45978</v>
      </c>
      <c r="E1588" s="37">
        <v>45982</v>
      </c>
      <c r="F1588" s="65" t="s">
        <v>308</v>
      </c>
      <c r="G1588" s="11" t="str">
        <f ca="1">IF(AND(E1588&lt;&gt;"",E1588&lt;TODAY()),"Disponible",IFERROR(INDEX(Vehiculos[Estado Vehiculo],MATCH(F1588,Vehiculos[Placa Vehiculo],0)),""))</f>
        <v>Disponible</v>
      </c>
      <c r="H1588" s="34"/>
      <c r="I1588" s="34" t="s">
        <v>273</v>
      </c>
      <c r="J1588" s="34"/>
      <c r="K1588" s="39">
        <v>1744</v>
      </c>
      <c r="L1588" s="39">
        <v>1747</v>
      </c>
      <c r="M1588" s="15">
        <f>L1588-K1588</f>
        <v>3</v>
      </c>
      <c r="N1588" s="15">
        <f>Rutas[[#This Row],[Kms Recorridos]]</f>
        <v>3</v>
      </c>
      <c r="O1588" s="39"/>
      <c r="P1588" s="36"/>
      <c r="Q1588" s="16">
        <f>M1588*P1588</f>
        <v>0</v>
      </c>
      <c r="R1588" s="34" t="s">
        <v>273</v>
      </c>
      <c r="S1588" s="34" t="s">
        <v>102</v>
      </c>
      <c r="T1588" s="36">
        <v>2.8</v>
      </c>
      <c r="U1588" s="36">
        <f>Rutas[[#This Row],[Precio x Galón ($/gal)]]*Rutas[[#This Row],[Volumen de Combustible (gal)]]</f>
        <v>39.564</v>
      </c>
      <c r="V1588" s="36"/>
      <c r="W1588" s="36"/>
      <c r="X1588" s="36"/>
      <c r="Y1588" s="145">
        <f>U1588+SUM(V1588:X1588)</f>
        <v>39.564</v>
      </c>
      <c r="Z1588" s="567"/>
      <c r="AA1588" s="12">
        <v>14.13</v>
      </c>
      <c r="AB1588" s="12">
        <f>IFERROR(M1588/AA1588,0)</f>
        <v>0.21231422505307854</v>
      </c>
      <c r="AC1588" s="12">
        <f>IFERROR(Q1588/M1588,0)</f>
        <v>0</v>
      </c>
      <c r="AD1588" s="34"/>
    </row>
    <row r="1589" spans="3:30" ht="16" x14ac:dyDescent="0.2">
      <c r="C1589" s="176">
        <f t="shared" si="491"/>
        <v>1586</v>
      </c>
      <c r="D1589" s="454">
        <v>45982</v>
      </c>
      <c r="E1589" s="37">
        <v>45986</v>
      </c>
      <c r="F1589" s="65" t="s">
        <v>308</v>
      </c>
      <c r="G1589" s="11" t="str">
        <f ca="1">IF(AND(E1589&lt;&gt;"",E1589&lt;TODAY()),"Disponible",IFERROR(INDEX(Vehiculos[Estado Vehiculo],MATCH(F1589,Vehiculos[Placa Vehiculo],0)),""))</f>
        <v>Disponible</v>
      </c>
      <c r="H1589" s="34"/>
      <c r="I1589" s="34" t="s">
        <v>273</v>
      </c>
      <c r="J1589" s="34"/>
      <c r="K1589" s="39">
        <v>1747</v>
      </c>
      <c r="L1589" s="39">
        <v>1788</v>
      </c>
      <c r="M1589" s="15">
        <f>L1589-K1589</f>
        <v>41</v>
      </c>
      <c r="N1589" s="15">
        <f>Rutas[[#This Row],[Kms Recorridos]]</f>
        <v>41</v>
      </c>
      <c r="O1589" s="39"/>
      <c r="P1589" s="36"/>
      <c r="Q1589" s="16">
        <f>M1589*P1589</f>
        <v>0</v>
      </c>
      <c r="R1589" s="34" t="s">
        <v>273</v>
      </c>
      <c r="S1589" s="34" t="s">
        <v>102</v>
      </c>
      <c r="T1589" s="36">
        <v>2.8</v>
      </c>
      <c r="U1589" s="36">
        <f>Rutas[[#This Row],[Precio x Galón ($/gal)]]*Rutas[[#This Row],[Volumen de Combustible (gal)]]</f>
        <v>58.995999999999995</v>
      </c>
      <c r="V1589" s="36"/>
      <c r="W1589" s="36"/>
      <c r="X1589" s="36"/>
      <c r="Y1589" s="145">
        <f>U1589+SUM(V1589:X1589)</f>
        <v>58.995999999999995</v>
      </c>
      <c r="Z1589" s="567"/>
      <c r="AA1589" s="12">
        <v>21.07</v>
      </c>
      <c r="AB1589" s="12">
        <f>IFERROR(M1589/AA1589,0)</f>
        <v>1.9458946369245371</v>
      </c>
      <c r="AC1589" s="12">
        <f>IFERROR(Q1589/M1589,0)</f>
        <v>0</v>
      </c>
      <c r="AD1589" s="34"/>
    </row>
    <row r="1590" spans="3:30" ht="16" x14ac:dyDescent="0.2">
      <c r="C1590" s="176">
        <f t="shared" si="491"/>
        <v>1587</v>
      </c>
      <c r="D1590" s="454">
        <v>45986</v>
      </c>
      <c r="E1590" s="37">
        <v>45990</v>
      </c>
      <c r="F1590" s="65" t="s">
        <v>308</v>
      </c>
      <c r="G1590" s="11" t="str">
        <f ca="1">IF(AND(E1590&lt;&gt;"",E1590&lt;TODAY()),"Disponible",IFERROR(INDEX(Vehiculos[Estado Vehiculo],MATCH(F1590,Vehiculos[Placa Vehiculo],0)),""))</f>
        <v>Disponible</v>
      </c>
      <c r="H1590" s="34"/>
      <c r="I1590" s="34" t="s">
        <v>273</v>
      </c>
      <c r="J1590" s="34"/>
      <c r="K1590" s="39">
        <v>1788</v>
      </c>
      <c r="L1590" s="39">
        <v>1827</v>
      </c>
      <c r="M1590" s="15">
        <f t="shared" si="492"/>
        <v>39</v>
      </c>
      <c r="N1590" s="15">
        <f>Rutas[[#This Row],[Kms Recorridos]]</f>
        <v>39</v>
      </c>
      <c r="O1590" s="39"/>
      <c r="P1590" s="36"/>
      <c r="Q1590" s="16">
        <f t="shared" si="493"/>
        <v>0</v>
      </c>
      <c r="R1590" s="34" t="s">
        <v>273</v>
      </c>
      <c r="S1590" s="34" t="s">
        <v>102</v>
      </c>
      <c r="T1590" s="36">
        <v>2.8</v>
      </c>
      <c r="U1590" s="36">
        <f>Rutas[[#This Row],[Precio x Galón ($/gal)]]*Rutas[[#This Row],[Volumen de Combustible (gal)]]</f>
        <v>58.295999999999999</v>
      </c>
      <c r="V1590" s="36"/>
      <c r="W1590" s="36"/>
      <c r="X1590" s="36"/>
      <c r="Y1590" s="145">
        <f t="shared" si="494"/>
        <v>58.295999999999999</v>
      </c>
      <c r="Z1590" s="567"/>
      <c r="AA1590" s="12">
        <v>20.82</v>
      </c>
      <c r="AB1590" s="12">
        <f t="shared" si="495"/>
        <v>1.8731988472622478</v>
      </c>
      <c r="AC1590" s="12">
        <f t="shared" si="496"/>
        <v>0</v>
      </c>
      <c r="AD1590" s="34"/>
    </row>
    <row r="1591" spans="3:30" ht="16" x14ac:dyDescent="0.2">
      <c r="C1591" s="176">
        <f t="shared" si="491"/>
        <v>1588</v>
      </c>
      <c r="D1591" s="454"/>
      <c r="E1591" s="37"/>
      <c r="F1591" s="65"/>
      <c r="G1591" s="11" t="str">
        <f ca="1">IF(AND(E1591&lt;&gt;"",E1591&lt;TODAY()),"Disponible",IFERROR(INDEX(Vehiculos[Estado Vehiculo],MATCH(F1591,Vehiculos[Placa Vehiculo],0)),""))</f>
        <v/>
      </c>
      <c r="H1591" s="34"/>
      <c r="I1591" s="34"/>
      <c r="J1591" s="34"/>
      <c r="K1591" s="39"/>
      <c r="L1591" s="39"/>
      <c r="M1591" s="15">
        <f t="shared" si="492"/>
        <v>0</v>
      </c>
      <c r="N1591" s="15"/>
      <c r="O1591" s="39"/>
      <c r="P1591" s="36"/>
      <c r="Q1591" s="16">
        <f t="shared" si="493"/>
        <v>0</v>
      </c>
      <c r="R1591" s="34"/>
      <c r="S1591" s="34"/>
      <c r="T1591" s="36"/>
      <c r="U1591" s="36"/>
      <c r="V1591" s="36"/>
      <c r="W1591" s="36"/>
      <c r="X1591" s="36"/>
      <c r="Y1591" s="145">
        <f t="shared" si="494"/>
        <v>0</v>
      </c>
      <c r="Z1591" s="567"/>
      <c r="AA1591" s="12"/>
      <c r="AB1591" s="12">
        <f t="shared" si="495"/>
        <v>0</v>
      </c>
      <c r="AC1591" s="12">
        <f t="shared" si="496"/>
        <v>0</v>
      </c>
      <c r="AD1591" s="34"/>
    </row>
    <row r="1592" spans="3:30" ht="16" x14ac:dyDescent="0.2">
      <c r="C1592" s="176">
        <f t="shared" si="491"/>
        <v>1589</v>
      </c>
      <c r="D1592" s="90">
        <v>45962</v>
      </c>
      <c r="E1592" s="90"/>
      <c r="F1592" s="68" t="s">
        <v>311</v>
      </c>
      <c r="G1592" s="379" t="str">
        <f ca="1">IF(AND(E1592&lt;&gt;"",E1592&lt;TODAY()),"Disponible",IFERROR(INDEX(Vehiculos[Estado Vehiculo],MATCH(F1592,Vehiculos[Placa Vehiculo],0)),""))</f>
        <v>Disponible</v>
      </c>
      <c r="H1592" s="89"/>
      <c r="I1592" s="89" t="s">
        <v>273</v>
      </c>
      <c r="J1592" s="89"/>
      <c r="K1592" s="380">
        <v>2544</v>
      </c>
      <c r="L1592" s="380"/>
      <c r="M1592" s="381">
        <f t="shared" si="492"/>
        <v>-2544</v>
      </c>
      <c r="N1592" s="381"/>
      <c r="O1592" s="380"/>
      <c r="P1592" s="92"/>
      <c r="Q1592" s="382">
        <f t="shared" si="493"/>
        <v>0</v>
      </c>
      <c r="R1592" s="89"/>
      <c r="S1592" s="89"/>
      <c r="T1592" s="92"/>
      <c r="U1592" s="92">
        <f>Rutas[[#This Row],[Precio x Galón ($/gal)]]*Rutas[[#This Row],[Volumen de Combustible (gal)]]</f>
        <v>0</v>
      </c>
      <c r="V1592" s="92"/>
      <c r="W1592" s="92"/>
      <c r="X1592" s="92"/>
      <c r="Y1592" s="382">
        <f t="shared" si="494"/>
        <v>0</v>
      </c>
      <c r="Z1592" s="382"/>
      <c r="AA1592" s="382"/>
      <c r="AB1592" s="382">
        <f t="shared" si="495"/>
        <v>0</v>
      </c>
      <c r="AC1592" s="382">
        <f t="shared" si="496"/>
        <v>0</v>
      </c>
      <c r="AD1592" s="89"/>
    </row>
    <row r="1593" spans="3:30" ht="16" x14ac:dyDescent="0.2">
      <c r="C1593" s="176">
        <f t="shared" si="491"/>
        <v>1590</v>
      </c>
      <c r="D1593" s="454"/>
      <c r="E1593" s="37"/>
      <c r="F1593" s="65"/>
      <c r="G1593" s="11" t="str">
        <f ca="1">IF(AND(E1593&lt;&gt;"",E1593&lt;TODAY()),"Disponible",IFERROR(INDEX(Vehiculos[Estado Vehiculo],MATCH(F1593,Vehiculos[Placa Vehiculo],0)),""))</f>
        <v/>
      </c>
      <c r="H1593" s="34"/>
      <c r="I1593" s="34"/>
      <c r="J1593" s="34"/>
      <c r="K1593" s="39"/>
      <c r="L1593" s="39"/>
      <c r="M1593" s="15">
        <f t="shared" si="492"/>
        <v>0</v>
      </c>
      <c r="N1593" s="15"/>
      <c r="O1593" s="39"/>
      <c r="P1593" s="36"/>
      <c r="Q1593" s="16">
        <f t="shared" si="493"/>
        <v>0</v>
      </c>
      <c r="R1593" s="34"/>
      <c r="S1593" s="34"/>
      <c r="T1593" s="36"/>
      <c r="U1593" s="36">
        <f>Rutas[[#This Row],[Precio x Galón ($/gal)]]*Rutas[[#This Row],[Volumen de Combustible (gal)]]</f>
        <v>0</v>
      </c>
      <c r="V1593" s="36"/>
      <c r="W1593" s="36"/>
      <c r="X1593" s="36"/>
      <c r="Y1593" s="145">
        <f t="shared" si="494"/>
        <v>0</v>
      </c>
      <c r="Z1593" s="567"/>
      <c r="AA1593" s="12"/>
      <c r="AB1593" s="12">
        <f t="shared" si="495"/>
        <v>0</v>
      </c>
      <c r="AC1593" s="12">
        <f t="shared" si="496"/>
        <v>0</v>
      </c>
      <c r="AD1593" s="34"/>
    </row>
    <row r="1594" spans="3:30" ht="16" x14ac:dyDescent="0.2">
      <c r="C1594" s="176">
        <f t="shared" si="491"/>
        <v>1591</v>
      </c>
      <c r="D1594" s="454"/>
      <c r="E1594" s="37"/>
      <c r="F1594" s="65"/>
      <c r="G1594" s="11" t="str">
        <f ca="1">IF(AND(E1594&lt;&gt;"",E1594&lt;TODAY()),"Disponible",IFERROR(INDEX(Vehiculos[Estado Vehiculo],MATCH(F1594,Vehiculos[Placa Vehiculo],0)),""))</f>
        <v/>
      </c>
      <c r="H1594" s="34"/>
      <c r="I1594" s="34"/>
      <c r="J1594" s="34"/>
      <c r="K1594" s="39"/>
      <c r="L1594" s="39"/>
      <c r="M1594" s="15">
        <f t="shared" si="492"/>
        <v>0</v>
      </c>
      <c r="N1594" s="15"/>
      <c r="O1594" s="39"/>
      <c r="P1594" s="36"/>
      <c r="Q1594" s="16">
        <f t="shared" si="493"/>
        <v>0</v>
      </c>
      <c r="R1594" s="34"/>
      <c r="S1594" s="34"/>
      <c r="T1594" s="36"/>
      <c r="U1594" s="36">
        <f>Rutas[[#This Row],[Precio x Galón ($/gal)]]*Rutas[[#This Row],[Volumen de Combustible (gal)]]</f>
        <v>0</v>
      </c>
      <c r="V1594" s="36"/>
      <c r="W1594" s="36"/>
      <c r="X1594" s="36"/>
      <c r="Y1594" s="145">
        <f t="shared" si="494"/>
        <v>0</v>
      </c>
      <c r="Z1594" s="567"/>
      <c r="AA1594" s="12"/>
      <c r="AB1594" s="12">
        <f t="shared" si="495"/>
        <v>0</v>
      </c>
      <c r="AC1594" s="12">
        <f t="shared" si="496"/>
        <v>0</v>
      </c>
      <c r="AD1594" s="34"/>
    </row>
    <row r="1595" spans="3:30" ht="16" x14ac:dyDescent="0.2">
      <c r="C1595" s="176">
        <f t="shared" si="491"/>
        <v>1592</v>
      </c>
      <c r="D1595" s="90">
        <v>45962</v>
      </c>
      <c r="E1595" s="90">
        <v>45965</v>
      </c>
      <c r="F1595" s="68" t="s">
        <v>312</v>
      </c>
      <c r="G1595" s="379" t="str">
        <f ca="1">IF(AND(E1595&lt;&gt;"",E1595&lt;TODAY()),"Disponible",IFERROR(INDEX(Vehiculos[Estado Vehiculo],MATCH(F1595,Vehiculos[Placa Vehiculo],0)),""))</f>
        <v>Disponible</v>
      </c>
      <c r="H1595" s="89"/>
      <c r="I1595" s="89" t="s">
        <v>273</v>
      </c>
      <c r="J1595" s="89"/>
      <c r="K1595" s="380">
        <v>479</v>
      </c>
      <c r="L1595" s="380">
        <v>508</v>
      </c>
      <c r="M1595" s="381">
        <f t="shared" si="492"/>
        <v>29</v>
      </c>
      <c r="N1595" s="381">
        <f>Rutas[[#This Row],[Kms Recorridos]]</f>
        <v>29</v>
      </c>
      <c r="O1595" s="380"/>
      <c r="P1595" s="92"/>
      <c r="Q1595" s="382">
        <f t="shared" si="493"/>
        <v>0</v>
      </c>
      <c r="R1595" s="89" t="s">
        <v>273</v>
      </c>
      <c r="S1595" s="89" t="s">
        <v>102</v>
      </c>
      <c r="T1595" s="92">
        <v>2.8</v>
      </c>
      <c r="U1595" s="92">
        <f>Rutas[[#This Row],[Precio x Galón ($/gal)]]*Rutas[[#This Row],[Volumen de Combustible (gal)]]</f>
        <v>45.136000000000003</v>
      </c>
      <c r="V1595" s="92"/>
      <c r="W1595" s="92"/>
      <c r="X1595" s="92"/>
      <c r="Y1595" s="382">
        <f t="shared" si="494"/>
        <v>45.136000000000003</v>
      </c>
      <c r="Z1595" s="382"/>
      <c r="AA1595" s="382">
        <v>16.12</v>
      </c>
      <c r="AB1595" s="382">
        <f t="shared" si="495"/>
        <v>1.7990074441687345</v>
      </c>
      <c r="AC1595" s="382">
        <f t="shared" si="496"/>
        <v>0</v>
      </c>
      <c r="AD1595" s="89"/>
    </row>
    <row r="1596" spans="3:30" ht="16" x14ac:dyDescent="0.2">
      <c r="C1596" s="176">
        <f t="shared" si="491"/>
        <v>1593</v>
      </c>
      <c r="D1596" s="454">
        <v>45965</v>
      </c>
      <c r="E1596" s="37">
        <v>45967</v>
      </c>
      <c r="F1596" s="65" t="s">
        <v>312</v>
      </c>
      <c r="G1596" s="11" t="str">
        <f ca="1">IF(AND(E1596&lt;&gt;"",E1596&lt;TODAY()),"Disponible",IFERROR(INDEX(Vehiculos[Estado Vehiculo],MATCH(F1596,Vehiculos[Placa Vehiculo],0)),""))</f>
        <v>Disponible</v>
      </c>
      <c r="H1596" s="34"/>
      <c r="I1596" s="34" t="s">
        <v>273</v>
      </c>
      <c r="J1596" s="34"/>
      <c r="K1596" s="39">
        <v>508</v>
      </c>
      <c r="L1596" s="39">
        <v>532</v>
      </c>
      <c r="M1596" s="15">
        <f t="shared" si="492"/>
        <v>24</v>
      </c>
      <c r="N1596" s="15">
        <f>Rutas[[#This Row],[Kms Recorridos]]</f>
        <v>24</v>
      </c>
      <c r="O1596" s="39"/>
      <c r="P1596" s="36"/>
      <c r="Q1596" s="16">
        <f t="shared" si="493"/>
        <v>0</v>
      </c>
      <c r="R1596" s="34" t="s">
        <v>273</v>
      </c>
      <c r="S1596" s="34" t="s">
        <v>102</v>
      </c>
      <c r="T1596" s="36">
        <v>2.8</v>
      </c>
      <c r="U1596" s="36">
        <f>Rutas[[#This Row],[Precio x Galón ($/gal)]]*Rutas[[#This Row],[Volumen de Combustible (gal)]]</f>
        <v>35</v>
      </c>
      <c r="V1596" s="36"/>
      <c r="W1596" s="36"/>
      <c r="X1596" s="36"/>
      <c r="Y1596" s="145">
        <f t="shared" si="494"/>
        <v>35</v>
      </c>
      <c r="Z1596" s="567"/>
      <c r="AA1596" s="12">
        <v>12.5</v>
      </c>
      <c r="AB1596" s="12">
        <f t="shared" si="495"/>
        <v>1.92</v>
      </c>
      <c r="AC1596" s="12">
        <f t="shared" si="496"/>
        <v>0</v>
      </c>
      <c r="AD1596" s="34"/>
    </row>
    <row r="1597" spans="3:30" ht="16" x14ac:dyDescent="0.2">
      <c r="C1597" s="176">
        <f t="shared" si="491"/>
        <v>1594</v>
      </c>
      <c r="D1597" s="454">
        <v>45967</v>
      </c>
      <c r="E1597" s="37">
        <v>45970</v>
      </c>
      <c r="F1597" s="65" t="s">
        <v>312</v>
      </c>
      <c r="G1597" s="11" t="str">
        <f ca="1">IF(AND(E1597&lt;&gt;"",E1597&lt;TODAY()),"Disponible",IFERROR(INDEX(Vehiculos[Estado Vehiculo],MATCH(F1597,Vehiculos[Placa Vehiculo],0)),""))</f>
        <v>Disponible</v>
      </c>
      <c r="H1597" s="34"/>
      <c r="I1597" s="34" t="s">
        <v>273</v>
      </c>
      <c r="J1597" s="34"/>
      <c r="K1597" s="39">
        <v>532</v>
      </c>
      <c r="L1597" s="39">
        <v>555</v>
      </c>
      <c r="M1597" s="15">
        <f t="shared" ref="M1597:M1635" si="502">L1597-K1597</f>
        <v>23</v>
      </c>
      <c r="N1597" s="15">
        <f>Rutas[[#This Row],[Kms Recorridos]]</f>
        <v>23</v>
      </c>
      <c r="O1597" s="39"/>
      <c r="P1597" s="36"/>
      <c r="Q1597" s="16">
        <f t="shared" ref="Q1597:Q1635" si="503">M1597*P1597</f>
        <v>0</v>
      </c>
      <c r="R1597" s="34" t="s">
        <v>273</v>
      </c>
      <c r="S1597" s="34" t="s">
        <v>102</v>
      </c>
      <c r="T1597" s="36">
        <v>2.8</v>
      </c>
      <c r="U1597" s="36">
        <f>Rutas[[#This Row],[Precio x Galón ($/gal)]]*Rutas[[#This Row],[Volumen de Combustible (gal)]]</f>
        <v>36.735999999999997</v>
      </c>
      <c r="V1597" s="36"/>
      <c r="W1597" s="36"/>
      <c r="X1597" s="36"/>
      <c r="Y1597" s="145">
        <f t="shared" ref="Y1597:Y1635" si="504">U1597+SUM(V1597:X1597)</f>
        <v>36.735999999999997</v>
      </c>
      <c r="Z1597" s="567"/>
      <c r="AA1597" s="12">
        <v>13.12</v>
      </c>
      <c r="AB1597" s="12">
        <f t="shared" ref="AB1597:AB1635" si="505">IFERROR(M1597/AA1597,0)</f>
        <v>1.753048780487805</v>
      </c>
      <c r="AC1597" s="12">
        <f t="shared" ref="AC1597:AC1635" si="506">IFERROR(Q1597/M1597,0)</f>
        <v>0</v>
      </c>
      <c r="AD1597" s="34"/>
    </row>
    <row r="1598" spans="3:30" ht="16" x14ac:dyDescent="0.2">
      <c r="C1598" s="176">
        <f t="shared" si="491"/>
        <v>1595</v>
      </c>
      <c r="D1598" s="454">
        <v>45970</v>
      </c>
      <c r="E1598" s="37">
        <v>45973</v>
      </c>
      <c r="F1598" s="65" t="s">
        <v>312</v>
      </c>
      <c r="G1598" s="11" t="str">
        <f ca="1">IF(AND(E1598&lt;&gt;"",E1598&lt;TODAY()),"Disponible",IFERROR(INDEX(Vehiculos[Estado Vehiculo],MATCH(F1598,Vehiculos[Placa Vehiculo],0)),""))</f>
        <v>Disponible</v>
      </c>
      <c r="H1598" s="34"/>
      <c r="I1598" s="34" t="s">
        <v>273</v>
      </c>
      <c r="J1598" s="34"/>
      <c r="K1598" s="39">
        <v>555</v>
      </c>
      <c r="L1598" s="39">
        <v>579</v>
      </c>
      <c r="M1598" s="15">
        <f t="shared" si="502"/>
        <v>24</v>
      </c>
      <c r="N1598" s="15">
        <f>Rutas[[#This Row],[Kms Recorridos]]</f>
        <v>24</v>
      </c>
      <c r="O1598" s="39"/>
      <c r="P1598" s="36"/>
      <c r="Q1598" s="16">
        <f t="shared" si="503"/>
        <v>0</v>
      </c>
      <c r="R1598" s="34" t="s">
        <v>273</v>
      </c>
      <c r="S1598" s="34" t="s">
        <v>102</v>
      </c>
      <c r="T1598" s="36">
        <v>2.8</v>
      </c>
      <c r="U1598" s="36">
        <f>Rutas[[#This Row],[Precio x Galón ($/gal)]]*Rutas[[#This Row],[Volumen de Combustible (gal)]]</f>
        <v>41.831999999999994</v>
      </c>
      <c r="V1598" s="36"/>
      <c r="W1598" s="36"/>
      <c r="X1598" s="36"/>
      <c r="Y1598" s="145">
        <f t="shared" si="504"/>
        <v>41.831999999999994</v>
      </c>
      <c r="Z1598" s="567"/>
      <c r="AA1598" s="12">
        <v>14.94</v>
      </c>
      <c r="AB1598" s="12">
        <f t="shared" si="505"/>
        <v>1.606425702811245</v>
      </c>
      <c r="AC1598" s="12">
        <f t="shared" si="506"/>
        <v>0</v>
      </c>
      <c r="AD1598" s="34"/>
    </row>
    <row r="1599" spans="3:30" ht="16" x14ac:dyDescent="0.2">
      <c r="C1599" s="176">
        <f t="shared" si="491"/>
        <v>1596</v>
      </c>
      <c r="D1599" s="454">
        <v>45973</v>
      </c>
      <c r="E1599" s="37">
        <v>45976</v>
      </c>
      <c r="F1599" s="65" t="s">
        <v>312</v>
      </c>
      <c r="G1599" s="11" t="str">
        <f ca="1">IF(AND(E1599&lt;&gt;"",E1599&lt;TODAY()),"Disponible",IFERROR(INDEX(Vehiculos[Estado Vehiculo],MATCH(F1599,Vehiculos[Placa Vehiculo],0)),""))</f>
        <v>Disponible</v>
      </c>
      <c r="H1599" s="34"/>
      <c r="I1599" s="34" t="s">
        <v>273</v>
      </c>
      <c r="J1599" s="34"/>
      <c r="K1599" s="39">
        <v>579</v>
      </c>
      <c r="L1599" s="39">
        <v>601</v>
      </c>
      <c r="M1599" s="15">
        <f t="shared" ref="M1599:M1603" si="507">L1599-K1599</f>
        <v>22</v>
      </c>
      <c r="N1599" s="15">
        <f>Rutas[[#This Row],[Kms Recorridos]]</f>
        <v>22</v>
      </c>
      <c r="O1599" s="39"/>
      <c r="P1599" s="36"/>
      <c r="Q1599" s="16">
        <f t="shared" ref="Q1599:Q1603" si="508">M1599*P1599</f>
        <v>0</v>
      </c>
      <c r="R1599" s="34" t="s">
        <v>273</v>
      </c>
      <c r="S1599" s="34" t="s">
        <v>102</v>
      </c>
      <c r="T1599" s="36">
        <v>2.8</v>
      </c>
      <c r="U1599" s="36">
        <f>Rutas[[#This Row],[Precio x Galón ($/gal)]]*Rutas[[#This Row],[Volumen de Combustible (gal)]]</f>
        <v>41.076000000000001</v>
      </c>
      <c r="V1599" s="36"/>
      <c r="W1599" s="36"/>
      <c r="X1599" s="36"/>
      <c r="Y1599" s="145">
        <f t="shared" ref="Y1599:Y1603" si="509">U1599+SUM(V1599:X1599)</f>
        <v>41.076000000000001</v>
      </c>
      <c r="Z1599" s="567"/>
      <c r="AA1599" s="12">
        <v>14.67</v>
      </c>
      <c r="AB1599" s="12">
        <f t="shared" ref="AB1599:AB1603" si="510">IFERROR(M1599/AA1599,0)</f>
        <v>1.4996591683708249</v>
      </c>
      <c r="AC1599" s="12">
        <f t="shared" ref="AC1599:AC1603" si="511">IFERROR(Q1599/M1599,0)</f>
        <v>0</v>
      </c>
      <c r="AD1599" s="34"/>
    </row>
    <row r="1600" spans="3:30" ht="16" x14ac:dyDescent="0.2">
      <c r="C1600" s="176">
        <f t="shared" si="491"/>
        <v>1597</v>
      </c>
      <c r="D1600" s="454">
        <v>45976</v>
      </c>
      <c r="E1600" s="37">
        <v>45979</v>
      </c>
      <c r="F1600" s="65" t="s">
        <v>312</v>
      </c>
      <c r="G1600" s="11" t="str">
        <f ca="1">IF(AND(E1600&lt;&gt;"",E1600&lt;TODAY()),"Disponible",IFERROR(INDEX(Vehiculos[Estado Vehiculo],MATCH(F1600,Vehiculos[Placa Vehiculo],0)),""))</f>
        <v>Disponible</v>
      </c>
      <c r="H1600" s="34"/>
      <c r="I1600" s="34" t="s">
        <v>273</v>
      </c>
      <c r="J1600" s="34"/>
      <c r="K1600" s="39">
        <v>601</v>
      </c>
      <c r="L1600" s="39">
        <v>624</v>
      </c>
      <c r="M1600" s="15">
        <f t="shared" si="507"/>
        <v>23</v>
      </c>
      <c r="N1600" s="15">
        <f>Rutas[[#This Row],[Kms Recorridos]]</f>
        <v>23</v>
      </c>
      <c r="O1600" s="39"/>
      <c r="P1600" s="36"/>
      <c r="Q1600" s="16">
        <f t="shared" si="508"/>
        <v>0</v>
      </c>
      <c r="R1600" s="34" t="s">
        <v>273</v>
      </c>
      <c r="S1600" s="34" t="s">
        <v>102</v>
      </c>
      <c r="T1600" s="36">
        <v>2.8</v>
      </c>
      <c r="U1600" s="36">
        <f>Rutas[[#This Row],[Precio x Galón ($/gal)]]*Rutas[[#This Row],[Volumen de Combustible (gal)]]</f>
        <v>40.04</v>
      </c>
      <c r="V1600" s="36"/>
      <c r="W1600" s="36"/>
      <c r="X1600" s="36"/>
      <c r="Y1600" s="145">
        <f t="shared" si="509"/>
        <v>40.04</v>
      </c>
      <c r="Z1600" s="567"/>
      <c r="AA1600" s="12">
        <v>14.3</v>
      </c>
      <c r="AB1600" s="12">
        <f t="shared" si="510"/>
        <v>1.6083916083916083</v>
      </c>
      <c r="AC1600" s="12">
        <f t="shared" si="511"/>
        <v>0</v>
      </c>
      <c r="AD1600" s="34"/>
    </row>
    <row r="1601" spans="3:30" ht="16" x14ac:dyDescent="0.2">
      <c r="C1601" s="176">
        <f t="shared" si="491"/>
        <v>1598</v>
      </c>
      <c r="D1601" s="454">
        <v>45979</v>
      </c>
      <c r="E1601" s="37">
        <v>45982</v>
      </c>
      <c r="F1601" s="65" t="s">
        <v>312</v>
      </c>
      <c r="G1601" s="11" t="str">
        <f ca="1">IF(AND(E1601&lt;&gt;"",E1601&lt;TODAY()),"Disponible",IFERROR(INDEX(Vehiculos[Estado Vehiculo],MATCH(F1601,Vehiculos[Placa Vehiculo],0)),""))</f>
        <v>Disponible</v>
      </c>
      <c r="H1601" s="34"/>
      <c r="I1601" s="34" t="s">
        <v>273</v>
      </c>
      <c r="J1601" s="34"/>
      <c r="K1601" s="39">
        <v>624</v>
      </c>
      <c r="L1601" s="39">
        <v>651</v>
      </c>
      <c r="M1601" s="15">
        <f t="shared" si="507"/>
        <v>27</v>
      </c>
      <c r="N1601" s="15">
        <f>Rutas[[#This Row],[Kms Recorridos]]</f>
        <v>27</v>
      </c>
      <c r="O1601" s="39"/>
      <c r="P1601" s="36"/>
      <c r="Q1601" s="16">
        <f t="shared" si="508"/>
        <v>0</v>
      </c>
      <c r="R1601" s="34" t="s">
        <v>273</v>
      </c>
      <c r="S1601" s="34" t="s">
        <v>102</v>
      </c>
      <c r="T1601" s="36">
        <v>2.8</v>
      </c>
      <c r="U1601" s="36">
        <f>Rutas[[#This Row],[Precio x Galón ($/gal)]]*Rutas[[#This Row],[Volumen de Combustible (gal)]]</f>
        <v>44.828000000000003</v>
      </c>
      <c r="V1601" s="36"/>
      <c r="W1601" s="36"/>
      <c r="X1601" s="36"/>
      <c r="Y1601" s="145">
        <f t="shared" si="509"/>
        <v>44.828000000000003</v>
      </c>
      <c r="Z1601" s="567"/>
      <c r="AA1601" s="12">
        <v>16.010000000000002</v>
      </c>
      <c r="AB1601" s="12">
        <f t="shared" si="510"/>
        <v>1.6864459712679574</v>
      </c>
      <c r="AC1601" s="12">
        <f t="shared" si="511"/>
        <v>0</v>
      </c>
      <c r="AD1601" s="34"/>
    </row>
    <row r="1602" spans="3:30" ht="16" x14ac:dyDescent="0.2">
      <c r="C1602" s="176">
        <f t="shared" si="491"/>
        <v>1599</v>
      </c>
      <c r="D1602" s="454">
        <v>45982</v>
      </c>
      <c r="E1602" s="37">
        <v>45986</v>
      </c>
      <c r="F1602" s="65" t="s">
        <v>312</v>
      </c>
      <c r="G1602" s="11" t="str">
        <f ca="1">IF(AND(E1602&lt;&gt;"",E1602&lt;TODAY()),"Disponible",IFERROR(INDEX(Vehiculos[Estado Vehiculo],MATCH(F1602,Vehiculos[Placa Vehiculo],0)),""))</f>
        <v>Disponible</v>
      </c>
      <c r="H1602" s="34"/>
      <c r="I1602" s="34" t="s">
        <v>273</v>
      </c>
      <c r="J1602" s="34"/>
      <c r="K1602" s="39">
        <v>651</v>
      </c>
      <c r="L1602" s="39">
        <v>688</v>
      </c>
      <c r="M1602" s="15">
        <f t="shared" si="507"/>
        <v>37</v>
      </c>
      <c r="N1602" s="15">
        <f>Rutas[[#This Row],[Kms Recorridos]]</f>
        <v>37</v>
      </c>
      <c r="O1602" s="39"/>
      <c r="P1602" s="36"/>
      <c r="Q1602" s="16">
        <f t="shared" si="508"/>
        <v>0</v>
      </c>
      <c r="R1602" s="34" t="s">
        <v>273</v>
      </c>
      <c r="S1602" s="34" t="s">
        <v>102</v>
      </c>
      <c r="T1602" s="36">
        <v>2.8</v>
      </c>
      <c r="U1602" s="36">
        <f>Rutas[[#This Row],[Precio x Galón ($/gal)]]*Rutas[[#This Row],[Volumen de Combustible (gal)]]</f>
        <v>60.787999999999997</v>
      </c>
      <c r="V1602" s="36"/>
      <c r="W1602" s="36"/>
      <c r="X1602" s="36"/>
      <c r="Y1602" s="145">
        <f t="shared" si="509"/>
        <v>60.787999999999997</v>
      </c>
      <c r="Z1602" s="567"/>
      <c r="AA1602" s="12">
        <v>21.71</v>
      </c>
      <c r="AB1602" s="12">
        <f t="shared" si="510"/>
        <v>1.7042837402118838</v>
      </c>
      <c r="AC1602" s="12">
        <f t="shared" si="511"/>
        <v>0</v>
      </c>
      <c r="AD1602" s="34"/>
    </row>
    <row r="1603" spans="3:30" ht="16" x14ac:dyDescent="0.2">
      <c r="C1603" s="176">
        <f t="shared" si="491"/>
        <v>1600</v>
      </c>
      <c r="D1603" s="454">
        <v>45986</v>
      </c>
      <c r="E1603" s="37">
        <v>45989</v>
      </c>
      <c r="F1603" s="65" t="s">
        <v>312</v>
      </c>
      <c r="G1603" s="11" t="str">
        <f ca="1">IF(AND(E1603&lt;&gt;"",E1603&lt;TODAY()),"Disponible",IFERROR(INDEX(Vehiculos[Estado Vehiculo],MATCH(F1603,Vehiculos[Placa Vehiculo],0)),""))</f>
        <v>Disponible</v>
      </c>
      <c r="H1603" s="34"/>
      <c r="I1603" s="34" t="s">
        <v>273</v>
      </c>
      <c r="J1603" s="34"/>
      <c r="K1603" s="39">
        <v>688</v>
      </c>
      <c r="L1603" s="39">
        <v>718</v>
      </c>
      <c r="M1603" s="15">
        <f t="shared" si="507"/>
        <v>30</v>
      </c>
      <c r="N1603" s="15">
        <f>Rutas[[#This Row],[Kms Recorridos]]</f>
        <v>30</v>
      </c>
      <c r="O1603" s="39"/>
      <c r="P1603" s="36"/>
      <c r="Q1603" s="16">
        <f t="shared" si="508"/>
        <v>0</v>
      </c>
      <c r="R1603" s="34" t="s">
        <v>273</v>
      </c>
      <c r="S1603" s="34" t="s">
        <v>102</v>
      </c>
      <c r="T1603" s="36">
        <v>2.8</v>
      </c>
      <c r="U1603" s="36">
        <f>Rutas[[#This Row],[Precio x Galón ($/gal)]]*Rutas[[#This Row],[Volumen de Combustible (gal)]]</f>
        <v>45.192</v>
      </c>
      <c r="V1603" s="36"/>
      <c r="W1603" s="36"/>
      <c r="X1603" s="36"/>
      <c r="Y1603" s="145">
        <f t="shared" si="509"/>
        <v>45.192</v>
      </c>
      <c r="Z1603" s="567"/>
      <c r="AA1603" s="12">
        <v>16.14</v>
      </c>
      <c r="AB1603" s="12">
        <f t="shared" si="510"/>
        <v>1.8587360594795539</v>
      </c>
      <c r="AC1603" s="12">
        <f t="shared" si="511"/>
        <v>0</v>
      </c>
      <c r="AD1603" s="34"/>
    </row>
    <row r="1604" spans="3:30" ht="16" x14ac:dyDescent="0.2">
      <c r="C1604" s="176">
        <f t="shared" ref="C1604:C1667" si="512">ROW(A1601)</f>
        <v>1601</v>
      </c>
      <c r="D1604" s="454"/>
      <c r="E1604" s="37"/>
      <c r="F1604" s="65"/>
      <c r="G1604" s="11" t="str">
        <f ca="1">IF(AND(E1604&lt;&gt;"",E1604&lt;TODAY()),"Disponible",IFERROR(INDEX(Vehiculos[Estado Vehiculo],MATCH(F1604,Vehiculos[Placa Vehiculo],0)),""))</f>
        <v/>
      </c>
      <c r="H1604" s="34"/>
      <c r="I1604" s="34"/>
      <c r="J1604" s="34"/>
      <c r="K1604" s="39"/>
      <c r="L1604" s="39"/>
      <c r="M1604" s="15">
        <f t="shared" si="502"/>
        <v>0</v>
      </c>
      <c r="N1604" s="15"/>
      <c r="O1604" s="39"/>
      <c r="P1604" s="36"/>
      <c r="Q1604" s="16">
        <f t="shared" si="503"/>
        <v>0</v>
      </c>
      <c r="R1604" s="34"/>
      <c r="S1604" s="34"/>
      <c r="T1604" s="36"/>
      <c r="U1604" s="36">
        <f>Rutas[[#This Row],[Precio x Galón ($/gal)]]*Rutas[[#This Row],[Volumen de Combustible (gal)]]</f>
        <v>0</v>
      </c>
      <c r="V1604" s="36"/>
      <c r="W1604" s="36"/>
      <c r="X1604" s="36"/>
      <c r="Y1604" s="145">
        <f t="shared" si="504"/>
        <v>0</v>
      </c>
      <c r="Z1604" s="567"/>
      <c r="AA1604" s="12"/>
      <c r="AB1604" s="12">
        <f t="shared" si="505"/>
        <v>0</v>
      </c>
      <c r="AC1604" s="12">
        <f t="shared" si="506"/>
        <v>0</v>
      </c>
      <c r="AD1604" s="34"/>
    </row>
    <row r="1605" spans="3:30" ht="16" x14ac:dyDescent="0.2">
      <c r="C1605" s="176">
        <f t="shared" si="512"/>
        <v>1602</v>
      </c>
      <c r="D1605" s="90">
        <v>45962</v>
      </c>
      <c r="E1605" s="90">
        <v>45972</v>
      </c>
      <c r="F1605" s="68" t="s">
        <v>307</v>
      </c>
      <c r="G1605" s="379" t="str">
        <f ca="1">IF(AND(E1605&lt;&gt;"",E1605&lt;TODAY()),"Disponible",IFERROR(INDEX(Vehiculos[Estado Vehiculo],MATCH(F1605,Vehiculos[Placa Vehiculo],0)),""))</f>
        <v>Disponible</v>
      </c>
      <c r="H1605" s="89"/>
      <c r="I1605" s="89" t="s">
        <v>273</v>
      </c>
      <c r="J1605" s="89"/>
      <c r="K1605" s="380">
        <v>4837</v>
      </c>
      <c r="L1605" s="380">
        <v>4861</v>
      </c>
      <c r="M1605" s="381">
        <f t="shared" si="502"/>
        <v>24</v>
      </c>
      <c r="N1605" s="381">
        <f>Rutas[[#This Row],[Kms Recorridos]]</f>
        <v>24</v>
      </c>
      <c r="O1605" s="380"/>
      <c r="P1605" s="92"/>
      <c r="Q1605" s="382">
        <f t="shared" si="503"/>
        <v>0</v>
      </c>
      <c r="R1605" s="89" t="s">
        <v>273</v>
      </c>
      <c r="S1605" s="89" t="s">
        <v>102</v>
      </c>
      <c r="T1605" s="92">
        <v>2.8</v>
      </c>
      <c r="U1605" s="92">
        <f>Rutas[[#This Row],[Precio x Galón ($/gal)]]*Rutas[[#This Row],[Volumen de Combustible (gal)]]</f>
        <v>36.54</v>
      </c>
      <c r="V1605" s="92"/>
      <c r="W1605" s="92"/>
      <c r="X1605" s="92"/>
      <c r="Y1605" s="382">
        <f t="shared" si="504"/>
        <v>36.54</v>
      </c>
      <c r="Z1605" s="382"/>
      <c r="AA1605" s="382">
        <v>13.05</v>
      </c>
      <c r="AB1605" s="382">
        <f t="shared" si="505"/>
        <v>1.8390804597701149</v>
      </c>
      <c r="AC1605" s="382">
        <f t="shared" si="506"/>
        <v>0</v>
      </c>
      <c r="AD1605" s="89"/>
    </row>
    <row r="1606" spans="3:30" ht="16" x14ac:dyDescent="0.2">
      <c r="C1606" s="176">
        <f t="shared" si="512"/>
        <v>1603</v>
      </c>
      <c r="D1606" s="454">
        <v>45972</v>
      </c>
      <c r="E1606" s="37">
        <v>45982</v>
      </c>
      <c r="F1606" s="65" t="s">
        <v>307</v>
      </c>
      <c r="G1606" s="11" t="str">
        <f ca="1">IF(AND(E1606&lt;&gt;"",E1606&lt;TODAY()),"Disponible",IFERROR(INDEX(Vehiculos[Estado Vehiculo],MATCH(F1606,Vehiculos[Placa Vehiculo],0)),""))</f>
        <v>Disponible</v>
      </c>
      <c r="H1606" s="34"/>
      <c r="I1606" s="34" t="s">
        <v>273</v>
      </c>
      <c r="J1606" s="34"/>
      <c r="K1606" s="39">
        <v>4861</v>
      </c>
      <c r="L1606" s="39">
        <v>4882</v>
      </c>
      <c r="M1606" s="15">
        <f t="shared" si="502"/>
        <v>21</v>
      </c>
      <c r="N1606" s="15">
        <f>Rutas[[#This Row],[Kms Recorridos]]</f>
        <v>21</v>
      </c>
      <c r="O1606" s="39"/>
      <c r="P1606" s="36"/>
      <c r="Q1606" s="16">
        <f t="shared" si="503"/>
        <v>0</v>
      </c>
      <c r="R1606" s="34" t="s">
        <v>273</v>
      </c>
      <c r="S1606" s="34" t="s">
        <v>102</v>
      </c>
      <c r="T1606" s="36">
        <v>2.8</v>
      </c>
      <c r="U1606" s="36">
        <f>Rutas[[#This Row],[Precio x Galón ($/gal)]]*Rutas[[#This Row],[Volumen de Combustible (gal)]]</f>
        <v>33.683999999999997</v>
      </c>
      <c r="V1606" s="36"/>
      <c r="W1606" s="36"/>
      <c r="X1606" s="36"/>
      <c r="Y1606" s="145">
        <f t="shared" si="504"/>
        <v>33.683999999999997</v>
      </c>
      <c r="Z1606" s="567"/>
      <c r="AA1606" s="12">
        <v>12.03</v>
      </c>
      <c r="AB1606" s="12">
        <f t="shared" si="505"/>
        <v>1.745635910224439</v>
      </c>
      <c r="AC1606" s="12">
        <f t="shared" si="506"/>
        <v>0</v>
      </c>
      <c r="AD1606" s="34"/>
    </row>
    <row r="1607" spans="3:30" ht="16" x14ac:dyDescent="0.2">
      <c r="C1607" s="176">
        <f t="shared" si="512"/>
        <v>1604</v>
      </c>
      <c r="D1607" s="454"/>
      <c r="E1607" s="37"/>
      <c r="F1607" s="65"/>
      <c r="G1607" s="11" t="str">
        <f ca="1">IF(AND(E1607&lt;&gt;"",E1607&lt;TODAY()),"Disponible",IFERROR(INDEX(Vehiculos[Estado Vehiculo],MATCH(F1607,Vehiculos[Placa Vehiculo],0)),""))</f>
        <v/>
      </c>
      <c r="H1607" s="34"/>
      <c r="I1607" s="34"/>
      <c r="J1607" s="34"/>
      <c r="K1607" s="39"/>
      <c r="L1607" s="39"/>
      <c r="M1607" s="15">
        <f t="shared" si="502"/>
        <v>0</v>
      </c>
      <c r="N1607" s="15"/>
      <c r="O1607" s="39"/>
      <c r="P1607" s="36"/>
      <c r="Q1607" s="16">
        <f t="shared" si="503"/>
        <v>0</v>
      </c>
      <c r="R1607" s="34"/>
      <c r="S1607" s="34"/>
      <c r="T1607" s="36"/>
      <c r="U1607" s="36">
        <f>Rutas[[#This Row],[Precio x Galón ($/gal)]]*Rutas[[#This Row],[Volumen de Combustible (gal)]]</f>
        <v>0</v>
      </c>
      <c r="V1607" s="36"/>
      <c r="W1607" s="36"/>
      <c r="X1607" s="36"/>
      <c r="Y1607" s="145">
        <f t="shared" si="504"/>
        <v>0</v>
      </c>
      <c r="Z1607" s="567"/>
      <c r="AA1607" s="12"/>
      <c r="AB1607" s="12">
        <f t="shared" si="505"/>
        <v>0</v>
      </c>
      <c r="AC1607" s="12">
        <f t="shared" si="506"/>
        <v>0</v>
      </c>
      <c r="AD1607" s="34"/>
    </row>
    <row r="1608" spans="3:30" ht="16" x14ac:dyDescent="0.2">
      <c r="C1608" s="176">
        <f t="shared" si="512"/>
        <v>1605</v>
      </c>
      <c r="D1608" s="90">
        <v>45962</v>
      </c>
      <c r="E1608" s="90">
        <v>45968</v>
      </c>
      <c r="F1608" s="68" t="s">
        <v>306</v>
      </c>
      <c r="G1608" s="379" t="str">
        <f ca="1">IF(AND(E1608&lt;&gt;"",E1608&lt;TODAY()),"Disponible",IFERROR(INDEX(Vehiculos[Estado Vehiculo],MATCH(F1608,Vehiculos[Placa Vehiculo],0)),""))</f>
        <v>Disponible</v>
      </c>
      <c r="H1608" s="89"/>
      <c r="I1608" s="89" t="s">
        <v>273</v>
      </c>
      <c r="J1608" s="89"/>
      <c r="K1608" s="380">
        <v>2249</v>
      </c>
      <c r="L1608" s="380">
        <v>2259</v>
      </c>
      <c r="M1608" s="381">
        <f t="shared" si="502"/>
        <v>10</v>
      </c>
      <c r="N1608" s="381">
        <f>Rutas[[#This Row],[Kms Recorridos]]</f>
        <v>10</v>
      </c>
      <c r="O1608" s="380"/>
      <c r="P1608" s="92"/>
      <c r="Q1608" s="382">
        <f t="shared" si="503"/>
        <v>0</v>
      </c>
      <c r="R1608" s="89" t="s">
        <v>273</v>
      </c>
      <c r="S1608" s="89" t="s">
        <v>102</v>
      </c>
      <c r="T1608" s="92">
        <v>2.8</v>
      </c>
      <c r="U1608" s="92">
        <f>Rutas[[#This Row],[Precio x Galón ($/gal)]]*Rutas[[#This Row],[Volumen de Combustible (gal)]]</f>
        <v>18.172000000000001</v>
      </c>
      <c r="V1608" s="92"/>
      <c r="W1608" s="92"/>
      <c r="X1608" s="92"/>
      <c r="Y1608" s="382">
        <f t="shared" si="504"/>
        <v>18.172000000000001</v>
      </c>
      <c r="Z1608" s="382"/>
      <c r="AA1608" s="382">
        <v>6.49</v>
      </c>
      <c r="AB1608" s="382">
        <f t="shared" si="505"/>
        <v>1.5408320493066254</v>
      </c>
      <c r="AC1608" s="382">
        <f t="shared" si="506"/>
        <v>0</v>
      </c>
      <c r="AD1608" s="89"/>
    </row>
    <row r="1609" spans="3:30" ht="16" x14ac:dyDescent="0.2">
      <c r="C1609" s="176">
        <f t="shared" si="512"/>
        <v>1606</v>
      </c>
      <c r="D1609" s="454">
        <v>45968</v>
      </c>
      <c r="E1609" s="37">
        <v>45973</v>
      </c>
      <c r="F1609" s="65" t="s">
        <v>306</v>
      </c>
      <c r="G1609" s="11" t="str">
        <f ca="1">IF(AND(E1609&lt;&gt;"",E1609&lt;TODAY()),"Disponible",IFERROR(INDEX(Vehiculos[Estado Vehiculo],MATCH(F1609,Vehiculos[Placa Vehiculo],0)),""))</f>
        <v>Disponible</v>
      </c>
      <c r="H1609" s="34"/>
      <c r="I1609" s="34" t="s">
        <v>273</v>
      </c>
      <c r="J1609" s="34"/>
      <c r="K1609" s="39">
        <v>2259</v>
      </c>
      <c r="L1609" s="39">
        <v>2269</v>
      </c>
      <c r="M1609" s="15">
        <f t="shared" si="502"/>
        <v>10</v>
      </c>
      <c r="N1609" s="15">
        <f>Rutas[[#This Row],[Kms Recorridos]]</f>
        <v>10</v>
      </c>
      <c r="O1609" s="39"/>
      <c r="P1609" s="36"/>
      <c r="Q1609" s="16">
        <f t="shared" si="503"/>
        <v>0</v>
      </c>
      <c r="R1609" s="34" t="s">
        <v>273</v>
      </c>
      <c r="S1609" s="34" t="s">
        <v>102</v>
      </c>
      <c r="T1609" s="36">
        <v>2.8</v>
      </c>
      <c r="U1609" s="36">
        <f>Rutas[[#This Row],[Precio x Galón ($/gal)]]*Rutas[[#This Row],[Volumen de Combustible (gal)]]</f>
        <v>18.367999999999999</v>
      </c>
      <c r="V1609" s="36"/>
      <c r="W1609" s="36"/>
      <c r="X1609" s="36"/>
      <c r="Y1609" s="145">
        <f t="shared" si="504"/>
        <v>18.367999999999999</v>
      </c>
      <c r="Z1609" s="567"/>
      <c r="AA1609" s="12">
        <v>6.56</v>
      </c>
      <c r="AB1609" s="12">
        <f t="shared" si="505"/>
        <v>1.524390243902439</v>
      </c>
      <c r="AC1609" s="12">
        <f t="shared" si="506"/>
        <v>0</v>
      </c>
      <c r="AD1609" s="34"/>
    </row>
    <row r="1610" spans="3:30" ht="16" x14ac:dyDescent="0.2">
      <c r="C1610" s="176">
        <f t="shared" si="512"/>
        <v>1607</v>
      </c>
      <c r="D1610" s="454">
        <v>45973</v>
      </c>
      <c r="E1610" s="37">
        <v>45978</v>
      </c>
      <c r="F1610" s="65" t="s">
        <v>306</v>
      </c>
      <c r="G1610" s="11" t="str">
        <f ca="1">IF(AND(E1610&lt;&gt;"",E1610&lt;TODAY()),"Disponible",IFERROR(INDEX(Vehiculos[Estado Vehiculo],MATCH(F1610,Vehiculos[Placa Vehiculo],0)),""))</f>
        <v>Disponible</v>
      </c>
      <c r="H1610" s="34"/>
      <c r="I1610" s="34" t="s">
        <v>273</v>
      </c>
      <c r="J1610" s="34"/>
      <c r="K1610" s="39">
        <v>2269</v>
      </c>
      <c r="L1610" s="39">
        <v>2279</v>
      </c>
      <c r="M1610" s="15">
        <f t="shared" si="502"/>
        <v>10</v>
      </c>
      <c r="N1610" s="15">
        <f>Rutas[[#This Row],[Kms Recorridos]]</f>
        <v>10</v>
      </c>
      <c r="O1610" s="39"/>
      <c r="P1610" s="36"/>
      <c r="Q1610" s="16">
        <f t="shared" si="503"/>
        <v>0</v>
      </c>
      <c r="R1610" s="34" t="s">
        <v>339</v>
      </c>
      <c r="S1610" s="34" t="s">
        <v>102</v>
      </c>
      <c r="T1610" s="36">
        <v>2.8</v>
      </c>
      <c r="U1610" s="36">
        <f>Rutas[[#This Row],[Precio x Galón ($/gal)]]*Rutas[[#This Row],[Volumen de Combustible (gal)]]</f>
        <v>20.691999999999997</v>
      </c>
      <c r="V1610" s="36"/>
      <c r="W1610" s="36"/>
      <c r="X1610" s="36"/>
      <c r="Y1610" s="145">
        <f t="shared" si="504"/>
        <v>20.691999999999997</v>
      </c>
      <c r="Z1610" s="567"/>
      <c r="AA1610" s="12">
        <v>7.39</v>
      </c>
      <c r="AB1610" s="12">
        <f t="shared" si="505"/>
        <v>1.3531799729364007</v>
      </c>
      <c r="AC1610" s="12">
        <f t="shared" si="506"/>
        <v>0</v>
      </c>
      <c r="AD1610" s="34"/>
    </row>
    <row r="1611" spans="3:30" ht="16" x14ac:dyDescent="0.2">
      <c r="C1611" s="176">
        <f t="shared" si="512"/>
        <v>1608</v>
      </c>
      <c r="D1611" s="454">
        <v>45978</v>
      </c>
      <c r="E1611" s="37">
        <v>45980</v>
      </c>
      <c r="F1611" s="65" t="s">
        <v>306</v>
      </c>
      <c r="G1611" s="11" t="str">
        <f ca="1">IF(AND(E1611&lt;&gt;"",E1611&lt;TODAY()),"Disponible",IFERROR(INDEX(Vehiculos[Estado Vehiculo],MATCH(F1611,Vehiculos[Placa Vehiculo],0)),""))</f>
        <v>Disponible</v>
      </c>
      <c r="H1611" s="34"/>
      <c r="I1611" s="34" t="s">
        <v>273</v>
      </c>
      <c r="J1611" s="34"/>
      <c r="K1611" s="39">
        <v>2279</v>
      </c>
      <c r="L1611" s="39">
        <v>2286</v>
      </c>
      <c r="M1611" s="15">
        <f t="shared" si="502"/>
        <v>7</v>
      </c>
      <c r="N1611" s="15">
        <f>Rutas[[#This Row],[Kms Recorridos]]</f>
        <v>7</v>
      </c>
      <c r="O1611" s="39"/>
      <c r="P1611" s="36"/>
      <c r="Q1611" s="16">
        <f t="shared" si="503"/>
        <v>0</v>
      </c>
      <c r="R1611" s="34" t="s">
        <v>273</v>
      </c>
      <c r="S1611" s="34" t="s">
        <v>102</v>
      </c>
      <c r="T1611" s="36">
        <v>2.8</v>
      </c>
      <c r="U1611" s="36">
        <f>Rutas[[#This Row],[Precio x Galón ($/gal)]]*Rutas[[#This Row],[Volumen de Combustible (gal)]]</f>
        <v>13.299999999999999</v>
      </c>
      <c r="V1611" s="36"/>
      <c r="W1611" s="36"/>
      <c r="X1611" s="36"/>
      <c r="Y1611" s="145">
        <f t="shared" si="504"/>
        <v>13.299999999999999</v>
      </c>
      <c r="Z1611" s="567"/>
      <c r="AA1611" s="12">
        <v>4.75</v>
      </c>
      <c r="AB1611" s="12">
        <f t="shared" si="505"/>
        <v>1.4736842105263157</v>
      </c>
      <c r="AC1611" s="12">
        <f t="shared" si="506"/>
        <v>0</v>
      </c>
      <c r="AD1611" s="34"/>
    </row>
    <row r="1612" spans="3:30" ht="16" x14ac:dyDescent="0.2">
      <c r="C1612" s="176">
        <f t="shared" si="512"/>
        <v>1609</v>
      </c>
      <c r="D1612" s="454">
        <v>45980</v>
      </c>
      <c r="E1612" s="37">
        <v>45985</v>
      </c>
      <c r="F1612" s="65" t="s">
        <v>306</v>
      </c>
      <c r="G1612" s="11" t="str">
        <f ca="1">IF(AND(E1612&lt;&gt;"",E1612&lt;TODAY()),"Disponible",IFERROR(INDEX(Vehiculos[Estado Vehiculo],MATCH(F1612,Vehiculos[Placa Vehiculo],0)),""))</f>
        <v>Disponible</v>
      </c>
      <c r="H1612" s="34"/>
      <c r="I1612" s="34" t="s">
        <v>273</v>
      </c>
      <c r="J1612" s="34"/>
      <c r="K1612" s="39">
        <v>2286</v>
      </c>
      <c r="L1612" s="39">
        <v>2300</v>
      </c>
      <c r="M1612" s="15">
        <f>L1612-K1612</f>
        <v>14</v>
      </c>
      <c r="N1612" s="15">
        <f>Rutas[[#This Row],[Kms Recorridos]]</f>
        <v>14</v>
      </c>
      <c r="O1612" s="39"/>
      <c r="P1612" s="36"/>
      <c r="Q1612" s="16">
        <f>M1612*P1612</f>
        <v>0</v>
      </c>
      <c r="R1612" s="34" t="s">
        <v>273</v>
      </c>
      <c r="S1612" s="34" t="s">
        <v>102</v>
      </c>
      <c r="T1612" s="36">
        <v>2.8</v>
      </c>
      <c r="U1612" s="36">
        <f>Rutas[[#This Row],[Precio x Galón ($/gal)]]*Rutas[[#This Row],[Volumen de Combustible (gal)]]</f>
        <v>24.948</v>
      </c>
      <c r="V1612" s="36"/>
      <c r="W1612" s="36"/>
      <c r="X1612" s="36"/>
      <c r="Y1612" s="145">
        <f>U1612+SUM(V1612:X1612)</f>
        <v>24.948</v>
      </c>
      <c r="Z1612" s="567"/>
      <c r="AA1612" s="12">
        <v>8.91</v>
      </c>
      <c r="AB1612" s="12">
        <f>IFERROR(M1612/AA1612,0)</f>
        <v>1.5712682379349046</v>
      </c>
      <c r="AC1612" s="12">
        <f>IFERROR(Q1612/M1612,0)</f>
        <v>0</v>
      </c>
      <c r="AD1612" s="34"/>
    </row>
    <row r="1613" spans="3:30" ht="16" x14ac:dyDescent="0.2">
      <c r="C1613" s="176">
        <f t="shared" si="512"/>
        <v>1610</v>
      </c>
      <c r="D1613" s="454">
        <v>45985</v>
      </c>
      <c r="E1613" s="37">
        <v>45991</v>
      </c>
      <c r="F1613" s="65" t="s">
        <v>306</v>
      </c>
      <c r="G1613" s="11" t="str">
        <f ca="1">IF(AND(E1613&lt;&gt;"",E1613&lt;TODAY()),"Disponible",IFERROR(INDEX(Vehiculos[Estado Vehiculo],MATCH(F1613,Vehiculos[Placa Vehiculo],0)),""))</f>
        <v>Disponible</v>
      </c>
      <c r="H1613" s="34"/>
      <c r="I1613" s="34" t="s">
        <v>273</v>
      </c>
      <c r="J1613" s="34"/>
      <c r="K1613" s="39">
        <v>2300</v>
      </c>
      <c r="L1613" s="39">
        <v>2316</v>
      </c>
      <c r="M1613" s="15">
        <f t="shared" si="502"/>
        <v>16</v>
      </c>
      <c r="N1613" s="15">
        <f>Rutas[[#This Row],[Kms Recorridos]]</f>
        <v>16</v>
      </c>
      <c r="O1613" s="39"/>
      <c r="P1613" s="36"/>
      <c r="Q1613" s="16">
        <f t="shared" si="503"/>
        <v>0</v>
      </c>
      <c r="R1613" s="34" t="s">
        <v>273</v>
      </c>
      <c r="S1613" s="34" t="s">
        <v>102</v>
      </c>
      <c r="T1613" s="36">
        <v>2.8</v>
      </c>
      <c r="U1613" s="36">
        <f>Rutas[[#This Row],[Precio x Galón ($/gal)]]*Rutas[[#This Row],[Volumen de Combustible (gal)]]</f>
        <v>30.268000000000001</v>
      </c>
      <c r="V1613" s="36"/>
      <c r="W1613" s="36"/>
      <c r="X1613" s="36"/>
      <c r="Y1613" s="145">
        <f t="shared" si="504"/>
        <v>30.268000000000001</v>
      </c>
      <c r="Z1613" s="567"/>
      <c r="AA1613" s="12">
        <v>10.81</v>
      </c>
      <c r="AB1613" s="12">
        <f t="shared" si="505"/>
        <v>1.4801110083256244</v>
      </c>
      <c r="AC1613" s="12">
        <f t="shared" si="506"/>
        <v>0</v>
      </c>
      <c r="AD1613" s="34"/>
    </row>
    <row r="1614" spans="3:30" ht="16" x14ac:dyDescent="0.2">
      <c r="C1614" s="176">
        <f t="shared" si="512"/>
        <v>1611</v>
      </c>
      <c r="D1614" s="454"/>
      <c r="E1614" s="37"/>
      <c r="F1614" s="65"/>
      <c r="G1614" s="11" t="str">
        <f ca="1">IF(AND(E1614&lt;&gt;"",E1614&lt;TODAY()),"Disponible",IFERROR(INDEX(Vehiculos[Estado Vehiculo],MATCH(F1614,Vehiculos[Placa Vehiculo],0)),""))</f>
        <v/>
      </c>
      <c r="H1614" s="34"/>
      <c r="I1614" s="34"/>
      <c r="J1614" s="34"/>
      <c r="K1614" s="39"/>
      <c r="L1614" s="39"/>
      <c r="M1614" s="15">
        <f t="shared" si="502"/>
        <v>0</v>
      </c>
      <c r="N1614" s="15"/>
      <c r="O1614" s="39"/>
      <c r="P1614" s="36"/>
      <c r="Q1614" s="16">
        <f t="shared" si="503"/>
        <v>0</v>
      </c>
      <c r="R1614" s="34"/>
      <c r="S1614" s="34"/>
      <c r="T1614" s="36"/>
      <c r="U1614" s="36">
        <f>Rutas[[#This Row],[Precio x Galón ($/gal)]]*Rutas[[#This Row],[Volumen de Combustible (gal)]]</f>
        <v>0</v>
      </c>
      <c r="V1614" s="36"/>
      <c r="W1614" s="36"/>
      <c r="X1614" s="36"/>
      <c r="Y1614" s="145">
        <f t="shared" si="504"/>
        <v>0</v>
      </c>
      <c r="Z1614" s="567"/>
      <c r="AA1614" s="12"/>
      <c r="AB1614" s="12">
        <f t="shared" si="505"/>
        <v>0</v>
      </c>
      <c r="AC1614" s="12">
        <f t="shared" si="506"/>
        <v>0</v>
      </c>
      <c r="AD1614" s="34"/>
    </row>
    <row r="1615" spans="3:30" ht="16" x14ac:dyDescent="0.2">
      <c r="C1615" s="176">
        <f t="shared" si="512"/>
        <v>1612</v>
      </c>
      <c r="D1615" s="90">
        <v>45962</v>
      </c>
      <c r="E1615" s="90">
        <v>45971</v>
      </c>
      <c r="F1615" s="68" t="s">
        <v>414</v>
      </c>
      <c r="G1615" s="379" t="str">
        <f ca="1">IF(AND(E1615&lt;&gt;"",E1615&lt;TODAY()),"Disponible",IFERROR(INDEX(Vehiculos[Estado Vehiculo],MATCH(F1615,Vehiculos[Placa Vehiculo],0)),""))</f>
        <v>Disponible</v>
      </c>
      <c r="H1615" s="89"/>
      <c r="I1615" s="89" t="s">
        <v>273</v>
      </c>
      <c r="J1615" s="89"/>
      <c r="K1615" s="380">
        <v>259</v>
      </c>
      <c r="L1615" s="380">
        <v>273</v>
      </c>
      <c r="M1615" s="381">
        <f t="shared" si="502"/>
        <v>14</v>
      </c>
      <c r="N1615" s="381">
        <f>Rutas[[#This Row],[Kms Recorridos]]</f>
        <v>14</v>
      </c>
      <c r="O1615" s="380"/>
      <c r="P1615" s="92"/>
      <c r="Q1615" s="382">
        <f t="shared" si="503"/>
        <v>0</v>
      </c>
      <c r="R1615" s="89" t="s">
        <v>273</v>
      </c>
      <c r="S1615" s="89" t="s">
        <v>102</v>
      </c>
      <c r="T1615" s="92"/>
      <c r="U1615" s="92">
        <f>Rutas[[#This Row],[Precio x Galón ($/gal)]]*Rutas[[#This Row],[Volumen de Combustible (gal)]]</f>
        <v>0</v>
      </c>
      <c r="V1615" s="92"/>
      <c r="W1615" s="92"/>
      <c r="X1615" s="92"/>
      <c r="Y1615" s="382">
        <f t="shared" si="504"/>
        <v>0</v>
      </c>
      <c r="Z1615" s="382"/>
      <c r="AA1615" s="382"/>
      <c r="AB1615" s="382">
        <f t="shared" si="505"/>
        <v>0</v>
      </c>
      <c r="AC1615" s="382">
        <f t="shared" si="506"/>
        <v>0</v>
      </c>
      <c r="AD1615" s="89"/>
    </row>
    <row r="1616" spans="3:30" ht="16" x14ac:dyDescent="0.2">
      <c r="C1616" s="176">
        <f t="shared" si="512"/>
        <v>1613</v>
      </c>
      <c r="D1616" s="454">
        <v>45971</v>
      </c>
      <c r="E1616" s="37">
        <v>45981</v>
      </c>
      <c r="F1616" s="65" t="s">
        <v>414</v>
      </c>
      <c r="G1616" s="11" t="str">
        <f ca="1">IF(AND(E1616&lt;&gt;"",E1616&lt;TODAY()),"Disponible",IFERROR(INDEX(Vehiculos[Estado Vehiculo],MATCH(F1616,Vehiculos[Placa Vehiculo],0)),""))</f>
        <v>Disponible</v>
      </c>
      <c r="H1616" s="34"/>
      <c r="I1616" s="34" t="s">
        <v>273</v>
      </c>
      <c r="J1616" s="34"/>
      <c r="K1616" s="39">
        <v>273</v>
      </c>
      <c r="L1616" s="39">
        <v>289</v>
      </c>
      <c r="M1616" s="15">
        <f t="shared" si="502"/>
        <v>16</v>
      </c>
      <c r="N1616" s="15">
        <f>Rutas[[#This Row],[Kms Recorridos]]</f>
        <v>16</v>
      </c>
      <c r="O1616" s="39"/>
      <c r="P1616" s="36"/>
      <c r="Q1616" s="16">
        <f t="shared" si="503"/>
        <v>0</v>
      </c>
      <c r="R1616" s="34" t="s">
        <v>273</v>
      </c>
      <c r="S1616" s="34" t="s">
        <v>102</v>
      </c>
      <c r="T1616" s="36"/>
      <c r="U1616" s="36">
        <f>Rutas[[#This Row],[Precio x Galón ($/gal)]]*Rutas[[#This Row],[Volumen de Combustible (gal)]]</f>
        <v>0</v>
      </c>
      <c r="V1616" s="36"/>
      <c r="W1616" s="36"/>
      <c r="X1616" s="36"/>
      <c r="Y1616" s="145">
        <f t="shared" si="504"/>
        <v>0</v>
      </c>
      <c r="Z1616" s="567"/>
      <c r="AA1616" s="12"/>
      <c r="AB1616" s="12">
        <f t="shared" si="505"/>
        <v>0</v>
      </c>
      <c r="AC1616" s="12">
        <f t="shared" si="506"/>
        <v>0</v>
      </c>
      <c r="AD1616" s="34"/>
    </row>
    <row r="1617" spans="1:30" ht="16" x14ac:dyDescent="0.2">
      <c r="C1617" s="176">
        <f t="shared" si="512"/>
        <v>1614</v>
      </c>
      <c r="D1617" s="454">
        <v>45981</v>
      </c>
      <c r="E1617" s="37">
        <v>45991</v>
      </c>
      <c r="F1617" s="65" t="s">
        <v>414</v>
      </c>
      <c r="G1617" s="11" t="str">
        <f ca="1">IF(AND(E1617&lt;&gt;"",E1617&lt;TODAY()),"Disponible",IFERROR(INDEX(Vehiculos[Estado Vehiculo],MATCH(F1617,Vehiculos[Placa Vehiculo],0)),""))</f>
        <v>Disponible</v>
      </c>
      <c r="H1617" s="34"/>
      <c r="I1617" s="34" t="s">
        <v>273</v>
      </c>
      <c r="J1617" s="34"/>
      <c r="K1617" s="39">
        <v>289</v>
      </c>
      <c r="L1617" s="39">
        <v>317</v>
      </c>
      <c r="M1617" s="15">
        <f t="shared" si="502"/>
        <v>28</v>
      </c>
      <c r="N1617" s="15">
        <f>Rutas[[#This Row],[Kms Recorridos]]</f>
        <v>28</v>
      </c>
      <c r="O1617" s="39"/>
      <c r="P1617" s="36"/>
      <c r="Q1617" s="16">
        <f t="shared" si="503"/>
        <v>0</v>
      </c>
      <c r="R1617" s="34" t="s">
        <v>273</v>
      </c>
      <c r="S1617" s="34" t="s">
        <v>102</v>
      </c>
      <c r="T1617" s="36"/>
      <c r="U1617" s="36">
        <f>Rutas[[#This Row],[Precio x Galón ($/gal)]]*Rutas[[#This Row],[Volumen de Combustible (gal)]]</f>
        <v>0</v>
      </c>
      <c r="V1617" s="36"/>
      <c r="W1617" s="36"/>
      <c r="X1617" s="36"/>
      <c r="Y1617" s="145">
        <f t="shared" si="504"/>
        <v>0</v>
      </c>
      <c r="Z1617" s="567"/>
      <c r="AA1617" s="12"/>
      <c r="AB1617" s="12">
        <f t="shared" si="505"/>
        <v>0</v>
      </c>
      <c r="AC1617" s="12">
        <f t="shared" si="506"/>
        <v>0</v>
      </c>
      <c r="AD1617" s="34"/>
    </row>
    <row r="1618" spans="1:30" ht="16" x14ac:dyDescent="0.2">
      <c r="C1618" s="176">
        <f t="shared" si="512"/>
        <v>1615</v>
      </c>
      <c r="D1618" s="454"/>
      <c r="E1618" s="37"/>
      <c r="F1618" s="65"/>
      <c r="G1618" s="11" t="str">
        <f ca="1">IF(AND(E1618&lt;&gt;"",E1618&lt;TODAY()),"Disponible",IFERROR(INDEX(Vehiculos[Estado Vehiculo],MATCH(F1618,Vehiculos[Placa Vehiculo],0)),""))</f>
        <v/>
      </c>
      <c r="H1618" s="34"/>
      <c r="I1618" s="34"/>
      <c r="J1618" s="34"/>
      <c r="K1618" s="39"/>
      <c r="L1618" s="39"/>
      <c r="M1618" s="15">
        <f t="shared" si="502"/>
        <v>0</v>
      </c>
      <c r="N1618" s="15"/>
      <c r="O1618" s="39"/>
      <c r="P1618" s="36"/>
      <c r="Q1618" s="16">
        <f t="shared" si="503"/>
        <v>0</v>
      </c>
      <c r="R1618" s="34"/>
      <c r="S1618" s="34"/>
      <c r="T1618" s="36"/>
      <c r="U1618" s="36">
        <f>Rutas[[#This Row],[Precio x Galón ($/gal)]]*Rutas[[#This Row],[Volumen de Combustible (gal)]]</f>
        <v>0</v>
      </c>
      <c r="V1618" s="36"/>
      <c r="W1618" s="36"/>
      <c r="X1618" s="36"/>
      <c r="Y1618" s="145">
        <f t="shared" si="504"/>
        <v>0</v>
      </c>
      <c r="Z1618" s="567"/>
      <c r="AA1618" s="12"/>
      <c r="AB1618" s="12">
        <f t="shared" si="505"/>
        <v>0</v>
      </c>
      <c r="AC1618" s="12">
        <f t="shared" si="506"/>
        <v>0</v>
      </c>
      <c r="AD1618" s="34"/>
    </row>
    <row r="1619" spans="1:30" ht="16" x14ac:dyDescent="0.2">
      <c r="C1619" s="176">
        <f t="shared" si="512"/>
        <v>1616</v>
      </c>
      <c r="D1619" s="90">
        <v>45962</v>
      </c>
      <c r="E1619" s="90">
        <v>45979</v>
      </c>
      <c r="F1619" s="68" t="s">
        <v>406</v>
      </c>
      <c r="G1619" s="379" t="str">
        <f ca="1">IF(AND(E1619&lt;&gt;"",E1619&lt;TODAY()),"Disponible",IFERROR(INDEX(Vehiculos[Estado Vehiculo],MATCH(F1619,Vehiculos[Placa Vehiculo],0)),""))</f>
        <v>Disponible</v>
      </c>
      <c r="H1619" s="89"/>
      <c r="I1619" s="89" t="s">
        <v>273</v>
      </c>
      <c r="J1619" s="89"/>
      <c r="K1619" s="380">
        <v>7264</v>
      </c>
      <c r="L1619" s="380">
        <v>7290</v>
      </c>
      <c r="M1619" s="381">
        <f t="shared" si="502"/>
        <v>26</v>
      </c>
      <c r="N1619" s="381">
        <f>Rutas[[#This Row],[Kms Recorridos]]</f>
        <v>26</v>
      </c>
      <c r="O1619" s="380"/>
      <c r="P1619" s="92"/>
      <c r="Q1619" s="382">
        <f t="shared" si="503"/>
        <v>0</v>
      </c>
      <c r="R1619" s="89" t="s">
        <v>273</v>
      </c>
      <c r="S1619" s="89" t="s">
        <v>102</v>
      </c>
      <c r="T1619" s="92">
        <v>2.8</v>
      </c>
      <c r="U1619" s="92">
        <f>Rutas[[#This Row],[Precio x Galón ($/gal)]]*Rutas[[#This Row],[Volumen de Combustible (gal)]]</f>
        <v>61.488</v>
      </c>
      <c r="V1619" s="92"/>
      <c r="W1619" s="92"/>
      <c r="X1619" s="92"/>
      <c r="Y1619" s="382">
        <f t="shared" si="504"/>
        <v>61.488</v>
      </c>
      <c r="Z1619" s="382"/>
      <c r="AA1619" s="382">
        <v>21.96</v>
      </c>
      <c r="AB1619" s="382">
        <f t="shared" si="505"/>
        <v>1.1839708561020037</v>
      </c>
      <c r="AC1619" s="382">
        <f t="shared" si="506"/>
        <v>0</v>
      </c>
      <c r="AD1619" s="89"/>
    </row>
    <row r="1620" spans="1:30" ht="16" x14ac:dyDescent="0.2">
      <c r="C1620" s="176">
        <f t="shared" si="512"/>
        <v>1617</v>
      </c>
      <c r="D1620" s="454"/>
      <c r="E1620" s="37"/>
      <c r="F1620" s="65" t="s">
        <v>406</v>
      </c>
      <c r="G1620" s="11" t="str">
        <f ca="1">IF(AND(E1620&lt;&gt;"",E1620&lt;TODAY()),"Disponible",IFERROR(INDEX(Vehiculos[Estado Vehiculo],MATCH(F1620,Vehiculos[Placa Vehiculo],0)),""))</f>
        <v>Disponible</v>
      </c>
      <c r="H1620" s="34"/>
      <c r="I1620" s="34"/>
      <c r="J1620" s="34"/>
      <c r="K1620" s="39"/>
      <c r="L1620" s="39"/>
      <c r="M1620" s="15">
        <f t="shared" si="502"/>
        <v>0</v>
      </c>
      <c r="N1620" s="15"/>
      <c r="O1620" s="39"/>
      <c r="P1620" s="36"/>
      <c r="Q1620" s="16">
        <f t="shared" si="503"/>
        <v>0</v>
      </c>
      <c r="R1620" s="34"/>
      <c r="S1620" s="34"/>
      <c r="T1620" s="36"/>
      <c r="U1620" s="36">
        <f>Rutas[[#This Row],[Precio x Galón ($/gal)]]*Rutas[[#This Row],[Volumen de Combustible (gal)]]</f>
        <v>0</v>
      </c>
      <c r="V1620" s="36"/>
      <c r="W1620" s="36"/>
      <c r="X1620" s="36"/>
      <c r="Y1620" s="145">
        <f t="shared" si="504"/>
        <v>0</v>
      </c>
      <c r="Z1620" s="567"/>
      <c r="AA1620" s="12"/>
      <c r="AB1620" s="12">
        <f t="shared" si="505"/>
        <v>0</v>
      </c>
      <c r="AC1620" s="12">
        <f t="shared" si="506"/>
        <v>0</v>
      </c>
      <c r="AD1620" s="34"/>
    </row>
    <row r="1621" spans="1:30" ht="16" x14ac:dyDescent="0.2">
      <c r="C1621" s="176">
        <f t="shared" si="512"/>
        <v>1618</v>
      </c>
      <c r="D1621" s="454"/>
      <c r="E1621" s="37"/>
      <c r="F1621" s="65"/>
      <c r="G1621" s="11" t="str">
        <f ca="1">IF(AND(E1621&lt;&gt;"",E1621&lt;TODAY()),"Disponible",IFERROR(INDEX(Vehiculos[Estado Vehiculo],MATCH(F1621,Vehiculos[Placa Vehiculo],0)),""))</f>
        <v/>
      </c>
      <c r="H1621" s="34"/>
      <c r="I1621" s="34"/>
      <c r="J1621" s="34"/>
      <c r="K1621" s="39"/>
      <c r="L1621" s="39"/>
      <c r="M1621" s="15">
        <f t="shared" si="502"/>
        <v>0</v>
      </c>
      <c r="N1621" s="15"/>
      <c r="O1621" s="39"/>
      <c r="P1621" s="36"/>
      <c r="Q1621" s="16">
        <f t="shared" si="503"/>
        <v>0</v>
      </c>
      <c r="R1621" s="34"/>
      <c r="S1621" s="34"/>
      <c r="T1621" s="36"/>
      <c r="U1621" s="36">
        <f>Rutas[[#This Row],[Precio x Galón ($/gal)]]*Rutas[[#This Row],[Volumen de Combustible (gal)]]</f>
        <v>0</v>
      </c>
      <c r="V1621" s="36"/>
      <c r="W1621" s="36"/>
      <c r="X1621" s="36"/>
      <c r="Y1621" s="145">
        <f t="shared" si="504"/>
        <v>0</v>
      </c>
      <c r="Z1621" s="567"/>
      <c r="AA1621" s="12"/>
      <c r="AB1621" s="12">
        <f t="shared" si="505"/>
        <v>0</v>
      </c>
      <c r="AC1621" s="12">
        <f t="shared" si="506"/>
        <v>0</v>
      </c>
      <c r="AD1621" s="34"/>
    </row>
    <row r="1622" spans="1:30" ht="17" thickBot="1" x14ac:dyDescent="0.25">
      <c r="A1622" s="564"/>
      <c r="B1622" s="175"/>
      <c r="C1622" s="176">
        <f t="shared" si="512"/>
        <v>1619</v>
      </c>
      <c r="D1622" s="594"/>
      <c r="E1622" s="157"/>
      <c r="F1622" s="158"/>
      <c r="G1622" s="159" t="str">
        <f ca="1">IF(AND(E1622&lt;&gt;"",E1622&lt;TODAY()),"Disponible",IFERROR(INDEX(Vehiculos[Estado Vehiculo],MATCH(F1622,Vehiculos[Placa Vehiculo],0)),""))</f>
        <v/>
      </c>
      <c r="H1622" s="160"/>
      <c r="I1622" s="160"/>
      <c r="J1622" s="160"/>
      <c r="K1622" s="161"/>
      <c r="L1622" s="161"/>
      <c r="M1622" s="162">
        <f t="shared" si="502"/>
        <v>0</v>
      </c>
      <c r="N1622" s="162"/>
      <c r="O1622" s="161"/>
      <c r="P1622" s="163"/>
      <c r="Q1622" s="164">
        <f t="shared" si="503"/>
        <v>0</v>
      </c>
      <c r="R1622" s="160"/>
      <c r="S1622" s="160"/>
      <c r="T1622" s="163"/>
      <c r="U1622" s="163">
        <f>Rutas[[#This Row],[Precio x Galón ($/gal)]]*Rutas[[#This Row],[Volumen de Combustible (gal)]]</f>
        <v>0</v>
      </c>
      <c r="V1622" s="163"/>
      <c r="W1622" s="163"/>
      <c r="X1622" s="163"/>
      <c r="Y1622" s="165">
        <f t="shared" si="504"/>
        <v>0</v>
      </c>
      <c r="Z1622" s="568"/>
      <c r="AA1622" s="166"/>
      <c r="AB1622" s="166">
        <f t="shared" si="505"/>
        <v>0</v>
      </c>
      <c r="AC1622" s="166">
        <f t="shared" si="506"/>
        <v>0</v>
      </c>
      <c r="AD1622" s="160"/>
    </row>
    <row r="1623" spans="1:30" ht="17" thickTop="1" x14ac:dyDescent="0.2">
      <c r="C1623" s="176">
        <f t="shared" si="512"/>
        <v>1620</v>
      </c>
      <c r="D1623" s="454"/>
      <c r="E1623" s="37"/>
      <c r="F1623" s="65"/>
      <c r="G1623" s="11" t="str">
        <f ca="1">IF(AND(E1623&lt;&gt;"",E1623&lt;TODAY()),"Disponible",IFERROR(INDEX(Vehiculos[Estado Vehiculo],MATCH(F1623,Vehiculos[Placa Vehiculo],0)),""))</f>
        <v/>
      </c>
      <c r="H1623" s="34"/>
      <c r="I1623" s="34"/>
      <c r="J1623" s="34"/>
      <c r="K1623" s="39"/>
      <c r="L1623" s="39"/>
      <c r="M1623" s="15">
        <f t="shared" si="502"/>
        <v>0</v>
      </c>
      <c r="N1623" s="15"/>
      <c r="O1623" s="39"/>
      <c r="P1623" s="36"/>
      <c r="Q1623" s="16">
        <f t="shared" si="503"/>
        <v>0</v>
      </c>
      <c r="R1623" s="34"/>
      <c r="S1623" s="34"/>
      <c r="T1623" s="36"/>
      <c r="U1623" s="36">
        <f>Rutas[[#This Row],[Precio x Galón ($/gal)]]*Rutas[[#This Row],[Volumen de Combustible (gal)]]</f>
        <v>0</v>
      </c>
      <c r="V1623" s="36"/>
      <c r="W1623" s="36"/>
      <c r="X1623" s="36"/>
      <c r="Y1623" s="145">
        <f t="shared" si="504"/>
        <v>0</v>
      </c>
      <c r="Z1623" s="567"/>
      <c r="AA1623" s="12"/>
      <c r="AB1623" s="12">
        <f t="shared" si="505"/>
        <v>0</v>
      </c>
      <c r="AC1623" s="12">
        <f t="shared" si="506"/>
        <v>0</v>
      </c>
      <c r="AD1623" s="34"/>
    </row>
    <row r="1624" spans="1:30" ht="16" x14ac:dyDescent="0.2">
      <c r="C1624" s="176">
        <f t="shared" si="512"/>
        <v>1621</v>
      </c>
      <c r="D1624" s="90">
        <v>45992</v>
      </c>
      <c r="E1624" s="90">
        <v>45994</v>
      </c>
      <c r="F1624" s="68" t="s">
        <v>204</v>
      </c>
      <c r="G1624" s="379" t="str">
        <f ca="1">IF(AND(E1624&lt;&gt;"",E1624&lt;TODAY()),"Disponible",IFERROR(INDEX(Vehiculos[Estado Vehiculo],MATCH(F1624,Vehiculos[Placa Vehiculo],0)),""))</f>
        <v>Disponible</v>
      </c>
      <c r="H1624" s="89" t="s">
        <v>245</v>
      </c>
      <c r="I1624" s="89" t="s">
        <v>273</v>
      </c>
      <c r="J1624" s="89"/>
      <c r="K1624" s="380">
        <v>42665</v>
      </c>
      <c r="L1624" s="380">
        <v>43461</v>
      </c>
      <c r="M1624" s="381">
        <f t="shared" si="502"/>
        <v>796</v>
      </c>
      <c r="N1624" s="381"/>
      <c r="O1624" s="380"/>
      <c r="P1624" s="92">
        <v>0.76</v>
      </c>
      <c r="Q1624" s="382">
        <f t="shared" si="503"/>
        <v>604.96</v>
      </c>
      <c r="R1624" s="89" t="s">
        <v>273</v>
      </c>
      <c r="S1624" s="89" t="s">
        <v>102</v>
      </c>
      <c r="T1624" s="92">
        <v>2.8</v>
      </c>
      <c r="U1624" s="92">
        <f>Rutas[[#This Row],[Precio x Galón ($/gal)]]*Rutas[[#This Row],[Volumen de Combustible (gal)]]</f>
        <v>330.37199999999996</v>
      </c>
      <c r="V1624" s="92"/>
      <c r="W1624" s="92"/>
      <c r="X1624" s="92"/>
      <c r="Y1624" s="382">
        <f t="shared" si="504"/>
        <v>330.37199999999996</v>
      </c>
      <c r="Z1624" s="578">
        <v>16223</v>
      </c>
      <c r="AA1624" s="382">
        <v>117.99</v>
      </c>
      <c r="AB1624" s="382">
        <f t="shared" si="505"/>
        <v>6.7463344351216206</v>
      </c>
      <c r="AC1624" s="382">
        <f t="shared" si="506"/>
        <v>0.76</v>
      </c>
      <c r="AD1624" s="89"/>
    </row>
    <row r="1625" spans="1:30" ht="16" x14ac:dyDescent="0.2">
      <c r="C1625" s="176">
        <f t="shared" si="512"/>
        <v>1622</v>
      </c>
      <c r="D1625" s="454">
        <v>45994</v>
      </c>
      <c r="E1625" s="37">
        <v>46016</v>
      </c>
      <c r="F1625" s="65" t="s">
        <v>204</v>
      </c>
      <c r="G1625" s="11" t="str">
        <f ca="1">IF(AND(E1625&lt;&gt;"",E1625&lt;TODAY()),"Disponible",IFERROR(INDEX(Vehiculos[Estado Vehiculo],MATCH(F1625,Vehiculos[Placa Vehiculo],0)),""))</f>
        <v>Disponible</v>
      </c>
      <c r="H1625" s="34" t="s">
        <v>417</v>
      </c>
      <c r="I1625" s="34" t="s">
        <v>273</v>
      </c>
      <c r="J1625" s="34"/>
      <c r="K1625" s="39">
        <v>43461</v>
      </c>
      <c r="L1625" s="39">
        <v>44310</v>
      </c>
      <c r="M1625" s="15">
        <f t="shared" si="502"/>
        <v>849</v>
      </c>
      <c r="N1625" s="15"/>
      <c r="O1625" s="39"/>
      <c r="P1625" s="36">
        <v>0.76</v>
      </c>
      <c r="Q1625" s="16">
        <f t="shared" si="503"/>
        <v>645.24</v>
      </c>
      <c r="R1625" s="34" t="s">
        <v>339</v>
      </c>
      <c r="S1625" s="34" t="s">
        <v>102</v>
      </c>
      <c r="T1625" s="36">
        <v>2.8</v>
      </c>
      <c r="U1625" s="36">
        <f>Rutas[[#This Row],[Precio x Galón ($/gal)]]*Rutas[[#This Row],[Volumen de Combustible (gal)]]</f>
        <v>365.31599999999997</v>
      </c>
      <c r="V1625" s="36"/>
      <c r="W1625" s="36"/>
      <c r="X1625" s="36"/>
      <c r="Y1625" s="145">
        <f t="shared" si="504"/>
        <v>365.31599999999997</v>
      </c>
      <c r="Z1625" s="572">
        <v>16276</v>
      </c>
      <c r="AA1625" s="12">
        <v>130.47</v>
      </c>
      <c r="AB1625" s="12">
        <f t="shared" si="505"/>
        <v>6.5072430443780176</v>
      </c>
      <c r="AC1625" s="12">
        <f t="shared" si="506"/>
        <v>0.76</v>
      </c>
      <c r="AD1625" s="34"/>
    </row>
    <row r="1626" spans="1:30" ht="16" x14ac:dyDescent="0.2">
      <c r="C1626" s="176">
        <f t="shared" si="512"/>
        <v>1623</v>
      </c>
      <c r="D1626" s="454">
        <v>46016</v>
      </c>
      <c r="E1626" s="37">
        <v>46022</v>
      </c>
      <c r="F1626" s="65" t="s">
        <v>204</v>
      </c>
      <c r="G1626" s="11" t="str">
        <f ca="1">IF(AND(E1626&lt;&gt;"",E1626&lt;TODAY()),"Disponible",IFERROR(INDEX(Vehiculos[Estado Vehiculo],MATCH(F1626,Vehiculos[Placa Vehiculo],0)),""))</f>
        <v>Disponible</v>
      </c>
      <c r="H1626" s="34"/>
      <c r="I1626" s="34" t="s">
        <v>273</v>
      </c>
      <c r="J1626" s="34"/>
      <c r="K1626" s="39">
        <v>44310</v>
      </c>
      <c r="L1626" s="39">
        <v>44777</v>
      </c>
      <c r="M1626" s="15">
        <f t="shared" si="502"/>
        <v>467</v>
      </c>
      <c r="N1626" s="452">
        <v>210</v>
      </c>
      <c r="O1626" s="39"/>
      <c r="P1626" s="36">
        <v>0.76</v>
      </c>
      <c r="Q1626" s="16">
        <f t="shared" si="503"/>
        <v>354.92</v>
      </c>
      <c r="R1626" s="34" t="s">
        <v>273</v>
      </c>
      <c r="S1626" s="34" t="s">
        <v>102</v>
      </c>
      <c r="T1626" s="36">
        <v>2.8</v>
      </c>
      <c r="U1626" s="36">
        <f>Rutas[[#This Row],[Precio x Galón ($/gal)]]*Rutas[[#This Row],[Volumen de Combustible (gal)]]</f>
        <v>184.21200000000002</v>
      </c>
      <c r="V1626" s="36"/>
      <c r="W1626" s="36"/>
      <c r="X1626" s="36"/>
      <c r="Y1626" s="145">
        <f t="shared" si="504"/>
        <v>184.21200000000002</v>
      </c>
      <c r="Z1626" s="567"/>
      <c r="AA1626" s="12">
        <v>65.790000000000006</v>
      </c>
      <c r="AB1626" s="12">
        <f t="shared" si="505"/>
        <v>7.0983432132542932</v>
      </c>
      <c r="AC1626" s="12">
        <f t="shared" si="506"/>
        <v>0.76</v>
      </c>
      <c r="AD1626" s="34"/>
    </row>
    <row r="1627" spans="1:30" ht="16" x14ac:dyDescent="0.2">
      <c r="C1627" s="176">
        <f t="shared" si="512"/>
        <v>1624</v>
      </c>
      <c r="D1627" s="454"/>
      <c r="E1627" s="37"/>
      <c r="F1627" s="65"/>
      <c r="G1627" s="11" t="str">
        <f ca="1">IF(AND(E1627&lt;&gt;"",E1627&lt;TODAY()),"Disponible",IFERROR(INDEX(Vehiculos[Estado Vehiculo],MATCH(F1627,Vehiculos[Placa Vehiculo],0)),""))</f>
        <v/>
      </c>
      <c r="H1627" s="34"/>
      <c r="I1627" s="34"/>
      <c r="J1627" s="34"/>
      <c r="K1627" s="39"/>
      <c r="L1627" s="39"/>
      <c r="M1627" s="15">
        <f>L1627-K1627</f>
        <v>0</v>
      </c>
      <c r="N1627" s="15"/>
      <c r="O1627" s="39"/>
      <c r="P1627" s="36"/>
      <c r="Q1627" s="16">
        <f>M1627*P1627</f>
        <v>0</v>
      </c>
      <c r="R1627" s="34"/>
      <c r="S1627" s="34"/>
      <c r="T1627" s="36"/>
      <c r="U1627" s="36"/>
      <c r="V1627" s="36"/>
      <c r="W1627" s="36"/>
      <c r="X1627" s="36"/>
      <c r="Y1627" s="145">
        <f>U1627+SUM(V1627:X1627)</f>
        <v>0</v>
      </c>
      <c r="Z1627" s="567"/>
      <c r="AA1627" s="12"/>
      <c r="AB1627" s="12">
        <f>IFERROR(M1627/AA1627,0)</f>
        <v>0</v>
      </c>
      <c r="AC1627" s="12">
        <f>IFERROR(Q1627/M1627,0)</f>
        <v>0</v>
      </c>
      <c r="AD1627" s="34"/>
    </row>
    <row r="1628" spans="1:30" ht="16" x14ac:dyDescent="0.2">
      <c r="C1628" s="176">
        <f t="shared" si="512"/>
        <v>1625</v>
      </c>
      <c r="D1628" s="454"/>
      <c r="E1628" s="37"/>
      <c r="F1628" s="65"/>
      <c r="G1628" s="11" t="str">
        <f ca="1">IF(AND(E1628&lt;&gt;"",E1628&lt;TODAY()),"Disponible",IFERROR(INDEX(Vehiculos[Estado Vehiculo],MATCH(F1628,Vehiculos[Placa Vehiculo],0)),""))</f>
        <v/>
      </c>
      <c r="H1628" s="34"/>
      <c r="I1628" s="34"/>
      <c r="J1628" s="34"/>
      <c r="K1628" s="39"/>
      <c r="L1628" s="39"/>
      <c r="M1628" s="15">
        <f t="shared" si="502"/>
        <v>0</v>
      </c>
      <c r="N1628" s="15"/>
      <c r="O1628" s="39"/>
      <c r="P1628" s="36"/>
      <c r="Q1628" s="16">
        <f t="shared" si="503"/>
        <v>0</v>
      </c>
      <c r="R1628" s="34"/>
      <c r="S1628" s="34"/>
      <c r="T1628" s="36"/>
      <c r="U1628" s="36">
        <f>Rutas[[#This Row],[Precio x Galón ($/gal)]]*Rutas[[#This Row],[Volumen de Combustible (gal)]]</f>
        <v>0</v>
      </c>
      <c r="V1628" s="36"/>
      <c r="W1628" s="36"/>
      <c r="X1628" s="36"/>
      <c r="Y1628" s="145">
        <f t="shared" si="504"/>
        <v>0</v>
      </c>
      <c r="Z1628" s="567"/>
      <c r="AA1628" s="12"/>
      <c r="AB1628" s="12">
        <f t="shared" si="505"/>
        <v>0</v>
      </c>
      <c r="AC1628" s="12">
        <f t="shared" si="506"/>
        <v>0</v>
      </c>
      <c r="AD1628" s="34"/>
    </row>
    <row r="1629" spans="1:30" ht="16" x14ac:dyDescent="0.2">
      <c r="C1629" s="176">
        <f t="shared" si="512"/>
        <v>1626</v>
      </c>
      <c r="D1629" s="90">
        <v>45992</v>
      </c>
      <c r="E1629" s="90">
        <v>45996</v>
      </c>
      <c r="F1629" s="68" t="s">
        <v>211</v>
      </c>
      <c r="G1629" s="379" t="str">
        <f ca="1">IF(AND(E1629&lt;&gt;"",E1629&lt;TODAY()),"Disponible",IFERROR(INDEX(Vehiculos[Estado Vehiculo],MATCH(F1629,Vehiculos[Placa Vehiculo],0)),""))</f>
        <v>Disponible</v>
      </c>
      <c r="H1629" s="89" t="s">
        <v>259</v>
      </c>
      <c r="I1629" s="89" t="s">
        <v>273</v>
      </c>
      <c r="J1629" s="89"/>
      <c r="K1629" s="380">
        <v>62768</v>
      </c>
      <c r="L1629" s="380">
        <v>63552</v>
      </c>
      <c r="M1629" s="381">
        <f t="shared" si="502"/>
        <v>784</v>
      </c>
      <c r="N1629" s="381"/>
      <c r="O1629" s="380"/>
      <c r="P1629" s="92">
        <v>0.76</v>
      </c>
      <c r="Q1629" s="382">
        <f t="shared" si="503"/>
        <v>595.84</v>
      </c>
      <c r="R1629" s="89" t="s">
        <v>339</v>
      </c>
      <c r="S1629" s="89" t="s">
        <v>102</v>
      </c>
      <c r="T1629" s="92">
        <v>2.8</v>
      </c>
      <c r="U1629" s="92">
        <f>Rutas[[#This Row],[Precio x Galón ($/gal)]]*Rutas[[#This Row],[Volumen de Combustible (gal)]]</f>
        <v>361.2</v>
      </c>
      <c r="V1629" s="92"/>
      <c r="W1629" s="92"/>
      <c r="X1629" s="92"/>
      <c r="Y1629" s="382">
        <f t="shared" si="504"/>
        <v>361.2</v>
      </c>
      <c r="Z1629" s="578">
        <v>16243</v>
      </c>
      <c r="AA1629" s="382">
        <v>129</v>
      </c>
      <c r="AB1629" s="382">
        <f t="shared" si="505"/>
        <v>6.0775193798449614</v>
      </c>
      <c r="AC1629" s="382">
        <f t="shared" si="506"/>
        <v>0.76</v>
      </c>
      <c r="AD1629" s="89"/>
    </row>
    <row r="1630" spans="1:30" ht="16" x14ac:dyDescent="0.2">
      <c r="C1630" s="176">
        <f t="shared" si="512"/>
        <v>1627</v>
      </c>
      <c r="D1630" s="454">
        <v>45996</v>
      </c>
      <c r="E1630" s="37">
        <v>46005</v>
      </c>
      <c r="F1630" s="65" t="s">
        <v>211</v>
      </c>
      <c r="G1630" s="11" t="str">
        <f ca="1">IF(AND(E1630&lt;&gt;"",E1630&lt;TODAY()),"Disponible",IFERROR(INDEX(Vehiculos[Estado Vehiculo],MATCH(F1630,Vehiculos[Placa Vehiculo],0)),""))</f>
        <v>Disponible</v>
      </c>
      <c r="H1630" s="34"/>
      <c r="I1630" s="34" t="s">
        <v>273</v>
      </c>
      <c r="J1630" s="34"/>
      <c r="K1630" s="39">
        <v>63552</v>
      </c>
      <c r="L1630" s="39">
        <v>64581</v>
      </c>
      <c r="M1630" s="15">
        <f t="shared" si="502"/>
        <v>1029</v>
      </c>
      <c r="N1630" s="15"/>
      <c r="O1630" s="39"/>
      <c r="P1630" s="36">
        <v>0.76</v>
      </c>
      <c r="Q1630" s="16">
        <f t="shared" si="503"/>
        <v>782.04</v>
      </c>
      <c r="R1630" s="34" t="s">
        <v>273</v>
      </c>
      <c r="S1630" s="34" t="s">
        <v>102</v>
      </c>
      <c r="T1630" s="36">
        <v>2.8</v>
      </c>
      <c r="U1630" s="36">
        <f>Rutas[[#This Row],[Precio x Galón ($/gal)]]*Rutas[[#This Row],[Volumen de Combustible (gal)]]</f>
        <v>189.05599999999998</v>
      </c>
      <c r="V1630" s="36"/>
      <c r="W1630" s="36"/>
      <c r="X1630" s="36"/>
      <c r="Y1630" s="145">
        <f t="shared" si="504"/>
        <v>189.05599999999998</v>
      </c>
      <c r="Z1630" s="567"/>
      <c r="AA1630" s="12">
        <v>67.52</v>
      </c>
      <c r="AB1630" s="12">
        <f t="shared" si="505"/>
        <v>15.239928909952608</v>
      </c>
      <c r="AC1630" s="12">
        <f t="shared" si="506"/>
        <v>0.76</v>
      </c>
      <c r="AD1630" s="34"/>
    </row>
    <row r="1631" spans="1:30" ht="16" x14ac:dyDescent="0.2">
      <c r="C1631" s="176">
        <f t="shared" si="512"/>
        <v>1628</v>
      </c>
      <c r="D1631" s="454">
        <v>46005</v>
      </c>
      <c r="E1631" s="37">
        <v>46013</v>
      </c>
      <c r="F1631" s="65" t="s">
        <v>211</v>
      </c>
      <c r="G1631" s="11" t="str">
        <f ca="1">IF(AND(E1631&lt;&gt;"",E1631&lt;TODAY()),"Disponible",IFERROR(INDEX(Vehiculos[Estado Vehiculo],MATCH(F1631,Vehiculos[Placa Vehiculo],0)),""))</f>
        <v>Disponible</v>
      </c>
      <c r="H1631" s="34"/>
      <c r="I1631" s="34" t="s">
        <v>273</v>
      </c>
      <c r="J1631" s="34"/>
      <c r="K1631" s="39">
        <v>64581</v>
      </c>
      <c r="L1631" s="39">
        <v>65026</v>
      </c>
      <c r="M1631" s="15">
        <f t="shared" si="502"/>
        <v>445</v>
      </c>
      <c r="N1631" s="15"/>
      <c r="O1631" s="39"/>
      <c r="P1631" s="36">
        <v>0.76</v>
      </c>
      <c r="Q1631" s="16">
        <f t="shared" si="503"/>
        <v>338.2</v>
      </c>
      <c r="R1631" s="34" t="s">
        <v>273</v>
      </c>
      <c r="S1631" s="34" t="s">
        <v>102</v>
      </c>
      <c r="T1631" s="36">
        <v>2.8</v>
      </c>
      <c r="U1631" s="36">
        <f>Rutas[[#This Row],[Precio x Galón ($/gal)]]*Rutas[[#This Row],[Volumen de Combustible (gal)]]</f>
        <v>206.10799999999998</v>
      </c>
      <c r="V1631" s="36"/>
      <c r="W1631" s="36"/>
      <c r="X1631" s="36"/>
      <c r="Y1631" s="145">
        <f t="shared" si="504"/>
        <v>206.10799999999998</v>
      </c>
      <c r="Z1631" s="567"/>
      <c r="AA1631" s="12">
        <v>73.61</v>
      </c>
      <c r="AB1631" s="12">
        <f t="shared" si="505"/>
        <v>6.0453742698002992</v>
      </c>
      <c r="AC1631" s="12">
        <f t="shared" si="506"/>
        <v>0.76</v>
      </c>
      <c r="AD1631" s="34"/>
    </row>
    <row r="1632" spans="1:30" ht="16" x14ac:dyDescent="0.2">
      <c r="C1632" s="176">
        <f t="shared" si="512"/>
        <v>1629</v>
      </c>
      <c r="D1632" s="454">
        <v>46013</v>
      </c>
      <c r="E1632" s="37">
        <v>46016</v>
      </c>
      <c r="F1632" s="65" t="s">
        <v>211</v>
      </c>
      <c r="G1632" s="11" t="str">
        <f ca="1">IF(AND(E1632&lt;&gt;"",E1632&lt;TODAY()),"Disponible",IFERROR(INDEX(Vehiculos[Estado Vehiculo],MATCH(F1632,Vehiculos[Placa Vehiculo],0)),""))</f>
        <v>Disponible</v>
      </c>
      <c r="H1632" s="34" t="s">
        <v>259</v>
      </c>
      <c r="I1632" s="34" t="s">
        <v>273</v>
      </c>
      <c r="J1632" s="34"/>
      <c r="K1632" s="39">
        <v>65026</v>
      </c>
      <c r="L1632" s="39">
        <v>65334</v>
      </c>
      <c r="M1632" s="15">
        <f>L1632-K1632</f>
        <v>308</v>
      </c>
      <c r="N1632" s="15"/>
      <c r="O1632" s="39"/>
      <c r="P1632" s="36">
        <v>0.76</v>
      </c>
      <c r="Q1632" s="16">
        <f>M1632*P1632</f>
        <v>234.08</v>
      </c>
      <c r="R1632" s="34" t="s">
        <v>339</v>
      </c>
      <c r="S1632" s="34" t="s">
        <v>102</v>
      </c>
      <c r="T1632" s="36">
        <v>2.8</v>
      </c>
      <c r="U1632" s="36">
        <f>Rutas[[#This Row],[Precio x Galón ($/gal)]]*Rutas[[#This Row],[Volumen de Combustible (gal)]]</f>
        <v>143.05199999999999</v>
      </c>
      <c r="V1632" s="36"/>
      <c r="W1632" s="36"/>
      <c r="X1632" s="36"/>
      <c r="Y1632" s="145">
        <f>U1632+SUM(V1632:X1632)</f>
        <v>143.05199999999999</v>
      </c>
      <c r="Z1632" s="572">
        <v>16275</v>
      </c>
      <c r="AA1632" s="12">
        <v>51.09</v>
      </c>
      <c r="AB1632" s="12">
        <f>IFERROR(M1632/AA1632,0)</f>
        <v>6.0285770209434331</v>
      </c>
      <c r="AC1632" s="12">
        <f>IFERROR(Q1632/M1632,0)</f>
        <v>0.76</v>
      </c>
      <c r="AD1632" s="34"/>
    </row>
    <row r="1633" spans="3:30" ht="16" x14ac:dyDescent="0.2">
      <c r="C1633" s="176">
        <f t="shared" si="512"/>
        <v>1630</v>
      </c>
      <c r="D1633" s="454">
        <v>46016</v>
      </c>
      <c r="E1633" s="37">
        <v>46022</v>
      </c>
      <c r="F1633" s="65" t="s">
        <v>211</v>
      </c>
      <c r="G1633" s="11" t="str">
        <f ca="1">IF(AND(E1633&lt;&gt;"",E1633&lt;TODAY()),"Disponible",IFERROR(INDEX(Vehiculos[Estado Vehiculo],MATCH(F1633,Vehiculos[Placa Vehiculo],0)),""))</f>
        <v>Disponible</v>
      </c>
      <c r="H1633" s="34"/>
      <c r="I1633" s="34" t="s">
        <v>273</v>
      </c>
      <c r="J1633" s="34"/>
      <c r="K1633" s="39">
        <v>65334</v>
      </c>
      <c r="L1633" s="39">
        <v>65856</v>
      </c>
      <c r="M1633" s="15">
        <f>L1633-K1633</f>
        <v>522</v>
      </c>
      <c r="N1633" s="452">
        <v>254</v>
      </c>
      <c r="O1633" s="39"/>
      <c r="P1633" s="36">
        <v>0.76</v>
      </c>
      <c r="Q1633" s="16">
        <f>M1633*P1633</f>
        <v>396.72</v>
      </c>
      <c r="R1633" s="34" t="s">
        <v>339</v>
      </c>
      <c r="S1633" s="34" t="s">
        <v>102</v>
      </c>
      <c r="T1633" s="36">
        <v>2.8</v>
      </c>
      <c r="U1633" s="36">
        <f>Rutas[[#This Row],[Precio x Galón ($/gal)]]*Rutas[[#This Row],[Volumen de Combustible (gal)]]</f>
        <v>242.62</v>
      </c>
      <c r="V1633" s="36"/>
      <c r="W1633" s="36"/>
      <c r="X1633" s="36"/>
      <c r="Y1633" s="145">
        <f>U1633+SUM(V1633:X1633)</f>
        <v>242.62</v>
      </c>
      <c r="Z1633" s="567"/>
      <c r="AA1633" s="12">
        <v>86.65</v>
      </c>
      <c r="AB1633" s="12">
        <f>IFERROR(M1633/AA1633,0)</f>
        <v>6.0242354298903633</v>
      </c>
      <c r="AC1633" s="12">
        <f>IFERROR(Q1633/M1633,0)</f>
        <v>0.76</v>
      </c>
      <c r="AD1633" s="34"/>
    </row>
    <row r="1634" spans="3:30" ht="16" x14ac:dyDescent="0.2">
      <c r="C1634" s="176">
        <f t="shared" si="512"/>
        <v>1631</v>
      </c>
      <c r="D1634" s="454"/>
      <c r="E1634" s="37"/>
      <c r="F1634" s="65"/>
      <c r="G1634" s="11" t="str">
        <f ca="1">IF(AND(E1634&lt;&gt;"",E1634&lt;TODAY()),"Disponible",IFERROR(INDEX(Vehiculos[Estado Vehiculo],MATCH(F1634,Vehiculos[Placa Vehiculo],0)),""))</f>
        <v/>
      </c>
      <c r="H1634" s="34"/>
      <c r="I1634" s="34"/>
      <c r="J1634" s="34"/>
      <c r="K1634" s="39"/>
      <c r="L1634" s="39"/>
      <c r="M1634" s="15">
        <f>L1634-K1634</f>
        <v>0</v>
      </c>
      <c r="N1634" s="15"/>
      <c r="O1634" s="39"/>
      <c r="P1634" s="36"/>
      <c r="Q1634" s="16">
        <f>M1634*P1634</f>
        <v>0</v>
      </c>
      <c r="R1634" s="34"/>
      <c r="S1634" s="34"/>
      <c r="T1634" s="36"/>
      <c r="U1634" s="36"/>
      <c r="V1634" s="36"/>
      <c r="W1634" s="36"/>
      <c r="X1634" s="36"/>
      <c r="Y1634" s="145">
        <f>U1634+SUM(V1634:X1634)</f>
        <v>0</v>
      </c>
      <c r="Z1634" s="567"/>
      <c r="AA1634" s="12"/>
      <c r="AB1634" s="12">
        <f>IFERROR(M1634/AA1634,0)</f>
        <v>0</v>
      </c>
      <c r="AC1634" s="12">
        <f>IFERROR(Q1634/M1634,0)</f>
        <v>0</v>
      </c>
      <c r="AD1634" s="34"/>
    </row>
    <row r="1635" spans="3:30" ht="16" x14ac:dyDescent="0.2">
      <c r="C1635" s="176">
        <f t="shared" si="512"/>
        <v>1632</v>
      </c>
      <c r="D1635" s="454"/>
      <c r="E1635" s="37"/>
      <c r="F1635" s="65"/>
      <c r="G1635" s="11" t="str">
        <f ca="1">IF(AND(E1635&lt;&gt;"",E1635&lt;TODAY()),"Disponible",IFERROR(INDEX(Vehiculos[Estado Vehiculo],MATCH(F1635,Vehiculos[Placa Vehiculo],0)),""))</f>
        <v/>
      </c>
      <c r="H1635" s="34"/>
      <c r="I1635" s="34"/>
      <c r="J1635" s="34"/>
      <c r="K1635" s="39"/>
      <c r="L1635" s="39"/>
      <c r="M1635" s="15">
        <f t="shared" si="502"/>
        <v>0</v>
      </c>
      <c r="N1635" s="15"/>
      <c r="O1635" s="39"/>
      <c r="P1635" s="36"/>
      <c r="Q1635" s="16">
        <f t="shared" si="503"/>
        <v>0</v>
      </c>
      <c r="R1635" s="34"/>
      <c r="S1635" s="34"/>
      <c r="T1635" s="36"/>
      <c r="U1635" s="36">
        <f>Rutas[[#This Row],[Precio x Galón ($/gal)]]*Rutas[[#This Row],[Volumen de Combustible (gal)]]</f>
        <v>0</v>
      </c>
      <c r="V1635" s="36"/>
      <c r="W1635" s="36"/>
      <c r="X1635" s="36"/>
      <c r="Y1635" s="145">
        <f t="shared" si="504"/>
        <v>0</v>
      </c>
      <c r="Z1635" s="567"/>
      <c r="AA1635" s="12"/>
      <c r="AB1635" s="12">
        <f t="shared" si="505"/>
        <v>0</v>
      </c>
      <c r="AC1635" s="12">
        <f t="shared" si="506"/>
        <v>0</v>
      </c>
      <c r="AD1635" s="34"/>
    </row>
    <row r="1636" spans="3:30" ht="16" x14ac:dyDescent="0.2">
      <c r="C1636" s="176">
        <f t="shared" si="512"/>
        <v>1633</v>
      </c>
      <c r="D1636" s="90">
        <v>45992</v>
      </c>
      <c r="E1636" s="90">
        <v>45995</v>
      </c>
      <c r="F1636" s="68" t="s">
        <v>208</v>
      </c>
      <c r="G1636" s="379" t="str">
        <f ca="1">IF(AND(E1636&lt;&gt;"",E1636&lt;TODAY()),"Disponible",IFERROR(INDEX(Vehiculos[Estado Vehiculo],MATCH(F1636,Vehiculos[Placa Vehiculo],0)),""))</f>
        <v>Disponible</v>
      </c>
      <c r="H1636" s="89" t="s">
        <v>259</v>
      </c>
      <c r="I1636" s="89" t="s">
        <v>273</v>
      </c>
      <c r="J1636" s="89"/>
      <c r="K1636" s="380">
        <v>126316</v>
      </c>
      <c r="L1636" s="380">
        <v>126977</v>
      </c>
      <c r="M1636" s="381">
        <f t="shared" ref="M1636:M1674" si="513">L1636-K1636</f>
        <v>661</v>
      </c>
      <c r="N1636" s="381"/>
      <c r="O1636" s="380"/>
      <c r="P1636" s="92">
        <v>0.76</v>
      </c>
      <c r="Q1636" s="382">
        <f t="shared" ref="Q1636:Q1674" si="514">M1636*P1636</f>
        <v>502.36</v>
      </c>
      <c r="R1636" s="89" t="s">
        <v>339</v>
      </c>
      <c r="S1636" s="89" t="s">
        <v>102</v>
      </c>
      <c r="T1636" s="92">
        <v>2.8</v>
      </c>
      <c r="U1636" s="92">
        <f>Rutas[[#This Row],[Precio x Galón ($/gal)]]*Rutas[[#This Row],[Volumen de Combustible (gal)]]</f>
        <v>302.59599999999995</v>
      </c>
      <c r="V1636" s="92"/>
      <c r="W1636" s="92"/>
      <c r="X1636" s="92"/>
      <c r="Y1636" s="382">
        <f t="shared" ref="Y1636:Y1674" si="515">U1636+SUM(V1636:X1636)</f>
        <v>302.59599999999995</v>
      </c>
      <c r="Z1636" s="578">
        <v>16240</v>
      </c>
      <c r="AA1636" s="382">
        <v>108.07</v>
      </c>
      <c r="AB1636" s="382">
        <f t="shared" ref="AB1636:AB1674" si="516">IFERROR(M1636/AA1636,0)</f>
        <v>6.1164060331266779</v>
      </c>
      <c r="AC1636" s="382">
        <f t="shared" ref="AC1636:AC1674" si="517">IFERROR(Q1636/M1636,0)</f>
        <v>0.76</v>
      </c>
      <c r="AD1636" s="89"/>
    </row>
    <row r="1637" spans="3:30" ht="16" x14ac:dyDescent="0.2">
      <c r="C1637" s="176">
        <f t="shared" si="512"/>
        <v>1634</v>
      </c>
      <c r="D1637" s="454">
        <v>45995</v>
      </c>
      <c r="E1637" s="37">
        <v>46003</v>
      </c>
      <c r="F1637" s="65" t="s">
        <v>208</v>
      </c>
      <c r="G1637" s="11" t="str">
        <f ca="1">IF(AND(E1637&lt;&gt;"",E1637&lt;TODAY()),"Disponible",IFERROR(INDEX(Vehiculos[Estado Vehiculo],MATCH(F1637,Vehiculos[Placa Vehiculo],0)),""))</f>
        <v>Disponible</v>
      </c>
      <c r="H1637" s="34"/>
      <c r="I1637" s="34" t="s">
        <v>273</v>
      </c>
      <c r="J1637" s="34"/>
      <c r="K1637" s="39">
        <v>126977</v>
      </c>
      <c r="L1637" s="39">
        <v>127668</v>
      </c>
      <c r="M1637" s="15">
        <f t="shared" si="513"/>
        <v>691</v>
      </c>
      <c r="N1637" s="15"/>
      <c r="O1637" s="39"/>
      <c r="P1637" s="36">
        <v>0.76</v>
      </c>
      <c r="Q1637" s="16">
        <f t="shared" si="514"/>
        <v>525.16</v>
      </c>
      <c r="R1637" s="34" t="s">
        <v>339</v>
      </c>
      <c r="S1637" s="34" t="s">
        <v>102</v>
      </c>
      <c r="T1637" s="36">
        <v>2.8</v>
      </c>
      <c r="U1637" s="36">
        <f>Rutas[[#This Row],[Precio x Galón ($/gal)]]*Rutas[[#This Row],[Volumen de Combustible (gal)]]</f>
        <v>314.32799999999997</v>
      </c>
      <c r="V1637" s="36"/>
      <c r="W1637" s="36"/>
      <c r="X1637" s="36"/>
      <c r="Y1637" s="145">
        <f t="shared" si="515"/>
        <v>314.32799999999997</v>
      </c>
      <c r="Z1637" s="567"/>
      <c r="AA1637" s="12">
        <v>112.26</v>
      </c>
      <c r="AB1637" s="12">
        <f t="shared" si="516"/>
        <v>6.1553536433279881</v>
      </c>
      <c r="AC1637" s="12">
        <f t="shared" si="517"/>
        <v>0.76</v>
      </c>
      <c r="AD1637" s="34"/>
    </row>
    <row r="1638" spans="3:30" ht="16" x14ac:dyDescent="0.2">
      <c r="C1638" s="176">
        <f t="shared" si="512"/>
        <v>1635</v>
      </c>
      <c r="D1638" s="454">
        <v>46003</v>
      </c>
      <c r="E1638" s="37">
        <v>46005</v>
      </c>
      <c r="F1638" s="65" t="s">
        <v>208</v>
      </c>
      <c r="G1638" s="11" t="str">
        <f ca="1">IF(AND(E1638&lt;&gt;"",E1638&lt;TODAY()),"Disponible",IFERROR(INDEX(Vehiculos[Estado Vehiculo],MATCH(F1638,Vehiculos[Placa Vehiculo],0)),""))</f>
        <v>Disponible</v>
      </c>
      <c r="H1638" s="34"/>
      <c r="I1638" s="34" t="s">
        <v>273</v>
      </c>
      <c r="J1638" s="34"/>
      <c r="K1638" s="39">
        <v>127668</v>
      </c>
      <c r="L1638" s="39">
        <v>128104</v>
      </c>
      <c r="M1638" s="15">
        <f t="shared" si="513"/>
        <v>436</v>
      </c>
      <c r="N1638" s="15"/>
      <c r="O1638" s="39"/>
      <c r="P1638" s="36">
        <v>0.76</v>
      </c>
      <c r="Q1638" s="16">
        <f t="shared" si="514"/>
        <v>331.36</v>
      </c>
      <c r="R1638" s="34" t="s">
        <v>273</v>
      </c>
      <c r="S1638" s="34" t="s">
        <v>102</v>
      </c>
      <c r="T1638" s="36">
        <v>2.8</v>
      </c>
      <c r="U1638" s="36">
        <f>Rutas[[#This Row],[Precio x Galón ($/gal)]]*Rutas[[#This Row],[Volumen de Combustible (gal)]]</f>
        <v>198.32399999999998</v>
      </c>
      <c r="V1638" s="36"/>
      <c r="W1638" s="36"/>
      <c r="X1638" s="36"/>
      <c r="Y1638" s="145">
        <f t="shared" si="515"/>
        <v>198.32399999999998</v>
      </c>
      <c r="Z1638" s="567"/>
      <c r="AA1638" s="12">
        <v>70.83</v>
      </c>
      <c r="AB1638" s="12">
        <f t="shared" si="516"/>
        <v>6.1555837921784553</v>
      </c>
      <c r="AC1638" s="12">
        <f t="shared" si="517"/>
        <v>0.76</v>
      </c>
      <c r="AD1638" s="34"/>
    </row>
    <row r="1639" spans="3:30" ht="16" x14ac:dyDescent="0.2">
      <c r="C1639" s="176">
        <f t="shared" si="512"/>
        <v>1636</v>
      </c>
      <c r="D1639" s="454">
        <v>46005</v>
      </c>
      <c r="E1639" s="37">
        <v>46009</v>
      </c>
      <c r="F1639" s="65" t="s">
        <v>208</v>
      </c>
      <c r="G1639" s="11" t="str">
        <f ca="1">IF(AND(E1639&lt;&gt;"",E1639&lt;TODAY()),"Disponible",IFERROR(INDEX(Vehiculos[Estado Vehiculo],MATCH(F1639,Vehiculos[Placa Vehiculo],0)),""))</f>
        <v>Disponible</v>
      </c>
      <c r="H1639" s="34" t="s">
        <v>231</v>
      </c>
      <c r="I1639" s="34" t="s">
        <v>273</v>
      </c>
      <c r="J1639" s="34"/>
      <c r="K1639" s="39">
        <v>128104</v>
      </c>
      <c r="L1639" s="39">
        <v>128752</v>
      </c>
      <c r="M1639" s="15">
        <f t="shared" ref="M1639:M1644" si="518">L1639-K1639</f>
        <v>648</v>
      </c>
      <c r="N1639" s="15"/>
      <c r="O1639" s="39"/>
      <c r="P1639" s="36">
        <v>0.76</v>
      </c>
      <c r="Q1639" s="16">
        <f t="shared" ref="Q1639:Q1644" si="519">M1639*P1639</f>
        <v>492.48</v>
      </c>
      <c r="R1639" s="34" t="s">
        <v>339</v>
      </c>
      <c r="S1639" s="34" t="s">
        <v>102</v>
      </c>
      <c r="T1639" s="36">
        <v>2.8</v>
      </c>
      <c r="U1639" s="36">
        <f>Rutas[[#This Row],[Precio x Galón ($/gal)]]*Rutas[[#This Row],[Volumen de Combustible (gal)]]</f>
        <v>280.67199999999997</v>
      </c>
      <c r="V1639" s="36"/>
      <c r="W1639" s="36"/>
      <c r="X1639" s="36"/>
      <c r="Y1639" s="145">
        <f t="shared" ref="Y1639:Y1644" si="520">U1639+SUM(V1639:X1639)</f>
        <v>280.67199999999997</v>
      </c>
      <c r="Z1639" s="572">
        <v>16263</v>
      </c>
      <c r="AA1639" s="12">
        <v>100.24</v>
      </c>
      <c r="AB1639" s="12">
        <f t="shared" ref="AB1639:AB1644" si="521">IFERROR(M1639/AA1639,0)</f>
        <v>6.4644852354349567</v>
      </c>
      <c r="AC1639" s="12">
        <f t="shared" ref="AC1639:AC1644" si="522">IFERROR(Q1639/M1639,0)</f>
        <v>0.76</v>
      </c>
      <c r="AD1639" s="34"/>
    </row>
    <row r="1640" spans="3:30" ht="16" x14ac:dyDescent="0.2">
      <c r="C1640" s="176">
        <f t="shared" si="512"/>
        <v>1637</v>
      </c>
      <c r="D1640" s="454">
        <v>46009</v>
      </c>
      <c r="E1640" s="37">
        <v>46011</v>
      </c>
      <c r="F1640" s="65" t="s">
        <v>208</v>
      </c>
      <c r="G1640" s="11" t="str">
        <f ca="1">IF(AND(E1640&lt;&gt;"",E1640&lt;TODAY()),"Disponible",IFERROR(INDEX(Vehiculos[Estado Vehiculo],MATCH(F1640,Vehiculos[Placa Vehiculo],0)),""))</f>
        <v>Disponible</v>
      </c>
      <c r="H1640" s="34"/>
      <c r="I1640" s="34" t="s">
        <v>273</v>
      </c>
      <c r="J1640" s="34"/>
      <c r="K1640" s="39">
        <v>128752</v>
      </c>
      <c r="L1640" s="39">
        <v>129214</v>
      </c>
      <c r="M1640" s="15">
        <f t="shared" si="518"/>
        <v>462</v>
      </c>
      <c r="N1640" s="15"/>
      <c r="O1640" s="39"/>
      <c r="P1640" s="36">
        <v>0.76</v>
      </c>
      <c r="Q1640" s="16">
        <f t="shared" si="519"/>
        <v>351.12</v>
      </c>
      <c r="R1640" s="34" t="s">
        <v>273</v>
      </c>
      <c r="S1640" s="34" t="s">
        <v>102</v>
      </c>
      <c r="T1640" s="36">
        <v>2.8</v>
      </c>
      <c r="U1640" s="36">
        <f>Rutas[[#This Row],[Precio x Galón ($/gal)]]*Rutas[[#This Row],[Volumen de Combustible (gal)]]</f>
        <v>196.36399999999998</v>
      </c>
      <c r="V1640" s="36"/>
      <c r="W1640" s="36"/>
      <c r="X1640" s="36"/>
      <c r="Y1640" s="145">
        <f t="shared" si="520"/>
        <v>196.36399999999998</v>
      </c>
      <c r="Z1640" s="567"/>
      <c r="AA1640" s="12">
        <v>70.13</v>
      </c>
      <c r="AB1640" s="12">
        <f t="shared" si="521"/>
        <v>6.5877655782118927</v>
      </c>
      <c r="AC1640" s="12">
        <f t="shared" si="522"/>
        <v>0.76</v>
      </c>
      <c r="AD1640" s="34"/>
    </row>
    <row r="1641" spans="3:30" ht="16" x14ac:dyDescent="0.2">
      <c r="C1641" s="176">
        <f t="shared" si="512"/>
        <v>1638</v>
      </c>
      <c r="D1641" s="454">
        <v>46011</v>
      </c>
      <c r="E1641" s="37">
        <v>46015</v>
      </c>
      <c r="F1641" s="65" t="s">
        <v>208</v>
      </c>
      <c r="G1641" s="11" t="str">
        <f ca="1">IF(AND(E1641&lt;&gt;"",E1641&lt;TODAY()),"Disponible",IFERROR(INDEX(Vehiculos[Estado Vehiculo],MATCH(F1641,Vehiculos[Placa Vehiculo],0)),""))</f>
        <v>Disponible</v>
      </c>
      <c r="H1641" s="34" t="s">
        <v>231</v>
      </c>
      <c r="I1641" s="34" t="s">
        <v>273</v>
      </c>
      <c r="J1641" s="34"/>
      <c r="K1641" s="39">
        <v>129214</v>
      </c>
      <c r="L1641" s="39">
        <v>129868</v>
      </c>
      <c r="M1641" s="15">
        <f t="shared" si="518"/>
        <v>654</v>
      </c>
      <c r="N1641" s="15"/>
      <c r="O1641" s="39"/>
      <c r="P1641" s="36">
        <v>0.76</v>
      </c>
      <c r="Q1641" s="16">
        <f t="shared" si="519"/>
        <v>497.04</v>
      </c>
      <c r="R1641" s="34" t="s">
        <v>339</v>
      </c>
      <c r="S1641" s="34" t="s">
        <v>102</v>
      </c>
      <c r="T1641" s="36">
        <v>2.8</v>
      </c>
      <c r="U1641" s="36">
        <f>Rutas[[#This Row],[Precio x Galón ($/gal)]]*Rutas[[#This Row],[Volumen de Combustible (gal)]]</f>
        <v>330.20400000000001</v>
      </c>
      <c r="V1641" s="36"/>
      <c r="W1641" s="36"/>
      <c r="X1641" s="36"/>
      <c r="Y1641" s="145">
        <f t="shared" si="520"/>
        <v>330.20400000000001</v>
      </c>
      <c r="Z1641" s="572">
        <v>16273</v>
      </c>
      <c r="AA1641" s="12">
        <v>117.93</v>
      </c>
      <c r="AB1641" s="12">
        <f t="shared" si="521"/>
        <v>5.5456626812515895</v>
      </c>
      <c r="AC1641" s="12">
        <f t="shared" si="522"/>
        <v>0.76</v>
      </c>
      <c r="AD1641" s="34"/>
    </row>
    <row r="1642" spans="3:30" ht="16" x14ac:dyDescent="0.2">
      <c r="C1642" s="176">
        <f t="shared" si="512"/>
        <v>1639</v>
      </c>
      <c r="D1642" s="454">
        <v>46015</v>
      </c>
      <c r="E1642" s="37">
        <v>46017</v>
      </c>
      <c r="F1642" s="65" t="s">
        <v>208</v>
      </c>
      <c r="G1642" s="11" t="str">
        <f ca="1">IF(AND(E1642&lt;&gt;"",E1642&lt;TODAY()),"Disponible",IFERROR(INDEX(Vehiculos[Estado Vehiculo],MATCH(F1642,Vehiculos[Placa Vehiculo],0)),""))</f>
        <v>Disponible</v>
      </c>
      <c r="H1642" s="34"/>
      <c r="I1642" s="34" t="s">
        <v>273</v>
      </c>
      <c r="J1642" s="34"/>
      <c r="K1642" s="39">
        <v>129868</v>
      </c>
      <c r="L1642" s="39">
        <v>130384</v>
      </c>
      <c r="M1642" s="15">
        <f t="shared" si="518"/>
        <v>516</v>
      </c>
      <c r="N1642" s="15"/>
      <c r="O1642" s="39"/>
      <c r="P1642" s="36">
        <v>0.76</v>
      </c>
      <c r="Q1642" s="16">
        <f t="shared" si="519"/>
        <v>392.16</v>
      </c>
      <c r="R1642" s="34" t="s">
        <v>273</v>
      </c>
      <c r="S1642" s="34" t="s">
        <v>102</v>
      </c>
      <c r="T1642" s="36">
        <v>2.8</v>
      </c>
      <c r="U1642" s="36">
        <f>Rutas[[#This Row],[Precio x Galón ($/gal)]]*Rutas[[#This Row],[Volumen de Combustible (gal)]]</f>
        <v>213.976</v>
      </c>
      <c r="V1642" s="36"/>
      <c r="W1642" s="36"/>
      <c r="X1642" s="36"/>
      <c r="Y1642" s="145">
        <f t="shared" si="520"/>
        <v>213.976</v>
      </c>
      <c r="Z1642" s="567"/>
      <c r="AA1642" s="12">
        <v>76.42</v>
      </c>
      <c r="AB1642" s="12">
        <f t="shared" si="521"/>
        <v>6.7521591206490443</v>
      </c>
      <c r="AC1642" s="12">
        <f t="shared" si="522"/>
        <v>0.76</v>
      </c>
      <c r="AD1642" s="34"/>
    </row>
    <row r="1643" spans="3:30" ht="16" x14ac:dyDescent="0.2">
      <c r="C1643" s="176">
        <f t="shared" si="512"/>
        <v>1640</v>
      </c>
      <c r="D1643" s="454">
        <v>46017</v>
      </c>
      <c r="E1643" s="37">
        <v>46020</v>
      </c>
      <c r="F1643" s="65" t="s">
        <v>208</v>
      </c>
      <c r="G1643" s="11" t="str">
        <f ca="1">IF(AND(E1643&lt;&gt;"",E1643&lt;TODAY()),"Disponible",IFERROR(INDEX(Vehiculos[Estado Vehiculo],MATCH(F1643,Vehiculos[Placa Vehiculo],0)),""))</f>
        <v>Disponible</v>
      </c>
      <c r="H1643" s="34"/>
      <c r="I1643" s="34" t="s">
        <v>273</v>
      </c>
      <c r="J1643" s="34"/>
      <c r="K1643" s="39">
        <v>130384</v>
      </c>
      <c r="L1643" s="39">
        <v>130940</v>
      </c>
      <c r="M1643" s="15">
        <f t="shared" si="518"/>
        <v>556</v>
      </c>
      <c r="N1643" s="15"/>
      <c r="O1643" s="39"/>
      <c r="P1643" s="36">
        <v>0.76</v>
      </c>
      <c r="Q1643" s="16">
        <f t="shared" si="519"/>
        <v>422.56</v>
      </c>
      <c r="R1643" s="34" t="s">
        <v>273</v>
      </c>
      <c r="S1643" s="34" t="s">
        <v>102</v>
      </c>
      <c r="T1643" s="36">
        <v>2.8</v>
      </c>
      <c r="U1643" s="36">
        <f>Rutas[[#This Row],[Precio x Galón ($/gal)]]*Rutas[[#This Row],[Volumen de Combustible (gal)]]</f>
        <v>234.52799999999999</v>
      </c>
      <c r="V1643" s="36"/>
      <c r="W1643" s="36"/>
      <c r="X1643" s="36"/>
      <c r="Y1643" s="145">
        <f t="shared" si="520"/>
        <v>234.52799999999999</v>
      </c>
      <c r="Z1643" s="567"/>
      <c r="AA1643" s="12">
        <v>83.76</v>
      </c>
      <c r="AB1643" s="12">
        <f t="shared" si="521"/>
        <v>6.6380133715377267</v>
      </c>
      <c r="AC1643" s="12">
        <f t="shared" si="522"/>
        <v>0.76</v>
      </c>
      <c r="AD1643" s="34"/>
    </row>
    <row r="1644" spans="3:30" ht="16" x14ac:dyDescent="0.2">
      <c r="C1644" s="176">
        <f t="shared" si="512"/>
        <v>1641</v>
      </c>
      <c r="D1644" s="454">
        <v>46020</v>
      </c>
      <c r="E1644" s="37">
        <v>46022</v>
      </c>
      <c r="F1644" s="65" t="s">
        <v>208</v>
      </c>
      <c r="G1644" s="11" t="str">
        <f ca="1">IF(AND(E1644&lt;&gt;"",E1644&lt;TODAY()),"Disponible",IFERROR(INDEX(Vehiculos[Estado Vehiculo],MATCH(F1644,Vehiculos[Placa Vehiculo],0)),""))</f>
        <v>Disponible</v>
      </c>
      <c r="H1644" s="34"/>
      <c r="I1644" s="34" t="s">
        <v>273</v>
      </c>
      <c r="J1644" s="34"/>
      <c r="K1644" s="39">
        <v>130940</v>
      </c>
      <c r="L1644" s="39">
        <v>131338</v>
      </c>
      <c r="M1644" s="15">
        <f t="shared" si="518"/>
        <v>398</v>
      </c>
      <c r="N1644" s="452">
        <v>518</v>
      </c>
      <c r="O1644" s="39"/>
      <c r="P1644" s="36">
        <v>0.76</v>
      </c>
      <c r="Q1644" s="16">
        <f t="shared" si="519"/>
        <v>302.48</v>
      </c>
      <c r="R1644" s="34" t="s">
        <v>273</v>
      </c>
      <c r="S1644" s="34" t="s">
        <v>102</v>
      </c>
      <c r="T1644" s="36">
        <v>2.8</v>
      </c>
      <c r="U1644" s="36">
        <f>Rutas[[#This Row],[Precio x Galón ($/gal)]]*Rutas[[#This Row],[Volumen de Combustible (gal)]]</f>
        <v>168.89599999999999</v>
      </c>
      <c r="V1644" s="36"/>
      <c r="W1644" s="36"/>
      <c r="X1644" s="36"/>
      <c r="Y1644" s="145">
        <f t="shared" si="520"/>
        <v>168.89599999999999</v>
      </c>
      <c r="Z1644" s="567"/>
      <c r="AA1644" s="12">
        <v>60.32</v>
      </c>
      <c r="AB1644" s="12">
        <f t="shared" si="521"/>
        <v>6.5981432360742707</v>
      </c>
      <c r="AC1644" s="12">
        <f t="shared" si="522"/>
        <v>0.76</v>
      </c>
      <c r="AD1644" s="34"/>
    </row>
    <row r="1645" spans="3:30" ht="16" x14ac:dyDescent="0.2">
      <c r="C1645" s="176">
        <f t="shared" si="512"/>
        <v>1642</v>
      </c>
      <c r="D1645" s="454"/>
      <c r="E1645" s="37"/>
      <c r="F1645" s="65"/>
      <c r="G1645" s="11" t="str">
        <f ca="1">IF(AND(E1645&lt;&gt;"",E1645&lt;TODAY()),"Disponible",IFERROR(INDEX(Vehiculos[Estado Vehiculo],MATCH(F1645,Vehiculos[Placa Vehiculo],0)),""))</f>
        <v/>
      </c>
      <c r="H1645" s="34"/>
      <c r="I1645" s="34"/>
      <c r="J1645" s="34"/>
      <c r="K1645" s="39"/>
      <c r="L1645" s="39"/>
      <c r="M1645" s="15">
        <f t="shared" si="513"/>
        <v>0</v>
      </c>
      <c r="N1645" s="15"/>
      <c r="O1645" s="39"/>
      <c r="P1645" s="36"/>
      <c r="Q1645" s="16">
        <f t="shared" si="514"/>
        <v>0</v>
      </c>
      <c r="R1645" s="34"/>
      <c r="S1645" s="34"/>
      <c r="T1645" s="36"/>
      <c r="U1645" s="36">
        <f>Rutas[[#This Row],[Precio x Galón ($/gal)]]*Rutas[[#This Row],[Volumen de Combustible (gal)]]</f>
        <v>0</v>
      </c>
      <c r="V1645" s="36"/>
      <c r="W1645" s="36"/>
      <c r="X1645" s="36"/>
      <c r="Y1645" s="145">
        <f t="shared" si="515"/>
        <v>0</v>
      </c>
      <c r="Z1645" s="567"/>
      <c r="AA1645" s="12"/>
      <c r="AB1645" s="12">
        <f t="shared" si="516"/>
        <v>0</v>
      </c>
      <c r="AC1645" s="12">
        <f t="shared" si="517"/>
        <v>0</v>
      </c>
      <c r="AD1645" s="34"/>
    </row>
    <row r="1646" spans="3:30" ht="16" x14ac:dyDescent="0.2">
      <c r="C1646" s="176">
        <f t="shared" si="512"/>
        <v>1643</v>
      </c>
      <c r="D1646" s="90">
        <v>45992</v>
      </c>
      <c r="E1646" s="90">
        <v>45993</v>
      </c>
      <c r="F1646" s="68" t="s">
        <v>209</v>
      </c>
      <c r="G1646" s="379" t="str">
        <f ca="1">IF(AND(E1646&lt;&gt;"",E1646&lt;TODAY()),"Disponible",IFERROR(INDEX(Vehiculos[Estado Vehiculo],MATCH(F1646,Vehiculos[Placa Vehiculo],0)),""))</f>
        <v>Disponible</v>
      </c>
      <c r="H1646" s="89"/>
      <c r="I1646" s="89" t="s">
        <v>273</v>
      </c>
      <c r="J1646" s="89"/>
      <c r="K1646" s="380">
        <v>127318</v>
      </c>
      <c r="L1646" s="380">
        <v>128018</v>
      </c>
      <c r="M1646" s="381">
        <f t="shared" si="513"/>
        <v>700</v>
      </c>
      <c r="N1646" s="381"/>
      <c r="O1646" s="380"/>
      <c r="P1646" s="92">
        <v>0.76</v>
      </c>
      <c r="Q1646" s="382">
        <f t="shared" si="514"/>
        <v>532</v>
      </c>
      <c r="R1646" s="89" t="s">
        <v>339</v>
      </c>
      <c r="S1646" s="89" t="s">
        <v>102</v>
      </c>
      <c r="T1646" s="92">
        <v>2.8</v>
      </c>
      <c r="U1646" s="92">
        <f>Rutas[[#This Row],[Precio x Galón ($/gal)]]*Rutas[[#This Row],[Volumen de Combustible (gal)]]</f>
        <v>334.32</v>
      </c>
      <c r="V1646" s="92"/>
      <c r="W1646" s="92"/>
      <c r="X1646" s="92"/>
      <c r="Y1646" s="382">
        <f t="shared" si="515"/>
        <v>334.32</v>
      </c>
      <c r="Z1646" s="382"/>
      <c r="AA1646" s="382">
        <v>119.4</v>
      </c>
      <c r="AB1646" s="382">
        <f t="shared" si="516"/>
        <v>5.8626465661641536</v>
      </c>
      <c r="AC1646" s="382">
        <f t="shared" si="517"/>
        <v>0.76</v>
      </c>
      <c r="AD1646" s="89"/>
    </row>
    <row r="1647" spans="3:30" ht="16" x14ac:dyDescent="0.2">
      <c r="C1647" s="176">
        <f t="shared" si="512"/>
        <v>1644</v>
      </c>
      <c r="D1647" s="454">
        <v>45993</v>
      </c>
      <c r="E1647" s="37">
        <v>45996</v>
      </c>
      <c r="F1647" s="65" t="s">
        <v>209</v>
      </c>
      <c r="G1647" s="11" t="str">
        <f ca="1">IF(AND(E1647&lt;&gt;"",E1647&lt;TODAY()),"Disponible",IFERROR(INDEX(Vehiculos[Estado Vehiculo],MATCH(F1647,Vehiculos[Placa Vehiculo],0)),""))</f>
        <v>Disponible</v>
      </c>
      <c r="H1647" s="34"/>
      <c r="I1647" s="34" t="s">
        <v>273</v>
      </c>
      <c r="J1647" s="34"/>
      <c r="K1647" s="39">
        <v>128018</v>
      </c>
      <c r="L1647" s="39">
        <v>128561</v>
      </c>
      <c r="M1647" s="15">
        <f t="shared" si="513"/>
        <v>543</v>
      </c>
      <c r="N1647" s="15"/>
      <c r="O1647" s="39"/>
      <c r="P1647" s="36">
        <v>0.76</v>
      </c>
      <c r="Q1647" s="16">
        <f t="shared" si="514"/>
        <v>412.68</v>
      </c>
      <c r="R1647" s="34" t="s">
        <v>273</v>
      </c>
      <c r="S1647" s="34" t="s">
        <v>102</v>
      </c>
      <c r="T1647" s="36">
        <v>2.8</v>
      </c>
      <c r="U1647" s="36">
        <f>Rutas[[#This Row],[Precio x Galón ($/gal)]]*Rutas[[#This Row],[Volumen de Combustible (gal)]]</f>
        <v>305.47999999999996</v>
      </c>
      <c r="V1647" s="36"/>
      <c r="W1647" s="36"/>
      <c r="X1647" s="36"/>
      <c r="Y1647" s="145">
        <f t="shared" si="515"/>
        <v>305.47999999999996</v>
      </c>
      <c r="Z1647" s="567"/>
      <c r="AA1647" s="12">
        <v>109.1</v>
      </c>
      <c r="AB1647" s="12">
        <f t="shared" si="516"/>
        <v>4.9770852428964254</v>
      </c>
      <c r="AC1647" s="12">
        <f t="shared" si="517"/>
        <v>0.76</v>
      </c>
      <c r="AD1647" s="34"/>
    </row>
    <row r="1648" spans="3:30" ht="16" x14ac:dyDescent="0.2">
      <c r="C1648" s="176">
        <f t="shared" si="512"/>
        <v>1645</v>
      </c>
      <c r="D1648" s="454">
        <v>45996</v>
      </c>
      <c r="E1648" s="37">
        <v>46000</v>
      </c>
      <c r="F1648" s="65" t="s">
        <v>209</v>
      </c>
      <c r="G1648" s="11" t="str">
        <f ca="1">IF(AND(E1648&lt;&gt;"",E1648&lt;TODAY()),"Disponible",IFERROR(INDEX(Vehiculos[Estado Vehiculo],MATCH(F1648,Vehiculos[Placa Vehiculo],0)),""))</f>
        <v>Disponible</v>
      </c>
      <c r="H1648" s="34"/>
      <c r="I1648" s="34" t="s">
        <v>273</v>
      </c>
      <c r="J1648" s="34"/>
      <c r="K1648" s="39">
        <v>128561</v>
      </c>
      <c r="L1648" s="39">
        <v>129271</v>
      </c>
      <c r="M1648" s="15">
        <f t="shared" si="513"/>
        <v>710</v>
      </c>
      <c r="N1648" s="15"/>
      <c r="O1648" s="39"/>
      <c r="P1648" s="36">
        <v>0.76</v>
      </c>
      <c r="Q1648" s="16">
        <f t="shared" si="514"/>
        <v>539.6</v>
      </c>
      <c r="R1648" s="34" t="s">
        <v>273</v>
      </c>
      <c r="S1648" s="34" t="s">
        <v>102</v>
      </c>
      <c r="T1648" s="36">
        <v>2.8</v>
      </c>
      <c r="U1648" s="36">
        <f>Rutas[[#This Row],[Precio x Galón ($/gal)]]*Rutas[[#This Row],[Volumen de Combustible (gal)]]</f>
        <v>284.31200000000001</v>
      </c>
      <c r="V1648" s="36"/>
      <c r="W1648" s="36"/>
      <c r="X1648" s="36"/>
      <c r="Y1648" s="145">
        <f t="shared" si="515"/>
        <v>284.31200000000001</v>
      </c>
      <c r="Z1648" s="567"/>
      <c r="AA1648" s="12">
        <v>101.54</v>
      </c>
      <c r="AB1648" s="12">
        <f t="shared" si="516"/>
        <v>6.9923182982076026</v>
      </c>
      <c r="AC1648" s="12">
        <f t="shared" si="517"/>
        <v>0.76</v>
      </c>
      <c r="AD1648" s="34"/>
    </row>
    <row r="1649" spans="3:30" ht="16" x14ac:dyDescent="0.2">
      <c r="C1649" s="176">
        <f t="shared" si="512"/>
        <v>1646</v>
      </c>
      <c r="D1649" s="454">
        <v>46000</v>
      </c>
      <c r="E1649" s="37">
        <v>46004</v>
      </c>
      <c r="F1649" s="65" t="s">
        <v>209</v>
      </c>
      <c r="G1649" s="11" t="str">
        <f ca="1">IF(AND(E1649&lt;&gt;"",E1649&lt;TODAY()),"Disponible",IFERROR(INDEX(Vehiculos[Estado Vehiculo],MATCH(F1649,Vehiculos[Placa Vehiculo],0)),""))</f>
        <v>Disponible</v>
      </c>
      <c r="H1649" s="34"/>
      <c r="I1649" s="34" t="s">
        <v>273</v>
      </c>
      <c r="J1649" s="34"/>
      <c r="K1649" s="39">
        <v>129271</v>
      </c>
      <c r="L1649" s="39">
        <v>129880</v>
      </c>
      <c r="M1649" s="15">
        <f>L1649-K1649</f>
        <v>609</v>
      </c>
      <c r="N1649" s="15"/>
      <c r="O1649" s="39"/>
      <c r="P1649" s="36">
        <v>0.76</v>
      </c>
      <c r="Q1649" s="16">
        <f>M1649*P1649</f>
        <v>462.84000000000003</v>
      </c>
      <c r="R1649" s="34" t="s">
        <v>339</v>
      </c>
      <c r="S1649" s="34" t="s">
        <v>102</v>
      </c>
      <c r="T1649" s="36">
        <v>2.8</v>
      </c>
      <c r="U1649" s="36">
        <f>Rutas[[#This Row],[Precio x Galón ($/gal)]]*Rutas[[#This Row],[Volumen de Combustible (gal)]]</f>
        <v>300.80399999999997</v>
      </c>
      <c r="V1649" s="36"/>
      <c r="W1649" s="36"/>
      <c r="X1649" s="36"/>
      <c r="Y1649" s="145">
        <f>U1649+SUM(V1649:X1649)</f>
        <v>300.80399999999997</v>
      </c>
      <c r="Z1649" s="572">
        <v>16254</v>
      </c>
      <c r="AA1649" s="12">
        <v>107.43</v>
      </c>
      <c r="AB1649" s="12">
        <f>IFERROR(M1649/AA1649,0)</f>
        <v>5.668807595643675</v>
      </c>
      <c r="AC1649" s="12">
        <f>IFERROR(Q1649/M1649,0)</f>
        <v>0.76</v>
      </c>
      <c r="AD1649" s="34"/>
    </row>
    <row r="1650" spans="3:30" ht="16" x14ac:dyDescent="0.2">
      <c r="C1650" s="176">
        <f t="shared" si="512"/>
        <v>1647</v>
      </c>
      <c r="D1650" s="454">
        <v>46004</v>
      </c>
      <c r="E1650" s="37">
        <v>46014</v>
      </c>
      <c r="F1650" s="65" t="s">
        <v>209</v>
      </c>
      <c r="G1650" s="11" t="str">
        <f ca="1">IF(AND(E1650&lt;&gt;"",E1650&lt;TODAY()),"Disponible",IFERROR(INDEX(Vehiculos[Estado Vehiculo],MATCH(F1650,Vehiculos[Placa Vehiculo],0)),""))</f>
        <v>Disponible</v>
      </c>
      <c r="H1650" s="34"/>
      <c r="I1650" s="34" t="s">
        <v>273</v>
      </c>
      <c r="J1650" s="34"/>
      <c r="K1650" s="39">
        <v>129880</v>
      </c>
      <c r="L1650" s="39">
        <v>130806</v>
      </c>
      <c r="M1650" s="15">
        <f>L1650-K1650</f>
        <v>926</v>
      </c>
      <c r="N1650" s="15"/>
      <c r="O1650" s="39"/>
      <c r="P1650" s="36"/>
      <c r="Q1650" s="16">
        <f>M1650*P1650</f>
        <v>0</v>
      </c>
      <c r="R1650" s="34" t="s">
        <v>273</v>
      </c>
      <c r="S1650" s="34" t="s">
        <v>102</v>
      </c>
      <c r="T1650" s="36">
        <v>2.8</v>
      </c>
      <c r="U1650" s="36">
        <f>Rutas[[#This Row],[Precio x Galón ($/gal)]]*Rutas[[#This Row],[Volumen de Combustible (gal)]]</f>
        <v>352.88399999999996</v>
      </c>
      <c r="V1650" s="36"/>
      <c r="W1650" s="36"/>
      <c r="X1650" s="36"/>
      <c r="Y1650" s="145">
        <f>U1650+SUM(V1650:X1650)</f>
        <v>352.88399999999996</v>
      </c>
      <c r="Z1650" s="567"/>
      <c r="AA1650" s="12">
        <v>126.03</v>
      </c>
      <c r="AB1650" s="12">
        <f>IFERROR(M1650/AA1650,0)</f>
        <v>7.3474569546933273</v>
      </c>
      <c r="AC1650" s="12">
        <f>IFERROR(Q1650/M1650,0)</f>
        <v>0</v>
      </c>
      <c r="AD1650" s="34"/>
    </row>
    <row r="1651" spans="3:30" ht="16" x14ac:dyDescent="0.2">
      <c r="C1651" s="176">
        <f t="shared" si="512"/>
        <v>1648</v>
      </c>
      <c r="D1651" s="454"/>
      <c r="E1651" s="37"/>
      <c r="F1651" s="65" t="s">
        <v>209</v>
      </c>
      <c r="G1651" s="11" t="str">
        <f ca="1">IF(AND(E1651&lt;&gt;"",E1651&lt;TODAY()),"Disponible",IFERROR(INDEX(Vehiculos[Estado Vehiculo],MATCH(F1651,Vehiculos[Placa Vehiculo],0)),""))</f>
        <v>Disponible</v>
      </c>
      <c r="H1651" s="34"/>
      <c r="I1651" s="34"/>
      <c r="J1651" s="34"/>
      <c r="K1651" s="39"/>
      <c r="L1651" s="39"/>
      <c r="M1651" s="15">
        <f>L1651-K1651</f>
        <v>0</v>
      </c>
      <c r="N1651" s="452">
        <v>311</v>
      </c>
      <c r="O1651" s="39"/>
      <c r="P1651" s="36"/>
      <c r="Q1651" s="16">
        <f>M1651*P1651</f>
        <v>0</v>
      </c>
      <c r="R1651" s="34"/>
      <c r="S1651" s="34"/>
      <c r="T1651" s="36"/>
      <c r="U1651" s="36"/>
      <c r="V1651" s="36"/>
      <c r="W1651" s="36"/>
      <c r="X1651" s="36"/>
      <c r="Y1651" s="145">
        <f>U1651+SUM(V1651:X1651)</f>
        <v>0</v>
      </c>
      <c r="Z1651" s="567"/>
      <c r="AA1651" s="12"/>
      <c r="AB1651" s="12">
        <f>IFERROR(M1651/AA1651,0)</f>
        <v>0</v>
      </c>
      <c r="AC1651" s="12">
        <f>IFERROR(Q1651/M1651,0)</f>
        <v>0</v>
      </c>
      <c r="AD1651" s="34"/>
    </row>
    <row r="1652" spans="3:30" ht="16" x14ac:dyDescent="0.2">
      <c r="C1652" s="176">
        <f t="shared" si="512"/>
        <v>1649</v>
      </c>
      <c r="D1652" s="454"/>
      <c r="E1652" s="37"/>
      <c r="F1652" s="65"/>
      <c r="G1652" s="11" t="str">
        <f ca="1">IF(AND(E1652&lt;&gt;"",E1652&lt;TODAY()),"Disponible",IFERROR(INDEX(Vehiculos[Estado Vehiculo],MATCH(F1652,Vehiculos[Placa Vehiculo],0)),""))</f>
        <v/>
      </c>
      <c r="H1652" s="34"/>
      <c r="I1652" s="34"/>
      <c r="J1652" s="34"/>
      <c r="K1652" s="39"/>
      <c r="L1652" s="39"/>
      <c r="M1652" s="15">
        <f t="shared" si="513"/>
        <v>0</v>
      </c>
      <c r="N1652" s="15"/>
      <c r="O1652" s="39"/>
      <c r="P1652" s="36"/>
      <c r="Q1652" s="16">
        <f t="shared" si="514"/>
        <v>0</v>
      </c>
      <c r="R1652" s="34"/>
      <c r="S1652" s="34"/>
      <c r="T1652" s="36"/>
      <c r="U1652" s="36">
        <f>Rutas[[#This Row],[Precio x Galón ($/gal)]]*Rutas[[#This Row],[Volumen de Combustible (gal)]]</f>
        <v>0</v>
      </c>
      <c r="V1652" s="36"/>
      <c r="W1652" s="36"/>
      <c r="X1652" s="36"/>
      <c r="Y1652" s="145">
        <f t="shared" si="515"/>
        <v>0</v>
      </c>
      <c r="Z1652" s="567"/>
      <c r="AA1652" s="12"/>
      <c r="AB1652" s="12">
        <f t="shared" si="516"/>
        <v>0</v>
      </c>
      <c r="AC1652" s="12">
        <f t="shared" si="517"/>
        <v>0</v>
      </c>
      <c r="AD1652" s="34"/>
    </row>
    <row r="1653" spans="3:30" ht="16" x14ac:dyDescent="0.2">
      <c r="C1653" s="176">
        <f t="shared" si="512"/>
        <v>1650</v>
      </c>
      <c r="D1653" s="90">
        <v>45992</v>
      </c>
      <c r="E1653" s="90">
        <v>45993</v>
      </c>
      <c r="F1653" s="68" t="s">
        <v>210</v>
      </c>
      <c r="G1653" s="379" t="str">
        <f ca="1">IF(AND(E1653&lt;&gt;"",E1653&lt;TODAY()),"Disponible",IFERROR(INDEX(Vehiculos[Estado Vehiculo],MATCH(F1653,Vehiculos[Placa Vehiculo],0)),""))</f>
        <v>Disponible</v>
      </c>
      <c r="H1653" s="89" t="s">
        <v>242</v>
      </c>
      <c r="I1653" s="89" t="s">
        <v>273</v>
      </c>
      <c r="J1653" s="89"/>
      <c r="K1653" s="380">
        <v>113204</v>
      </c>
      <c r="L1653" s="380">
        <v>113888</v>
      </c>
      <c r="M1653" s="381">
        <f t="shared" si="513"/>
        <v>684</v>
      </c>
      <c r="N1653" s="381"/>
      <c r="O1653" s="380"/>
      <c r="P1653" s="92">
        <v>0.76</v>
      </c>
      <c r="Q1653" s="382">
        <f t="shared" si="514"/>
        <v>519.84</v>
      </c>
      <c r="R1653" s="89" t="s">
        <v>339</v>
      </c>
      <c r="S1653" s="89" t="s">
        <v>102</v>
      </c>
      <c r="T1653" s="92">
        <v>2.8</v>
      </c>
      <c r="U1653" s="92">
        <f>Rutas[[#This Row],[Precio x Galón ($/gal)]]*Rutas[[#This Row],[Volumen de Combustible (gal)]]</f>
        <v>295.34399999999999</v>
      </c>
      <c r="V1653" s="92"/>
      <c r="W1653" s="92"/>
      <c r="X1653" s="92"/>
      <c r="Y1653" s="382">
        <f t="shared" si="515"/>
        <v>295.34399999999999</v>
      </c>
      <c r="Z1653" s="578">
        <v>16234</v>
      </c>
      <c r="AA1653" s="382">
        <v>105.48</v>
      </c>
      <c r="AB1653" s="382">
        <f t="shared" si="516"/>
        <v>6.4846416382252556</v>
      </c>
      <c r="AC1653" s="382">
        <f t="shared" si="517"/>
        <v>0.76</v>
      </c>
      <c r="AD1653" s="89"/>
    </row>
    <row r="1654" spans="3:30" ht="16" x14ac:dyDescent="0.2">
      <c r="C1654" s="176">
        <f t="shared" si="512"/>
        <v>1651</v>
      </c>
      <c r="D1654" s="454">
        <v>45993</v>
      </c>
      <c r="E1654" s="37">
        <v>45996</v>
      </c>
      <c r="F1654" s="65" t="s">
        <v>210</v>
      </c>
      <c r="G1654" s="11" t="str">
        <f ca="1">IF(AND(E1654&lt;&gt;"",E1654&lt;TODAY()),"Disponible",IFERROR(INDEX(Vehiculos[Estado Vehiculo],MATCH(F1654,Vehiculos[Placa Vehiculo],0)),""))</f>
        <v>Disponible</v>
      </c>
      <c r="H1654" s="34"/>
      <c r="I1654" s="34" t="s">
        <v>273</v>
      </c>
      <c r="J1654" s="34"/>
      <c r="K1654" s="39">
        <v>113888</v>
      </c>
      <c r="L1654" s="39">
        <v>114532</v>
      </c>
      <c r="M1654" s="15">
        <f t="shared" si="513"/>
        <v>644</v>
      </c>
      <c r="N1654" s="15"/>
      <c r="O1654" s="39"/>
      <c r="P1654" s="36">
        <v>0.76</v>
      </c>
      <c r="Q1654" s="16">
        <f t="shared" si="514"/>
        <v>489.44</v>
      </c>
      <c r="R1654" s="34" t="s">
        <v>273</v>
      </c>
      <c r="S1654" s="34" t="s">
        <v>102</v>
      </c>
      <c r="T1654" s="36">
        <v>2.8</v>
      </c>
      <c r="U1654" s="36">
        <f>Rutas[[#This Row],[Precio x Galón ($/gal)]]*Rutas[[#This Row],[Volumen de Combustible (gal)]]</f>
        <v>279.69200000000001</v>
      </c>
      <c r="V1654" s="36"/>
      <c r="W1654" s="36"/>
      <c r="X1654" s="36"/>
      <c r="Y1654" s="145">
        <f t="shared" si="515"/>
        <v>279.69200000000001</v>
      </c>
      <c r="Z1654" s="567"/>
      <c r="AA1654" s="12">
        <v>99.89</v>
      </c>
      <c r="AB1654" s="12">
        <f t="shared" si="516"/>
        <v>6.4470918009810791</v>
      </c>
      <c r="AC1654" s="12">
        <f t="shared" si="517"/>
        <v>0.76</v>
      </c>
      <c r="AD1654" s="34"/>
    </row>
    <row r="1655" spans="3:30" ht="16" x14ac:dyDescent="0.2">
      <c r="C1655" s="176">
        <f t="shared" si="512"/>
        <v>1652</v>
      </c>
      <c r="D1655" s="454">
        <v>45996</v>
      </c>
      <c r="E1655" s="37">
        <v>46005</v>
      </c>
      <c r="F1655" s="65" t="s">
        <v>210</v>
      </c>
      <c r="G1655" s="11" t="str">
        <f ca="1">IF(AND(E1655&lt;&gt;"",E1655&lt;TODAY()),"Disponible",IFERROR(INDEX(Vehiculos[Estado Vehiculo],MATCH(F1655,Vehiculos[Placa Vehiculo],0)),""))</f>
        <v>Disponible</v>
      </c>
      <c r="H1655" s="34"/>
      <c r="I1655" s="34" t="s">
        <v>273</v>
      </c>
      <c r="J1655" s="34"/>
      <c r="K1655" s="39">
        <v>114532</v>
      </c>
      <c r="L1655" s="39">
        <v>115206</v>
      </c>
      <c r="M1655" s="15">
        <f t="shared" si="513"/>
        <v>674</v>
      </c>
      <c r="N1655" s="15"/>
      <c r="O1655" s="39"/>
      <c r="P1655" s="36">
        <v>0.76</v>
      </c>
      <c r="Q1655" s="16">
        <f t="shared" si="514"/>
        <v>512.24</v>
      </c>
      <c r="R1655" s="34" t="s">
        <v>273</v>
      </c>
      <c r="S1655" s="34" t="s">
        <v>102</v>
      </c>
      <c r="T1655" s="36">
        <v>2.8</v>
      </c>
      <c r="U1655" s="36">
        <f>Rutas[[#This Row],[Precio x Galón ($/gal)]]*Rutas[[#This Row],[Volumen de Combustible (gal)]]</f>
        <v>290.92</v>
      </c>
      <c r="V1655" s="36"/>
      <c r="W1655" s="36"/>
      <c r="X1655" s="36"/>
      <c r="Y1655" s="145">
        <f t="shared" si="515"/>
        <v>290.92</v>
      </c>
      <c r="Z1655" s="567"/>
      <c r="AA1655" s="12">
        <v>103.9</v>
      </c>
      <c r="AB1655" s="12">
        <f t="shared" si="516"/>
        <v>6.487006737247353</v>
      </c>
      <c r="AC1655" s="12">
        <f t="shared" si="517"/>
        <v>0.76</v>
      </c>
      <c r="AD1655" s="34"/>
    </row>
    <row r="1656" spans="3:30" ht="16" x14ac:dyDescent="0.2">
      <c r="C1656" s="176">
        <f t="shared" si="512"/>
        <v>1653</v>
      </c>
      <c r="D1656" s="454">
        <v>46005</v>
      </c>
      <c r="E1656" s="37">
        <v>46009</v>
      </c>
      <c r="F1656" s="65" t="s">
        <v>210</v>
      </c>
      <c r="G1656" s="11" t="str">
        <f ca="1">IF(AND(E1656&lt;&gt;"",E1656&lt;TODAY()),"Disponible",IFERROR(INDEX(Vehiculos[Estado Vehiculo],MATCH(F1656,Vehiculos[Placa Vehiculo],0)),""))</f>
        <v>Disponible</v>
      </c>
      <c r="H1656" s="34" t="s">
        <v>422</v>
      </c>
      <c r="I1656" s="34" t="s">
        <v>273</v>
      </c>
      <c r="J1656" s="34"/>
      <c r="K1656" s="39">
        <v>115206</v>
      </c>
      <c r="L1656" s="39">
        <v>115812</v>
      </c>
      <c r="M1656" s="15">
        <f t="shared" si="513"/>
        <v>606</v>
      </c>
      <c r="N1656" s="15"/>
      <c r="O1656" s="39"/>
      <c r="P1656" s="36">
        <v>0.76</v>
      </c>
      <c r="Q1656" s="16">
        <f t="shared" si="514"/>
        <v>460.56</v>
      </c>
      <c r="R1656" s="34" t="s">
        <v>339</v>
      </c>
      <c r="S1656" s="34" t="s">
        <v>102</v>
      </c>
      <c r="T1656" s="36">
        <v>2.8</v>
      </c>
      <c r="U1656" s="36">
        <f>Rutas[[#This Row],[Precio x Galón ($/gal)]]*Rutas[[#This Row],[Volumen de Combustible (gal)]]</f>
        <v>272.27199999999999</v>
      </c>
      <c r="V1656" s="36"/>
      <c r="W1656" s="36"/>
      <c r="X1656" s="36"/>
      <c r="Y1656" s="145">
        <f t="shared" si="515"/>
        <v>272.27199999999999</v>
      </c>
      <c r="Z1656" s="572">
        <v>16261</v>
      </c>
      <c r="AA1656" s="12">
        <v>97.24</v>
      </c>
      <c r="AB1656" s="12">
        <f t="shared" si="516"/>
        <v>6.2320032908268201</v>
      </c>
      <c r="AC1656" s="12">
        <f t="shared" si="517"/>
        <v>0.76</v>
      </c>
      <c r="AD1656" s="34"/>
    </row>
    <row r="1657" spans="3:30" ht="16" x14ac:dyDescent="0.2">
      <c r="C1657" s="176">
        <f t="shared" si="512"/>
        <v>1654</v>
      </c>
      <c r="D1657" s="454">
        <v>46009</v>
      </c>
      <c r="E1657" s="37">
        <v>46012</v>
      </c>
      <c r="F1657" s="65" t="s">
        <v>210</v>
      </c>
      <c r="G1657" s="11" t="str">
        <f ca="1">IF(AND(E1657&lt;&gt;"",E1657&lt;TODAY()),"Disponible",IFERROR(INDEX(Vehiculos[Estado Vehiculo],MATCH(F1657,Vehiculos[Placa Vehiculo],0)),""))</f>
        <v>Disponible</v>
      </c>
      <c r="H1657" s="34"/>
      <c r="I1657" s="34" t="s">
        <v>273</v>
      </c>
      <c r="J1657" s="34"/>
      <c r="K1657" s="39">
        <v>115812</v>
      </c>
      <c r="L1657" s="39">
        <v>116417</v>
      </c>
      <c r="M1657" s="15">
        <f>L1657-K1657</f>
        <v>605</v>
      </c>
      <c r="N1657" s="15"/>
      <c r="O1657" s="39"/>
      <c r="P1657" s="36">
        <v>0.76</v>
      </c>
      <c r="Q1657" s="16">
        <f>M1657*P1657</f>
        <v>459.8</v>
      </c>
      <c r="R1657" s="34" t="s">
        <v>273</v>
      </c>
      <c r="S1657" s="34" t="s">
        <v>102</v>
      </c>
      <c r="T1657" s="36">
        <v>2.8</v>
      </c>
      <c r="U1657" s="36">
        <f>Rutas[[#This Row],[Precio x Galón ($/gal)]]*Rutas[[#This Row],[Volumen de Combustible (gal)]]</f>
        <v>255.52799999999999</v>
      </c>
      <c r="V1657" s="36"/>
      <c r="W1657" s="36"/>
      <c r="X1657" s="36"/>
      <c r="Y1657" s="145">
        <f>U1657+SUM(V1657:X1657)</f>
        <v>255.52799999999999</v>
      </c>
      <c r="Z1657" s="567"/>
      <c r="AA1657" s="12">
        <v>91.26</v>
      </c>
      <c r="AB1657" s="12">
        <f>IFERROR(M1657/AA1657,0)</f>
        <v>6.6294104755643213</v>
      </c>
      <c r="AC1657" s="12">
        <f>IFERROR(Q1657/M1657,0)</f>
        <v>0.76</v>
      </c>
      <c r="AD1657" s="34"/>
    </row>
    <row r="1658" spans="3:30" ht="16" x14ac:dyDescent="0.2">
      <c r="C1658" s="176">
        <f t="shared" si="512"/>
        <v>1655</v>
      </c>
      <c r="D1658" s="454">
        <v>46012</v>
      </c>
      <c r="E1658" s="37">
        <v>46016</v>
      </c>
      <c r="F1658" s="65" t="s">
        <v>210</v>
      </c>
      <c r="G1658" s="11" t="str">
        <f ca="1">IF(AND(E1658&lt;&gt;"",E1658&lt;TODAY()),"Disponible",IFERROR(INDEX(Vehiculos[Estado Vehiculo],MATCH(F1658,Vehiculos[Placa Vehiculo],0)),""))</f>
        <v>Disponible</v>
      </c>
      <c r="H1658" s="34" t="s">
        <v>422</v>
      </c>
      <c r="I1658" s="34" t="s">
        <v>273</v>
      </c>
      <c r="J1658" s="34"/>
      <c r="K1658" s="39">
        <v>116417</v>
      </c>
      <c r="L1658" s="39">
        <v>116999</v>
      </c>
      <c r="M1658" s="15">
        <f>L1658-K1658</f>
        <v>582</v>
      </c>
      <c r="N1658" s="15"/>
      <c r="O1658" s="39"/>
      <c r="P1658" s="36">
        <v>0.76</v>
      </c>
      <c r="Q1658" s="16">
        <f>M1658*P1658</f>
        <v>442.32</v>
      </c>
      <c r="R1658" s="34" t="s">
        <v>339</v>
      </c>
      <c r="S1658" s="34" t="s">
        <v>102</v>
      </c>
      <c r="T1658" s="36">
        <v>2.8</v>
      </c>
      <c r="U1658" s="36">
        <f>Rutas[[#This Row],[Precio x Galón ($/gal)]]*Rutas[[#This Row],[Volumen de Combustible (gal)]]</f>
        <v>246.76399999999998</v>
      </c>
      <c r="V1658" s="36"/>
      <c r="W1658" s="36"/>
      <c r="X1658" s="36"/>
      <c r="Y1658" s="145">
        <f>U1658+SUM(V1658:X1658)</f>
        <v>246.76399999999998</v>
      </c>
      <c r="Z1658" s="572">
        <v>16282</v>
      </c>
      <c r="AA1658" s="12">
        <v>88.13</v>
      </c>
      <c r="AB1658" s="12">
        <f>IFERROR(M1658/AA1658,0)</f>
        <v>6.6038806308861915</v>
      </c>
      <c r="AC1658" s="12">
        <f>IFERROR(Q1658/M1658,0)</f>
        <v>0.76</v>
      </c>
      <c r="AD1658" s="34"/>
    </row>
    <row r="1659" spans="3:30" ht="16" x14ac:dyDescent="0.2">
      <c r="C1659" s="176">
        <f t="shared" si="512"/>
        <v>1656</v>
      </c>
      <c r="D1659" s="454">
        <v>46016</v>
      </c>
      <c r="E1659" s="37">
        <v>46019</v>
      </c>
      <c r="F1659" s="65" t="s">
        <v>210</v>
      </c>
      <c r="G1659" s="11" t="str">
        <f ca="1">IF(AND(E1659&lt;&gt;"",E1659&lt;TODAY()),"Disponible",IFERROR(INDEX(Vehiculos[Estado Vehiculo],MATCH(F1659,Vehiculos[Placa Vehiculo],0)),""))</f>
        <v>Disponible</v>
      </c>
      <c r="H1659" s="34"/>
      <c r="I1659" s="34" t="s">
        <v>273</v>
      </c>
      <c r="J1659" s="34"/>
      <c r="K1659" s="39">
        <v>116999</v>
      </c>
      <c r="L1659" s="39">
        <v>117640</v>
      </c>
      <c r="M1659" s="15">
        <f>L1659-K1659</f>
        <v>641</v>
      </c>
      <c r="N1659" s="15"/>
      <c r="O1659" s="39"/>
      <c r="P1659" s="36">
        <v>0.76</v>
      </c>
      <c r="Q1659" s="16">
        <f>M1659*P1659</f>
        <v>487.16</v>
      </c>
      <c r="R1659" s="34" t="s">
        <v>273</v>
      </c>
      <c r="S1659" s="34" t="s">
        <v>102</v>
      </c>
      <c r="T1659" s="36">
        <v>2.8</v>
      </c>
      <c r="U1659" s="36">
        <f>Rutas[[#This Row],[Precio x Galón ($/gal)]]*Rutas[[#This Row],[Volumen de Combustible (gal)]]</f>
        <v>271.62799999999999</v>
      </c>
      <c r="V1659" s="36"/>
      <c r="W1659" s="36"/>
      <c r="X1659" s="36"/>
      <c r="Y1659" s="145">
        <f>U1659+SUM(V1659:X1659)</f>
        <v>271.62799999999999</v>
      </c>
      <c r="Z1659" s="567"/>
      <c r="AA1659" s="12">
        <v>97.01</v>
      </c>
      <c r="AB1659" s="12">
        <f>IFERROR(M1659/AA1659,0)</f>
        <v>6.6075662302855376</v>
      </c>
      <c r="AC1659" s="12">
        <f>IFERROR(Q1659/M1659,0)</f>
        <v>0.76</v>
      </c>
      <c r="AD1659" s="34"/>
    </row>
    <row r="1660" spans="3:30" ht="16" x14ac:dyDescent="0.2">
      <c r="C1660" s="176">
        <f t="shared" si="512"/>
        <v>1657</v>
      </c>
      <c r="D1660" s="454">
        <v>46019</v>
      </c>
      <c r="E1660" s="37">
        <v>46022</v>
      </c>
      <c r="F1660" s="65" t="s">
        <v>210</v>
      </c>
      <c r="G1660" s="11" t="str">
        <f ca="1">IF(AND(E1660&lt;&gt;"",E1660&lt;TODAY()),"Disponible",IFERROR(INDEX(Vehiculos[Estado Vehiculo],MATCH(F1660,Vehiculos[Placa Vehiculo],0)),""))</f>
        <v>Disponible</v>
      </c>
      <c r="H1660" s="34"/>
      <c r="I1660" s="34" t="s">
        <v>273</v>
      </c>
      <c r="J1660" s="34"/>
      <c r="K1660" s="39">
        <v>117640</v>
      </c>
      <c r="L1660" s="39">
        <v>118200</v>
      </c>
      <c r="M1660" s="15">
        <f>L1660-K1660</f>
        <v>560</v>
      </c>
      <c r="N1660" s="452">
        <v>490</v>
      </c>
      <c r="O1660" s="39"/>
      <c r="P1660" s="36">
        <v>0.76</v>
      </c>
      <c r="Q1660" s="16">
        <f>M1660*P1660</f>
        <v>425.6</v>
      </c>
      <c r="R1660" s="34" t="s">
        <v>273</v>
      </c>
      <c r="S1660" s="34" t="s">
        <v>102</v>
      </c>
      <c r="T1660" s="36">
        <v>2.8</v>
      </c>
      <c r="U1660" s="36">
        <f>Rutas[[#This Row],[Precio x Galón ($/gal)]]*Rutas[[#This Row],[Volumen de Combustible (gal)]]</f>
        <v>250.57199999999997</v>
      </c>
      <c r="V1660" s="36"/>
      <c r="W1660" s="36"/>
      <c r="X1660" s="36"/>
      <c r="Y1660" s="145">
        <f>U1660+SUM(V1660:X1660)</f>
        <v>250.57199999999997</v>
      </c>
      <c r="Z1660" s="567"/>
      <c r="AA1660" s="12">
        <v>89.49</v>
      </c>
      <c r="AB1660" s="12">
        <f>IFERROR(M1660/AA1660,0)</f>
        <v>6.2576824226170524</v>
      </c>
      <c r="AC1660" s="12">
        <f>IFERROR(Q1660/M1660,0)</f>
        <v>0.76</v>
      </c>
      <c r="AD1660" s="34"/>
    </row>
    <row r="1661" spans="3:30" ht="16" x14ac:dyDescent="0.2">
      <c r="C1661" s="176">
        <f t="shared" si="512"/>
        <v>1658</v>
      </c>
      <c r="D1661" s="454"/>
      <c r="E1661" s="37"/>
      <c r="F1661" s="65"/>
      <c r="G1661" s="11" t="str">
        <f ca="1">IF(AND(E1661&lt;&gt;"",E1661&lt;TODAY()),"Disponible",IFERROR(INDEX(Vehiculos[Estado Vehiculo],MATCH(F1661,Vehiculos[Placa Vehiculo],0)),""))</f>
        <v/>
      </c>
      <c r="H1661" s="34"/>
      <c r="I1661" s="34"/>
      <c r="J1661" s="34"/>
      <c r="K1661" s="39"/>
      <c r="L1661" s="39"/>
      <c r="M1661" s="15">
        <f>L1661-K1661</f>
        <v>0</v>
      </c>
      <c r="N1661" s="15"/>
      <c r="O1661" s="39"/>
      <c r="P1661" s="36"/>
      <c r="Q1661" s="16">
        <f>M1661*P1661</f>
        <v>0</v>
      </c>
      <c r="R1661" s="34"/>
      <c r="S1661" s="34"/>
      <c r="T1661" s="36"/>
      <c r="U1661" s="36"/>
      <c r="V1661" s="36"/>
      <c r="W1661" s="36"/>
      <c r="X1661" s="36"/>
      <c r="Y1661" s="145">
        <f>U1661+SUM(V1661:X1661)</f>
        <v>0</v>
      </c>
      <c r="Z1661" s="567"/>
      <c r="AA1661" s="12"/>
      <c r="AB1661" s="12">
        <f>IFERROR(M1661/AA1661,0)</f>
        <v>0</v>
      </c>
      <c r="AC1661" s="12">
        <f>IFERROR(Q1661/M1661,0)</f>
        <v>0</v>
      </c>
      <c r="AD1661" s="34"/>
    </row>
    <row r="1662" spans="3:30" ht="16" x14ac:dyDescent="0.2">
      <c r="C1662" s="176">
        <f t="shared" si="512"/>
        <v>1659</v>
      </c>
      <c r="D1662" s="454"/>
      <c r="E1662" s="37"/>
      <c r="F1662" s="65"/>
      <c r="G1662" s="11" t="str">
        <f ca="1">IF(AND(E1662&lt;&gt;"",E1662&lt;TODAY()),"Disponible",IFERROR(INDEX(Vehiculos[Estado Vehiculo],MATCH(F1662,Vehiculos[Placa Vehiculo],0)),""))</f>
        <v/>
      </c>
      <c r="H1662" s="34"/>
      <c r="I1662" s="34"/>
      <c r="J1662" s="34"/>
      <c r="K1662" s="39"/>
      <c r="L1662" s="39"/>
      <c r="M1662" s="15">
        <f t="shared" si="513"/>
        <v>0</v>
      </c>
      <c r="N1662" s="15"/>
      <c r="O1662" s="39"/>
      <c r="P1662" s="36"/>
      <c r="Q1662" s="16">
        <f t="shared" si="514"/>
        <v>0</v>
      </c>
      <c r="R1662" s="34"/>
      <c r="S1662" s="34"/>
      <c r="T1662" s="36"/>
      <c r="U1662" s="36">
        <f>Rutas[[#This Row],[Precio x Galón ($/gal)]]*Rutas[[#This Row],[Volumen de Combustible (gal)]]</f>
        <v>0</v>
      </c>
      <c r="V1662" s="36"/>
      <c r="W1662" s="36"/>
      <c r="X1662" s="36"/>
      <c r="Y1662" s="145">
        <f t="shared" si="515"/>
        <v>0</v>
      </c>
      <c r="Z1662" s="567"/>
      <c r="AA1662" s="12"/>
      <c r="AB1662" s="12">
        <f t="shared" si="516"/>
        <v>0</v>
      </c>
      <c r="AC1662" s="12">
        <f t="shared" si="517"/>
        <v>0</v>
      </c>
      <c r="AD1662" s="34"/>
    </row>
    <row r="1663" spans="3:30" ht="16" x14ac:dyDescent="0.2">
      <c r="C1663" s="176">
        <f t="shared" si="512"/>
        <v>1660</v>
      </c>
      <c r="D1663" s="90">
        <v>45992</v>
      </c>
      <c r="E1663" s="90">
        <v>45994</v>
      </c>
      <c r="F1663" s="68" t="s">
        <v>350</v>
      </c>
      <c r="G1663" s="379" t="str">
        <f ca="1">IF(AND(E1663&lt;&gt;"",E1663&lt;TODAY()),"Disponible",IFERROR(INDEX(Vehiculos[Estado Vehiculo],MATCH(F1663,Vehiculos[Placa Vehiculo],0)),""))</f>
        <v>Disponible</v>
      </c>
      <c r="H1663" s="89" t="s">
        <v>234</v>
      </c>
      <c r="I1663" s="89" t="s">
        <v>273</v>
      </c>
      <c r="J1663" s="89"/>
      <c r="K1663" s="380">
        <v>53227</v>
      </c>
      <c r="L1663" s="380">
        <v>53710</v>
      </c>
      <c r="M1663" s="381">
        <f t="shared" si="513"/>
        <v>483</v>
      </c>
      <c r="N1663" s="381"/>
      <c r="O1663" s="380"/>
      <c r="P1663" s="92">
        <v>0.76</v>
      </c>
      <c r="Q1663" s="382">
        <f t="shared" si="514"/>
        <v>367.08</v>
      </c>
      <c r="R1663" s="89" t="s">
        <v>339</v>
      </c>
      <c r="S1663" s="89" t="s">
        <v>102</v>
      </c>
      <c r="T1663" s="92">
        <v>2.8</v>
      </c>
      <c r="U1663" s="92">
        <f>Rutas[[#This Row],[Precio x Galón ($/gal)]]*Rutas[[#This Row],[Volumen de Combustible (gal)]]</f>
        <v>241.80799999999999</v>
      </c>
      <c r="V1663" s="92"/>
      <c r="W1663" s="92"/>
      <c r="X1663" s="92"/>
      <c r="Y1663" s="382">
        <f t="shared" si="515"/>
        <v>241.80799999999999</v>
      </c>
      <c r="Z1663" s="578">
        <v>16221</v>
      </c>
      <c r="AA1663" s="382">
        <v>86.36</v>
      </c>
      <c r="AB1663" s="382">
        <f t="shared" si="516"/>
        <v>5.5928670680870773</v>
      </c>
      <c r="AC1663" s="382">
        <f t="shared" si="517"/>
        <v>0.76</v>
      </c>
      <c r="AD1663" s="89"/>
    </row>
    <row r="1664" spans="3:30" ht="16" x14ac:dyDescent="0.2">
      <c r="C1664" s="176">
        <f t="shared" si="512"/>
        <v>1661</v>
      </c>
      <c r="D1664" s="454">
        <v>45994</v>
      </c>
      <c r="E1664" s="37">
        <v>45997</v>
      </c>
      <c r="F1664" s="65" t="s">
        <v>350</v>
      </c>
      <c r="G1664" s="11" t="str">
        <f ca="1">IF(AND(E1664&lt;&gt;"",E1664&lt;TODAY()),"Disponible",IFERROR(INDEX(Vehiculos[Estado Vehiculo],MATCH(F1664,Vehiculos[Placa Vehiculo],0)),""))</f>
        <v>Disponible</v>
      </c>
      <c r="H1664" s="34"/>
      <c r="I1664" s="34" t="s">
        <v>273</v>
      </c>
      <c r="J1664" s="34"/>
      <c r="K1664" s="39">
        <v>53710</v>
      </c>
      <c r="L1664" s="39">
        <v>54217</v>
      </c>
      <c r="M1664" s="15">
        <f t="shared" si="513"/>
        <v>507</v>
      </c>
      <c r="N1664" s="15"/>
      <c r="O1664" s="39"/>
      <c r="P1664" s="36">
        <v>0.76</v>
      </c>
      <c r="Q1664" s="16">
        <f t="shared" si="514"/>
        <v>385.32</v>
      </c>
      <c r="R1664" s="34" t="s">
        <v>273</v>
      </c>
      <c r="S1664" s="34" t="s">
        <v>102</v>
      </c>
      <c r="T1664" s="36">
        <v>2.8</v>
      </c>
      <c r="U1664" s="36">
        <f>Rutas[[#This Row],[Precio x Galón ($/gal)]]*Rutas[[#This Row],[Volumen de Combustible (gal)]]</f>
        <v>227.976</v>
      </c>
      <c r="V1664" s="36"/>
      <c r="W1664" s="36"/>
      <c r="X1664" s="36"/>
      <c r="Y1664" s="145">
        <f t="shared" si="515"/>
        <v>227.976</v>
      </c>
      <c r="Z1664" s="567"/>
      <c r="AA1664" s="12">
        <v>81.42</v>
      </c>
      <c r="AB1664" s="12">
        <f t="shared" si="516"/>
        <v>6.226971260132645</v>
      </c>
      <c r="AC1664" s="12">
        <f t="shared" si="517"/>
        <v>0.76</v>
      </c>
      <c r="AD1664" s="34"/>
    </row>
    <row r="1665" spans="3:30" ht="16" x14ac:dyDescent="0.2">
      <c r="C1665" s="176">
        <f t="shared" si="512"/>
        <v>1662</v>
      </c>
      <c r="D1665" s="454">
        <v>45997</v>
      </c>
      <c r="E1665" s="37">
        <v>46000</v>
      </c>
      <c r="F1665" s="65" t="s">
        <v>350</v>
      </c>
      <c r="G1665" s="11" t="str">
        <f ca="1">IF(AND(E1665&lt;&gt;"",E1665&lt;TODAY()),"Disponible",IFERROR(INDEX(Vehiculos[Estado Vehiculo],MATCH(F1665,Vehiculos[Placa Vehiculo],0)),""))</f>
        <v>Disponible</v>
      </c>
      <c r="H1665" s="34"/>
      <c r="I1665" s="34" t="s">
        <v>273</v>
      </c>
      <c r="J1665" s="34"/>
      <c r="K1665" s="39">
        <v>54217</v>
      </c>
      <c r="L1665" s="39">
        <v>54623</v>
      </c>
      <c r="M1665" s="15">
        <f t="shared" si="513"/>
        <v>406</v>
      </c>
      <c r="N1665" s="15"/>
      <c r="O1665" s="39"/>
      <c r="P1665" s="36">
        <v>0.76</v>
      </c>
      <c r="Q1665" s="16">
        <f t="shared" si="514"/>
        <v>308.56</v>
      </c>
      <c r="R1665" s="34" t="s">
        <v>273</v>
      </c>
      <c r="S1665" s="34" t="s">
        <v>102</v>
      </c>
      <c r="T1665" s="36">
        <v>2.8</v>
      </c>
      <c r="U1665" s="36">
        <f>Rutas[[#This Row],[Precio x Galón ($/gal)]]*Rutas[[#This Row],[Volumen de Combustible (gal)]]</f>
        <v>224.16799999999998</v>
      </c>
      <c r="V1665" s="36"/>
      <c r="W1665" s="36"/>
      <c r="X1665" s="36"/>
      <c r="Y1665" s="145">
        <f t="shared" si="515"/>
        <v>224.16799999999998</v>
      </c>
      <c r="Z1665" s="567"/>
      <c r="AA1665" s="12">
        <v>80.06</v>
      </c>
      <c r="AB1665" s="12">
        <f t="shared" si="516"/>
        <v>5.0711966025480884</v>
      </c>
      <c r="AC1665" s="12">
        <f t="shared" si="517"/>
        <v>0.76</v>
      </c>
      <c r="AD1665" s="34"/>
    </row>
    <row r="1666" spans="3:30" ht="16" x14ac:dyDescent="0.2">
      <c r="C1666" s="176">
        <f t="shared" si="512"/>
        <v>1663</v>
      </c>
      <c r="D1666" s="454">
        <v>46000</v>
      </c>
      <c r="E1666" s="37">
        <v>46004</v>
      </c>
      <c r="F1666" s="65" t="s">
        <v>350</v>
      </c>
      <c r="G1666" s="11" t="str">
        <f ca="1">IF(AND(E1666&lt;&gt;"",E1666&lt;TODAY()),"Disponible",IFERROR(INDEX(Vehiculos[Estado Vehiculo],MATCH(F1666,Vehiculos[Placa Vehiculo],0)),""))</f>
        <v>Disponible</v>
      </c>
      <c r="H1666" s="34" t="s">
        <v>237</v>
      </c>
      <c r="I1666" s="34" t="s">
        <v>273</v>
      </c>
      <c r="J1666" s="34"/>
      <c r="K1666" s="39">
        <v>54623</v>
      </c>
      <c r="L1666" s="39">
        <v>55154</v>
      </c>
      <c r="M1666" s="15">
        <f>L1666-K1666</f>
        <v>531</v>
      </c>
      <c r="N1666" s="15"/>
      <c r="O1666" s="39"/>
      <c r="P1666" s="36">
        <v>0.76</v>
      </c>
      <c r="Q1666" s="16">
        <f>M1666*P1666</f>
        <v>403.56</v>
      </c>
      <c r="R1666" s="34" t="s">
        <v>339</v>
      </c>
      <c r="S1666" s="34" t="s">
        <v>102</v>
      </c>
      <c r="T1666" s="36">
        <v>2.8</v>
      </c>
      <c r="U1666" s="36">
        <f>Rutas[[#This Row],[Precio x Galón ($/gal)]]*Rutas[[#This Row],[Volumen de Combustible (gal)]]</f>
        <v>262.05200000000002</v>
      </c>
      <c r="V1666" s="36"/>
      <c r="W1666" s="36"/>
      <c r="X1666" s="36"/>
      <c r="Y1666" s="145">
        <f>U1666+SUM(V1666:X1666)</f>
        <v>262.05200000000002</v>
      </c>
      <c r="Z1666" s="567"/>
      <c r="AA1666" s="12">
        <v>93.59</v>
      </c>
      <c r="AB1666" s="12">
        <f>IFERROR(M1666/AA1666,0)</f>
        <v>5.6736830857997651</v>
      </c>
      <c r="AC1666" s="12">
        <f>IFERROR(Q1666/M1666,0)</f>
        <v>0.76</v>
      </c>
      <c r="AD1666" s="34"/>
    </row>
    <row r="1667" spans="3:30" ht="16" x14ac:dyDescent="0.2">
      <c r="C1667" s="176">
        <f t="shared" si="512"/>
        <v>1664</v>
      </c>
      <c r="D1667" s="454">
        <v>46004</v>
      </c>
      <c r="E1667" s="37">
        <v>46010</v>
      </c>
      <c r="F1667" s="70" t="s">
        <v>350</v>
      </c>
      <c r="G1667" s="11" t="str">
        <f ca="1">IF(AND(E1667&lt;&gt;"",E1667&lt;TODAY()),"Disponible",IFERROR(INDEX(Vehiculos[Estado Vehiculo],MATCH(F1667,Vehiculos[Placa Vehiculo],0)),""))</f>
        <v>Disponible</v>
      </c>
      <c r="H1667" s="34" t="s">
        <v>250</v>
      </c>
      <c r="I1667" s="34" t="s">
        <v>273</v>
      </c>
      <c r="J1667" s="34"/>
      <c r="K1667" s="39">
        <v>55154</v>
      </c>
      <c r="L1667" s="39">
        <v>56005</v>
      </c>
      <c r="M1667" s="15">
        <f>L1667-K1667</f>
        <v>851</v>
      </c>
      <c r="N1667" s="15"/>
      <c r="O1667" s="39"/>
      <c r="P1667" s="36">
        <v>0.76</v>
      </c>
      <c r="Q1667" s="16">
        <f>M1667*P1667</f>
        <v>646.76</v>
      </c>
      <c r="R1667" s="34" t="s">
        <v>339</v>
      </c>
      <c r="S1667" s="34" t="s">
        <v>102</v>
      </c>
      <c r="T1667" s="36">
        <v>2.8</v>
      </c>
      <c r="U1667" s="36">
        <f>Rutas[[#This Row],[Precio x Galón ($/gal)]]*Rutas[[#This Row],[Volumen de Combustible (gal)]]</f>
        <v>186.25599999999997</v>
      </c>
      <c r="V1667" s="36"/>
      <c r="W1667" s="36"/>
      <c r="X1667" s="36"/>
      <c r="Y1667" s="145">
        <f>U1667+SUM(V1667:X1667)</f>
        <v>186.25599999999997</v>
      </c>
      <c r="Z1667" s="567"/>
      <c r="AA1667" s="12">
        <v>66.52</v>
      </c>
      <c r="AB1667" s="12">
        <f>IFERROR(M1667/AA1667,0)</f>
        <v>12.793144918821408</v>
      </c>
      <c r="AC1667" s="12">
        <f>IFERROR(Q1667/M1667,0)</f>
        <v>0.76</v>
      </c>
      <c r="AD1667" s="34"/>
    </row>
    <row r="1668" spans="3:30" ht="16" x14ac:dyDescent="0.2">
      <c r="C1668" s="176">
        <f t="shared" ref="C1668:C1731" si="523">ROW(A1665)</f>
        <v>1665</v>
      </c>
      <c r="D1668" s="454">
        <v>46010</v>
      </c>
      <c r="E1668" s="37">
        <v>46012</v>
      </c>
      <c r="F1668" s="65" t="s">
        <v>350</v>
      </c>
      <c r="G1668" s="11" t="str">
        <f ca="1">IF(AND(E1668&lt;&gt;"",E1668&lt;TODAY()),"Disponible",IFERROR(INDEX(Vehiculos[Estado Vehiculo],MATCH(F1668,Vehiculos[Placa Vehiculo],0)),""))</f>
        <v>Disponible</v>
      </c>
      <c r="H1668" s="34"/>
      <c r="I1668" s="34" t="s">
        <v>273</v>
      </c>
      <c r="J1668" s="34"/>
      <c r="K1668" s="39">
        <v>56005</v>
      </c>
      <c r="L1668" s="39">
        <v>56315</v>
      </c>
      <c r="M1668" s="15">
        <f t="shared" si="513"/>
        <v>310</v>
      </c>
      <c r="N1668" s="15"/>
      <c r="O1668" s="39"/>
      <c r="P1668" s="36">
        <v>0.76</v>
      </c>
      <c r="Q1668" s="16">
        <f t="shared" si="514"/>
        <v>235.6</v>
      </c>
      <c r="R1668" s="34" t="s">
        <v>273</v>
      </c>
      <c r="S1668" s="34" t="s">
        <v>102</v>
      </c>
      <c r="T1668" s="36">
        <v>2.8</v>
      </c>
      <c r="U1668" s="36">
        <f>Rutas[[#This Row],[Precio x Galón ($/gal)]]*Rutas[[#This Row],[Volumen de Combustible (gal)]]</f>
        <v>151.19999999999999</v>
      </c>
      <c r="V1668" s="36"/>
      <c r="W1668" s="36"/>
      <c r="X1668" s="36"/>
      <c r="Y1668" s="145">
        <f t="shared" si="515"/>
        <v>151.19999999999999</v>
      </c>
      <c r="Z1668" s="567"/>
      <c r="AA1668" s="12">
        <v>54</v>
      </c>
      <c r="AB1668" s="12">
        <f t="shared" si="516"/>
        <v>5.7407407407407405</v>
      </c>
      <c r="AC1668" s="12">
        <f t="shared" si="517"/>
        <v>0.76</v>
      </c>
      <c r="AD1668" s="34"/>
    </row>
    <row r="1669" spans="3:30" ht="16" x14ac:dyDescent="0.2">
      <c r="C1669" s="176">
        <f t="shared" si="523"/>
        <v>1666</v>
      </c>
      <c r="D1669" s="454">
        <v>46012</v>
      </c>
      <c r="E1669" s="37">
        <v>46016</v>
      </c>
      <c r="F1669" s="65" t="s">
        <v>350</v>
      </c>
      <c r="G1669" s="11" t="str">
        <f ca="1">IF(AND(E1669&lt;&gt;"",E1669&lt;TODAY()),"Disponible",IFERROR(INDEX(Vehiculos[Estado Vehiculo],MATCH(F1669,Vehiculos[Placa Vehiculo],0)),""))</f>
        <v>Disponible</v>
      </c>
      <c r="H1669" s="34" t="s">
        <v>250</v>
      </c>
      <c r="I1669" s="34" t="s">
        <v>273</v>
      </c>
      <c r="J1669" s="34"/>
      <c r="K1669" s="39">
        <v>56315</v>
      </c>
      <c r="L1669" s="39">
        <v>56781</v>
      </c>
      <c r="M1669" s="15">
        <f>L1669-K1669</f>
        <v>466</v>
      </c>
      <c r="N1669" s="15"/>
      <c r="O1669" s="39"/>
      <c r="P1669" s="36">
        <v>0.76</v>
      </c>
      <c r="Q1669" s="16">
        <f>M1669*P1669</f>
        <v>354.16</v>
      </c>
      <c r="R1669" s="34" t="s">
        <v>273</v>
      </c>
      <c r="S1669" s="34" t="s">
        <v>102</v>
      </c>
      <c r="T1669" s="36">
        <v>2.8</v>
      </c>
      <c r="U1669" s="36">
        <f>Rutas[[#This Row],[Precio x Galón ($/gal)]]*Rutas[[#This Row],[Volumen de Combustible (gal)]]</f>
        <v>259</v>
      </c>
      <c r="V1669" s="36"/>
      <c r="W1669" s="36"/>
      <c r="X1669" s="36"/>
      <c r="Y1669" s="145">
        <f>U1669+SUM(V1669:X1669)</f>
        <v>259</v>
      </c>
      <c r="Z1669" s="572">
        <v>16280</v>
      </c>
      <c r="AA1669" s="12">
        <v>92.5</v>
      </c>
      <c r="AB1669" s="12">
        <f>IFERROR(M1669/AA1669,0)</f>
        <v>5.0378378378378379</v>
      </c>
      <c r="AC1669" s="12">
        <f>IFERROR(Q1669/M1669,0)</f>
        <v>0.76</v>
      </c>
      <c r="AD1669" s="34"/>
    </row>
    <row r="1670" spans="3:30" ht="16" x14ac:dyDescent="0.2">
      <c r="C1670" s="176">
        <f t="shared" si="523"/>
        <v>1667</v>
      </c>
      <c r="D1670" s="454">
        <v>46016</v>
      </c>
      <c r="E1670" s="37">
        <v>46019</v>
      </c>
      <c r="F1670" s="65" t="s">
        <v>350</v>
      </c>
      <c r="G1670" s="11" t="str">
        <f ca="1">IF(AND(E1670&lt;&gt;"",E1670&lt;TODAY()),"Disponible",IFERROR(INDEX(Vehiculos[Estado Vehiculo],MATCH(F1670,Vehiculos[Placa Vehiculo],0)),""))</f>
        <v>Disponible</v>
      </c>
      <c r="H1670" s="34"/>
      <c r="I1670" s="34" t="s">
        <v>273</v>
      </c>
      <c r="J1670" s="34"/>
      <c r="K1670" s="39">
        <v>56781</v>
      </c>
      <c r="L1670" s="39">
        <v>57251</v>
      </c>
      <c r="M1670" s="15">
        <f>L1670-K1670</f>
        <v>470</v>
      </c>
      <c r="N1670" s="15"/>
      <c r="O1670" s="39"/>
      <c r="P1670" s="36">
        <v>0.76</v>
      </c>
      <c r="Q1670" s="16">
        <f>M1670*P1670</f>
        <v>357.2</v>
      </c>
      <c r="R1670" s="34" t="s">
        <v>273</v>
      </c>
      <c r="S1670" s="34" t="s">
        <v>102</v>
      </c>
      <c r="T1670" s="36">
        <v>2.8</v>
      </c>
      <c r="U1670" s="36">
        <f>Rutas[[#This Row],[Precio x Galón ($/gal)]]*Rutas[[#This Row],[Volumen de Combustible (gal)]]</f>
        <v>212.1</v>
      </c>
      <c r="V1670" s="36"/>
      <c r="W1670" s="36"/>
      <c r="X1670" s="36"/>
      <c r="Y1670" s="145">
        <f>U1670+SUM(V1670:X1670)</f>
        <v>212.1</v>
      </c>
      <c r="Z1670" s="567"/>
      <c r="AA1670" s="12">
        <v>75.75</v>
      </c>
      <c r="AB1670" s="12">
        <f>IFERROR(M1670/AA1670,0)</f>
        <v>6.2046204620462042</v>
      </c>
      <c r="AC1670" s="12">
        <f>IFERROR(Q1670/M1670,0)</f>
        <v>0.76</v>
      </c>
      <c r="AD1670" s="34"/>
    </row>
    <row r="1671" spans="3:30" ht="16" x14ac:dyDescent="0.2">
      <c r="C1671" s="176">
        <f t="shared" si="523"/>
        <v>1668</v>
      </c>
      <c r="D1671" s="454">
        <v>46019</v>
      </c>
      <c r="E1671" s="37">
        <v>46022</v>
      </c>
      <c r="F1671" s="65" t="s">
        <v>350</v>
      </c>
      <c r="G1671" s="11" t="str">
        <f ca="1">IF(AND(E1671&lt;&gt;"",E1671&lt;TODAY()),"Disponible",IFERROR(INDEX(Vehiculos[Estado Vehiculo],MATCH(F1671,Vehiculos[Placa Vehiculo],0)),""))</f>
        <v>Disponible</v>
      </c>
      <c r="H1671" s="34"/>
      <c r="I1671" s="34" t="s">
        <v>273</v>
      </c>
      <c r="J1671" s="34"/>
      <c r="K1671" s="39">
        <v>57251</v>
      </c>
      <c r="L1671" s="39">
        <v>57649</v>
      </c>
      <c r="M1671" s="15">
        <f>L1671-K1671</f>
        <v>398</v>
      </c>
      <c r="N1671" s="452">
        <v>621</v>
      </c>
      <c r="O1671" s="39"/>
      <c r="P1671" s="36">
        <v>0.76</v>
      </c>
      <c r="Q1671" s="16">
        <f>M1671*P1671</f>
        <v>302.48</v>
      </c>
      <c r="R1671" s="34" t="s">
        <v>273</v>
      </c>
      <c r="S1671" s="34" t="s">
        <v>102</v>
      </c>
      <c r="T1671" s="36">
        <v>2.8</v>
      </c>
      <c r="U1671" s="36">
        <f>Rutas[[#This Row],[Precio x Galón ($/gal)]]*Rutas[[#This Row],[Volumen de Combustible (gal)]]</f>
        <v>197.20400000000001</v>
      </c>
      <c r="V1671" s="36"/>
      <c r="W1671" s="36"/>
      <c r="X1671" s="36"/>
      <c r="Y1671" s="145">
        <f>U1671+SUM(V1671:X1671)</f>
        <v>197.20400000000001</v>
      </c>
      <c r="Z1671" s="567"/>
      <c r="AA1671" s="12">
        <v>70.430000000000007</v>
      </c>
      <c r="AB1671" s="12">
        <f>IFERROR(M1671/AA1671,0)</f>
        <v>5.6510009938946464</v>
      </c>
      <c r="AC1671" s="12">
        <f>IFERROR(Q1671/M1671,0)</f>
        <v>0.76</v>
      </c>
      <c r="AD1671" s="34"/>
    </row>
    <row r="1672" spans="3:30" ht="16" x14ac:dyDescent="0.2">
      <c r="C1672" s="176">
        <f t="shared" si="523"/>
        <v>1669</v>
      </c>
      <c r="D1672" s="454"/>
      <c r="E1672" s="37"/>
      <c r="F1672" s="65"/>
      <c r="G1672" s="11" t="str">
        <f ca="1">IF(AND(E1672&lt;&gt;"",E1672&lt;TODAY()),"Disponible",IFERROR(INDEX(Vehiculos[Estado Vehiculo],MATCH(F1672,Vehiculos[Placa Vehiculo],0)),""))</f>
        <v/>
      </c>
      <c r="H1672" s="34"/>
      <c r="I1672" s="34"/>
      <c r="J1672" s="34"/>
      <c r="K1672" s="39"/>
      <c r="L1672" s="39"/>
      <c r="M1672" s="15">
        <f>L1672-K1672</f>
        <v>0</v>
      </c>
      <c r="N1672" s="15"/>
      <c r="O1672" s="39"/>
      <c r="P1672" s="36"/>
      <c r="Q1672" s="16">
        <f>M1672*P1672</f>
        <v>0</v>
      </c>
      <c r="R1672" s="34"/>
      <c r="S1672" s="34"/>
      <c r="T1672" s="36"/>
      <c r="U1672" s="36"/>
      <c r="V1672" s="36"/>
      <c r="W1672" s="36"/>
      <c r="X1672" s="36"/>
      <c r="Y1672" s="145">
        <f>U1672+SUM(V1672:X1672)</f>
        <v>0</v>
      </c>
      <c r="Z1672" s="567"/>
      <c r="AA1672" s="12"/>
      <c r="AB1672" s="12">
        <f>IFERROR(M1672/AA1672,0)</f>
        <v>0</v>
      </c>
      <c r="AC1672" s="12">
        <f>IFERROR(Q1672/M1672,0)</f>
        <v>0</v>
      </c>
      <c r="AD1672" s="34"/>
    </row>
    <row r="1673" spans="3:30" ht="16" x14ac:dyDescent="0.2">
      <c r="C1673" s="176">
        <f t="shared" si="523"/>
        <v>1670</v>
      </c>
      <c r="D1673" s="454"/>
      <c r="E1673" s="37"/>
      <c r="F1673" s="65"/>
      <c r="G1673" s="11" t="str">
        <f ca="1">IF(AND(E1673&lt;&gt;"",E1673&lt;TODAY()),"Disponible",IFERROR(INDEX(Vehiculos[Estado Vehiculo],MATCH(F1673,Vehiculos[Placa Vehiculo],0)),""))</f>
        <v/>
      </c>
      <c r="H1673" s="34"/>
      <c r="I1673" s="34"/>
      <c r="J1673" s="34"/>
      <c r="K1673" s="39"/>
      <c r="L1673" s="39"/>
      <c r="M1673" s="15">
        <f t="shared" si="513"/>
        <v>0</v>
      </c>
      <c r="N1673" s="15"/>
      <c r="O1673" s="39"/>
      <c r="P1673" s="36"/>
      <c r="Q1673" s="16">
        <f t="shared" si="514"/>
        <v>0</v>
      </c>
      <c r="R1673" s="34"/>
      <c r="S1673" s="34"/>
      <c r="T1673" s="36"/>
      <c r="U1673" s="36">
        <f>Rutas[[#This Row],[Precio x Galón ($/gal)]]*Rutas[[#This Row],[Volumen de Combustible (gal)]]</f>
        <v>0</v>
      </c>
      <c r="V1673" s="36"/>
      <c r="W1673" s="36"/>
      <c r="X1673" s="36"/>
      <c r="Y1673" s="145">
        <f t="shared" si="515"/>
        <v>0</v>
      </c>
      <c r="Z1673" s="567"/>
      <c r="AA1673" s="12"/>
      <c r="AB1673" s="12">
        <f t="shared" si="516"/>
        <v>0</v>
      </c>
      <c r="AC1673" s="12">
        <f t="shared" si="517"/>
        <v>0</v>
      </c>
      <c r="AD1673" s="34"/>
    </row>
    <row r="1674" spans="3:30" ht="16" x14ac:dyDescent="0.2">
      <c r="C1674" s="176">
        <f t="shared" si="523"/>
        <v>1671</v>
      </c>
      <c r="D1674" s="90">
        <v>45992</v>
      </c>
      <c r="E1674" s="90">
        <v>45993</v>
      </c>
      <c r="F1674" s="68" t="s">
        <v>473</v>
      </c>
      <c r="G1674" s="379" t="str">
        <f ca="1">IF(AND(E1674&lt;&gt;"",E1674&lt;TODAY()),"Disponible",IFERROR(INDEX(Vehiculos[Estado Vehiculo],MATCH(F1674,Vehiculos[Placa Vehiculo],0)),""))</f>
        <v>Disponible</v>
      </c>
      <c r="H1674" s="89"/>
      <c r="I1674" s="89" t="s">
        <v>273</v>
      </c>
      <c r="J1674" s="89"/>
      <c r="K1674" s="380">
        <v>28916</v>
      </c>
      <c r="L1674" s="380">
        <v>29635</v>
      </c>
      <c r="M1674" s="381">
        <f t="shared" si="513"/>
        <v>719</v>
      </c>
      <c r="N1674" s="381"/>
      <c r="O1674" s="380"/>
      <c r="P1674" s="92">
        <v>0.76</v>
      </c>
      <c r="Q1674" s="382">
        <f t="shared" si="514"/>
        <v>546.44000000000005</v>
      </c>
      <c r="R1674" s="89" t="s">
        <v>339</v>
      </c>
      <c r="S1674" s="89" t="s">
        <v>102</v>
      </c>
      <c r="T1674" s="92">
        <v>2.8</v>
      </c>
      <c r="U1674" s="92">
        <f>Rutas[[#This Row],[Precio x Galón ($/gal)]]*Rutas[[#This Row],[Volumen de Combustible (gal)]]</f>
        <v>295.428</v>
      </c>
      <c r="V1674" s="92"/>
      <c r="W1674" s="92"/>
      <c r="X1674" s="92"/>
      <c r="Y1674" s="382">
        <f t="shared" si="515"/>
        <v>295.428</v>
      </c>
      <c r="Z1674" s="382"/>
      <c r="AA1674" s="382">
        <v>105.51</v>
      </c>
      <c r="AB1674" s="382">
        <f t="shared" si="516"/>
        <v>6.8145199507155718</v>
      </c>
      <c r="AC1674" s="382">
        <f t="shared" si="517"/>
        <v>0.76000000000000012</v>
      </c>
      <c r="AD1674" s="89"/>
    </row>
    <row r="1675" spans="3:30" ht="16" x14ac:dyDescent="0.2">
      <c r="C1675" s="176">
        <f t="shared" si="523"/>
        <v>1672</v>
      </c>
      <c r="D1675" s="454">
        <v>45993</v>
      </c>
      <c r="E1675" s="37">
        <v>45997</v>
      </c>
      <c r="F1675" s="65" t="s">
        <v>473</v>
      </c>
      <c r="G1675" s="11" t="str">
        <f ca="1">IF(AND(E1675&lt;&gt;"",E1675&lt;TODAY()),"Disponible",IFERROR(INDEX(Vehiculos[Estado Vehiculo],MATCH(F1675,Vehiculos[Placa Vehiculo],0)),""))</f>
        <v>Disponible</v>
      </c>
      <c r="H1675" s="34"/>
      <c r="I1675" s="34" t="s">
        <v>273</v>
      </c>
      <c r="J1675" s="34"/>
      <c r="K1675" s="39">
        <v>29635</v>
      </c>
      <c r="L1675" s="39">
        <v>30205</v>
      </c>
      <c r="M1675" s="15">
        <f t="shared" ref="M1675:M1786" si="524">L1675-K1675</f>
        <v>570</v>
      </c>
      <c r="N1675" s="15"/>
      <c r="O1675" s="39"/>
      <c r="P1675" s="36">
        <v>0.76</v>
      </c>
      <c r="Q1675" s="16">
        <f t="shared" ref="Q1675:Q1786" si="525">M1675*P1675</f>
        <v>433.2</v>
      </c>
      <c r="R1675" s="34" t="s">
        <v>273</v>
      </c>
      <c r="S1675" s="34" t="s">
        <v>102</v>
      </c>
      <c r="T1675" s="36">
        <v>2.8</v>
      </c>
      <c r="U1675" s="36">
        <f>Rutas[[#This Row],[Precio x Galón ($/gal)]]*Rutas[[#This Row],[Volumen de Combustible (gal)]]</f>
        <v>262.47199999999998</v>
      </c>
      <c r="V1675" s="36"/>
      <c r="W1675" s="36"/>
      <c r="X1675" s="36"/>
      <c r="Y1675" s="145">
        <f t="shared" ref="Y1675:Y1786" si="526">U1675+SUM(V1675:X1675)</f>
        <v>262.47199999999998</v>
      </c>
      <c r="Z1675" s="567"/>
      <c r="AA1675" s="12">
        <v>93.74</v>
      </c>
      <c r="AB1675" s="12">
        <f t="shared" ref="AB1675:AB1786" si="527">IFERROR(M1675/AA1675,0)</f>
        <v>6.0806486025176021</v>
      </c>
      <c r="AC1675" s="12">
        <f t="shared" ref="AC1675:AC1786" si="528">IFERROR(Q1675/M1675,0)</f>
        <v>0.76</v>
      </c>
      <c r="AD1675" s="34"/>
    </row>
    <row r="1676" spans="3:30" ht="16" x14ac:dyDescent="0.2">
      <c r="C1676" s="176">
        <f t="shared" si="523"/>
        <v>1673</v>
      </c>
      <c r="D1676" s="454">
        <v>45997</v>
      </c>
      <c r="E1676" s="37">
        <v>46005</v>
      </c>
      <c r="F1676" s="65" t="s">
        <v>473</v>
      </c>
      <c r="G1676" s="11" t="str">
        <f ca="1">IF(AND(E1676&lt;&gt;"",E1676&lt;TODAY()),"Disponible",IFERROR(INDEX(Vehiculos[Estado Vehiculo],MATCH(F1676,Vehiculos[Placa Vehiculo],0)),""))</f>
        <v>Disponible</v>
      </c>
      <c r="H1676" s="34"/>
      <c r="I1676" s="34" t="s">
        <v>273</v>
      </c>
      <c r="J1676" s="34"/>
      <c r="K1676" s="39">
        <v>30205</v>
      </c>
      <c r="L1676" s="39">
        <v>30828</v>
      </c>
      <c r="M1676" s="15">
        <f t="shared" si="524"/>
        <v>623</v>
      </c>
      <c r="N1676" s="15"/>
      <c r="O1676" s="39"/>
      <c r="P1676" s="36">
        <v>0.76</v>
      </c>
      <c r="Q1676" s="16">
        <f t="shared" si="525"/>
        <v>473.48</v>
      </c>
      <c r="R1676" s="34" t="s">
        <v>273</v>
      </c>
      <c r="S1676" s="34" t="s">
        <v>102</v>
      </c>
      <c r="T1676" s="36">
        <v>2.8</v>
      </c>
      <c r="U1676" s="36">
        <f>Rutas[[#This Row],[Precio x Galón ($/gal)]]*Rutas[[#This Row],[Volumen de Combustible (gal)]]</f>
        <v>268.07199999999995</v>
      </c>
      <c r="V1676" s="36"/>
      <c r="W1676" s="36"/>
      <c r="X1676" s="36"/>
      <c r="Y1676" s="145">
        <f t="shared" si="526"/>
        <v>268.07199999999995</v>
      </c>
      <c r="Z1676" s="567"/>
      <c r="AA1676" s="12">
        <v>95.74</v>
      </c>
      <c r="AB1676" s="12">
        <f t="shared" si="527"/>
        <v>6.5072070190098188</v>
      </c>
      <c r="AC1676" s="12">
        <f t="shared" si="528"/>
        <v>0.76</v>
      </c>
      <c r="AD1676" s="34"/>
    </row>
    <row r="1677" spans="3:30" ht="16" x14ac:dyDescent="0.2">
      <c r="C1677" s="176">
        <f t="shared" si="523"/>
        <v>1674</v>
      </c>
      <c r="D1677" s="454">
        <v>46005</v>
      </c>
      <c r="E1677" s="37">
        <v>46011</v>
      </c>
      <c r="F1677" s="65" t="s">
        <v>473</v>
      </c>
      <c r="G1677" s="11" t="str">
        <f ca="1">IF(AND(E1677&lt;&gt;"",E1677&lt;TODAY()),"Disponible",IFERROR(INDEX(Vehiculos[Estado Vehiculo],MATCH(F1677,Vehiculos[Placa Vehiculo],0)),""))</f>
        <v>Disponible</v>
      </c>
      <c r="H1677" s="34"/>
      <c r="I1677" s="34" t="s">
        <v>273</v>
      </c>
      <c r="J1677" s="34"/>
      <c r="K1677" s="39">
        <v>30828</v>
      </c>
      <c r="L1677" s="39">
        <v>31437</v>
      </c>
      <c r="M1677" s="15">
        <f t="shared" ref="M1677:M1686" si="529">L1677-K1677</f>
        <v>609</v>
      </c>
      <c r="N1677" s="15"/>
      <c r="O1677" s="39"/>
      <c r="P1677" s="36">
        <v>0.76</v>
      </c>
      <c r="Q1677" s="16">
        <f t="shared" ref="Q1677:Q1686" si="530">M1677*P1677</f>
        <v>462.84000000000003</v>
      </c>
      <c r="R1677" s="34" t="s">
        <v>273</v>
      </c>
      <c r="S1677" s="34" t="s">
        <v>102</v>
      </c>
      <c r="T1677" s="36">
        <v>2.8</v>
      </c>
      <c r="U1677" s="36">
        <f>Rutas[[#This Row],[Precio x Galón ($/gal)]]*Rutas[[#This Row],[Volumen de Combustible (gal)]]</f>
        <v>291.81599999999997</v>
      </c>
      <c r="V1677" s="36"/>
      <c r="W1677" s="36"/>
      <c r="X1677" s="36"/>
      <c r="Y1677" s="145">
        <f t="shared" ref="Y1677:Y1686" si="531">U1677+SUM(V1677:X1677)</f>
        <v>291.81599999999997</v>
      </c>
      <c r="Z1677" s="567"/>
      <c r="AA1677" s="12">
        <v>104.22</v>
      </c>
      <c r="AB1677" s="12">
        <f t="shared" ref="AB1677:AB1686" si="532">IFERROR(M1677/AA1677,0)</f>
        <v>5.8434081750143925</v>
      </c>
      <c r="AC1677" s="12">
        <f t="shared" ref="AC1677:AC1686" si="533">IFERROR(Q1677/M1677,0)</f>
        <v>0.76</v>
      </c>
      <c r="AD1677" s="34"/>
    </row>
    <row r="1678" spans="3:30" ht="16" x14ac:dyDescent="0.2">
      <c r="C1678" s="176">
        <f t="shared" si="523"/>
        <v>1675</v>
      </c>
      <c r="D1678" s="454">
        <v>46011</v>
      </c>
      <c r="E1678" s="37">
        <v>46016</v>
      </c>
      <c r="F1678" s="65" t="s">
        <v>473</v>
      </c>
      <c r="G1678" s="11" t="str">
        <f ca="1">IF(AND(E1678&lt;&gt;"",E1678&lt;TODAY()),"Disponible",IFERROR(INDEX(Vehiculos[Estado Vehiculo],MATCH(F1678,Vehiculos[Placa Vehiculo],0)),""))</f>
        <v>Disponible</v>
      </c>
      <c r="H1678" s="34" t="s">
        <v>529</v>
      </c>
      <c r="I1678" s="34" t="s">
        <v>273</v>
      </c>
      <c r="J1678" s="34"/>
      <c r="K1678" s="39">
        <v>31437</v>
      </c>
      <c r="L1678" s="39">
        <v>32130</v>
      </c>
      <c r="M1678" s="15">
        <f>L1678-K1678</f>
        <v>693</v>
      </c>
      <c r="N1678" s="15"/>
      <c r="O1678" s="39"/>
      <c r="P1678" s="36">
        <v>0.76</v>
      </c>
      <c r="Q1678" s="16">
        <f>M1678*P1678</f>
        <v>526.67999999999995</v>
      </c>
      <c r="R1678" s="34" t="s">
        <v>339</v>
      </c>
      <c r="S1678" s="34" t="s">
        <v>102</v>
      </c>
      <c r="T1678" s="36">
        <v>2.8</v>
      </c>
      <c r="U1678" s="36">
        <f>Rutas[[#This Row],[Precio x Galón ($/gal)]]*Rutas[[#This Row],[Volumen de Combustible (gal)]]</f>
        <v>334.48799999999994</v>
      </c>
      <c r="V1678" s="36"/>
      <c r="W1678" s="36"/>
      <c r="X1678" s="36"/>
      <c r="Y1678" s="145">
        <f>U1678+SUM(V1678:X1678)</f>
        <v>334.48799999999994</v>
      </c>
      <c r="Z1678" s="572">
        <v>16283</v>
      </c>
      <c r="AA1678" s="12">
        <v>119.46</v>
      </c>
      <c r="AB1678" s="12">
        <f>IFERROR(M1678/AA1678,0)</f>
        <v>5.8011049723756907</v>
      </c>
      <c r="AC1678" s="12">
        <f>IFERROR(Q1678/M1678,0)</f>
        <v>0.7599999999999999</v>
      </c>
      <c r="AD1678" s="34"/>
    </row>
    <row r="1679" spans="3:30" ht="16" x14ac:dyDescent="0.2">
      <c r="C1679" s="176">
        <f t="shared" si="523"/>
        <v>1676</v>
      </c>
      <c r="D1679" s="454">
        <v>46016</v>
      </c>
      <c r="E1679" s="37">
        <v>46019</v>
      </c>
      <c r="F1679" s="65" t="s">
        <v>473</v>
      </c>
      <c r="G1679" s="11" t="str">
        <f ca="1">IF(AND(E1679&lt;&gt;"",E1679&lt;TODAY()),"Disponible",IFERROR(INDEX(Vehiculos[Estado Vehiculo],MATCH(F1679,Vehiculos[Placa Vehiculo],0)),""))</f>
        <v>Disponible</v>
      </c>
      <c r="H1679" s="34"/>
      <c r="I1679" s="34" t="s">
        <v>273</v>
      </c>
      <c r="J1679" s="34"/>
      <c r="K1679" s="39">
        <v>32130</v>
      </c>
      <c r="L1679" s="39">
        <v>32770</v>
      </c>
      <c r="M1679" s="15">
        <f t="shared" si="529"/>
        <v>640</v>
      </c>
      <c r="N1679" s="15"/>
      <c r="O1679" s="39"/>
      <c r="P1679" s="36">
        <v>0.76</v>
      </c>
      <c r="Q1679" s="16">
        <f t="shared" si="530"/>
        <v>486.4</v>
      </c>
      <c r="R1679" s="34" t="s">
        <v>273</v>
      </c>
      <c r="S1679" s="34" t="s">
        <v>102</v>
      </c>
      <c r="T1679" s="36">
        <v>2.8</v>
      </c>
      <c r="U1679" s="36">
        <f>Rutas[[#This Row],[Precio x Galón ($/gal)]]*Rutas[[#This Row],[Volumen de Combustible (gal)]]</f>
        <v>268.77199999999999</v>
      </c>
      <c r="V1679" s="36"/>
      <c r="W1679" s="36"/>
      <c r="X1679" s="36"/>
      <c r="Y1679" s="145">
        <f t="shared" si="531"/>
        <v>268.77199999999999</v>
      </c>
      <c r="Z1679" s="567"/>
      <c r="AA1679" s="12">
        <v>95.99</v>
      </c>
      <c r="AB1679" s="12">
        <f t="shared" si="532"/>
        <v>6.6673611834566104</v>
      </c>
      <c r="AC1679" s="12">
        <f t="shared" si="533"/>
        <v>0.76</v>
      </c>
      <c r="AD1679" s="34"/>
    </row>
    <row r="1680" spans="3:30" ht="16" x14ac:dyDescent="0.2">
      <c r="C1680" s="176">
        <f t="shared" si="523"/>
        <v>1677</v>
      </c>
      <c r="D1680" s="454">
        <v>46019</v>
      </c>
      <c r="E1680" s="37">
        <v>46020</v>
      </c>
      <c r="F1680" s="65" t="s">
        <v>473</v>
      </c>
      <c r="G1680" s="11" t="str">
        <f ca="1">IF(AND(E1680&lt;&gt;"",E1680&lt;TODAY()),"Disponible",IFERROR(INDEX(Vehiculos[Estado Vehiculo],MATCH(F1680,Vehiculos[Placa Vehiculo],0)),""))</f>
        <v>Disponible</v>
      </c>
      <c r="H1680" s="34"/>
      <c r="I1680" s="34" t="s">
        <v>273</v>
      </c>
      <c r="J1680" s="34"/>
      <c r="K1680" s="39">
        <v>32770</v>
      </c>
      <c r="L1680" s="39">
        <v>33139</v>
      </c>
      <c r="M1680" s="15">
        <f>L1680-K1680</f>
        <v>369</v>
      </c>
      <c r="N1680" s="452">
        <v>410</v>
      </c>
      <c r="O1680" s="39"/>
      <c r="P1680" s="36">
        <v>0.76</v>
      </c>
      <c r="Q1680" s="16">
        <f>M1680*P1680</f>
        <v>280.44</v>
      </c>
      <c r="R1680" s="34" t="s">
        <v>339</v>
      </c>
      <c r="S1680" s="34" t="s">
        <v>102</v>
      </c>
      <c r="T1680" s="36">
        <v>2.8</v>
      </c>
      <c r="U1680" s="36"/>
      <c r="V1680" s="36"/>
      <c r="W1680" s="36"/>
      <c r="X1680" s="36"/>
      <c r="Y1680" s="145">
        <f>U1680+SUM(V1680:X1680)</f>
        <v>0</v>
      </c>
      <c r="Z1680" s="572">
        <v>16287</v>
      </c>
      <c r="AA1680" s="12">
        <v>61.44</v>
      </c>
      <c r="AB1680" s="12">
        <f>IFERROR(M1680/AA1680,0)</f>
        <v>6.005859375</v>
      </c>
      <c r="AC1680" s="12">
        <f>IFERROR(Q1680/M1680,0)</f>
        <v>0.76</v>
      </c>
      <c r="AD1680" s="34"/>
    </row>
    <row r="1681" spans="3:30" ht="16" x14ac:dyDescent="0.2">
      <c r="C1681" s="176">
        <f t="shared" si="523"/>
        <v>1678</v>
      </c>
      <c r="D1681" s="454"/>
      <c r="E1681" s="37"/>
      <c r="F1681" s="65"/>
      <c r="G1681" s="11" t="str">
        <f ca="1">IF(AND(E1681&lt;&gt;"",E1681&lt;TODAY()),"Disponible",IFERROR(INDEX(Vehiculos[Estado Vehiculo],MATCH(F1681,Vehiculos[Placa Vehiculo],0)),""))</f>
        <v/>
      </c>
      <c r="H1681" s="34"/>
      <c r="I1681" s="34"/>
      <c r="J1681" s="34"/>
      <c r="K1681" s="39"/>
      <c r="L1681" s="39"/>
      <c r="M1681" s="15">
        <f>L1681-K1681</f>
        <v>0</v>
      </c>
      <c r="N1681" s="15"/>
      <c r="O1681" s="39"/>
      <c r="P1681" s="36"/>
      <c r="Q1681" s="16">
        <f>M1681*P1681</f>
        <v>0</v>
      </c>
      <c r="R1681" s="34"/>
      <c r="S1681" s="34"/>
      <c r="T1681" s="36"/>
      <c r="U1681" s="36"/>
      <c r="V1681" s="36"/>
      <c r="W1681" s="36"/>
      <c r="X1681" s="36"/>
      <c r="Y1681" s="145">
        <f>U1681+SUM(V1681:X1681)</f>
        <v>0</v>
      </c>
      <c r="Z1681" s="567"/>
      <c r="AA1681" s="12"/>
      <c r="AB1681" s="12">
        <f>IFERROR(M1681/AA1681,0)</f>
        <v>0</v>
      </c>
      <c r="AC1681" s="12">
        <f>IFERROR(Q1681/M1681,0)</f>
        <v>0</v>
      </c>
      <c r="AD1681" s="34"/>
    </row>
    <row r="1682" spans="3:30" ht="16" x14ac:dyDescent="0.2">
      <c r="C1682" s="176">
        <f t="shared" si="523"/>
        <v>1679</v>
      </c>
      <c r="D1682" s="454"/>
      <c r="E1682" s="37"/>
      <c r="F1682" s="65"/>
      <c r="G1682" s="11" t="str">
        <f ca="1">IF(AND(E1682&lt;&gt;"",E1682&lt;TODAY()),"Disponible",IFERROR(INDEX(Vehiculos[Estado Vehiculo],MATCH(F1682,Vehiculos[Placa Vehiculo],0)),""))</f>
        <v/>
      </c>
      <c r="H1682" s="34"/>
      <c r="I1682" s="34"/>
      <c r="J1682" s="34"/>
      <c r="K1682" s="39"/>
      <c r="L1682" s="39"/>
      <c r="M1682" s="15">
        <f t="shared" si="529"/>
        <v>0</v>
      </c>
      <c r="N1682" s="15"/>
      <c r="O1682" s="39"/>
      <c r="P1682" s="36"/>
      <c r="Q1682" s="16">
        <f t="shared" si="530"/>
        <v>0</v>
      </c>
      <c r="R1682" s="34"/>
      <c r="S1682" s="34"/>
      <c r="T1682" s="36"/>
      <c r="U1682" s="36">
        <f>Rutas[[#This Row],[Precio x Galón ($/gal)]]*Rutas[[#This Row],[Volumen de Combustible (gal)]]</f>
        <v>0</v>
      </c>
      <c r="V1682" s="36"/>
      <c r="W1682" s="36"/>
      <c r="X1682" s="36"/>
      <c r="Y1682" s="145">
        <f t="shared" si="531"/>
        <v>0</v>
      </c>
      <c r="Z1682" s="567"/>
      <c r="AA1682" s="12"/>
      <c r="AB1682" s="12">
        <f t="shared" si="532"/>
        <v>0</v>
      </c>
      <c r="AC1682" s="12">
        <f t="shared" si="533"/>
        <v>0</v>
      </c>
      <c r="AD1682" s="34"/>
    </row>
    <row r="1683" spans="3:30" ht="16" x14ac:dyDescent="0.2">
      <c r="C1683" s="176">
        <f t="shared" si="523"/>
        <v>1680</v>
      </c>
      <c r="D1683" s="90">
        <v>45992</v>
      </c>
      <c r="E1683" s="90">
        <v>45994</v>
      </c>
      <c r="F1683" s="68" t="s">
        <v>509</v>
      </c>
      <c r="G1683" s="379" t="str">
        <f ca="1">IF(AND(E1683&lt;&gt;"",E1683&lt;TODAY()),"Disponible",IFERROR(INDEX(Vehiculos[Estado Vehiculo],MATCH(F1683,Vehiculos[Placa Vehiculo],0)),""))</f>
        <v>Disponible</v>
      </c>
      <c r="H1683" s="89" t="s">
        <v>417</v>
      </c>
      <c r="I1683" s="89" t="s">
        <v>273</v>
      </c>
      <c r="J1683" s="89"/>
      <c r="K1683" s="380">
        <v>1500</v>
      </c>
      <c r="L1683" s="380">
        <v>1894</v>
      </c>
      <c r="M1683" s="381">
        <f t="shared" si="529"/>
        <v>394</v>
      </c>
      <c r="N1683" s="381"/>
      <c r="O1683" s="380"/>
      <c r="P1683" s="92">
        <v>0.76</v>
      </c>
      <c r="Q1683" s="382">
        <f t="shared" si="530"/>
        <v>299.44</v>
      </c>
      <c r="R1683" s="89" t="s">
        <v>339</v>
      </c>
      <c r="S1683" s="89" t="s">
        <v>102</v>
      </c>
      <c r="T1683" s="92">
        <v>2.8</v>
      </c>
      <c r="U1683" s="92">
        <f>Rutas[[#This Row],[Precio x Galón ($/gal)]]*Rutas[[#This Row],[Volumen de Combustible (gal)]]</f>
        <v>323.904</v>
      </c>
      <c r="V1683" s="92"/>
      <c r="W1683" s="92"/>
      <c r="X1683" s="92"/>
      <c r="Y1683" s="382">
        <f t="shared" si="531"/>
        <v>323.904</v>
      </c>
      <c r="Z1683" s="578">
        <v>16239</v>
      </c>
      <c r="AA1683" s="382">
        <v>115.68</v>
      </c>
      <c r="AB1683" s="382">
        <f t="shared" si="532"/>
        <v>3.4059474412171507</v>
      </c>
      <c r="AC1683" s="382">
        <f t="shared" si="533"/>
        <v>0.76</v>
      </c>
      <c r="AD1683" s="89"/>
    </row>
    <row r="1684" spans="3:30" ht="16" x14ac:dyDescent="0.2">
      <c r="C1684" s="176">
        <f t="shared" si="523"/>
        <v>1681</v>
      </c>
      <c r="D1684" s="454">
        <v>45994</v>
      </c>
      <c r="E1684" s="37">
        <v>45996</v>
      </c>
      <c r="F1684" s="65" t="s">
        <v>509</v>
      </c>
      <c r="G1684" s="11" t="str">
        <f ca="1">IF(AND(E1684&lt;&gt;"",E1684&lt;TODAY()),"Disponible",IFERROR(INDEX(Vehiculos[Estado Vehiculo],MATCH(F1684,Vehiculos[Placa Vehiculo],0)),""))</f>
        <v>Disponible</v>
      </c>
      <c r="H1684" s="34"/>
      <c r="I1684" s="34" t="s">
        <v>273</v>
      </c>
      <c r="J1684" s="34"/>
      <c r="K1684" s="39">
        <v>1894</v>
      </c>
      <c r="L1684" s="39">
        <v>2355</v>
      </c>
      <c r="M1684" s="15">
        <f t="shared" si="529"/>
        <v>461</v>
      </c>
      <c r="N1684" s="15"/>
      <c r="O1684" s="39"/>
      <c r="P1684" s="36">
        <v>0.76</v>
      </c>
      <c r="Q1684" s="16">
        <f t="shared" si="530"/>
        <v>350.36</v>
      </c>
      <c r="R1684" s="34" t="s">
        <v>273</v>
      </c>
      <c r="S1684" s="34" t="s">
        <v>102</v>
      </c>
      <c r="T1684" s="36">
        <v>2.8</v>
      </c>
      <c r="U1684" s="36">
        <f>Rutas[[#This Row],[Precio x Galón ($/gal)]]*Rutas[[#This Row],[Volumen de Combustible (gal)]]</f>
        <v>182.44799999999998</v>
      </c>
      <c r="V1684" s="36"/>
      <c r="W1684" s="36"/>
      <c r="X1684" s="36"/>
      <c r="Y1684" s="145">
        <f t="shared" si="531"/>
        <v>182.44799999999998</v>
      </c>
      <c r="Z1684" s="567"/>
      <c r="AA1684" s="12">
        <v>65.16</v>
      </c>
      <c r="AB1684" s="12">
        <f t="shared" si="532"/>
        <v>7.0748925721301417</v>
      </c>
      <c r="AC1684" s="12">
        <f t="shared" si="533"/>
        <v>0.76</v>
      </c>
      <c r="AD1684" s="34"/>
    </row>
    <row r="1685" spans="3:30" ht="16" x14ac:dyDescent="0.2">
      <c r="C1685" s="176">
        <f t="shared" si="523"/>
        <v>1682</v>
      </c>
      <c r="D1685" s="454">
        <v>45996</v>
      </c>
      <c r="E1685" s="37">
        <v>45999</v>
      </c>
      <c r="F1685" s="65" t="s">
        <v>509</v>
      </c>
      <c r="G1685" s="11" t="str">
        <f ca="1">IF(AND(E1685&lt;&gt;"",E1685&lt;TODAY()),"Disponible",IFERROR(INDEX(Vehiculos[Estado Vehiculo],MATCH(F1685,Vehiculos[Placa Vehiculo],0)),""))</f>
        <v>Disponible</v>
      </c>
      <c r="H1685" s="34" t="s">
        <v>426</v>
      </c>
      <c r="I1685" s="34" t="s">
        <v>273</v>
      </c>
      <c r="J1685" s="34"/>
      <c r="K1685" s="39">
        <v>2355</v>
      </c>
      <c r="L1685" s="39">
        <v>2927</v>
      </c>
      <c r="M1685" s="15">
        <f t="shared" si="529"/>
        <v>572</v>
      </c>
      <c r="N1685" s="15"/>
      <c r="O1685" s="39"/>
      <c r="P1685" s="36">
        <v>0.76</v>
      </c>
      <c r="Q1685" s="16">
        <f t="shared" si="530"/>
        <v>434.72</v>
      </c>
      <c r="R1685" s="34" t="s">
        <v>273</v>
      </c>
      <c r="S1685" s="34" t="s">
        <v>102</v>
      </c>
      <c r="T1685" s="36">
        <v>2.8</v>
      </c>
      <c r="U1685" s="36">
        <f>Rutas[[#This Row],[Precio x Galón ($/gal)]]*Rutas[[#This Row],[Volumen de Combustible (gal)]]</f>
        <v>259.02800000000002</v>
      </c>
      <c r="V1685" s="36"/>
      <c r="W1685" s="36"/>
      <c r="X1685" s="36"/>
      <c r="Y1685" s="145">
        <f t="shared" si="531"/>
        <v>259.02800000000002</v>
      </c>
      <c r="Z1685" s="567"/>
      <c r="AA1685" s="12">
        <v>92.51</v>
      </c>
      <c r="AB1685" s="12">
        <f t="shared" si="532"/>
        <v>6.183115338882283</v>
      </c>
      <c r="AC1685" s="12">
        <f t="shared" si="533"/>
        <v>0.76</v>
      </c>
      <c r="AD1685" s="34"/>
    </row>
    <row r="1686" spans="3:30" ht="16" x14ac:dyDescent="0.2">
      <c r="C1686" s="176">
        <f t="shared" si="523"/>
        <v>1683</v>
      </c>
      <c r="D1686" s="454">
        <v>45999</v>
      </c>
      <c r="E1686" s="37">
        <v>46002</v>
      </c>
      <c r="F1686" s="65" t="s">
        <v>509</v>
      </c>
      <c r="G1686" s="11" t="str">
        <f ca="1">IF(AND(E1686&lt;&gt;"",E1686&lt;TODAY()),"Disponible",IFERROR(INDEX(Vehiculos[Estado Vehiculo],MATCH(F1686,Vehiculos[Placa Vehiculo],0)),""))</f>
        <v>Disponible</v>
      </c>
      <c r="H1686" s="34"/>
      <c r="I1686" s="34" t="s">
        <v>273</v>
      </c>
      <c r="J1686" s="34"/>
      <c r="K1686" s="39">
        <v>2927</v>
      </c>
      <c r="L1686" s="39">
        <v>3450</v>
      </c>
      <c r="M1686" s="15">
        <f t="shared" si="529"/>
        <v>523</v>
      </c>
      <c r="N1686" s="15"/>
      <c r="O1686" s="39"/>
      <c r="P1686" s="36">
        <v>0.76</v>
      </c>
      <c r="Q1686" s="16">
        <f t="shared" si="530"/>
        <v>397.48</v>
      </c>
      <c r="R1686" s="34" t="s">
        <v>339</v>
      </c>
      <c r="S1686" s="34" t="s">
        <v>102</v>
      </c>
      <c r="T1686" s="36">
        <v>2.8</v>
      </c>
      <c r="U1686" s="36">
        <f>Rutas[[#This Row],[Precio x Galón ($/gal)]]*Rutas[[#This Row],[Volumen de Combustible (gal)]]</f>
        <v>256.50799999999998</v>
      </c>
      <c r="V1686" s="36"/>
      <c r="W1686" s="36"/>
      <c r="X1686" s="36"/>
      <c r="Y1686" s="145">
        <f t="shared" si="531"/>
        <v>256.50799999999998</v>
      </c>
      <c r="Z1686" s="572">
        <v>16246</v>
      </c>
      <c r="AA1686" s="12">
        <v>91.61</v>
      </c>
      <c r="AB1686" s="12">
        <f t="shared" si="532"/>
        <v>5.7089837354000652</v>
      </c>
      <c r="AC1686" s="12">
        <f t="shared" si="533"/>
        <v>0.76</v>
      </c>
      <c r="AD1686" s="34"/>
    </row>
    <row r="1687" spans="3:30" ht="16" x14ac:dyDescent="0.2">
      <c r="C1687" s="176">
        <f t="shared" si="523"/>
        <v>1684</v>
      </c>
      <c r="D1687" s="454">
        <v>46002</v>
      </c>
      <c r="E1687" s="37">
        <v>46005</v>
      </c>
      <c r="F1687" s="65" t="s">
        <v>509</v>
      </c>
      <c r="G1687" s="11" t="str">
        <f ca="1">IF(AND(E1687&lt;&gt;"",E1687&lt;TODAY()),"Disponible",IFERROR(INDEX(Vehiculos[Estado Vehiculo],MATCH(F1687,Vehiculos[Placa Vehiculo],0)),""))</f>
        <v>Disponible</v>
      </c>
      <c r="H1687" s="34"/>
      <c r="I1687" s="34" t="s">
        <v>273</v>
      </c>
      <c r="J1687" s="34"/>
      <c r="K1687" s="39">
        <v>3450</v>
      </c>
      <c r="L1687" s="39">
        <v>4030</v>
      </c>
      <c r="M1687" s="15">
        <f t="shared" si="524"/>
        <v>580</v>
      </c>
      <c r="N1687" s="15"/>
      <c r="O1687" s="39"/>
      <c r="P1687" s="36">
        <v>0.76</v>
      </c>
      <c r="Q1687" s="16">
        <f t="shared" si="525"/>
        <v>440.8</v>
      </c>
      <c r="R1687" s="34" t="s">
        <v>273</v>
      </c>
      <c r="S1687" s="34" t="s">
        <v>102</v>
      </c>
      <c r="T1687" s="36">
        <v>2.8</v>
      </c>
      <c r="U1687" s="36">
        <f>Rutas[[#This Row],[Precio x Galón ($/gal)]]*Rutas[[#This Row],[Volumen de Combustible (gal)]]</f>
        <v>244.21599999999998</v>
      </c>
      <c r="V1687" s="36"/>
      <c r="W1687" s="36"/>
      <c r="X1687" s="36"/>
      <c r="Y1687" s="145">
        <f t="shared" si="526"/>
        <v>244.21599999999998</v>
      </c>
      <c r="Z1687" s="567"/>
      <c r="AA1687" s="12">
        <v>87.22</v>
      </c>
      <c r="AB1687" s="12">
        <f t="shared" si="527"/>
        <v>6.6498509516166022</v>
      </c>
      <c r="AC1687" s="12">
        <f t="shared" si="528"/>
        <v>0.76</v>
      </c>
      <c r="AD1687" s="34"/>
    </row>
    <row r="1688" spans="3:30" ht="16" x14ac:dyDescent="0.2">
      <c r="C1688" s="176">
        <f t="shared" si="523"/>
        <v>1685</v>
      </c>
      <c r="D1688" s="454">
        <v>46005</v>
      </c>
      <c r="E1688" s="37">
        <v>46007</v>
      </c>
      <c r="F1688" s="65" t="s">
        <v>509</v>
      </c>
      <c r="G1688" s="11" t="str">
        <f ca="1">IF(AND(E1688&lt;&gt;"",E1688&lt;TODAY()),"Disponible",IFERROR(INDEX(Vehiculos[Estado Vehiculo],MATCH(F1688,Vehiculos[Placa Vehiculo],0)),""))</f>
        <v>Disponible</v>
      </c>
      <c r="H1688" s="34"/>
      <c r="I1688" s="34" t="s">
        <v>273</v>
      </c>
      <c r="J1688" s="34"/>
      <c r="K1688" s="39">
        <v>4030</v>
      </c>
      <c r="L1688" s="39">
        <v>4324</v>
      </c>
      <c r="M1688" s="15">
        <f t="shared" ref="M1688:M1693" si="534">L1688-K1688</f>
        <v>294</v>
      </c>
      <c r="N1688" s="15"/>
      <c r="O1688" s="39"/>
      <c r="P1688" s="36">
        <v>0.76</v>
      </c>
      <c r="Q1688" s="16">
        <f t="shared" ref="Q1688:Q1693" si="535">M1688*P1688</f>
        <v>223.44</v>
      </c>
      <c r="R1688" s="34" t="s">
        <v>273</v>
      </c>
      <c r="S1688" s="34" t="s">
        <v>102</v>
      </c>
      <c r="T1688" s="36">
        <v>2.8</v>
      </c>
      <c r="U1688" s="36">
        <f>Rutas[[#This Row],[Precio x Galón ($/gal)]]*Rutas[[#This Row],[Volumen de Combustible (gal)]]</f>
        <v>117.12399999999998</v>
      </c>
      <c r="V1688" s="36"/>
      <c r="W1688" s="36"/>
      <c r="X1688" s="36"/>
      <c r="Y1688" s="145">
        <f t="shared" ref="Y1688:Y1693" si="536">U1688+SUM(V1688:X1688)</f>
        <v>117.12399999999998</v>
      </c>
      <c r="Z1688" s="567"/>
      <c r="AA1688" s="12">
        <v>41.83</v>
      </c>
      <c r="AB1688" s="12">
        <f t="shared" ref="AB1688:AB1693" si="537">IFERROR(M1688/AA1688,0)</f>
        <v>7.0284484819507531</v>
      </c>
      <c r="AC1688" s="12">
        <f t="shared" ref="AC1688:AC1693" si="538">IFERROR(Q1688/M1688,0)</f>
        <v>0.76</v>
      </c>
      <c r="AD1688" s="34"/>
    </row>
    <row r="1689" spans="3:30" ht="16" x14ac:dyDescent="0.2">
      <c r="C1689" s="176">
        <f t="shared" si="523"/>
        <v>1686</v>
      </c>
      <c r="D1689" s="454">
        <v>46007</v>
      </c>
      <c r="E1689" s="37">
        <v>46011</v>
      </c>
      <c r="F1689" s="65" t="s">
        <v>509</v>
      </c>
      <c r="G1689" s="11" t="str">
        <f ca="1">IF(AND(E1689&lt;&gt;"",E1689&lt;TODAY()),"Disponible",IFERROR(INDEX(Vehiculos[Estado Vehiculo],MATCH(F1689,Vehiculos[Placa Vehiculo],0)),""))</f>
        <v>Disponible</v>
      </c>
      <c r="H1689" s="34"/>
      <c r="I1689" s="34" t="s">
        <v>273</v>
      </c>
      <c r="J1689" s="34"/>
      <c r="K1689" s="39">
        <v>4324</v>
      </c>
      <c r="L1689" s="39">
        <v>4971</v>
      </c>
      <c r="M1689" s="15">
        <f t="shared" si="534"/>
        <v>647</v>
      </c>
      <c r="N1689" s="15"/>
      <c r="O1689" s="39"/>
      <c r="P1689" s="36">
        <v>0.76</v>
      </c>
      <c r="Q1689" s="16">
        <f t="shared" si="535"/>
        <v>491.72</v>
      </c>
      <c r="R1689" s="34" t="s">
        <v>339</v>
      </c>
      <c r="S1689" s="34" t="s">
        <v>102</v>
      </c>
      <c r="T1689" s="36">
        <v>2.8</v>
      </c>
      <c r="U1689" s="36">
        <f>Rutas[[#This Row],[Precio x Galón ($/gal)]]*Rutas[[#This Row],[Volumen de Combustible (gal)]]</f>
        <v>317.88399999999996</v>
      </c>
      <c r="V1689" s="36"/>
      <c r="W1689" s="36"/>
      <c r="X1689" s="36"/>
      <c r="Y1689" s="145">
        <f t="shared" si="536"/>
        <v>317.88399999999996</v>
      </c>
      <c r="Z1689" s="572">
        <v>16269</v>
      </c>
      <c r="AA1689" s="12">
        <v>113.53</v>
      </c>
      <c r="AB1689" s="12">
        <f t="shared" si="537"/>
        <v>5.6989342024134588</v>
      </c>
      <c r="AC1689" s="12">
        <f t="shared" si="538"/>
        <v>0.76</v>
      </c>
      <c r="AD1689" s="34"/>
    </row>
    <row r="1690" spans="3:30" ht="16" x14ac:dyDescent="0.2">
      <c r="C1690" s="176">
        <f t="shared" si="523"/>
        <v>1687</v>
      </c>
      <c r="D1690" s="454">
        <v>46011</v>
      </c>
      <c r="E1690" s="37">
        <v>46013</v>
      </c>
      <c r="F1690" s="65" t="s">
        <v>509</v>
      </c>
      <c r="G1690" s="11" t="str">
        <f ca="1">IF(AND(E1690&lt;&gt;"",E1690&lt;TODAY()),"Disponible",IFERROR(INDEX(Vehiculos[Estado Vehiculo],MATCH(F1690,Vehiculos[Placa Vehiculo],0)),""))</f>
        <v>Disponible</v>
      </c>
      <c r="H1690" s="34"/>
      <c r="I1690" s="34" t="s">
        <v>273</v>
      </c>
      <c r="J1690" s="34"/>
      <c r="K1690" s="39">
        <v>4971</v>
      </c>
      <c r="L1690" s="39">
        <v>5451</v>
      </c>
      <c r="M1690" s="15">
        <f t="shared" si="534"/>
        <v>480</v>
      </c>
      <c r="N1690" s="15"/>
      <c r="O1690" s="39"/>
      <c r="P1690" s="36">
        <v>0.76</v>
      </c>
      <c r="Q1690" s="16">
        <f t="shared" si="535"/>
        <v>364.8</v>
      </c>
      <c r="R1690" s="34" t="s">
        <v>273</v>
      </c>
      <c r="S1690" s="34" t="s">
        <v>102</v>
      </c>
      <c r="T1690" s="36">
        <v>2.8</v>
      </c>
      <c r="U1690" s="36">
        <f>Rutas[[#This Row],[Precio x Galón ($/gal)]]*Rutas[[#This Row],[Volumen de Combustible (gal)]]</f>
        <v>206.80799999999999</v>
      </c>
      <c r="V1690" s="36"/>
      <c r="W1690" s="36"/>
      <c r="X1690" s="36"/>
      <c r="Y1690" s="145">
        <f t="shared" si="536"/>
        <v>206.80799999999999</v>
      </c>
      <c r="Z1690" s="567"/>
      <c r="AA1690" s="12">
        <v>73.86</v>
      </c>
      <c r="AB1690" s="12">
        <f t="shared" si="537"/>
        <v>6.498781478472786</v>
      </c>
      <c r="AC1690" s="12">
        <f t="shared" si="538"/>
        <v>0.76</v>
      </c>
      <c r="AD1690" s="34"/>
    </row>
    <row r="1691" spans="3:30" ht="16" x14ac:dyDescent="0.2">
      <c r="C1691" s="176">
        <f t="shared" si="523"/>
        <v>1688</v>
      </c>
      <c r="D1691" s="454">
        <v>46013</v>
      </c>
      <c r="E1691" s="37">
        <v>46016</v>
      </c>
      <c r="F1691" s="65" t="s">
        <v>509</v>
      </c>
      <c r="G1691" s="11" t="str">
        <f ca="1">IF(AND(E1691&lt;&gt;"",E1691&lt;TODAY()),"Disponible",IFERROR(INDEX(Vehiculos[Estado Vehiculo],MATCH(F1691,Vehiculos[Placa Vehiculo],0)),""))</f>
        <v>Disponible</v>
      </c>
      <c r="H1691" s="34" t="s">
        <v>530</v>
      </c>
      <c r="I1691" s="34" t="s">
        <v>273</v>
      </c>
      <c r="J1691" s="34"/>
      <c r="K1691" s="39">
        <v>5451</v>
      </c>
      <c r="L1691" s="39">
        <v>6143</v>
      </c>
      <c r="M1691" s="15">
        <f t="shared" si="534"/>
        <v>692</v>
      </c>
      <c r="N1691" s="15"/>
      <c r="O1691" s="39"/>
      <c r="P1691" s="36">
        <v>0.76</v>
      </c>
      <c r="Q1691" s="16">
        <f t="shared" si="535"/>
        <v>525.91999999999996</v>
      </c>
      <c r="R1691" s="34" t="s">
        <v>339</v>
      </c>
      <c r="S1691" s="34" t="s">
        <v>102</v>
      </c>
      <c r="T1691" s="36">
        <v>2.8</v>
      </c>
      <c r="U1691" s="36">
        <f>Rutas[[#This Row],[Precio x Galón ($/gal)]]*Rutas[[#This Row],[Volumen de Combustible (gal)]]</f>
        <v>320.06799999999998</v>
      </c>
      <c r="V1691" s="36"/>
      <c r="W1691" s="36"/>
      <c r="X1691" s="36"/>
      <c r="Y1691" s="145">
        <f t="shared" si="536"/>
        <v>320.06799999999998</v>
      </c>
      <c r="Z1691" s="572">
        <v>16284</v>
      </c>
      <c r="AA1691" s="12">
        <v>114.31</v>
      </c>
      <c r="AB1691" s="12">
        <f t="shared" si="537"/>
        <v>6.0537135858630036</v>
      </c>
      <c r="AC1691" s="12">
        <f t="shared" si="538"/>
        <v>0.7599999999999999</v>
      </c>
      <c r="AD1691" s="34"/>
    </row>
    <row r="1692" spans="3:30" ht="16" x14ac:dyDescent="0.2">
      <c r="C1692" s="176">
        <f t="shared" si="523"/>
        <v>1689</v>
      </c>
      <c r="D1692" s="454">
        <v>46016</v>
      </c>
      <c r="E1692" s="37">
        <v>46019</v>
      </c>
      <c r="F1692" s="65" t="s">
        <v>509</v>
      </c>
      <c r="G1692" s="11" t="str">
        <f ca="1">IF(AND(E1692&lt;&gt;"",E1692&lt;TODAY()),"Disponible",IFERROR(INDEX(Vehiculos[Estado Vehiculo],MATCH(F1692,Vehiculos[Placa Vehiculo],0)),""))</f>
        <v>Disponible</v>
      </c>
      <c r="H1692" s="34"/>
      <c r="I1692" s="34" t="s">
        <v>273</v>
      </c>
      <c r="J1692" s="34"/>
      <c r="K1692" s="39">
        <v>6143</v>
      </c>
      <c r="L1692" s="39">
        <v>6798</v>
      </c>
      <c r="M1692" s="15">
        <f t="shared" si="534"/>
        <v>655</v>
      </c>
      <c r="N1692" s="452">
        <v>610</v>
      </c>
      <c r="O1692" s="39"/>
      <c r="P1692" s="36">
        <v>0.76</v>
      </c>
      <c r="Q1692" s="16">
        <f t="shared" si="535"/>
        <v>497.8</v>
      </c>
      <c r="R1692" s="34" t="s">
        <v>273</v>
      </c>
      <c r="S1692" s="34" t="s">
        <v>102</v>
      </c>
      <c r="T1692" s="36">
        <v>2.8</v>
      </c>
      <c r="U1692" s="36">
        <f>Rutas[[#This Row],[Precio x Galón ($/gal)]]*Rutas[[#This Row],[Volumen de Combustible (gal)]]</f>
        <v>284.67599999999999</v>
      </c>
      <c r="V1692" s="36"/>
      <c r="W1692" s="36"/>
      <c r="X1692" s="36"/>
      <c r="Y1692" s="145">
        <f t="shared" si="536"/>
        <v>284.67599999999999</v>
      </c>
      <c r="Z1692" s="567"/>
      <c r="AA1692" s="12">
        <v>101.67</v>
      </c>
      <c r="AB1692" s="12">
        <f t="shared" si="537"/>
        <v>6.4424117242057637</v>
      </c>
      <c r="AC1692" s="12">
        <f t="shared" si="538"/>
        <v>0.76</v>
      </c>
      <c r="AD1692" s="34"/>
    </row>
    <row r="1693" spans="3:30" ht="16" x14ac:dyDescent="0.2">
      <c r="C1693" s="176">
        <f t="shared" si="523"/>
        <v>1690</v>
      </c>
      <c r="D1693" s="454"/>
      <c r="E1693" s="37"/>
      <c r="F1693" s="65"/>
      <c r="G1693" s="11" t="str">
        <f ca="1">IF(AND(E1693&lt;&gt;"",E1693&lt;TODAY()),"Disponible",IFERROR(INDEX(Vehiculos[Estado Vehiculo],MATCH(F1693,Vehiculos[Placa Vehiculo],0)),""))</f>
        <v/>
      </c>
      <c r="H1693" s="34"/>
      <c r="I1693" s="34"/>
      <c r="J1693" s="34"/>
      <c r="K1693" s="39"/>
      <c r="L1693" s="39"/>
      <c r="M1693" s="15">
        <f t="shared" si="534"/>
        <v>0</v>
      </c>
      <c r="N1693" s="15"/>
      <c r="O1693" s="39"/>
      <c r="P1693" s="36"/>
      <c r="Q1693" s="16">
        <f t="shared" si="535"/>
        <v>0</v>
      </c>
      <c r="R1693" s="34"/>
      <c r="S1693" s="34"/>
      <c r="T1693" s="36"/>
      <c r="U1693" s="36"/>
      <c r="V1693" s="36"/>
      <c r="W1693" s="36"/>
      <c r="X1693" s="36"/>
      <c r="Y1693" s="145">
        <f t="shared" si="536"/>
        <v>0</v>
      </c>
      <c r="Z1693" s="567"/>
      <c r="AA1693" s="12"/>
      <c r="AB1693" s="12">
        <f t="shared" si="537"/>
        <v>0</v>
      </c>
      <c r="AC1693" s="12">
        <f t="shared" si="538"/>
        <v>0</v>
      </c>
      <c r="AD1693" s="34"/>
    </row>
    <row r="1694" spans="3:30" ht="16" x14ac:dyDescent="0.2">
      <c r="C1694" s="176">
        <f t="shared" si="523"/>
        <v>1691</v>
      </c>
      <c r="D1694" s="454"/>
      <c r="E1694" s="37"/>
      <c r="F1694" s="65"/>
      <c r="G1694" s="11" t="str">
        <f ca="1">IF(AND(E1694&lt;&gt;"",E1694&lt;TODAY()),"Disponible",IFERROR(INDEX(Vehiculos[Estado Vehiculo],MATCH(F1694,Vehiculos[Placa Vehiculo],0)),""))</f>
        <v/>
      </c>
      <c r="H1694" s="34"/>
      <c r="I1694" s="34"/>
      <c r="J1694" s="34"/>
      <c r="K1694" s="39"/>
      <c r="L1694" s="39"/>
      <c r="M1694" s="15">
        <f t="shared" si="524"/>
        <v>0</v>
      </c>
      <c r="N1694" s="15"/>
      <c r="O1694" s="39"/>
      <c r="P1694" s="36"/>
      <c r="Q1694" s="16">
        <f t="shared" si="525"/>
        <v>0</v>
      </c>
      <c r="R1694" s="34"/>
      <c r="S1694" s="34"/>
      <c r="T1694" s="36"/>
      <c r="U1694" s="36">
        <f>Rutas[[#This Row],[Precio x Galón ($/gal)]]*Rutas[[#This Row],[Volumen de Combustible (gal)]]</f>
        <v>0</v>
      </c>
      <c r="V1694" s="36"/>
      <c r="W1694" s="36"/>
      <c r="X1694" s="36"/>
      <c r="Y1694" s="145">
        <f t="shared" si="526"/>
        <v>0</v>
      </c>
      <c r="Z1694" s="567"/>
      <c r="AA1694" s="12"/>
      <c r="AB1694" s="12">
        <f t="shared" si="527"/>
        <v>0</v>
      </c>
      <c r="AC1694" s="12">
        <f t="shared" si="528"/>
        <v>0</v>
      </c>
      <c r="AD1694" s="34"/>
    </row>
    <row r="1695" spans="3:30" ht="16" x14ac:dyDescent="0.2">
      <c r="C1695" s="176">
        <f t="shared" si="523"/>
        <v>1692</v>
      </c>
      <c r="D1695" s="90">
        <v>45992</v>
      </c>
      <c r="E1695" s="90">
        <v>46001</v>
      </c>
      <c r="F1695" s="68" t="s">
        <v>403</v>
      </c>
      <c r="G1695" s="379" t="str">
        <f ca="1">IF(AND(E1695&lt;&gt;"",E1695&lt;TODAY()),"Disponible",IFERROR(INDEX(Vehiculos[Estado Vehiculo],MATCH(F1695,Vehiculos[Placa Vehiculo],0)),""))</f>
        <v>Disponible</v>
      </c>
      <c r="H1695" s="89" t="s">
        <v>229</v>
      </c>
      <c r="I1695" s="89" t="s">
        <v>273</v>
      </c>
      <c r="J1695" s="89"/>
      <c r="K1695" s="380">
        <v>209984</v>
      </c>
      <c r="L1695" s="380">
        <v>211459</v>
      </c>
      <c r="M1695" s="381">
        <f t="shared" si="524"/>
        <v>1475</v>
      </c>
      <c r="N1695" s="381"/>
      <c r="O1695" s="380"/>
      <c r="P1695" s="92">
        <v>0.76</v>
      </c>
      <c r="Q1695" s="382">
        <f t="shared" si="525"/>
        <v>1121</v>
      </c>
      <c r="R1695" s="89" t="s">
        <v>340</v>
      </c>
      <c r="S1695" s="89" t="s">
        <v>102</v>
      </c>
      <c r="T1695" s="92">
        <v>2.8</v>
      </c>
      <c r="U1695" s="92">
        <f>Rutas[[#This Row],[Precio x Galón ($/gal)]]*Rutas[[#This Row],[Volumen de Combustible (gal)]]</f>
        <v>778.4</v>
      </c>
      <c r="V1695" s="92"/>
      <c r="W1695" s="92"/>
      <c r="X1695" s="92"/>
      <c r="Y1695" s="382">
        <f t="shared" si="526"/>
        <v>778.4</v>
      </c>
      <c r="Z1695" s="382"/>
      <c r="AA1695" s="382">
        <v>278</v>
      </c>
      <c r="AB1695" s="382">
        <f t="shared" si="527"/>
        <v>5.3057553956834536</v>
      </c>
      <c r="AC1695" s="382">
        <f t="shared" si="528"/>
        <v>0.76</v>
      </c>
      <c r="AD1695" s="89"/>
    </row>
    <row r="1696" spans="3:30" ht="16" x14ac:dyDescent="0.2">
      <c r="C1696" s="176">
        <f t="shared" si="523"/>
        <v>1693</v>
      </c>
      <c r="D1696" s="454">
        <v>46001</v>
      </c>
      <c r="E1696" s="37">
        <v>46011</v>
      </c>
      <c r="F1696" s="65" t="s">
        <v>403</v>
      </c>
      <c r="G1696" s="11" t="str">
        <f ca="1">IF(AND(E1696&lt;&gt;"",E1696&lt;TODAY()),"Disponible",IFERROR(INDEX(Vehiculos[Estado Vehiculo],MATCH(F1696,Vehiculos[Placa Vehiculo],0)),""))</f>
        <v>Disponible</v>
      </c>
      <c r="H1696" s="34" t="s">
        <v>269</v>
      </c>
      <c r="I1696" s="34" t="s">
        <v>273</v>
      </c>
      <c r="J1696" s="34"/>
      <c r="K1696" s="39">
        <v>211459</v>
      </c>
      <c r="L1696" s="39">
        <v>213078</v>
      </c>
      <c r="M1696" s="15">
        <f t="shared" si="524"/>
        <v>1619</v>
      </c>
      <c r="N1696" s="15"/>
      <c r="O1696" s="39"/>
      <c r="P1696" s="36">
        <v>0.76</v>
      </c>
      <c r="Q1696" s="16">
        <f t="shared" si="525"/>
        <v>1230.44</v>
      </c>
      <c r="R1696" s="34" t="s">
        <v>340</v>
      </c>
      <c r="S1696" s="34" t="s">
        <v>102</v>
      </c>
      <c r="T1696" s="36">
        <v>2.8</v>
      </c>
      <c r="U1696" s="36">
        <f>Rutas[[#This Row],[Precio x Galón ($/gal)]]*Rutas[[#This Row],[Volumen de Combustible (gal)]]</f>
        <v>679.14</v>
      </c>
      <c r="V1696" s="36"/>
      <c r="W1696" s="36"/>
      <c r="X1696" s="36"/>
      <c r="Y1696" s="145">
        <f t="shared" si="526"/>
        <v>679.14</v>
      </c>
      <c r="Z1696" s="567"/>
      <c r="AA1696" s="12">
        <v>242.55</v>
      </c>
      <c r="AB1696" s="12">
        <f t="shared" si="527"/>
        <v>6.674912389198103</v>
      </c>
      <c r="AC1696" s="12">
        <f t="shared" si="528"/>
        <v>0.76</v>
      </c>
      <c r="AD1696" s="34"/>
    </row>
    <row r="1697" spans="3:30" ht="16" x14ac:dyDescent="0.2">
      <c r="C1697" s="176">
        <f t="shared" si="523"/>
        <v>1694</v>
      </c>
      <c r="D1697" s="454">
        <v>46011</v>
      </c>
      <c r="E1697" s="37">
        <v>46021</v>
      </c>
      <c r="F1697" s="65" t="s">
        <v>403</v>
      </c>
      <c r="G1697" s="11" t="str">
        <f ca="1">IF(AND(E1697&lt;&gt;"",E1697&lt;TODAY()),"Disponible",IFERROR(INDEX(Vehiculos[Estado Vehiculo],MATCH(F1697,Vehiculos[Placa Vehiculo],0)),""))</f>
        <v>Disponible</v>
      </c>
      <c r="H1697" s="34" t="s">
        <v>229</v>
      </c>
      <c r="I1697" s="34" t="s">
        <v>273</v>
      </c>
      <c r="J1697" s="34"/>
      <c r="K1697" s="39">
        <v>213078</v>
      </c>
      <c r="L1697" s="39">
        <v>214526</v>
      </c>
      <c r="M1697" s="15">
        <f t="shared" si="524"/>
        <v>1448</v>
      </c>
      <c r="N1697" s="452">
        <v>296</v>
      </c>
      <c r="O1697" s="39"/>
      <c r="P1697" s="36">
        <v>0.76</v>
      </c>
      <c r="Q1697" s="16">
        <f t="shared" si="525"/>
        <v>1100.48</v>
      </c>
      <c r="R1697" s="34" t="s">
        <v>340</v>
      </c>
      <c r="S1697" s="34" t="s">
        <v>102</v>
      </c>
      <c r="T1697" s="36">
        <v>2.8</v>
      </c>
      <c r="U1697" s="36">
        <f>Rutas[[#This Row],[Precio x Galón ($/gal)]]*Rutas[[#This Row],[Volumen de Combustible (gal)]]</f>
        <v>792.00800000000004</v>
      </c>
      <c r="V1697" s="36"/>
      <c r="W1697" s="36"/>
      <c r="X1697" s="36"/>
      <c r="Y1697" s="145">
        <f t="shared" si="526"/>
        <v>792.00800000000004</v>
      </c>
      <c r="Z1697" s="567"/>
      <c r="AA1697" s="12">
        <v>282.86</v>
      </c>
      <c r="AB1697" s="12">
        <f t="shared" si="527"/>
        <v>5.1191402107049422</v>
      </c>
      <c r="AC1697" s="12">
        <f t="shared" si="528"/>
        <v>0.76</v>
      </c>
      <c r="AD1697" s="34"/>
    </row>
    <row r="1698" spans="3:30" ht="16" x14ac:dyDescent="0.2">
      <c r="C1698" s="176">
        <f t="shared" si="523"/>
        <v>1695</v>
      </c>
      <c r="D1698" s="454"/>
      <c r="E1698" s="37"/>
      <c r="F1698" s="65"/>
      <c r="G1698" s="11" t="str">
        <f ca="1">IF(AND(E1698&lt;&gt;"",E1698&lt;TODAY()),"Disponible",IFERROR(INDEX(Vehiculos[Estado Vehiculo],MATCH(F1698,Vehiculos[Placa Vehiculo],0)),""))</f>
        <v/>
      </c>
      <c r="H1698" s="34"/>
      <c r="I1698" s="34"/>
      <c r="J1698" s="34"/>
      <c r="K1698" s="39"/>
      <c r="L1698" s="39"/>
      <c r="M1698" s="15">
        <f t="shared" si="524"/>
        <v>0</v>
      </c>
      <c r="N1698" s="15"/>
      <c r="O1698" s="39"/>
      <c r="P1698" s="36"/>
      <c r="Q1698" s="16">
        <f t="shared" si="525"/>
        <v>0</v>
      </c>
      <c r="R1698" s="34"/>
      <c r="S1698" s="34"/>
      <c r="T1698" s="36"/>
      <c r="U1698" s="36">
        <f>Rutas[[#This Row],[Precio x Galón ($/gal)]]*Rutas[[#This Row],[Volumen de Combustible (gal)]]</f>
        <v>0</v>
      </c>
      <c r="V1698" s="36"/>
      <c r="W1698" s="36"/>
      <c r="X1698" s="36"/>
      <c r="Y1698" s="145">
        <f t="shared" si="526"/>
        <v>0</v>
      </c>
      <c r="Z1698" s="567"/>
      <c r="AA1698" s="12"/>
      <c r="AB1698" s="12">
        <f t="shared" si="527"/>
        <v>0</v>
      </c>
      <c r="AC1698" s="12">
        <f t="shared" si="528"/>
        <v>0</v>
      </c>
      <c r="AD1698" s="34"/>
    </row>
    <row r="1699" spans="3:30" ht="16" x14ac:dyDescent="0.2">
      <c r="C1699" s="176">
        <f t="shared" si="523"/>
        <v>1696</v>
      </c>
      <c r="D1699" s="90">
        <v>45992</v>
      </c>
      <c r="E1699" s="90">
        <v>46001</v>
      </c>
      <c r="F1699" s="68" t="s">
        <v>365</v>
      </c>
      <c r="G1699" s="379" t="str">
        <f ca="1">IF(AND(E1699&lt;&gt;"",E1699&lt;TODAY()),"Disponible",IFERROR(INDEX(Vehiculos[Estado Vehiculo],MATCH(F1699,Vehiculos[Placa Vehiculo],0)),""))</f>
        <v>Disponible</v>
      </c>
      <c r="H1699" s="89" t="s">
        <v>234</v>
      </c>
      <c r="I1699" s="89" t="s">
        <v>273</v>
      </c>
      <c r="J1699" s="89"/>
      <c r="K1699" s="380">
        <v>368669</v>
      </c>
      <c r="L1699" s="380">
        <v>369268</v>
      </c>
      <c r="M1699" s="381">
        <f t="shared" si="524"/>
        <v>599</v>
      </c>
      <c r="N1699" s="381"/>
      <c r="O1699" s="380"/>
      <c r="P1699" s="92">
        <v>0.55000000000000004</v>
      </c>
      <c r="Q1699" s="382">
        <f t="shared" si="525"/>
        <v>329.45000000000005</v>
      </c>
      <c r="R1699" s="89" t="s">
        <v>340</v>
      </c>
      <c r="S1699" s="89" t="s">
        <v>102</v>
      </c>
      <c r="T1699" s="92">
        <v>2.8</v>
      </c>
      <c r="U1699" s="92">
        <f>Rutas[[#This Row],[Precio x Galón ($/gal)]]*Rutas[[#This Row],[Volumen de Combustible (gal)]]</f>
        <v>319.2</v>
      </c>
      <c r="V1699" s="92"/>
      <c r="W1699" s="92"/>
      <c r="X1699" s="92"/>
      <c r="Y1699" s="382">
        <f t="shared" si="526"/>
        <v>319.2</v>
      </c>
      <c r="Z1699" s="382"/>
      <c r="AA1699" s="382">
        <v>114</v>
      </c>
      <c r="AB1699" s="382">
        <f t="shared" si="527"/>
        <v>5.2543859649122808</v>
      </c>
      <c r="AC1699" s="382">
        <f t="shared" si="528"/>
        <v>0.55000000000000004</v>
      </c>
      <c r="AD1699" s="89"/>
    </row>
    <row r="1700" spans="3:30" ht="16" x14ac:dyDescent="0.2">
      <c r="C1700" s="176">
        <f t="shared" si="523"/>
        <v>1697</v>
      </c>
      <c r="D1700" s="454">
        <v>46001</v>
      </c>
      <c r="E1700" s="37">
        <v>46011</v>
      </c>
      <c r="F1700" s="65" t="s">
        <v>365</v>
      </c>
      <c r="G1700" s="11" t="str">
        <f ca="1">IF(AND(E1700&lt;&gt;"",E1700&lt;TODAY()),"Disponible",IFERROR(INDEX(Vehiculos[Estado Vehiculo],MATCH(F1700,Vehiculos[Placa Vehiculo],0)),""))</f>
        <v>Disponible</v>
      </c>
      <c r="H1700" s="34" t="s">
        <v>240</v>
      </c>
      <c r="I1700" s="34" t="s">
        <v>273</v>
      </c>
      <c r="J1700" s="34"/>
      <c r="K1700" s="39">
        <v>369268</v>
      </c>
      <c r="L1700" s="39">
        <v>370009</v>
      </c>
      <c r="M1700" s="15">
        <f t="shared" si="524"/>
        <v>741</v>
      </c>
      <c r="N1700" s="15"/>
      <c r="O1700" s="39"/>
      <c r="P1700" s="36">
        <v>0.55000000000000004</v>
      </c>
      <c r="Q1700" s="16">
        <f t="shared" si="525"/>
        <v>407.55</v>
      </c>
      <c r="R1700" s="34" t="s">
        <v>340</v>
      </c>
      <c r="S1700" s="34" t="s">
        <v>102</v>
      </c>
      <c r="T1700" s="36">
        <v>2.8</v>
      </c>
      <c r="U1700" s="36">
        <f>Rutas[[#This Row],[Precio x Galón ($/gal)]]*Rutas[[#This Row],[Volumen de Combustible (gal)]]</f>
        <v>330.4</v>
      </c>
      <c r="V1700" s="36"/>
      <c r="W1700" s="36"/>
      <c r="X1700" s="36"/>
      <c r="Y1700" s="145">
        <f t="shared" si="526"/>
        <v>330.4</v>
      </c>
      <c r="Z1700" s="567"/>
      <c r="AA1700" s="12">
        <v>118</v>
      </c>
      <c r="AB1700" s="12">
        <f t="shared" si="527"/>
        <v>6.2796610169491522</v>
      </c>
      <c r="AC1700" s="12">
        <f t="shared" si="528"/>
        <v>0.55000000000000004</v>
      </c>
      <c r="AD1700" s="34"/>
    </row>
    <row r="1701" spans="3:30" ht="16" x14ac:dyDescent="0.2">
      <c r="C1701" s="176">
        <f t="shared" si="523"/>
        <v>1698</v>
      </c>
      <c r="D1701" s="454">
        <v>46011</v>
      </c>
      <c r="E1701" s="37">
        <v>46021</v>
      </c>
      <c r="F1701" s="65" t="s">
        <v>365</v>
      </c>
      <c r="G1701" s="11" t="str">
        <f ca="1">IF(AND(E1701&lt;&gt;"",E1701&lt;TODAY()),"Disponible",IFERROR(INDEX(Vehiculos[Estado Vehiculo],MATCH(F1701,Vehiculos[Placa Vehiculo],0)),""))</f>
        <v>Disponible</v>
      </c>
      <c r="H1701" s="34" t="s">
        <v>234</v>
      </c>
      <c r="I1701" s="34" t="s">
        <v>273</v>
      </c>
      <c r="J1701" s="34"/>
      <c r="K1701" s="39">
        <v>370009</v>
      </c>
      <c r="L1701" s="39">
        <v>370695</v>
      </c>
      <c r="M1701" s="15">
        <f t="shared" si="524"/>
        <v>686</v>
      </c>
      <c r="N1701" s="452">
        <v>310</v>
      </c>
      <c r="O1701" s="39"/>
      <c r="P1701" s="36">
        <v>0.55000000000000004</v>
      </c>
      <c r="Q1701" s="16">
        <f t="shared" si="525"/>
        <v>377.3</v>
      </c>
      <c r="R1701" s="34" t="s">
        <v>340</v>
      </c>
      <c r="S1701" s="34" t="s">
        <v>102</v>
      </c>
      <c r="T1701" s="36">
        <v>2.8</v>
      </c>
      <c r="U1701" s="36">
        <f>Rutas[[#This Row],[Precio x Galón ($/gal)]]*Rutas[[#This Row],[Volumen de Combustible (gal)]]</f>
        <v>330.4</v>
      </c>
      <c r="V1701" s="36"/>
      <c r="W1701" s="36"/>
      <c r="X1701" s="36"/>
      <c r="Y1701" s="145">
        <f t="shared" si="526"/>
        <v>330.4</v>
      </c>
      <c r="Z1701" s="567"/>
      <c r="AA1701" s="12">
        <v>118</v>
      </c>
      <c r="AB1701" s="12">
        <f t="shared" si="527"/>
        <v>5.8135593220338979</v>
      </c>
      <c r="AC1701" s="12">
        <f t="shared" si="528"/>
        <v>0.55000000000000004</v>
      </c>
      <c r="AD1701" s="34"/>
    </row>
    <row r="1702" spans="3:30" ht="16" x14ac:dyDescent="0.2">
      <c r="C1702" s="176">
        <f t="shared" si="523"/>
        <v>1699</v>
      </c>
      <c r="D1702" s="454"/>
      <c r="E1702" s="37"/>
      <c r="F1702" s="65"/>
      <c r="G1702" s="11" t="str">
        <f ca="1">IF(AND(E1702&lt;&gt;"",E1702&lt;TODAY()),"Disponible",IFERROR(INDEX(Vehiculos[Estado Vehiculo],MATCH(F1702,Vehiculos[Placa Vehiculo],0)),""))</f>
        <v/>
      </c>
      <c r="H1702" s="34"/>
      <c r="I1702" s="34"/>
      <c r="J1702" s="34"/>
      <c r="K1702" s="39"/>
      <c r="L1702" s="39"/>
      <c r="M1702" s="15">
        <f t="shared" si="524"/>
        <v>0</v>
      </c>
      <c r="N1702" s="15"/>
      <c r="O1702" s="39"/>
      <c r="P1702" s="36"/>
      <c r="Q1702" s="16">
        <f t="shared" si="525"/>
        <v>0</v>
      </c>
      <c r="R1702" s="34"/>
      <c r="S1702" s="34"/>
      <c r="T1702" s="36"/>
      <c r="U1702" s="36">
        <f>Rutas[[#This Row],[Precio x Galón ($/gal)]]*Rutas[[#This Row],[Volumen de Combustible (gal)]]</f>
        <v>0</v>
      </c>
      <c r="V1702" s="36"/>
      <c r="W1702" s="36"/>
      <c r="X1702" s="36"/>
      <c r="Y1702" s="145">
        <f t="shared" si="526"/>
        <v>0</v>
      </c>
      <c r="Z1702" s="567"/>
      <c r="AA1702" s="12"/>
      <c r="AB1702" s="12">
        <f t="shared" si="527"/>
        <v>0</v>
      </c>
      <c r="AC1702" s="12">
        <f t="shared" si="528"/>
        <v>0</v>
      </c>
      <c r="AD1702" s="34"/>
    </row>
    <row r="1703" spans="3:30" ht="16" x14ac:dyDescent="0.2">
      <c r="C1703" s="176">
        <f t="shared" si="523"/>
        <v>1700</v>
      </c>
      <c r="D1703" s="90">
        <v>45992</v>
      </c>
      <c r="E1703" s="90">
        <v>46001</v>
      </c>
      <c r="F1703" s="68" t="s">
        <v>213</v>
      </c>
      <c r="G1703" s="379" t="str">
        <f ca="1">IF(AND(E1703&lt;&gt;"",E1703&lt;TODAY()),"Disponible",IFERROR(INDEX(Vehiculos[Estado Vehiculo],MATCH(F1703,Vehiculos[Placa Vehiculo],0)),""))</f>
        <v>Disponible</v>
      </c>
      <c r="H1703" s="89" t="s">
        <v>240</v>
      </c>
      <c r="I1703" s="89" t="s">
        <v>273</v>
      </c>
      <c r="J1703" s="89"/>
      <c r="K1703" s="380">
        <v>428160</v>
      </c>
      <c r="L1703" s="380">
        <v>429411</v>
      </c>
      <c r="M1703" s="381">
        <f t="shared" si="524"/>
        <v>1251</v>
      </c>
      <c r="N1703" s="381"/>
      <c r="O1703" s="380"/>
      <c r="P1703" s="92">
        <v>0.55000000000000004</v>
      </c>
      <c r="Q1703" s="382">
        <f t="shared" si="525"/>
        <v>688.05000000000007</v>
      </c>
      <c r="R1703" s="89" t="s">
        <v>339</v>
      </c>
      <c r="S1703" s="89" t="s">
        <v>102</v>
      </c>
      <c r="T1703" s="92">
        <v>2.8</v>
      </c>
      <c r="U1703" s="92">
        <f>Rutas[[#This Row],[Precio x Galón ($/gal)]]*Rutas[[#This Row],[Volumen de Combustible (gal)]]</f>
        <v>308</v>
      </c>
      <c r="V1703" s="92"/>
      <c r="W1703" s="92"/>
      <c r="X1703" s="92"/>
      <c r="Y1703" s="382">
        <f t="shared" si="526"/>
        <v>308</v>
      </c>
      <c r="Z1703" s="382"/>
      <c r="AA1703" s="382">
        <v>110</v>
      </c>
      <c r="AB1703" s="382">
        <f t="shared" si="527"/>
        <v>11.372727272727273</v>
      </c>
      <c r="AC1703" s="382">
        <f t="shared" si="528"/>
        <v>0.55000000000000004</v>
      </c>
      <c r="AD1703" s="89"/>
    </row>
    <row r="1704" spans="3:30" ht="16" x14ac:dyDescent="0.2">
      <c r="C1704" s="176">
        <f t="shared" si="523"/>
        <v>1701</v>
      </c>
      <c r="D1704" s="454">
        <v>46001</v>
      </c>
      <c r="E1704" s="37">
        <v>46011</v>
      </c>
      <c r="F1704" s="65" t="s">
        <v>213</v>
      </c>
      <c r="G1704" s="11" t="str">
        <f ca="1">IF(AND(E1704&lt;&gt;"",E1704&lt;TODAY()),"Disponible",IFERROR(INDEX(Vehiculos[Estado Vehiculo],MATCH(F1704,Vehiculos[Placa Vehiculo],0)),""))</f>
        <v>Disponible</v>
      </c>
      <c r="H1704" s="34" t="s">
        <v>240</v>
      </c>
      <c r="I1704" s="34" t="s">
        <v>273</v>
      </c>
      <c r="J1704" s="34"/>
      <c r="K1704" s="39">
        <v>429411</v>
      </c>
      <c r="L1704" s="39">
        <v>430254</v>
      </c>
      <c r="M1704" s="15">
        <f t="shared" si="524"/>
        <v>843</v>
      </c>
      <c r="N1704" s="15"/>
      <c r="O1704" s="39"/>
      <c r="P1704" s="36">
        <v>0.55000000000000004</v>
      </c>
      <c r="Q1704" s="16">
        <f t="shared" si="525"/>
        <v>463.65000000000003</v>
      </c>
      <c r="R1704" s="34" t="s">
        <v>339</v>
      </c>
      <c r="S1704" s="34" t="s">
        <v>102</v>
      </c>
      <c r="T1704" s="36">
        <v>2.8</v>
      </c>
      <c r="U1704" s="36">
        <f>Rutas[[#This Row],[Precio x Galón ($/gal)]]*Rutas[[#This Row],[Volumen de Combustible (gal)]]</f>
        <v>475.99999999999994</v>
      </c>
      <c r="V1704" s="36"/>
      <c r="W1704" s="36"/>
      <c r="X1704" s="36"/>
      <c r="Y1704" s="145">
        <f t="shared" si="526"/>
        <v>475.99999999999994</v>
      </c>
      <c r="Z1704" s="567"/>
      <c r="AA1704" s="12">
        <v>170</v>
      </c>
      <c r="AB1704" s="12">
        <f t="shared" si="527"/>
        <v>4.9588235294117649</v>
      </c>
      <c r="AC1704" s="12">
        <f t="shared" si="528"/>
        <v>0.55000000000000004</v>
      </c>
      <c r="AD1704" s="34"/>
    </row>
    <row r="1705" spans="3:30" ht="16" x14ac:dyDescent="0.2">
      <c r="C1705" s="176">
        <f t="shared" si="523"/>
        <v>1702</v>
      </c>
      <c r="D1705" s="454">
        <v>46011</v>
      </c>
      <c r="E1705" s="37">
        <v>46021</v>
      </c>
      <c r="F1705" s="65" t="s">
        <v>213</v>
      </c>
      <c r="G1705" s="11" t="str">
        <f ca="1">IF(AND(E1705&lt;&gt;"",E1705&lt;TODAY()),"Disponible",IFERROR(INDEX(Vehiculos[Estado Vehiculo],MATCH(F1705,Vehiculos[Placa Vehiculo],0)),""))</f>
        <v>Disponible</v>
      </c>
      <c r="H1705" s="34" t="s">
        <v>232</v>
      </c>
      <c r="I1705" s="34" t="s">
        <v>273</v>
      </c>
      <c r="J1705" s="34"/>
      <c r="K1705" s="39">
        <v>430254</v>
      </c>
      <c r="L1705" s="39">
        <v>431668</v>
      </c>
      <c r="M1705" s="15">
        <f t="shared" si="524"/>
        <v>1414</v>
      </c>
      <c r="N1705" s="452">
        <v>319</v>
      </c>
      <c r="O1705" s="39"/>
      <c r="P1705" s="36">
        <v>0.55000000000000004</v>
      </c>
      <c r="Q1705" s="16">
        <f t="shared" si="525"/>
        <v>777.7</v>
      </c>
      <c r="R1705" s="34" t="s">
        <v>339</v>
      </c>
      <c r="S1705" s="34" t="s">
        <v>102</v>
      </c>
      <c r="T1705" s="36">
        <v>2.8</v>
      </c>
      <c r="U1705" s="36">
        <f>Rutas[[#This Row],[Precio x Galón ($/gal)]]*Rutas[[#This Row],[Volumen de Combustible (gal)]]</f>
        <v>296.79999999999995</v>
      </c>
      <c r="V1705" s="36"/>
      <c r="W1705" s="36"/>
      <c r="X1705" s="36"/>
      <c r="Y1705" s="145">
        <f t="shared" si="526"/>
        <v>296.79999999999995</v>
      </c>
      <c r="Z1705" s="567"/>
      <c r="AA1705" s="12">
        <v>106</v>
      </c>
      <c r="AB1705" s="12">
        <f t="shared" si="527"/>
        <v>13.339622641509434</v>
      </c>
      <c r="AC1705" s="12">
        <f t="shared" si="528"/>
        <v>0.55000000000000004</v>
      </c>
      <c r="AD1705" s="34"/>
    </row>
    <row r="1706" spans="3:30" ht="16" x14ac:dyDescent="0.2">
      <c r="C1706" s="176">
        <f t="shared" si="523"/>
        <v>1703</v>
      </c>
      <c r="D1706" s="454"/>
      <c r="E1706" s="37"/>
      <c r="F1706" s="65"/>
      <c r="G1706" s="11" t="str">
        <f ca="1">IF(AND(E1706&lt;&gt;"",E1706&lt;TODAY()),"Disponible",IFERROR(INDEX(Vehiculos[Estado Vehiculo],MATCH(F1706,Vehiculos[Placa Vehiculo],0)),""))</f>
        <v/>
      </c>
      <c r="H1706" s="34"/>
      <c r="I1706" s="34"/>
      <c r="J1706" s="34"/>
      <c r="K1706" s="39"/>
      <c r="L1706" s="39"/>
      <c r="M1706" s="15">
        <f t="shared" si="524"/>
        <v>0</v>
      </c>
      <c r="N1706" s="15"/>
      <c r="O1706" s="39"/>
      <c r="P1706" s="36"/>
      <c r="Q1706" s="16">
        <f t="shared" si="525"/>
        <v>0</v>
      </c>
      <c r="R1706" s="34"/>
      <c r="S1706" s="34"/>
      <c r="T1706" s="36"/>
      <c r="U1706" s="36">
        <f>Rutas[[#This Row],[Precio x Galón ($/gal)]]*Rutas[[#This Row],[Volumen de Combustible (gal)]]</f>
        <v>0</v>
      </c>
      <c r="V1706" s="36"/>
      <c r="W1706" s="36"/>
      <c r="X1706" s="36"/>
      <c r="Y1706" s="145">
        <f t="shared" si="526"/>
        <v>0</v>
      </c>
      <c r="Z1706" s="567"/>
      <c r="AA1706" s="12"/>
      <c r="AB1706" s="12">
        <f t="shared" si="527"/>
        <v>0</v>
      </c>
      <c r="AC1706" s="12">
        <f t="shared" si="528"/>
        <v>0</v>
      </c>
      <c r="AD1706" s="34"/>
    </row>
    <row r="1707" spans="3:30" ht="16" x14ac:dyDescent="0.2">
      <c r="C1707" s="176">
        <f t="shared" si="523"/>
        <v>1704</v>
      </c>
      <c r="D1707" s="90">
        <v>45992</v>
      </c>
      <c r="E1707" s="90">
        <v>45997</v>
      </c>
      <c r="F1707" s="68" t="s">
        <v>286</v>
      </c>
      <c r="G1707" s="379" t="str">
        <f ca="1">IF(AND(E1707&lt;&gt;"",E1707&lt;TODAY()),"Disponible",IFERROR(INDEX(Vehiculos[Estado Vehiculo],MATCH(F1707,Vehiculos[Placa Vehiculo],0)),""))</f>
        <v>Disponible</v>
      </c>
      <c r="H1707" s="89"/>
      <c r="I1707" s="89" t="s">
        <v>273</v>
      </c>
      <c r="J1707" s="89"/>
      <c r="K1707" s="380">
        <v>113030</v>
      </c>
      <c r="L1707" s="380">
        <v>113075</v>
      </c>
      <c r="M1707" s="381">
        <f t="shared" si="524"/>
        <v>45</v>
      </c>
      <c r="N1707" s="381"/>
      <c r="O1707" s="380"/>
      <c r="P1707" s="92"/>
      <c r="Q1707" s="382">
        <f t="shared" si="525"/>
        <v>0</v>
      </c>
      <c r="R1707" s="89" t="s">
        <v>273</v>
      </c>
      <c r="S1707" s="89" t="s">
        <v>102</v>
      </c>
      <c r="T1707" s="92">
        <v>2.8</v>
      </c>
      <c r="U1707" s="92">
        <f>Rutas[[#This Row],[Precio x Galón ($/gal)]]*Rutas[[#This Row],[Volumen de Combustible (gal)]]</f>
        <v>35</v>
      </c>
      <c r="V1707" s="92"/>
      <c r="W1707" s="92"/>
      <c r="X1707" s="92"/>
      <c r="Y1707" s="382">
        <f t="shared" si="526"/>
        <v>35</v>
      </c>
      <c r="Z1707" s="382"/>
      <c r="AA1707" s="382">
        <v>12.5</v>
      </c>
      <c r="AB1707" s="382">
        <f t="shared" si="527"/>
        <v>3.6</v>
      </c>
      <c r="AC1707" s="382">
        <f t="shared" si="528"/>
        <v>0</v>
      </c>
      <c r="AD1707" s="89"/>
    </row>
    <row r="1708" spans="3:30" ht="16" x14ac:dyDescent="0.2">
      <c r="C1708" s="176">
        <f t="shared" si="523"/>
        <v>1705</v>
      </c>
      <c r="D1708" s="454">
        <v>45997</v>
      </c>
      <c r="E1708" s="37">
        <v>46002</v>
      </c>
      <c r="F1708" s="65" t="s">
        <v>286</v>
      </c>
      <c r="G1708" s="11" t="str">
        <f ca="1">IF(AND(E1708&lt;&gt;"",E1708&lt;TODAY()),"Disponible",IFERROR(INDEX(Vehiculos[Estado Vehiculo],MATCH(F1708,Vehiculos[Placa Vehiculo],0)),""))</f>
        <v>Disponible</v>
      </c>
      <c r="H1708" s="34" t="s">
        <v>288</v>
      </c>
      <c r="I1708" s="34" t="s">
        <v>273</v>
      </c>
      <c r="J1708" s="34"/>
      <c r="K1708" s="39">
        <v>113075</v>
      </c>
      <c r="L1708" s="39">
        <v>113566</v>
      </c>
      <c r="M1708" s="15">
        <f t="shared" si="524"/>
        <v>491</v>
      </c>
      <c r="N1708" s="15"/>
      <c r="O1708" s="39"/>
      <c r="P1708" s="36"/>
      <c r="Q1708" s="16">
        <f t="shared" si="525"/>
        <v>0</v>
      </c>
      <c r="R1708" s="34" t="s">
        <v>339</v>
      </c>
      <c r="S1708" s="34" t="s">
        <v>102</v>
      </c>
      <c r="T1708" s="36">
        <v>2.8</v>
      </c>
      <c r="U1708" s="36">
        <f>Rutas[[#This Row],[Precio x Galón ($/gal)]]*Rutas[[#This Row],[Volumen de Combustible (gal)]]</f>
        <v>43.007999999999996</v>
      </c>
      <c r="V1708" s="36"/>
      <c r="W1708" s="36"/>
      <c r="X1708" s="36"/>
      <c r="Y1708" s="145">
        <f t="shared" si="526"/>
        <v>43.007999999999996</v>
      </c>
      <c r="Z1708" s="572">
        <v>16249</v>
      </c>
      <c r="AA1708" s="12">
        <v>15.36</v>
      </c>
      <c r="AB1708" s="12">
        <f t="shared" si="527"/>
        <v>31.966145833333336</v>
      </c>
      <c r="AC1708" s="12">
        <f t="shared" si="528"/>
        <v>0</v>
      </c>
      <c r="AD1708" s="34"/>
    </row>
    <row r="1709" spans="3:30" ht="16" x14ac:dyDescent="0.2">
      <c r="C1709" s="176">
        <f t="shared" si="523"/>
        <v>1706</v>
      </c>
      <c r="D1709" s="454">
        <v>46002</v>
      </c>
      <c r="E1709" s="37">
        <v>46009</v>
      </c>
      <c r="F1709" s="65" t="s">
        <v>286</v>
      </c>
      <c r="G1709" s="11" t="str">
        <f ca="1">IF(AND(E1709&lt;&gt;"",E1709&lt;TODAY()),"Disponible",IFERROR(INDEX(Vehiculos[Estado Vehiculo],MATCH(F1709,Vehiculos[Placa Vehiculo],0)),""))</f>
        <v>Disponible</v>
      </c>
      <c r="H1709" s="34" t="s">
        <v>288</v>
      </c>
      <c r="I1709" s="34" t="s">
        <v>273</v>
      </c>
      <c r="J1709" s="34"/>
      <c r="K1709" s="39">
        <v>113566</v>
      </c>
      <c r="L1709" s="39">
        <v>113995</v>
      </c>
      <c r="M1709" s="15">
        <f t="shared" si="524"/>
        <v>429</v>
      </c>
      <c r="N1709" s="15"/>
      <c r="O1709" s="39"/>
      <c r="P1709" s="36"/>
      <c r="Q1709" s="16">
        <f t="shared" si="525"/>
        <v>0</v>
      </c>
      <c r="R1709" s="34" t="s">
        <v>339</v>
      </c>
      <c r="S1709" s="34" t="s">
        <v>102</v>
      </c>
      <c r="T1709" s="36">
        <v>2.8</v>
      </c>
      <c r="U1709" s="36">
        <f>Rutas[[#This Row],[Precio x Galón ($/gal)]]*Rutas[[#This Row],[Volumen de Combustible (gal)]]</f>
        <v>38.359999999999992</v>
      </c>
      <c r="V1709" s="36"/>
      <c r="W1709" s="36"/>
      <c r="X1709" s="36"/>
      <c r="Y1709" s="145">
        <f t="shared" si="526"/>
        <v>38.359999999999992</v>
      </c>
      <c r="Z1709" s="572">
        <v>16265</v>
      </c>
      <c r="AA1709" s="12">
        <v>13.7</v>
      </c>
      <c r="AB1709" s="12">
        <f t="shared" si="527"/>
        <v>31.313868613138688</v>
      </c>
      <c r="AC1709" s="12">
        <f t="shared" si="528"/>
        <v>0</v>
      </c>
      <c r="AD1709" s="34"/>
    </row>
    <row r="1710" spans="3:30" ht="16" x14ac:dyDescent="0.2">
      <c r="C1710" s="176">
        <f t="shared" si="523"/>
        <v>1707</v>
      </c>
      <c r="D1710" s="454">
        <v>46009</v>
      </c>
      <c r="E1710" s="37">
        <v>46013</v>
      </c>
      <c r="F1710" s="65" t="s">
        <v>286</v>
      </c>
      <c r="G1710" s="11" t="str">
        <f ca="1">IF(AND(E1710&lt;&gt;"",E1710&lt;TODAY()),"Disponible",IFERROR(INDEX(Vehiculos[Estado Vehiculo],MATCH(F1710,Vehiculos[Placa Vehiculo],0)),""))</f>
        <v>Disponible</v>
      </c>
      <c r="H1710" s="34" t="s">
        <v>288</v>
      </c>
      <c r="I1710" s="34" t="s">
        <v>273</v>
      </c>
      <c r="J1710" s="34"/>
      <c r="K1710" s="39">
        <v>113995</v>
      </c>
      <c r="L1710" s="39">
        <v>114549</v>
      </c>
      <c r="M1710" s="15">
        <f t="shared" si="524"/>
        <v>554</v>
      </c>
      <c r="N1710" s="15"/>
      <c r="O1710" s="39"/>
      <c r="P1710" s="36"/>
      <c r="Q1710" s="16">
        <f t="shared" si="525"/>
        <v>0</v>
      </c>
      <c r="R1710" s="34" t="s">
        <v>339</v>
      </c>
      <c r="S1710" s="34" t="s">
        <v>102</v>
      </c>
      <c r="T1710" s="36">
        <v>2.8</v>
      </c>
      <c r="U1710" s="36">
        <f>Rutas[[#This Row],[Precio x Galón ($/gal)]]*Rutas[[#This Row],[Volumen de Combustible (gal)]]</f>
        <v>44.744</v>
      </c>
      <c r="V1710" s="36"/>
      <c r="W1710" s="36"/>
      <c r="X1710" s="36"/>
      <c r="Y1710" s="145">
        <f t="shared" si="526"/>
        <v>44.744</v>
      </c>
      <c r="Z1710" s="567"/>
      <c r="AA1710" s="12">
        <v>15.98</v>
      </c>
      <c r="AB1710" s="12">
        <f t="shared" si="527"/>
        <v>34.668335419274094</v>
      </c>
      <c r="AC1710" s="12">
        <f t="shared" si="528"/>
        <v>0</v>
      </c>
      <c r="AD1710" s="34"/>
    </row>
    <row r="1711" spans="3:30" ht="16" x14ac:dyDescent="0.2">
      <c r="C1711" s="176">
        <f t="shared" si="523"/>
        <v>1708</v>
      </c>
      <c r="D1711" s="454">
        <v>46013</v>
      </c>
      <c r="E1711" s="37">
        <v>46019</v>
      </c>
      <c r="F1711" s="65" t="s">
        <v>286</v>
      </c>
      <c r="G1711" s="11" t="str">
        <f ca="1">IF(AND(E1711&lt;&gt;"",E1711&lt;TODAY()),"Disponible",IFERROR(INDEX(Vehiculos[Estado Vehiculo],MATCH(F1711,Vehiculos[Placa Vehiculo],0)),""))</f>
        <v>Disponible</v>
      </c>
      <c r="H1711" s="34" t="s">
        <v>288</v>
      </c>
      <c r="I1711" s="34" t="s">
        <v>273</v>
      </c>
      <c r="J1711" s="34"/>
      <c r="K1711" s="39">
        <v>114549</v>
      </c>
      <c r="L1711" s="39">
        <v>115045</v>
      </c>
      <c r="M1711" s="15">
        <f t="shared" si="524"/>
        <v>496</v>
      </c>
      <c r="N1711" s="15"/>
      <c r="O1711" s="39"/>
      <c r="P1711" s="36"/>
      <c r="Q1711" s="16">
        <f t="shared" si="525"/>
        <v>0</v>
      </c>
      <c r="R1711" s="34" t="s">
        <v>339</v>
      </c>
      <c r="S1711" s="34" t="s">
        <v>102</v>
      </c>
      <c r="T1711" s="36">
        <v>2.8</v>
      </c>
      <c r="U1711" s="36">
        <f>Rutas[[#This Row],[Precio x Galón ($/gal)]]*Rutas[[#This Row],[Volumen de Combustible (gal)]]</f>
        <v>43.735999999999997</v>
      </c>
      <c r="V1711" s="36"/>
      <c r="W1711" s="36"/>
      <c r="X1711" s="36"/>
      <c r="Y1711" s="145">
        <f t="shared" si="526"/>
        <v>43.735999999999997</v>
      </c>
      <c r="Z1711" s="572">
        <v>16286</v>
      </c>
      <c r="AA1711" s="12">
        <v>15.62</v>
      </c>
      <c r="AB1711" s="12">
        <f t="shared" si="527"/>
        <v>31.754161331626122</v>
      </c>
      <c r="AC1711" s="12">
        <f t="shared" si="528"/>
        <v>0</v>
      </c>
      <c r="AD1711" s="34"/>
    </row>
    <row r="1712" spans="3:30" ht="16" x14ac:dyDescent="0.2">
      <c r="C1712" s="176">
        <f t="shared" si="523"/>
        <v>1709</v>
      </c>
      <c r="D1712" s="454"/>
      <c r="E1712" s="37"/>
      <c r="F1712" s="65"/>
      <c r="G1712" s="11" t="str">
        <f ca="1">IF(AND(E1712&lt;&gt;"",E1712&lt;TODAY()),"Disponible",IFERROR(INDEX(Vehiculos[Estado Vehiculo],MATCH(F1712,Vehiculos[Placa Vehiculo],0)),""))</f>
        <v/>
      </c>
      <c r="H1712" s="34"/>
      <c r="I1712" s="34"/>
      <c r="J1712" s="34"/>
      <c r="K1712" s="39"/>
      <c r="L1712" s="39"/>
      <c r="M1712" s="15">
        <f>L1712-K1712</f>
        <v>0</v>
      </c>
      <c r="N1712" s="15"/>
      <c r="O1712" s="39"/>
      <c r="P1712" s="36"/>
      <c r="Q1712" s="16">
        <f>M1712*P1712</f>
        <v>0</v>
      </c>
      <c r="R1712" s="34"/>
      <c r="S1712" s="34"/>
      <c r="T1712" s="36"/>
      <c r="U1712" s="36"/>
      <c r="V1712" s="36"/>
      <c r="W1712" s="36"/>
      <c r="X1712" s="36"/>
      <c r="Y1712" s="145">
        <f>U1712+SUM(V1712:X1712)</f>
        <v>0</v>
      </c>
      <c r="Z1712" s="567"/>
      <c r="AA1712" s="12"/>
      <c r="AB1712" s="12">
        <f>IFERROR(M1712/AA1712,0)</f>
        <v>0</v>
      </c>
      <c r="AC1712" s="12">
        <f>IFERROR(Q1712/M1712,0)</f>
        <v>0</v>
      </c>
      <c r="AD1712" s="34"/>
    </row>
    <row r="1713" spans="3:30" ht="16" x14ac:dyDescent="0.2">
      <c r="C1713" s="176">
        <f t="shared" si="523"/>
        <v>1710</v>
      </c>
      <c r="D1713" s="454"/>
      <c r="E1713" s="37"/>
      <c r="F1713" s="65"/>
      <c r="G1713" s="11" t="str">
        <f ca="1">IF(AND(E1713&lt;&gt;"",E1713&lt;TODAY()),"Disponible",IFERROR(INDEX(Vehiculos[Estado Vehiculo],MATCH(F1713,Vehiculos[Placa Vehiculo],0)),""))</f>
        <v/>
      </c>
      <c r="H1713" s="34"/>
      <c r="I1713" s="34"/>
      <c r="J1713" s="34"/>
      <c r="K1713" s="39"/>
      <c r="L1713" s="39"/>
      <c r="M1713" s="15">
        <f>L1713-K1713</f>
        <v>0</v>
      </c>
      <c r="N1713" s="15"/>
      <c r="O1713" s="39"/>
      <c r="P1713" s="36"/>
      <c r="Q1713" s="16">
        <f>M1713*P1713</f>
        <v>0</v>
      </c>
      <c r="R1713" s="34"/>
      <c r="S1713" s="34"/>
      <c r="T1713" s="36"/>
      <c r="U1713" s="36"/>
      <c r="V1713" s="36"/>
      <c r="W1713" s="36"/>
      <c r="X1713" s="36"/>
      <c r="Y1713" s="145">
        <f>U1713+SUM(V1713:X1713)</f>
        <v>0</v>
      </c>
      <c r="Z1713" s="567"/>
      <c r="AA1713" s="12"/>
      <c r="AB1713" s="12">
        <f>IFERROR(M1713/AA1713,0)</f>
        <v>0</v>
      </c>
      <c r="AC1713" s="12">
        <f>IFERROR(Q1713/M1713,0)</f>
        <v>0</v>
      </c>
      <c r="AD1713" s="34"/>
    </row>
    <row r="1714" spans="3:30" ht="16" x14ac:dyDescent="0.2">
      <c r="C1714" s="176">
        <f t="shared" si="523"/>
        <v>1711</v>
      </c>
      <c r="D1714" s="454"/>
      <c r="E1714" s="37"/>
      <c r="F1714" s="65"/>
      <c r="G1714" s="11" t="str">
        <f ca="1">IF(AND(E1714&lt;&gt;"",E1714&lt;TODAY()),"Disponible",IFERROR(INDEX(Vehiculos[Estado Vehiculo],MATCH(F1714,Vehiculos[Placa Vehiculo],0)),""))</f>
        <v/>
      </c>
      <c r="H1714" s="34"/>
      <c r="I1714" s="34"/>
      <c r="J1714" s="34"/>
      <c r="K1714" s="39"/>
      <c r="L1714" s="39"/>
      <c r="M1714" s="15">
        <f t="shared" si="524"/>
        <v>0</v>
      </c>
      <c r="N1714" s="15"/>
      <c r="O1714" s="39"/>
      <c r="P1714" s="36"/>
      <c r="Q1714" s="16">
        <f t="shared" si="525"/>
        <v>0</v>
      </c>
      <c r="R1714" s="34"/>
      <c r="S1714" s="34"/>
      <c r="T1714" s="36"/>
      <c r="U1714" s="36">
        <f>Rutas[[#This Row],[Precio x Galón ($/gal)]]*Rutas[[#This Row],[Volumen de Combustible (gal)]]</f>
        <v>0</v>
      </c>
      <c r="V1714" s="36"/>
      <c r="W1714" s="36"/>
      <c r="X1714" s="36"/>
      <c r="Y1714" s="145">
        <f t="shared" si="526"/>
        <v>0</v>
      </c>
      <c r="Z1714" s="567"/>
      <c r="AA1714" s="12"/>
      <c r="AB1714" s="12">
        <f t="shared" si="527"/>
        <v>0</v>
      </c>
      <c r="AC1714" s="12">
        <f t="shared" si="528"/>
        <v>0</v>
      </c>
      <c r="AD1714" s="34"/>
    </row>
    <row r="1715" spans="3:30" ht="16" x14ac:dyDescent="0.2">
      <c r="C1715" s="176">
        <f t="shared" si="523"/>
        <v>1712</v>
      </c>
      <c r="D1715" s="90">
        <v>45992</v>
      </c>
      <c r="E1715" s="90">
        <v>45994</v>
      </c>
      <c r="F1715" s="68" t="s">
        <v>320</v>
      </c>
      <c r="G1715" s="379" t="str">
        <f ca="1">IF(AND(E1715&lt;&gt;"",E1715&lt;TODAY()),"Disponible",IFERROR(INDEX(Vehiculos[Estado Vehiculo],MATCH(F1715,Vehiculos[Placa Vehiculo],0)),""))</f>
        <v>Disponible</v>
      </c>
      <c r="H1715" s="89"/>
      <c r="I1715" s="89" t="s">
        <v>273</v>
      </c>
      <c r="J1715" s="89"/>
      <c r="K1715" s="380">
        <v>3845</v>
      </c>
      <c r="L1715" s="380">
        <v>3886</v>
      </c>
      <c r="M1715" s="381">
        <f t="shared" si="524"/>
        <v>41</v>
      </c>
      <c r="N1715" s="381">
        <f>Rutas[[#This Row],[Kms Recorridos]]</f>
        <v>41</v>
      </c>
      <c r="O1715" s="380"/>
      <c r="P1715" s="92"/>
      <c r="Q1715" s="382">
        <f t="shared" si="525"/>
        <v>0</v>
      </c>
      <c r="R1715" s="89" t="s">
        <v>273</v>
      </c>
      <c r="S1715" s="89" t="s">
        <v>102</v>
      </c>
      <c r="T1715" s="92">
        <v>2.8</v>
      </c>
      <c r="U1715" s="92">
        <f>Rutas[[#This Row],[Precio x Galón ($/gal)]]*Rutas[[#This Row],[Volumen de Combustible (gal)]]</f>
        <v>56.923999999999992</v>
      </c>
      <c r="V1715" s="92"/>
      <c r="W1715" s="92"/>
      <c r="X1715" s="92"/>
      <c r="Y1715" s="382">
        <f t="shared" si="526"/>
        <v>56.923999999999992</v>
      </c>
      <c r="Z1715" s="578">
        <v>16237</v>
      </c>
      <c r="AA1715" s="382">
        <v>20.329999999999998</v>
      </c>
      <c r="AB1715" s="382">
        <f t="shared" si="527"/>
        <v>2.0167240531234629</v>
      </c>
      <c r="AC1715" s="382">
        <f t="shared" si="528"/>
        <v>0</v>
      </c>
      <c r="AD1715" s="89"/>
    </row>
    <row r="1716" spans="3:30" ht="16" x14ac:dyDescent="0.2">
      <c r="C1716" s="176">
        <f t="shared" si="523"/>
        <v>1713</v>
      </c>
      <c r="D1716" s="454">
        <v>45994</v>
      </c>
      <c r="E1716" s="37">
        <v>45996</v>
      </c>
      <c r="F1716" s="65" t="s">
        <v>320</v>
      </c>
      <c r="G1716" s="11" t="str">
        <f ca="1">IF(AND(E1716&lt;&gt;"",E1716&lt;TODAY()),"Disponible",IFERROR(INDEX(Vehiculos[Estado Vehiculo],MATCH(F1716,Vehiculos[Placa Vehiculo],0)),""))</f>
        <v>Disponible</v>
      </c>
      <c r="H1716" s="34"/>
      <c r="I1716" s="34" t="s">
        <v>273</v>
      </c>
      <c r="J1716" s="34"/>
      <c r="K1716" s="39">
        <v>3886</v>
      </c>
      <c r="L1716" s="39">
        <v>3906</v>
      </c>
      <c r="M1716" s="15">
        <f t="shared" si="524"/>
        <v>20</v>
      </c>
      <c r="N1716" s="381">
        <f>Rutas[[#This Row],[Kms Recorridos]]</f>
        <v>20</v>
      </c>
      <c r="O1716" s="39"/>
      <c r="P1716" s="36"/>
      <c r="Q1716" s="16">
        <f t="shared" si="525"/>
        <v>0</v>
      </c>
      <c r="R1716" s="34" t="s">
        <v>273</v>
      </c>
      <c r="S1716" s="34" t="s">
        <v>102</v>
      </c>
      <c r="T1716" s="36">
        <v>2.8</v>
      </c>
      <c r="U1716" s="36">
        <f>Rutas[[#This Row],[Precio x Galón ($/gal)]]*Rutas[[#This Row],[Volumen de Combustible (gal)]]</f>
        <v>43.931999999999995</v>
      </c>
      <c r="V1716" s="36"/>
      <c r="W1716" s="36"/>
      <c r="X1716" s="36"/>
      <c r="Y1716" s="145">
        <f t="shared" si="526"/>
        <v>43.931999999999995</v>
      </c>
      <c r="Z1716" s="567"/>
      <c r="AA1716" s="12">
        <v>15.69</v>
      </c>
      <c r="AB1716" s="12">
        <f t="shared" si="527"/>
        <v>1.2746972594008923</v>
      </c>
      <c r="AC1716" s="12">
        <f t="shared" si="528"/>
        <v>0</v>
      </c>
      <c r="AD1716" s="34"/>
    </row>
    <row r="1717" spans="3:30" ht="16" x14ac:dyDescent="0.2">
      <c r="C1717" s="176">
        <f t="shared" si="523"/>
        <v>1714</v>
      </c>
      <c r="D1717" s="454">
        <v>45996</v>
      </c>
      <c r="E1717" s="37">
        <v>46000</v>
      </c>
      <c r="F1717" s="65" t="s">
        <v>320</v>
      </c>
      <c r="G1717" s="11" t="str">
        <f ca="1">IF(AND(E1717&lt;&gt;"",E1717&lt;TODAY()),"Disponible",IFERROR(INDEX(Vehiculos[Estado Vehiculo],MATCH(F1717,Vehiculos[Placa Vehiculo],0)),""))</f>
        <v>Disponible</v>
      </c>
      <c r="H1717" s="34"/>
      <c r="I1717" s="34" t="s">
        <v>273</v>
      </c>
      <c r="J1717" s="34"/>
      <c r="K1717" s="39">
        <v>3906</v>
      </c>
      <c r="L1717" s="39">
        <v>3943</v>
      </c>
      <c r="M1717" s="15">
        <f t="shared" si="524"/>
        <v>37</v>
      </c>
      <c r="N1717" s="381">
        <f>Rutas[[#This Row],[Kms Recorridos]]</f>
        <v>37</v>
      </c>
      <c r="O1717" s="39"/>
      <c r="P1717" s="36"/>
      <c r="Q1717" s="16">
        <f t="shared" si="525"/>
        <v>0</v>
      </c>
      <c r="R1717" s="34" t="s">
        <v>273</v>
      </c>
      <c r="S1717" s="34" t="s">
        <v>102</v>
      </c>
      <c r="T1717" s="36">
        <v>2.8</v>
      </c>
      <c r="U1717" s="36">
        <f>Rutas[[#This Row],[Precio x Galón ($/gal)]]*Rutas[[#This Row],[Volumen de Combustible (gal)]]</f>
        <v>84.084000000000003</v>
      </c>
      <c r="V1717" s="36"/>
      <c r="W1717" s="36"/>
      <c r="X1717" s="36"/>
      <c r="Y1717" s="145">
        <f t="shared" si="526"/>
        <v>84.084000000000003</v>
      </c>
      <c r="Z1717" s="567"/>
      <c r="AA1717" s="12">
        <v>30.03</v>
      </c>
      <c r="AB1717" s="12">
        <f t="shared" si="527"/>
        <v>1.2321012321012321</v>
      </c>
      <c r="AC1717" s="12">
        <f t="shared" si="528"/>
        <v>0</v>
      </c>
      <c r="AD1717" s="34"/>
    </row>
    <row r="1718" spans="3:30" ht="16" x14ac:dyDescent="0.2">
      <c r="C1718" s="176">
        <f t="shared" si="523"/>
        <v>1715</v>
      </c>
      <c r="D1718" s="454">
        <v>46000</v>
      </c>
      <c r="E1718" s="37">
        <v>46004</v>
      </c>
      <c r="F1718" s="65" t="s">
        <v>320</v>
      </c>
      <c r="G1718" s="11" t="str">
        <f ca="1">IF(AND(E1718&lt;&gt;"",E1718&lt;TODAY()),"Disponible",IFERROR(INDEX(Vehiculos[Estado Vehiculo],MATCH(F1718,Vehiculos[Placa Vehiculo],0)),""))</f>
        <v>Disponible</v>
      </c>
      <c r="H1718" s="34" t="s">
        <v>239</v>
      </c>
      <c r="I1718" s="34" t="s">
        <v>273</v>
      </c>
      <c r="J1718" s="34"/>
      <c r="K1718" s="39">
        <v>3943</v>
      </c>
      <c r="L1718" s="39">
        <v>3973</v>
      </c>
      <c r="M1718" s="15">
        <f t="shared" si="524"/>
        <v>30</v>
      </c>
      <c r="N1718" s="381">
        <f>Rutas[[#This Row],[Kms Recorridos]]</f>
        <v>30</v>
      </c>
      <c r="O1718" s="39"/>
      <c r="P1718" s="36"/>
      <c r="Q1718" s="16">
        <f t="shared" si="525"/>
        <v>0</v>
      </c>
      <c r="R1718" s="34" t="s">
        <v>273</v>
      </c>
      <c r="S1718" s="34" t="s">
        <v>102</v>
      </c>
      <c r="T1718" s="36">
        <v>2.8</v>
      </c>
      <c r="U1718" s="36">
        <f>Rutas[[#This Row],[Precio x Galón ($/gal)]]*Rutas[[#This Row],[Volumen de Combustible (gal)]]</f>
        <v>60.843999999999994</v>
      </c>
      <c r="V1718" s="36"/>
      <c r="W1718" s="36"/>
      <c r="X1718" s="36"/>
      <c r="Y1718" s="145">
        <f t="shared" si="526"/>
        <v>60.843999999999994</v>
      </c>
      <c r="Z1718" s="567"/>
      <c r="AA1718" s="12">
        <v>21.73</v>
      </c>
      <c r="AB1718" s="12">
        <f t="shared" si="527"/>
        <v>1.3805798435342844</v>
      </c>
      <c r="AC1718" s="12">
        <f t="shared" si="528"/>
        <v>0</v>
      </c>
      <c r="AD1718" s="34"/>
    </row>
    <row r="1719" spans="3:30" ht="16" x14ac:dyDescent="0.2">
      <c r="C1719" s="176">
        <f t="shared" si="523"/>
        <v>1716</v>
      </c>
      <c r="D1719" s="454">
        <v>46004</v>
      </c>
      <c r="E1719" s="37">
        <v>46007</v>
      </c>
      <c r="F1719" s="65" t="s">
        <v>320</v>
      </c>
      <c r="G1719" s="11" t="str">
        <f ca="1">IF(AND(E1719&lt;&gt;"",E1719&lt;TODAY()),"Disponible",IFERROR(INDEX(Vehiculos[Estado Vehiculo],MATCH(F1719,Vehiculos[Placa Vehiculo],0)),""))</f>
        <v>Disponible</v>
      </c>
      <c r="H1719" s="34"/>
      <c r="I1719" s="34" t="s">
        <v>273</v>
      </c>
      <c r="J1719" s="34"/>
      <c r="K1719" s="39">
        <v>3973</v>
      </c>
      <c r="L1719" s="39">
        <v>4002</v>
      </c>
      <c r="M1719" s="15">
        <f t="shared" si="524"/>
        <v>29</v>
      </c>
      <c r="N1719" s="381">
        <f>Rutas[[#This Row],[Kms Recorridos]]</f>
        <v>29</v>
      </c>
      <c r="O1719" s="39"/>
      <c r="P1719" s="36"/>
      <c r="Q1719" s="16">
        <f t="shared" si="525"/>
        <v>0</v>
      </c>
      <c r="R1719" s="34" t="s">
        <v>273</v>
      </c>
      <c r="S1719" s="34" t="s">
        <v>102</v>
      </c>
      <c r="T1719" s="36">
        <v>2.8</v>
      </c>
      <c r="U1719" s="36">
        <f>Rutas[[#This Row],[Precio x Galón ($/gal)]]*Rutas[[#This Row],[Volumen de Combustible (gal)]]</f>
        <v>60.984000000000002</v>
      </c>
      <c r="V1719" s="36"/>
      <c r="W1719" s="36"/>
      <c r="X1719" s="36"/>
      <c r="Y1719" s="145">
        <f t="shared" si="526"/>
        <v>60.984000000000002</v>
      </c>
      <c r="Z1719" s="567"/>
      <c r="AA1719" s="12">
        <v>21.78</v>
      </c>
      <c r="AB1719" s="12">
        <f t="shared" si="527"/>
        <v>1.3314967860422404</v>
      </c>
      <c r="AC1719" s="12">
        <f t="shared" si="528"/>
        <v>0</v>
      </c>
      <c r="AD1719" s="34"/>
    </row>
    <row r="1720" spans="3:30" ht="16" x14ac:dyDescent="0.2">
      <c r="C1720" s="176">
        <f t="shared" si="523"/>
        <v>1717</v>
      </c>
      <c r="D1720" s="454">
        <v>46007</v>
      </c>
      <c r="E1720" s="37">
        <v>46011</v>
      </c>
      <c r="F1720" s="65" t="s">
        <v>320</v>
      </c>
      <c r="G1720" s="11" t="str">
        <f ca="1">IF(AND(E1720&lt;&gt;"",E1720&lt;TODAY()),"Disponible",IFERROR(INDEX(Vehiculos[Estado Vehiculo],MATCH(F1720,Vehiculos[Placa Vehiculo],0)),""))</f>
        <v>Disponible</v>
      </c>
      <c r="H1720" s="34"/>
      <c r="I1720" s="34" t="s">
        <v>273</v>
      </c>
      <c r="J1720" s="34"/>
      <c r="K1720" s="39">
        <v>4002</v>
      </c>
      <c r="L1720" s="39">
        <v>4031</v>
      </c>
      <c r="M1720" s="15">
        <f t="shared" ref="M1720:M1725" si="539">L1720-K1720</f>
        <v>29</v>
      </c>
      <c r="N1720" s="381">
        <f>Rutas[[#This Row],[Kms Recorridos]]</f>
        <v>29</v>
      </c>
      <c r="O1720" s="39"/>
      <c r="P1720" s="36"/>
      <c r="Q1720" s="16">
        <f t="shared" ref="Q1720:Q1725" si="540">M1720*P1720</f>
        <v>0</v>
      </c>
      <c r="R1720" s="34" t="s">
        <v>339</v>
      </c>
      <c r="S1720" s="34" t="s">
        <v>102</v>
      </c>
      <c r="T1720" s="36">
        <v>2.8</v>
      </c>
      <c r="U1720" s="36">
        <f>Rutas[[#This Row],[Precio x Galón ($/gal)]]*Rutas[[#This Row],[Volumen de Combustible (gal)]]</f>
        <v>58.855999999999995</v>
      </c>
      <c r="V1720" s="36"/>
      <c r="W1720" s="36"/>
      <c r="X1720" s="36"/>
      <c r="Y1720" s="145">
        <f t="shared" ref="Y1720:Y1725" si="541">U1720+SUM(V1720:X1720)</f>
        <v>58.855999999999995</v>
      </c>
      <c r="Z1720" s="572">
        <v>16268</v>
      </c>
      <c r="AA1720" s="12">
        <v>21.02</v>
      </c>
      <c r="AB1720" s="12">
        <f t="shared" ref="AB1720:AB1725" si="542">IFERROR(M1720/AA1720,0)</f>
        <v>1.379638439581351</v>
      </c>
      <c r="AC1720" s="12">
        <f t="shared" ref="AC1720:AC1725" si="543">IFERROR(Q1720/M1720,0)</f>
        <v>0</v>
      </c>
      <c r="AD1720" s="34"/>
    </row>
    <row r="1721" spans="3:30" ht="16" x14ac:dyDescent="0.2">
      <c r="C1721" s="176">
        <f t="shared" si="523"/>
        <v>1718</v>
      </c>
      <c r="D1721" s="454">
        <v>46011</v>
      </c>
      <c r="E1721" s="37">
        <v>46013</v>
      </c>
      <c r="F1721" s="65" t="s">
        <v>320</v>
      </c>
      <c r="G1721" s="11" t="str">
        <f ca="1">IF(AND(E1721&lt;&gt;"",E1721&lt;TODAY()),"Disponible",IFERROR(INDEX(Vehiculos[Estado Vehiculo],MATCH(F1721,Vehiculos[Placa Vehiculo],0)),""))</f>
        <v>Disponible</v>
      </c>
      <c r="H1721" s="34"/>
      <c r="I1721" s="34" t="s">
        <v>273</v>
      </c>
      <c r="J1721" s="34"/>
      <c r="K1721" s="39">
        <v>4031</v>
      </c>
      <c r="L1721" s="39">
        <v>4054</v>
      </c>
      <c r="M1721" s="15">
        <f t="shared" si="539"/>
        <v>23</v>
      </c>
      <c r="N1721" s="381">
        <f>Rutas[[#This Row],[Kms Recorridos]]</f>
        <v>23</v>
      </c>
      <c r="O1721" s="39"/>
      <c r="P1721" s="36"/>
      <c r="Q1721" s="16">
        <f t="shared" si="540"/>
        <v>0</v>
      </c>
      <c r="R1721" s="34" t="s">
        <v>273</v>
      </c>
      <c r="S1721" s="34" t="s">
        <v>102</v>
      </c>
      <c r="T1721" s="36">
        <v>2.8</v>
      </c>
      <c r="U1721" s="36">
        <f>Rutas[[#This Row],[Precio x Galón ($/gal)]]*Rutas[[#This Row],[Volumen de Combustible (gal)]]</f>
        <v>49.896000000000001</v>
      </c>
      <c r="V1721" s="36"/>
      <c r="W1721" s="36"/>
      <c r="X1721" s="36"/>
      <c r="Y1721" s="145">
        <f t="shared" si="541"/>
        <v>49.896000000000001</v>
      </c>
      <c r="Z1721" s="567"/>
      <c r="AA1721" s="12">
        <v>17.82</v>
      </c>
      <c r="AB1721" s="12">
        <f t="shared" si="542"/>
        <v>1.2906846240179572</v>
      </c>
      <c r="AC1721" s="12">
        <f t="shared" si="543"/>
        <v>0</v>
      </c>
      <c r="AD1721" s="34"/>
    </row>
    <row r="1722" spans="3:30" ht="16" x14ac:dyDescent="0.2">
      <c r="C1722" s="176">
        <f t="shared" si="523"/>
        <v>1719</v>
      </c>
      <c r="D1722" s="454">
        <v>46013</v>
      </c>
      <c r="E1722" s="37">
        <v>46016</v>
      </c>
      <c r="F1722" s="65" t="s">
        <v>320</v>
      </c>
      <c r="G1722" s="11" t="str">
        <f ca="1">IF(AND(E1722&lt;&gt;"",E1722&lt;TODAY()),"Disponible",IFERROR(INDEX(Vehiculos[Estado Vehiculo],MATCH(F1722,Vehiculos[Placa Vehiculo],0)),""))</f>
        <v>Disponible</v>
      </c>
      <c r="H1722" s="34" t="s">
        <v>530</v>
      </c>
      <c r="I1722" s="34" t="s">
        <v>273</v>
      </c>
      <c r="J1722" s="34"/>
      <c r="K1722" s="39">
        <v>4054</v>
      </c>
      <c r="L1722" s="39">
        <v>4085</v>
      </c>
      <c r="M1722" s="15">
        <f t="shared" si="539"/>
        <v>31</v>
      </c>
      <c r="N1722" s="381">
        <f>Rutas[[#This Row],[Kms Recorridos]]</f>
        <v>31</v>
      </c>
      <c r="O1722" s="39"/>
      <c r="P1722" s="36"/>
      <c r="Q1722" s="16">
        <f t="shared" si="540"/>
        <v>0</v>
      </c>
      <c r="R1722" s="34" t="s">
        <v>339</v>
      </c>
      <c r="S1722" s="34" t="s">
        <v>102</v>
      </c>
      <c r="T1722" s="36">
        <v>2.8</v>
      </c>
      <c r="U1722" s="36">
        <f>Rutas[[#This Row],[Precio x Galón ($/gal)]]*Rutas[[#This Row],[Volumen de Combustible (gal)]]</f>
        <v>41.943999999999996</v>
      </c>
      <c r="V1722" s="36"/>
      <c r="W1722" s="36"/>
      <c r="X1722" s="36"/>
      <c r="Y1722" s="145">
        <f t="shared" si="541"/>
        <v>41.943999999999996</v>
      </c>
      <c r="Z1722" s="572">
        <v>16285</v>
      </c>
      <c r="AA1722" s="12">
        <v>14.98</v>
      </c>
      <c r="AB1722" s="12">
        <f t="shared" si="542"/>
        <v>2.0694259012016021</v>
      </c>
      <c r="AC1722" s="12">
        <f t="shared" si="543"/>
        <v>0</v>
      </c>
      <c r="AD1722" s="34"/>
    </row>
    <row r="1723" spans="3:30" ht="16" x14ac:dyDescent="0.2">
      <c r="C1723" s="176">
        <f t="shared" si="523"/>
        <v>1720</v>
      </c>
      <c r="D1723" s="454">
        <v>46016</v>
      </c>
      <c r="E1723" s="37">
        <v>46019</v>
      </c>
      <c r="F1723" s="65" t="s">
        <v>320</v>
      </c>
      <c r="G1723" s="11" t="str">
        <f ca="1">IF(AND(E1723&lt;&gt;"",E1723&lt;TODAY()),"Disponible",IFERROR(INDEX(Vehiculos[Estado Vehiculo],MATCH(F1723,Vehiculos[Placa Vehiculo],0)),""))</f>
        <v>Disponible</v>
      </c>
      <c r="H1723" s="34"/>
      <c r="I1723" s="34" t="s">
        <v>273</v>
      </c>
      <c r="J1723" s="34"/>
      <c r="K1723" s="39">
        <v>4085</v>
      </c>
      <c r="L1723" s="39">
        <v>4113</v>
      </c>
      <c r="M1723" s="15">
        <f t="shared" si="539"/>
        <v>28</v>
      </c>
      <c r="N1723" s="381">
        <f>Rutas[[#This Row],[Kms Recorridos]]</f>
        <v>28</v>
      </c>
      <c r="O1723" s="39"/>
      <c r="P1723" s="36"/>
      <c r="Q1723" s="16">
        <f t="shared" si="540"/>
        <v>0</v>
      </c>
      <c r="R1723" s="34" t="s">
        <v>273</v>
      </c>
      <c r="S1723" s="34" t="s">
        <v>102</v>
      </c>
      <c r="T1723" s="36">
        <v>2.8</v>
      </c>
      <c r="U1723" s="36">
        <f>Rutas[[#This Row],[Precio x Galón ($/gal)]]*Rutas[[#This Row],[Volumen de Combustible (gal)]]</f>
        <v>55.663999999999994</v>
      </c>
      <c r="V1723" s="36"/>
      <c r="W1723" s="36"/>
      <c r="X1723" s="36"/>
      <c r="Y1723" s="145">
        <f t="shared" si="541"/>
        <v>55.663999999999994</v>
      </c>
      <c r="Z1723" s="567"/>
      <c r="AA1723" s="12">
        <v>19.88</v>
      </c>
      <c r="AB1723" s="12">
        <f t="shared" si="542"/>
        <v>1.4084507042253522</v>
      </c>
      <c r="AC1723" s="12">
        <f t="shared" si="543"/>
        <v>0</v>
      </c>
      <c r="AD1723" s="34"/>
    </row>
    <row r="1724" spans="3:30" ht="16" x14ac:dyDescent="0.2">
      <c r="C1724" s="176">
        <f t="shared" si="523"/>
        <v>1721</v>
      </c>
      <c r="D1724" s="454">
        <v>46019</v>
      </c>
      <c r="E1724" s="37"/>
      <c r="F1724" s="65"/>
      <c r="G1724" s="11" t="str">
        <f ca="1">IF(AND(E1724&lt;&gt;"",E1724&lt;TODAY()),"Disponible",IFERROR(INDEX(Vehiculos[Estado Vehiculo],MATCH(F1724,Vehiculos[Placa Vehiculo],0)),""))</f>
        <v/>
      </c>
      <c r="H1724" s="34"/>
      <c r="I1724" s="34"/>
      <c r="J1724" s="34"/>
      <c r="K1724" s="39"/>
      <c r="L1724" s="39"/>
      <c r="M1724" s="15">
        <f t="shared" si="539"/>
        <v>0</v>
      </c>
      <c r="N1724" s="15"/>
      <c r="O1724" s="39"/>
      <c r="P1724" s="36"/>
      <c r="Q1724" s="16">
        <f t="shared" si="540"/>
        <v>0</v>
      </c>
      <c r="R1724" s="34"/>
      <c r="S1724" s="34"/>
      <c r="T1724" s="36"/>
      <c r="U1724" s="36"/>
      <c r="V1724" s="36"/>
      <c r="W1724" s="36"/>
      <c r="X1724" s="36"/>
      <c r="Y1724" s="145">
        <f t="shared" si="541"/>
        <v>0</v>
      </c>
      <c r="Z1724" s="567"/>
      <c r="AA1724" s="12"/>
      <c r="AB1724" s="12">
        <f t="shared" si="542"/>
        <v>0</v>
      </c>
      <c r="AC1724" s="12">
        <f t="shared" si="543"/>
        <v>0</v>
      </c>
      <c r="AD1724" s="34"/>
    </row>
    <row r="1725" spans="3:30" ht="16" x14ac:dyDescent="0.2">
      <c r="C1725" s="176">
        <f t="shared" si="523"/>
        <v>1722</v>
      </c>
      <c r="D1725" s="454"/>
      <c r="E1725" s="37"/>
      <c r="F1725" s="65"/>
      <c r="G1725" s="11" t="str">
        <f ca="1">IF(AND(E1725&lt;&gt;"",E1725&lt;TODAY()),"Disponible",IFERROR(INDEX(Vehiculos[Estado Vehiculo],MATCH(F1725,Vehiculos[Placa Vehiculo],0)),""))</f>
        <v/>
      </c>
      <c r="H1725" s="34"/>
      <c r="I1725" s="34"/>
      <c r="J1725" s="34"/>
      <c r="K1725" s="39"/>
      <c r="L1725" s="39"/>
      <c r="M1725" s="15">
        <f t="shared" si="539"/>
        <v>0</v>
      </c>
      <c r="N1725" s="15"/>
      <c r="O1725" s="39"/>
      <c r="P1725" s="36"/>
      <c r="Q1725" s="16">
        <f t="shared" si="540"/>
        <v>0</v>
      </c>
      <c r="R1725" s="34"/>
      <c r="S1725" s="34"/>
      <c r="T1725" s="36"/>
      <c r="U1725" s="36"/>
      <c r="V1725" s="36"/>
      <c r="W1725" s="36"/>
      <c r="X1725" s="36"/>
      <c r="Y1725" s="145">
        <f t="shared" si="541"/>
        <v>0</v>
      </c>
      <c r="Z1725" s="567"/>
      <c r="AA1725" s="12"/>
      <c r="AB1725" s="12">
        <f t="shared" si="542"/>
        <v>0</v>
      </c>
      <c r="AC1725" s="12">
        <f t="shared" si="543"/>
        <v>0</v>
      </c>
      <c r="AD1725" s="34"/>
    </row>
    <row r="1726" spans="3:30" ht="16" x14ac:dyDescent="0.2">
      <c r="C1726" s="176">
        <f t="shared" si="523"/>
        <v>1723</v>
      </c>
      <c r="D1726" s="454"/>
      <c r="E1726" s="37"/>
      <c r="F1726" s="65"/>
      <c r="G1726" s="11" t="str">
        <f ca="1">IF(AND(E1726&lt;&gt;"",E1726&lt;TODAY()),"Disponible",IFERROR(INDEX(Vehiculos[Estado Vehiculo],MATCH(F1726,Vehiculos[Placa Vehiculo],0)),""))</f>
        <v/>
      </c>
      <c r="H1726" s="34"/>
      <c r="I1726" s="34"/>
      <c r="J1726" s="34"/>
      <c r="K1726" s="39"/>
      <c r="L1726" s="39"/>
      <c r="M1726" s="15">
        <f t="shared" si="524"/>
        <v>0</v>
      </c>
      <c r="N1726" s="15"/>
      <c r="O1726" s="39"/>
      <c r="P1726" s="36"/>
      <c r="Q1726" s="16">
        <f t="shared" si="525"/>
        <v>0</v>
      </c>
      <c r="R1726" s="34"/>
      <c r="S1726" s="34"/>
      <c r="T1726" s="36"/>
      <c r="U1726" s="36">
        <f>Rutas[[#This Row],[Precio x Galón ($/gal)]]*Rutas[[#This Row],[Volumen de Combustible (gal)]]</f>
        <v>0</v>
      </c>
      <c r="V1726" s="36"/>
      <c r="W1726" s="36"/>
      <c r="X1726" s="36"/>
      <c r="Y1726" s="145">
        <f t="shared" si="526"/>
        <v>0</v>
      </c>
      <c r="Z1726" s="567"/>
      <c r="AA1726" s="12"/>
      <c r="AB1726" s="12">
        <f t="shared" si="527"/>
        <v>0</v>
      </c>
      <c r="AC1726" s="12">
        <f t="shared" si="528"/>
        <v>0</v>
      </c>
      <c r="AD1726" s="34"/>
    </row>
    <row r="1727" spans="3:30" ht="16" x14ac:dyDescent="0.2">
      <c r="C1727" s="176">
        <f t="shared" si="523"/>
        <v>1724</v>
      </c>
      <c r="D1727" s="90">
        <v>45992</v>
      </c>
      <c r="E1727" s="90">
        <v>45993</v>
      </c>
      <c r="F1727" s="68" t="s">
        <v>318</v>
      </c>
      <c r="G1727" s="379" t="str">
        <f ca="1">IF(AND(E1727&lt;&gt;"",E1727&lt;TODAY()),"Disponible",IFERROR(INDEX(Vehiculos[Estado Vehiculo],MATCH(F1727,Vehiculos[Placa Vehiculo],0)),""))</f>
        <v>Disponible</v>
      </c>
      <c r="H1727" s="89"/>
      <c r="I1727" s="89" t="s">
        <v>273</v>
      </c>
      <c r="J1727" s="89"/>
      <c r="K1727" s="380">
        <v>1285</v>
      </c>
      <c r="L1727" s="380">
        <v>1300</v>
      </c>
      <c r="M1727" s="381">
        <f t="shared" si="524"/>
        <v>15</v>
      </c>
      <c r="N1727" s="381">
        <f>Rutas[[#This Row],[Kms Recorridos]]</f>
        <v>15</v>
      </c>
      <c r="O1727" s="380"/>
      <c r="P1727" s="92"/>
      <c r="Q1727" s="382">
        <f t="shared" si="525"/>
        <v>0</v>
      </c>
      <c r="R1727" s="89" t="s">
        <v>339</v>
      </c>
      <c r="S1727" s="89" t="s">
        <v>102</v>
      </c>
      <c r="T1727" s="92">
        <v>2.8</v>
      </c>
      <c r="U1727" s="92">
        <f>Rutas[[#This Row],[Precio x Galón ($/gal)]]*Rutas[[#This Row],[Volumen de Combustible (gal)]]</f>
        <v>29.847999999999999</v>
      </c>
      <c r="V1727" s="92"/>
      <c r="W1727" s="92"/>
      <c r="X1727" s="92"/>
      <c r="Y1727" s="382">
        <f t="shared" si="526"/>
        <v>29.847999999999999</v>
      </c>
      <c r="Z1727" s="382"/>
      <c r="AA1727" s="382">
        <v>10.66</v>
      </c>
      <c r="AB1727" s="382">
        <f t="shared" si="527"/>
        <v>1.4071294559099436</v>
      </c>
      <c r="AC1727" s="382">
        <f t="shared" si="528"/>
        <v>0</v>
      </c>
      <c r="AD1727" s="89"/>
    </row>
    <row r="1728" spans="3:30" ht="16" x14ac:dyDescent="0.2">
      <c r="C1728" s="176">
        <f t="shared" si="523"/>
        <v>1725</v>
      </c>
      <c r="D1728" s="454">
        <v>45993</v>
      </c>
      <c r="E1728" s="37">
        <v>45997</v>
      </c>
      <c r="F1728" s="65" t="s">
        <v>318</v>
      </c>
      <c r="G1728" s="11" t="str">
        <f ca="1">IF(AND(E1728&lt;&gt;"",E1728&lt;TODAY()),"Disponible",IFERROR(INDEX(Vehiculos[Estado Vehiculo],MATCH(F1728,Vehiculos[Placa Vehiculo],0)),""))</f>
        <v>Disponible</v>
      </c>
      <c r="H1728" s="34"/>
      <c r="I1728" s="34" t="s">
        <v>273</v>
      </c>
      <c r="J1728" s="34"/>
      <c r="K1728" s="39">
        <v>1300</v>
      </c>
      <c r="L1728" s="39">
        <v>1323</v>
      </c>
      <c r="M1728" s="15">
        <f t="shared" si="524"/>
        <v>23</v>
      </c>
      <c r="N1728" s="381">
        <f>Rutas[[#This Row],[Kms Recorridos]]</f>
        <v>23</v>
      </c>
      <c r="O1728" s="39"/>
      <c r="P1728" s="36"/>
      <c r="Q1728" s="16">
        <f t="shared" si="525"/>
        <v>0</v>
      </c>
      <c r="R1728" s="34" t="s">
        <v>273</v>
      </c>
      <c r="S1728" s="34" t="s">
        <v>102</v>
      </c>
      <c r="T1728" s="36">
        <v>2.8</v>
      </c>
      <c r="U1728" s="36">
        <f>Rutas[[#This Row],[Precio x Galón ($/gal)]]*Rutas[[#This Row],[Volumen de Combustible (gal)]]</f>
        <v>51.211999999999996</v>
      </c>
      <c r="V1728" s="36"/>
      <c r="W1728" s="36"/>
      <c r="X1728" s="36"/>
      <c r="Y1728" s="145">
        <f t="shared" si="526"/>
        <v>51.211999999999996</v>
      </c>
      <c r="Z1728" s="567"/>
      <c r="AA1728" s="12">
        <v>18.29</v>
      </c>
      <c r="AB1728" s="12">
        <f t="shared" si="527"/>
        <v>1.2575177692728268</v>
      </c>
      <c r="AC1728" s="12">
        <f t="shared" si="528"/>
        <v>0</v>
      </c>
      <c r="AD1728" s="34"/>
    </row>
    <row r="1729" spans="3:30" ht="16" x14ac:dyDescent="0.2">
      <c r="C1729" s="176">
        <f t="shared" si="523"/>
        <v>1726</v>
      </c>
      <c r="D1729" s="454">
        <v>45997</v>
      </c>
      <c r="E1729" s="37">
        <v>46005</v>
      </c>
      <c r="F1729" s="65" t="s">
        <v>318</v>
      </c>
      <c r="G1729" s="11" t="str">
        <f ca="1">IF(AND(E1729&lt;&gt;"",E1729&lt;TODAY()),"Disponible",IFERROR(INDEX(Vehiculos[Estado Vehiculo],MATCH(F1729,Vehiculos[Placa Vehiculo],0)),""))</f>
        <v>Disponible</v>
      </c>
      <c r="H1729" s="34"/>
      <c r="I1729" s="34" t="s">
        <v>273</v>
      </c>
      <c r="J1729" s="34"/>
      <c r="K1729" s="39">
        <v>1323</v>
      </c>
      <c r="L1729" s="39">
        <v>1350</v>
      </c>
      <c r="M1729" s="15">
        <f t="shared" si="524"/>
        <v>27</v>
      </c>
      <c r="N1729" s="381">
        <f>Rutas[[#This Row],[Kms Recorridos]]</f>
        <v>27</v>
      </c>
      <c r="O1729" s="39"/>
      <c r="P1729" s="36"/>
      <c r="Q1729" s="16">
        <f t="shared" si="525"/>
        <v>0</v>
      </c>
      <c r="R1729" s="34" t="s">
        <v>339</v>
      </c>
      <c r="S1729" s="34" t="s">
        <v>102</v>
      </c>
      <c r="T1729" s="36">
        <v>2.8</v>
      </c>
      <c r="U1729" s="36">
        <f>Rutas[[#This Row],[Precio x Galón ($/gal)]]*Rutas[[#This Row],[Volumen de Combustible (gal)]]</f>
        <v>46.507999999999996</v>
      </c>
      <c r="V1729" s="36"/>
      <c r="W1729" s="36"/>
      <c r="X1729" s="36"/>
      <c r="Y1729" s="145">
        <f t="shared" si="526"/>
        <v>46.507999999999996</v>
      </c>
      <c r="Z1729" s="572">
        <v>16259</v>
      </c>
      <c r="AA1729" s="12">
        <v>16.61</v>
      </c>
      <c r="AB1729" s="12">
        <f t="shared" si="527"/>
        <v>1.6255267910897051</v>
      </c>
      <c r="AC1729" s="12">
        <f t="shared" si="528"/>
        <v>0</v>
      </c>
      <c r="AD1729" s="34"/>
    </row>
    <row r="1730" spans="3:30" ht="16" x14ac:dyDescent="0.2">
      <c r="C1730" s="176">
        <f t="shared" si="523"/>
        <v>1727</v>
      </c>
      <c r="D1730" s="454">
        <v>46005</v>
      </c>
      <c r="E1730" s="37">
        <v>46011</v>
      </c>
      <c r="F1730" s="65" t="s">
        <v>318</v>
      </c>
      <c r="G1730" s="11" t="str">
        <f ca="1">IF(AND(E1730&lt;&gt;"",E1730&lt;TODAY()),"Disponible",IFERROR(INDEX(Vehiculos[Estado Vehiculo],MATCH(F1730,Vehiculos[Placa Vehiculo],0)),""))</f>
        <v>Disponible</v>
      </c>
      <c r="H1730" s="34"/>
      <c r="I1730" s="34" t="s">
        <v>273</v>
      </c>
      <c r="J1730" s="34"/>
      <c r="K1730" s="39">
        <v>1350</v>
      </c>
      <c r="L1730" s="39">
        <v>1376</v>
      </c>
      <c r="M1730" s="15">
        <f t="shared" si="524"/>
        <v>26</v>
      </c>
      <c r="N1730" s="381">
        <f>Rutas[[#This Row],[Kms Recorridos]]</f>
        <v>26</v>
      </c>
      <c r="O1730" s="39"/>
      <c r="P1730" s="36"/>
      <c r="Q1730" s="16">
        <f t="shared" si="525"/>
        <v>0</v>
      </c>
      <c r="R1730" s="34" t="s">
        <v>273</v>
      </c>
      <c r="S1730" s="34" t="s">
        <v>102</v>
      </c>
      <c r="T1730" s="36">
        <v>2.8</v>
      </c>
      <c r="U1730" s="36">
        <f>Rutas[[#This Row],[Precio x Galón ($/gal)]]*Rutas[[#This Row],[Volumen de Combustible (gal)]]</f>
        <v>48.663999999999994</v>
      </c>
      <c r="V1730" s="36"/>
      <c r="W1730" s="36"/>
      <c r="X1730" s="36"/>
      <c r="Y1730" s="145">
        <f t="shared" si="526"/>
        <v>48.663999999999994</v>
      </c>
      <c r="Z1730" s="567"/>
      <c r="AA1730" s="12">
        <v>17.38</v>
      </c>
      <c r="AB1730" s="12">
        <f t="shared" si="527"/>
        <v>1.4959723820483315</v>
      </c>
      <c r="AC1730" s="12">
        <f t="shared" si="528"/>
        <v>0</v>
      </c>
      <c r="AD1730" s="34"/>
    </row>
    <row r="1731" spans="3:30" ht="16" x14ac:dyDescent="0.2">
      <c r="C1731" s="176">
        <f t="shared" si="523"/>
        <v>1728</v>
      </c>
      <c r="D1731" s="454">
        <v>46011</v>
      </c>
      <c r="E1731" s="37">
        <v>46016</v>
      </c>
      <c r="F1731" s="65" t="s">
        <v>318</v>
      </c>
      <c r="G1731" s="11" t="str">
        <f ca="1">IF(AND(E1731&lt;&gt;"",E1731&lt;TODAY()),"Disponible",IFERROR(INDEX(Vehiculos[Estado Vehiculo],MATCH(F1731,Vehiculos[Placa Vehiculo],0)),""))</f>
        <v>Disponible</v>
      </c>
      <c r="H1731" s="34" t="s">
        <v>259</v>
      </c>
      <c r="I1731" s="34" t="s">
        <v>273</v>
      </c>
      <c r="J1731" s="34"/>
      <c r="K1731" s="39">
        <v>1376</v>
      </c>
      <c r="L1731" s="39">
        <v>1396</v>
      </c>
      <c r="M1731" s="15">
        <f t="shared" si="524"/>
        <v>20</v>
      </c>
      <c r="N1731" s="381">
        <f>Rutas[[#This Row],[Kms Recorridos]]</f>
        <v>20</v>
      </c>
      <c r="O1731" s="39"/>
      <c r="P1731" s="36"/>
      <c r="Q1731" s="16">
        <f t="shared" si="525"/>
        <v>0</v>
      </c>
      <c r="R1731" s="34" t="s">
        <v>339</v>
      </c>
      <c r="S1731" s="34" t="s">
        <v>102</v>
      </c>
      <c r="T1731" s="36">
        <v>2.8</v>
      </c>
      <c r="U1731" s="36">
        <f>Rutas[[#This Row],[Precio x Galón ($/gal)]]*Rutas[[#This Row],[Volumen de Combustible (gal)]]</f>
        <v>48.747999999999998</v>
      </c>
      <c r="V1731" s="36"/>
      <c r="W1731" s="36"/>
      <c r="X1731" s="36"/>
      <c r="Y1731" s="145">
        <f t="shared" si="526"/>
        <v>48.747999999999998</v>
      </c>
      <c r="Z1731" s="572">
        <v>16278</v>
      </c>
      <c r="AA1731" s="12">
        <v>17.41</v>
      </c>
      <c r="AB1731" s="12">
        <f t="shared" si="527"/>
        <v>1.1487650775416427</v>
      </c>
      <c r="AC1731" s="12">
        <f t="shared" si="528"/>
        <v>0</v>
      </c>
      <c r="AD1731" s="34"/>
    </row>
    <row r="1732" spans="3:30" ht="16" x14ac:dyDescent="0.2">
      <c r="C1732" s="176">
        <f t="shared" ref="C1732:C1795" si="544">ROW(A1729)</f>
        <v>1729</v>
      </c>
      <c r="D1732" s="454">
        <v>46016</v>
      </c>
      <c r="E1732" s="37">
        <v>46022</v>
      </c>
      <c r="F1732" s="65" t="s">
        <v>318</v>
      </c>
      <c r="G1732" s="11" t="str">
        <f ca="1">IF(AND(E1732&lt;&gt;"",E1732&lt;TODAY()),"Disponible",IFERROR(INDEX(Vehiculos[Estado Vehiculo],MATCH(F1732,Vehiculos[Placa Vehiculo],0)),""))</f>
        <v>Disponible</v>
      </c>
      <c r="H1732" s="34"/>
      <c r="I1732" s="34" t="s">
        <v>273</v>
      </c>
      <c r="J1732" s="34"/>
      <c r="K1732" s="39">
        <v>1396</v>
      </c>
      <c r="L1732" s="39">
        <v>1418</v>
      </c>
      <c r="M1732" s="15">
        <f>L1732-K1732</f>
        <v>22</v>
      </c>
      <c r="N1732" s="381">
        <f>Rutas[[#This Row],[Kms Recorridos]]</f>
        <v>22</v>
      </c>
      <c r="O1732" s="39"/>
      <c r="P1732" s="36"/>
      <c r="Q1732" s="16">
        <f>M1732*P1732</f>
        <v>0</v>
      </c>
      <c r="R1732" s="34" t="s">
        <v>339</v>
      </c>
      <c r="S1732" s="34" t="s">
        <v>102</v>
      </c>
      <c r="T1732" s="36">
        <v>2.8</v>
      </c>
      <c r="U1732" s="36">
        <f>Rutas[[#This Row],[Precio x Galón ($/gal)]]*Rutas[[#This Row],[Volumen de Combustible (gal)]]</f>
        <v>46.647999999999996</v>
      </c>
      <c r="V1732" s="36"/>
      <c r="W1732" s="36"/>
      <c r="X1732" s="36"/>
      <c r="Y1732" s="145">
        <f>U1732+SUM(V1732:X1732)</f>
        <v>46.647999999999996</v>
      </c>
      <c r="Z1732" s="567"/>
      <c r="AA1732" s="12">
        <v>16.66</v>
      </c>
      <c r="AB1732" s="12">
        <f>IFERROR(M1732/AA1732,0)</f>
        <v>1.3205282112845138</v>
      </c>
      <c r="AC1732" s="12">
        <f>IFERROR(Q1732/M1732,0)</f>
        <v>0</v>
      </c>
      <c r="AD1732" s="34"/>
    </row>
    <row r="1733" spans="3:30" ht="16" x14ac:dyDescent="0.2">
      <c r="C1733" s="176">
        <f t="shared" si="544"/>
        <v>1730</v>
      </c>
      <c r="D1733" s="454"/>
      <c r="E1733" s="37"/>
      <c r="F1733" s="65"/>
      <c r="G1733" s="11" t="str">
        <f ca="1">IF(AND(E1733&lt;&gt;"",E1733&lt;TODAY()),"Disponible",IFERROR(INDEX(Vehiculos[Estado Vehiculo],MATCH(F1733,Vehiculos[Placa Vehiculo],0)),""))</f>
        <v/>
      </c>
      <c r="H1733" s="34"/>
      <c r="I1733" s="34"/>
      <c r="J1733" s="34"/>
      <c r="K1733" s="39"/>
      <c r="L1733" s="39"/>
      <c r="M1733" s="15">
        <f>L1733-K1733</f>
        <v>0</v>
      </c>
      <c r="N1733" s="15"/>
      <c r="O1733" s="39"/>
      <c r="P1733" s="36"/>
      <c r="Q1733" s="16">
        <f>M1733*P1733</f>
        <v>0</v>
      </c>
      <c r="R1733" s="34"/>
      <c r="S1733" s="34"/>
      <c r="T1733" s="36"/>
      <c r="U1733" s="36"/>
      <c r="V1733" s="36"/>
      <c r="W1733" s="36"/>
      <c r="X1733" s="36"/>
      <c r="Y1733" s="145">
        <f>U1733+SUM(V1733:X1733)</f>
        <v>0</v>
      </c>
      <c r="Z1733" s="567"/>
      <c r="AA1733" s="12"/>
      <c r="AB1733" s="12">
        <f>IFERROR(M1733/AA1733,0)</f>
        <v>0</v>
      </c>
      <c r="AC1733" s="12">
        <f>IFERROR(Q1733/M1733,0)</f>
        <v>0</v>
      </c>
      <c r="AD1733" s="34"/>
    </row>
    <row r="1734" spans="3:30" ht="16" x14ac:dyDescent="0.2">
      <c r="C1734" s="176">
        <f t="shared" si="544"/>
        <v>1731</v>
      </c>
      <c r="D1734" s="454"/>
      <c r="E1734" s="37"/>
      <c r="F1734" s="65"/>
      <c r="G1734" s="11" t="str">
        <f ca="1">IF(AND(E1734&lt;&gt;"",E1734&lt;TODAY()),"Disponible",IFERROR(INDEX(Vehiculos[Estado Vehiculo],MATCH(F1734,Vehiculos[Placa Vehiculo],0)),""))</f>
        <v/>
      </c>
      <c r="H1734" s="34"/>
      <c r="I1734" s="34"/>
      <c r="J1734" s="34"/>
      <c r="K1734" s="39"/>
      <c r="L1734" s="39"/>
      <c r="M1734" s="15">
        <f t="shared" si="524"/>
        <v>0</v>
      </c>
      <c r="N1734" s="15"/>
      <c r="O1734" s="39"/>
      <c r="P1734" s="36"/>
      <c r="Q1734" s="16">
        <f t="shared" si="525"/>
        <v>0</v>
      </c>
      <c r="R1734" s="34"/>
      <c r="S1734" s="34"/>
      <c r="T1734" s="36"/>
      <c r="U1734" s="36">
        <f>Rutas[[#This Row],[Precio x Galón ($/gal)]]*Rutas[[#This Row],[Volumen de Combustible (gal)]]</f>
        <v>0</v>
      </c>
      <c r="V1734" s="36"/>
      <c r="W1734" s="36"/>
      <c r="X1734" s="36"/>
      <c r="Y1734" s="145">
        <f t="shared" si="526"/>
        <v>0</v>
      </c>
      <c r="Z1734" s="567"/>
      <c r="AA1734" s="12"/>
      <c r="AB1734" s="12">
        <f t="shared" si="527"/>
        <v>0</v>
      </c>
      <c r="AC1734" s="12">
        <f t="shared" si="528"/>
        <v>0</v>
      </c>
      <c r="AD1734" s="34"/>
    </row>
    <row r="1735" spans="3:30" ht="16" x14ac:dyDescent="0.2">
      <c r="C1735" s="176">
        <f t="shared" si="544"/>
        <v>1732</v>
      </c>
      <c r="D1735" s="90">
        <v>45992</v>
      </c>
      <c r="E1735" s="90">
        <v>45994</v>
      </c>
      <c r="F1735" s="68" t="s">
        <v>352</v>
      </c>
      <c r="G1735" s="379" t="str">
        <f ca="1">IF(AND(E1735&lt;&gt;"",E1735&lt;TODAY()),"Disponible",IFERROR(INDEX(Vehiculos[Estado Vehiculo],MATCH(F1735,Vehiculos[Placa Vehiculo],0)),""))</f>
        <v>Disponible</v>
      </c>
      <c r="H1735" s="89" t="s">
        <v>417</v>
      </c>
      <c r="I1735" s="89" t="s">
        <v>273</v>
      </c>
      <c r="J1735" s="89"/>
      <c r="K1735" s="380">
        <v>548</v>
      </c>
      <c r="L1735" s="380">
        <v>578</v>
      </c>
      <c r="M1735" s="381">
        <f t="shared" si="524"/>
        <v>30</v>
      </c>
      <c r="N1735" s="381">
        <f>Rutas[[#This Row],[Kms Recorridos]]</f>
        <v>30</v>
      </c>
      <c r="O1735" s="380"/>
      <c r="P1735" s="92"/>
      <c r="Q1735" s="382">
        <f t="shared" si="525"/>
        <v>0</v>
      </c>
      <c r="R1735" s="89" t="s">
        <v>339</v>
      </c>
      <c r="S1735" s="89" t="s">
        <v>102</v>
      </c>
      <c r="T1735" s="92">
        <v>2.8</v>
      </c>
      <c r="U1735" s="92">
        <f>Rutas[[#This Row],[Precio x Galón ($/gal)]]*Rutas[[#This Row],[Volumen de Combustible (gal)]]</f>
        <v>65.183999999999997</v>
      </c>
      <c r="V1735" s="92"/>
      <c r="W1735" s="92"/>
      <c r="X1735" s="92"/>
      <c r="Y1735" s="382">
        <f t="shared" si="526"/>
        <v>65.183999999999997</v>
      </c>
      <c r="Z1735" s="382"/>
      <c r="AA1735" s="382">
        <v>23.28</v>
      </c>
      <c r="AB1735" s="382">
        <f t="shared" si="527"/>
        <v>1.2886597938144329</v>
      </c>
      <c r="AC1735" s="382">
        <f t="shared" si="528"/>
        <v>0</v>
      </c>
      <c r="AD1735" s="89"/>
    </row>
    <row r="1736" spans="3:30" ht="16" x14ac:dyDescent="0.2">
      <c r="C1736" s="176">
        <f t="shared" si="544"/>
        <v>1733</v>
      </c>
      <c r="D1736" s="454">
        <v>45994</v>
      </c>
      <c r="E1736" s="37">
        <v>45996</v>
      </c>
      <c r="F1736" s="65" t="s">
        <v>352</v>
      </c>
      <c r="G1736" s="11" t="str">
        <f ca="1">IF(AND(E1736&lt;&gt;"",E1736&lt;TODAY()),"Disponible",IFERROR(INDEX(Vehiculos[Estado Vehiculo],MATCH(F1736,Vehiculos[Placa Vehiculo],0)),""))</f>
        <v>Disponible</v>
      </c>
      <c r="H1736" s="34"/>
      <c r="I1736" s="34" t="s">
        <v>273</v>
      </c>
      <c r="J1736" s="34"/>
      <c r="K1736" s="39">
        <v>578</v>
      </c>
      <c r="L1736" s="39">
        <v>598</v>
      </c>
      <c r="M1736" s="15">
        <f t="shared" si="524"/>
        <v>20</v>
      </c>
      <c r="N1736" s="381">
        <f>Rutas[[#This Row],[Kms Recorridos]]</f>
        <v>20</v>
      </c>
      <c r="O1736" s="39"/>
      <c r="P1736" s="36"/>
      <c r="Q1736" s="16">
        <f t="shared" si="525"/>
        <v>0</v>
      </c>
      <c r="R1736" s="34" t="s">
        <v>273</v>
      </c>
      <c r="S1736" s="34" t="s">
        <v>102</v>
      </c>
      <c r="T1736" s="36">
        <v>2.8</v>
      </c>
      <c r="U1736" s="36">
        <f>Rutas[[#This Row],[Precio x Galón ($/gal)]]*Rutas[[#This Row],[Volumen de Combustible (gal)]]</f>
        <v>53.396000000000001</v>
      </c>
      <c r="V1736" s="36"/>
      <c r="W1736" s="36"/>
      <c r="X1736" s="36"/>
      <c r="Y1736" s="145">
        <f t="shared" si="526"/>
        <v>53.396000000000001</v>
      </c>
      <c r="Z1736" s="567"/>
      <c r="AA1736" s="12">
        <v>19.07</v>
      </c>
      <c r="AB1736" s="12">
        <f t="shared" si="527"/>
        <v>1.048767697954903</v>
      </c>
      <c r="AC1736" s="12">
        <f t="shared" si="528"/>
        <v>0</v>
      </c>
      <c r="AD1736" s="34"/>
    </row>
    <row r="1737" spans="3:30" ht="16" x14ac:dyDescent="0.2">
      <c r="C1737" s="176">
        <f t="shared" si="544"/>
        <v>1734</v>
      </c>
      <c r="D1737" s="454" t="s">
        <v>513</v>
      </c>
      <c r="E1737" s="37">
        <v>45999</v>
      </c>
      <c r="F1737" s="65" t="s">
        <v>352</v>
      </c>
      <c r="G1737" s="11" t="str">
        <f ca="1">IF(AND(E1737&lt;&gt;"",E1737&lt;TODAY()),"Disponible",IFERROR(INDEX(Vehiculos[Estado Vehiculo],MATCH(F1737,Vehiculos[Placa Vehiculo],0)),""))</f>
        <v>Disponible</v>
      </c>
      <c r="H1737" s="34" t="s">
        <v>426</v>
      </c>
      <c r="I1737" s="34" t="s">
        <v>273</v>
      </c>
      <c r="J1737" s="34"/>
      <c r="K1737" s="39">
        <v>598</v>
      </c>
      <c r="L1737" s="39">
        <v>625</v>
      </c>
      <c r="M1737" s="15">
        <f t="shared" si="524"/>
        <v>27</v>
      </c>
      <c r="N1737" s="381">
        <f>Rutas[[#This Row],[Kms Recorridos]]</f>
        <v>27</v>
      </c>
      <c r="O1737" s="39"/>
      <c r="P1737" s="36"/>
      <c r="Q1737" s="16">
        <f t="shared" si="525"/>
        <v>0</v>
      </c>
      <c r="R1737" s="34" t="s">
        <v>273</v>
      </c>
      <c r="S1737" s="34" t="s">
        <v>102</v>
      </c>
      <c r="T1737" s="36">
        <v>2.8</v>
      </c>
      <c r="U1737" s="36">
        <f>Rutas[[#This Row],[Precio x Galón ($/gal)]]*Rutas[[#This Row],[Volumen de Combustible (gal)]]</f>
        <v>56</v>
      </c>
      <c r="V1737" s="36"/>
      <c r="W1737" s="36"/>
      <c r="X1737" s="36"/>
      <c r="Y1737" s="145">
        <f t="shared" si="526"/>
        <v>56</v>
      </c>
      <c r="Z1737" s="567"/>
      <c r="AA1737" s="12">
        <v>20</v>
      </c>
      <c r="AB1737" s="12">
        <f t="shared" si="527"/>
        <v>1.35</v>
      </c>
      <c r="AC1737" s="12">
        <f t="shared" si="528"/>
        <v>0</v>
      </c>
      <c r="AD1737" s="34"/>
    </row>
    <row r="1738" spans="3:30" ht="16" x14ac:dyDescent="0.2">
      <c r="C1738" s="176">
        <f t="shared" si="544"/>
        <v>1735</v>
      </c>
      <c r="D1738" s="454">
        <v>45999</v>
      </c>
      <c r="E1738" s="37">
        <v>46003</v>
      </c>
      <c r="F1738" s="65" t="s">
        <v>352</v>
      </c>
      <c r="G1738" s="11" t="str">
        <f ca="1">IF(AND(E1738&lt;&gt;"",E1738&lt;TODAY()),"Disponible",IFERROR(INDEX(Vehiculos[Estado Vehiculo],MATCH(F1738,Vehiculos[Placa Vehiculo],0)),""))</f>
        <v>Disponible</v>
      </c>
      <c r="H1738" s="34"/>
      <c r="I1738" s="34" t="s">
        <v>273</v>
      </c>
      <c r="J1738" s="34"/>
      <c r="K1738" s="39">
        <v>625</v>
      </c>
      <c r="L1738" s="39">
        <v>656</v>
      </c>
      <c r="M1738" s="15">
        <f t="shared" si="524"/>
        <v>31</v>
      </c>
      <c r="N1738" s="381">
        <f>Rutas[[#This Row],[Kms Recorridos]]</f>
        <v>31</v>
      </c>
      <c r="O1738" s="39"/>
      <c r="P1738" s="36"/>
      <c r="Q1738" s="16">
        <f t="shared" si="525"/>
        <v>0</v>
      </c>
      <c r="R1738" s="34" t="s">
        <v>273</v>
      </c>
      <c r="S1738" s="34" t="s">
        <v>102</v>
      </c>
      <c r="T1738" s="36">
        <v>2.8</v>
      </c>
      <c r="U1738" s="36">
        <f>Rutas[[#This Row],[Precio x Galón ($/gal)]]*Rutas[[#This Row],[Volumen de Combustible (gal)]]</f>
        <v>54.095999999999997</v>
      </c>
      <c r="V1738" s="36"/>
      <c r="W1738" s="36"/>
      <c r="X1738" s="36"/>
      <c r="Y1738" s="145">
        <f t="shared" si="526"/>
        <v>54.095999999999997</v>
      </c>
      <c r="Z1738" s="572">
        <v>16250</v>
      </c>
      <c r="AA1738" s="12">
        <v>19.32</v>
      </c>
      <c r="AB1738" s="12">
        <f t="shared" si="527"/>
        <v>1.6045548654244306</v>
      </c>
      <c r="AC1738" s="12">
        <f t="shared" si="528"/>
        <v>0</v>
      </c>
      <c r="AD1738" s="34"/>
    </row>
    <row r="1739" spans="3:30" ht="16" x14ac:dyDescent="0.2">
      <c r="C1739" s="176">
        <f t="shared" si="544"/>
        <v>1736</v>
      </c>
      <c r="D1739" s="454">
        <v>46003</v>
      </c>
      <c r="E1739" s="37">
        <v>46005</v>
      </c>
      <c r="F1739" s="65" t="s">
        <v>352</v>
      </c>
      <c r="G1739" s="11" t="str">
        <f ca="1">IF(AND(E1739&lt;&gt;"",E1739&lt;TODAY()),"Disponible",IFERROR(INDEX(Vehiculos[Estado Vehiculo],MATCH(F1739,Vehiculos[Placa Vehiculo],0)),""))</f>
        <v>Disponible</v>
      </c>
      <c r="H1739" s="34"/>
      <c r="I1739" s="34" t="s">
        <v>273</v>
      </c>
      <c r="J1739" s="34"/>
      <c r="K1739" s="39">
        <v>656</v>
      </c>
      <c r="L1739" s="39">
        <v>678</v>
      </c>
      <c r="M1739" s="15">
        <f t="shared" si="524"/>
        <v>22</v>
      </c>
      <c r="N1739" s="381">
        <f>Rutas[[#This Row],[Kms Recorridos]]</f>
        <v>22</v>
      </c>
      <c r="O1739" s="39"/>
      <c r="P1739" s="36"/>
      <c r="Q1739" s="16">
        <f t="shared" si="525"/>
        <v>0</v>
      </c>
      <c r="R1739" s="34" t="s">
        <v>273</v>
      </c>
      <c r="S1739" s="34" t="s">
        <v>102</v>
      </c>
      <c r="T1739" s="36">
        <v>2.8</v>
      </c>
      <c r="U1739" s="36">
        <f>Rutas[[#This Row],[Precio x Galón ($/gal)]]*Rutas[[#This Row],[Volumen de Combustible (gal)]]</f>
        <v>55.636000000000003</v>
      </c>
      <c r="V1739" s="36"/>
      <c r="W1739" s="36"/>
      <c r="X1739" s="36"/>
      <c r="Y1739" s="145">
        <f t="shared" si="526"/>
        <v>55.636000000000003</v>
      </c>
      <c r="Z1739" s="567"/>
      <c r="AA1739" s="12">
        <v>19.87</v>
      </c>
      <c r="AB1739" s="12">
        <f t="shared" si="527"/>
        <v>1.1071967790639154</v>
      </c>
      <c r="AC1739" s="12">
        <f t="shared" si="528"/>
        <v>0</v>
      </c>
      <c r="AD1739" s="34"/>
    </row>
    <row r="1740" spans="3:30" ht="16" x14ac:dyDescent="0.2">
      <c r="C1740" s="176">
        <f t="shared" si="544"/>
        <v>1737</v>
      </c>
      <c r="D1740" s="454">
        <v>46005</v>
      </c>
      <c r="E1740" s="37">
        <v>46009</v>
      </c>
      <c r="F1740" s="65" t="s">
        <v>352</v>
      </c>
      <c r="G1740" s="11" t="str">
        <f ca="1">IF(AND(E1740&lt;&gt;"",E1740&lt;TODAY()),"Disponible",IFERROR(INDEX(Vehiculos[Estado Vehiculo],MATCH(F1740,Vehiculos[Placa Vehiculo],0)),""))</f>
        <v>Disponible</v>
      </c>
      <c r="H1740" s="34" t="s">
        <v>231</v>
      </c>
      <c r="I1740" s="34" t="s">
        <v>273</v>
      </c>
      <c r="J1740" s="34"/>
      <c r="K1740" s="39">
        <v>678</v>
      </c>
      <c r="L1740" s="39">
        <v>704</v>
      </c>
      <c r="M1740" s="15">
        <f t="shared" ref="M1740:M1746" si="545">L1740-K1740</f>
        <v>26</v>
      </c>
      <c r="N1740" s="381">
        <f>Rutas[[#This Row],[Kms Recorridos]]</f>
        <v>26</v>
      </c>
      <c r="O1740" s="39"/>
      <c r="P1740" s="36"/>
      <c r="Q1740" s="16">
        <f t="shared" ref="Q1740:Q1746" si="546">M1740*P1740</f>
        <v>0</v>
      </c>
      <c r="R1740" s="34" t="s">
        <v>339</v>
      </c>
      <c r="S1740" s="34" t="s">
        <v>102</v>
      </c>
      <c r="T1740" s="36">
        <v>2.8</v>
      </c>
      <c r="U1740" s="36">
        <f>Rutas[[#This Row],[Precio x Galón ($/gal)]]*Rutas[[#This Row],[Volumen de Combustible (gal)]]</f>
        <v>64.427999999999997</v>
      </c>
      <c r="V1740" s="36"/>
      <c r="W1740" s="36"/>
      <c r="X1740" s="36"/>
      <c r="Y1740" s="145">
        <f t="shared" ref="Y1740:Y1746" si="547">U1740+SUM(V1740:X1740)</f>
        <v>64.427999999999997</v>
      </c>
      <c r="Z1740" s="572">
        <v>16264</v>
      </c>
      <c r="AA1740" s="12">
        <v>23.01</v>
      </c>
      <c r="AB1740" s="12">
        <f t="shared" ref="AB1740:AB1746" si="548">IFERROR(M1740/AA1740,0)</f>
        <v>1.1299435028248588</v>
      </c>
      <c r="AC1740" s="12">
        <f t="shared" ref="AC1740:AC1746" si="549">IFERROR(Q1740/M1740,0)</f>
        <v>0</v>
      </c>
      <c r="AD1740" s="34"/>
    </row>
    <row r="1741" spans="3:30" ht="16" x14ac:dyDescent="0.2">
      <c r="C1741" s="176">
        <f t="shared" si="544"/>
        <v>1738</v>
      </c>
      <c r="D1741" s="454">
        <v>46009</v>
      </c>
      <c r="E1741" s="37">
        <v>46011</v>
      </c>
      <c r="F1741" s="65" t="s">
        <v>352</v>
      </c>
      <c r="G1741" s="11" t="str">
        <f ca="1">IF(AND(E1741&lt;&gt;"",E1741&lt;TODAY()),"Disponible",IFERROR(INDEX(Vehiculos[Estado Vehiculo],MATCH(F1741,Vehiculos[Placa Vehiculo],0)),""))</f>
        <v>Disponible</v>
      </c>
      <c r="H1741" s="34"/>
      <c r="I1741" s="34" t="s">
        <v>273</v>
      </c>
      <c r="J1741" s="34"/>
      <c r="K1741" s="39">
        <v>704</v>
      </c>
      <c r="L1741" s="39">
        <v>725</v>
      </c>
      <c r="M1741" s="15">
        <f t="shared" si="545"/>
        <v>21</v>
      </c>
      <c r="N1741" s="381">
        <f>Rutas[[#This Row],[Kms Recorridos]]</f>
        <v>21</v>
      </c>
      <c r="O1741" s="39"/>
      <c r="P1741" s="36"/>
      <c r="Q1741" s="16">
        <f t="shared" si="546"/>
        <v>0</v>
      </c>
      <c r="R1741" s="34" t="s">
        <v>273</v>
      </c>
      <c r="S1741" s="34" t="s">
        <v>102</v>
      </c>
      <c r="T1741" s="36">
        <v>2.8</v>
      </c>
      <c r="U1741" s="36">
        <f>Rutas[[#This Row],[Precio x Galón ($/gal)]]*Rutas[[#This Row],[Volumen de Combustible (gal)]]</f>
        <v>60.647999999999996</v>
      </c>
      <c r="V1741" s="36"/>
      <c r="W1741" s="36"/>
      <c r="X1741" s="36"/>
      <c r="Y1741" s="145">
        <f t="shared" si="547"/>
        <v>60.647999999999996</v>
      </c>
      <c r="Z1741" s="567"/>
      <c r="AA1741" s="12">
        <v>21.66</v>
      </c>
      <c r="AB1741" s="12">
        <f t="shared" si="548"/>
        <v>0.96952908587257614</v>
      </c>
      <c r="AC1741" s="12">
        <f t="shared" si="549"/>
        <v>0</v>
      </c>
      <c r="AD1741" s="34"/>
    </row>
    <row r="1742" spans="3:30" ht="16" x14ac:dyDescent="0.2">
      <c r="C1742" s="176">
        <f t="shared" si="544"/>
        <v>1739</v>
      </c>
      <c r="D1742" s="454">
        <v>46011</v>
      </c>
      <c r="E1742" s="37">
        <v>46015</v>
      </c>
      <c r="F1742" s="65" t="s">
        <v>352</v>
      </c>
      <c r="G1742" s="11" t="str">
        <f ca="1">IF(AND(E1742&lt;&gt;"",E1742&lt;TODAY()),"Disponible",IFERROR(INDEX(Vehiculos[Estado Vehiculo],MATCH(F1742,Vehiculos[Placa Vehiculo],0)),""))</f>
        <v>Disponible</v>
      </c>
      <c r="H1742" s="34" t="s">
        <v>231</v>
      </c>
      <c r="I1742" s="34" t="s">
        <v>273</v>
      </c>
      <c r="J1742" s="34"/>
      <c r="K1742" s="39">
        <v>725</v>
      </c>
      <c r="L1742" s="39">
        <v>757</v>
      </c>
      <c r="M1742" s="15">
        <f t="shared" si="545"/>
        <v>32</v>
      </c>
      <c r="N1742" s="381">
        <f>Rutas[[#This Row],[Kms Recorridos]]</f>
        <v>32</v>
      </c>
      <c r="O1742" s="39"/>
      <c r="P1742" s="36"/>
      <c r="Q1742" s="16">
        <f t="shared" si="546"/>
        <v>0</v>
      </c>
      <c r="R1742" s="34" t="s">
        <v>339</v>
      </c>
      <c r="S1742" s="34" t="s">
        <v>102</v>
      </c>
      <c r="T1742" s="36">
        <v>2.8</v>
      </c>
      <c r="U1742" s="36">
        <f>Rutas[[#This Row],[Precio x Galón ($/gal)]]*Rutas[[#This Row],[Volumen de Combustible (gal)]]</f>
        <v>67.676000000000002</v>
      </c>
      <c r="V1742" s="36"/>
      <c r="W1742" s="36"/>
      <c r="X1742" s="36"/>
      <c r="Y1742" s="145">
        <f t="shared" si="547"/>
        <v>67.676000000000002</v>
      </c>
      <c r="Z1742" s="572">
        <v>16274</v>
      </c>
      <c r="AA1742" s="12">
        <v>24.17</v>
      </c>
      <c r="AB1742" s="12">
        <f t="shared" si="548"/>
        <v>1.3239553165080677</v>
      </c>
      <c r="AC1742" s="12">
        <f t="shared" si="549"/>
        <v>0</v>
      </c>
      <c r="AD1742" s="34"/>
    </row>
    <row r="1743" spans="3:30" ht="16" x14ac:dyDescent="0.2">
      <c r="C1743" s="176">
        <f t="shared" si="544"/>
        <v>1740</v>
      </c>
      <c r="D1743" s="454">
        <v>46015</v>
      </c>
      <c r="E1743" s="37">
        <v>46017</v>
      </c>
      <c r="F1743" s="65" t="s">
        <v>352</v>
      </c>
      <c r="G1743" s="11" t="str">
        <f ca="1">IF(AND(E1743&lt;&gt;"",E1743&lt;TODAY()),"Disponible",IFERROR(INDEX(Vehiculos[Estado Vehiculo],MATCH(F1743,Vehiculos[Placa Vehiculo],0)),""))</f>
        <v>Disponible</v>
      </c>
      <c r="H1743" s="34"/>
      <c r="I1743" s="34" t="s">
        <v>273</v>
      </c>
      <c r="J1743" s="34"/>
      <c r="K1743" s="39">
        <v>757</v>
      </c>
      <c r="L1743" s="39">
        <v>777</v>
      </c>
      <c r="M1743" s="15">
        <f t="shared" si="545"/>
        <v>20</v>
      </c>
      <c r="N1743" s="381">
        <f>Rutas[[#This Row],[Kms Recorridos]]</f>
        <v>20</v>
      </c>
      <c r="O1743" s="39"/>
      <c r="P1743" s="36"/>
      <c r="Q1743" s="16">
        <f t="shared" si="546"/>
        <v>0</v>
      </c>
      <c r="R1743" s="34" t="s">
        <v>273</v>
      </c>
      <c r="S1743" s="34" t="s">
        <v>102</v>
      </c>
      <c r="T1743" s="36">
        <v>2.8</v>
      </c>
      <c r="U1743" s="36">
        <f>Rutas[[#This Row],[Precio x Galón ($/gal)]]*Rutas[[#This Row],[Volumen de Combustible (gal)]]</f>
        <v>57.819999999999993</v>
      </c>
      <c r="V1743" s="36"/>
      <c r="W1743" s="36"/>
      <c r="X1743" s="36"/>
      <c r="Y1743" s="145">
        <f t="shared" si="547"/>
        <v>57.819999999999993</v>
      </c>
      <c r="Z1743" s="567"/>
      <c r="AA1743" s="12">
        <v>20.65</v>
      </c>
      <c r="AB1743" s="12">
        <f t="shared" si="548"/>
        <v>0.96852300242130762</v>
      </c>
      <c r="AC1743" s="12">
        <f t="shared" si="549"/>
        <v>0</v>
      </c>
      <c r="AD1743" s="34"/>
    </row>
    <row r="1744" spans="3:30" ht="16" x14ac:dyDescent="0.2">
      <c r="C1744" s="176">
        <f t="shared" si="544"/>
        <v>1741</v>
      </c>
      <c r="D1744" s="454">
        <v>46017</v>
      </c>
      <c r="E1744" s="37">
        <v>46020</v>
      </c>
      <c r="F1744" s="65" t="s">
        <v>352</v>
      </c>
      <c r="G1744" s="11" t="str">
        <f ca="1">IF(AND(E1744&lt;&gt;"",E1744&lt;TODAY()),"Disponible",IFERROR(INDEX(Vehiculos[Estado Vehiculo],MATCH(F1744,Vehiculos[Placa Vehiculo],0)),""))</f>
        <v>Disponible</v>
      </c>
      <c r="H1744" s="34"/>
      <c r="I1744" s="34" t="s">
        <v>273</v>
      </c>
      <c r="J1744" s="34"/>
      <c r="K1744" s="39">
        <v>777</v>
      </c>
      <c r="L1744" s="39">
        <v>801</v>
      </c>
      <c r="M1744" s="15">
        <f t="shared" si="545"/>
        <v>24</v>
      </c>
      <c r="N1744" s="381">
        <f>Rutas[[#This Row],[Kms Recorridos]]</f>
        <v>24</v>
      </c>
      <c r="O1744" s="39"/>
      <c r="P1744" s="36"/>
      <c r="Q1744" s="16">
        <f t="shared" si="546"/>
        <v>0</v>
      </c>
      <c r="R1744" s="34" t="s">
        <v>273</v>
      </c>
      <c r="S1744" s="34" t="s">
        <v>102</v>
      </c>
      <c r="T1744" s="36">
        <v>2.8</v>
      </c>
      <c r="U1744" s="36">
        <f>Rutas[[#This Row],[Precio x Galón ($/gal)]]*Rutas[[#This Row],[Volumen de Combustible (gal)]]</f>
        <v>82.263999999999996</v>
      </c>
      <c r="V1744" s="36"/>
      <c r="W1744" s="36"/>
      <c r="X1744" s="36"/>
      <c r="Y1744" s="145">
        <f t="shared" si="547"/>
        <v>82.263999999999996</v>
      </c>
      <c r="Z1744" s="567"/>
      <c r="AA1744" s="12">
        <v>29.38</v>
      </c>
      <c r="AB1744" s="12">
        <f t="shared" si="548"/>
        <v>0.81688223281143635</v>
      </c>
      <c r="AC1744" s="12">
        <f t="shared" si="549"/>
        <v>0</v>
      </c>
      <c r="AD1744" s="34"/>
    </row>
    <row r="1745" spans="3:30" ht="16" x14ac:dyDescent="0.2">
      <c r="C1745" s="176">
        <f t="shared" si="544"/>
        <v>1742</v>
      </c>
      <c r="D1745" s="454">
        <v>46020</v>
      </c>
      <c r="E1745" s="37">
        <v>46022</v>
      </c>
      <c r="F1745" s="65" t="s">
        <v>352</v>
      </c>
      <c r="G1745" s="11" t="str">
        <f ca="1">IF(AND(E1745&lt;&gt;"",E1745&lt;TODAY()),"Disponible",IFERROR(INDEX(Vehiculos[Estado Vehiculo],MATCH(F1745,Vehiculos[Placa Vehiculo],0)),""))</f>
        <v>Disponible</v>
      </c>
      <c r="H1745" s="34"/>
      <c r="I1745" s="34" t="s">
        <v>273</v>
      </c>
      <c r="J1745" s="34"/>
      <c r="K1745" s="39">
        <v>801</v>
      </c>
      <c r="L1745" s="39">
        <v>818</v>
      </c>
      <c r="M1745" s="15">
        <f t="shared" si="545"/>
        <v>17</v>
      </c>
      <c r="N1745" s="381">
        <f>Rutas[[#This Row],[Kms Recorridos]]</f>
        <v>17</v>
      </c>
      <c r="O1745" s="39"/>
      <c r="P1745" s="36"/>
      <c r="Q1745" s="16">
        <f t="shared" si="546"/>
        <v>0</v>
      </c>
      <c r="R1745" s="34" t="s">
        <v>273</v>
      </c>
      <c r="S1745" s="34" t="s">
        <v>102</v>
      </c>
      <c r="T1745" s="36">
        <v>2.8</v>
      </c>
      <c r="U1745" s="36">
        <f>Rutas[[#This Row],[Precio x Galón ($/gal)]]*Rutas[[#This Row],[Volumen de Combustible (gal)]]</f>
        <v>50.007999999999996</v>
      </c>
      <c r="V1745" s="36"/>
      <c r="W1745" s="36"/>
      <c r="X1745" s="36"/>
      <c r="Y1745" s="145">
        <f t="shared" si="547"/>
        <v>50.007999999999996</v>
      </c>
      <c r="Z1745" s="567"/>
      <c r="AA1745" s="12">
        <v>17.86</v>
      </c>
      <c r="AB1745" s="12">
        <f t="shared" si="548"/>
        <v>0.95184770436730126</v>
      </c>
      <c r="AC1745" s="12">
        <f t="shared" si="549"/>
        <v>0</v>
      </c>
      <c r="AD1745" s="34"/>
    </row>
    <row r="1746" spans="3:30" ht="16" x14ac:dyDescent="0.2">
      <c r="C1746" s="176">
        <f t="shared" si="544"/>
        <v>1743</v>
      </c>
      <c r="D1746" s="454"/>
      <c r="E1746" s="37"/>
      <c r="F1746" s="65"/>
      <c r="G1746" s="11" t="str">
        <f ca="1">IF(AND(E1746&lt;&gt;"",E1746&lt;TODAY()),"Disponible",IFERROR(INDEX(Vehiculos[Estado Vehiculo],MATCH(F1746,Vehiculos[Placa Vehiculo],0)),""))</f>
        <v/>
      </c>
      <c r="H1746" s="34"/>
      <c r="I1746" s="34"/>
      <c r="J1746" s="34"/>
      <c r="K1746" s="39"/>
      <c r="L1746" s="39"/>
      <c r="M1746" s="15">
        <f t="shared" si="545"/>
        <v>0</v>
      </c>
      <c r="N1746" s="15"/>
      <c r="O1746" s="39"/>
      <c r="P1746" s="36"/>
      <c r="Q1746" s="16">
        <f t="shared" si="546"/>
        <v>0</v>
      </c>
      <c r="R1746" s="34"/>
      <c r="S1746" s="34"/>
      <c r="T1746" s="36"/>
      <c r="U1746" s="36"/>
      <c r="V1746" s="36"/>
      <c r="W1746" s="36"/>
      <c r="X1746" s="36"/>
      <c r="Y1746" s="145">
        <f t="shared" si="547"/>
        <v>0</v>
      </c>
      <c r="Z1746" s="567"/>
      <c r="AA1746" s="12"/>
      <c r="AB1746" s="12">
        <f t="shared" si="548"/>
        <v>0</v>
      </c>
      <c r="AC1746" s="12">
        <f t="shared" si="549"/>
        <v>0</v>
      </c>
      <c r="AD1746" s="34"/>
    </row>
    <row r="1747" spans="3:30" ht="16" x14ac:dyDescent="0.2">
      <c r="C1747" s="176">
        <f t="shared" si="544"/>
        <v>1744</v>
      </c>
      <c r="D1747" s="454"/>
      <c r="E1747" s="37"/>
      <c r="F1747" s="65"/>
      <c r="G1747" s="11" t="str">
        <f ca="1">IF(AND(E1747&lt;&gt;"",E1747&lt;TODAY()),"Disponible",IFERROR(INDEX(Vehiculos[Estado Vehiculo],MATCH(F1747,Vehiculos[Placa Vehiculo],0)),""))</f>
        <v/>
      </c>
      <c r="H1747" s="34"/>
      <c r="I1747" s="34"/>
      <c r="J1747" s="34"/>
      <c r="K1747" s="39"/>
      <c r="L1747" s="39"/>
      <c r="M1747" s="15">
        <f t="shared" si="524"/>
        <v>0</v>
      </c>
      <c r="N1747" s="15"/>
      <c r="O1747" s="39"/>
      <c r="P1747" s="36"/>
      <c r="Q1747" s="16">
        <f t="shared" si="525"/>
        <v>0</v>
      </c>
      <c r="R1747" s="34"/>
      <c r="S1747" s="34"/>
      <c r="T1747" s="36"/>
      <c r="U1747" s="36">
        <f>Rutas[[#This Row],[Precio x Galón ($/gal)]]*Rutas[[#This Row],[Volumen de Combustible (gal)]]</f>
        <v>0</v>
      </c>
      <c r="V1747" s="36"/>
      <c r="W1747" s="36"/>
      <c r="X1747" s="36"/>
      <c r="Y1747" s="145">
        <f t="shared" si="526"/>
        <v>0</v>
      </c>
      <c r="Z1747" s="567"/>
      <c r="AA1747" s="12"/>
      <c r="AB1747" s="12">
        <f t="shared" si="527"/>
        <v>0</v>
      </c>
      <c r="AC1747" s="12">
        <f t="shared" si="528"/>
        <v>0</v>
      </c>
      <c r="AD1747" s="34"/>
    </row>
    <row r="1748" spans="3:30" ht="16" x14ac:dyDescent="0.2">
      <c r="C1748" s="176">
        <f t="shared" si="544"/>
        <v>1745</v>
      </c>
      <c r="D1748" s="90">
        <v>45992</v>
      </c>
      <c r="E1748" s="90">
        <v>45994</v>
      </c>
      <c r="F1748" s="68" t="s">
        <v>308</v>
      </c>
      <c r="G1748" s="379" t="str">
        <f ca="1">IF(AND(E1748&lt;&gt;"",E1748&lt;TODAY()),"Disponible",IFERROR(INDEX(Vehiculos[Estado Vehiculo],MATCH(F1748,Vehiculos[Placa Vehiculo],0)),""))</f>
        <v>Disponible</v>
      </c>
      <c r="H1748" s="89"/>
      <c r="I1748" s="89" t="s">
        <v>273</v>
      </c>
      <c r="J1748" s="89"/>
      <c r="K1748" s="380">
        <v>1827</v>
      </c>
      <c r="L1748" s="380">
        <v>1865</v>
      </c>
      <c r="M1748" s="381">
        <f t="shared" si="524"/>
        <v>38</v>
      </c>
      <c r="N1748" s="381">
        <f>Rutas[[#This Row],[Kms Recorridos]]</f>
        <v>38</v>
      </c>
      <c r="O1748" s="380"/>
      <c r="P1748" s="92"/>
      <c r="Q1748" s="382">
        <f t="shared" si="525"/>
        <v>0</v>
      </c>
      <c r="R1748" s="89" t="s">
        <v>339</v>
      </c>
      <c r="S1748" s="89" t="s">
        <v>102</v>
      </c>
      <c r="T1748" s="92">
        <v>2.8</v>
      </c>
      <c r="U1748" s="92">
        <f>Rutas[[#This Row],[Precio x Galón ($/gal)]]*Rutas[[#This Row],[Volumen de Combustible (gal)]]</f>
        <v>49.027999999999999</v>
      </c>
      <c r="V1748" s="92"/>
      <c r="W1748" s="92"/>
      <c r="X1748" s="92"/>
      <c r="Y1748" s="382">
        <f t="shared" si="526"/>
        <v>49.027999999999999</v>
      </c>
      <c r="Z1748" s="578">
        <v>16222</v>
      </c>
      <c r="AA1748" s="382">
        <v>17.510000000000002</v>
      </c>
      <c r="AB1748" s="382">
        <f t="shared" si="527"/>
        <v>2.1701884637350082</v>
      </c>
      <c r="AC1748" s="382">
        <f t="shared" si="528"/>
        <v>0</v>
      </c>
      <c r="AD1748" s="89"/>
    </row>
    <row r="1749" spans="3:30" ht="16" x14ac:dyDescent="0.2">
      <c r="C1749" s="176">
        <f t="shared" si="544"/>
        <v>1746</v>
      </c>
      <c r="D1749" s="454">
        <v>45994</v>
      </c>
      <c r="E1749" s="37">
        <v>45997</v>
      </c>
      <c r="F1749" s="65" t="s">
        <v>308</v>
      </c>
      <c r="G1749" s="11" t="str">
        <f ca="1">IF(AND(E1749&lt;&gt;"",E1749&lt;TODAY()),"Disponible",IFERROR(INDEX(Vehiculos[Estado Vehiculo],MATCH(F1749,Vehiculos[Placa Vehiculo],0)),""))</f>
        <v>Disponible</v>
      </c>
      <c r="H1749" s="34"/>
      <c r="I1749" s="34" t="s">
        <v>273</v>
      </c>
      <c r="J1749" s="34"/>
      <c r="K1749" s="39">
        <v>1865</v>
      </c>
      <c r="L1749" s="39">
        <v>1899</v>
      </c>
      <c r="M1749" s="15">
        <f t="shared" si="524"/>
        <v>34</v>
      </c>
      <c r="N1749" s="381">
        <f>Rutas[[#This Row],[Kms Recorridos]]</f>
        <v>34</v>
      </c>
      <c r="O1749" s="39"/>
      <c r="P1749" s="36"/>
      <c r="Q1749" s="16">
        <f t="shared" si="525"/>
        <v>0</v>
      </c>
      <c r="R1749" s="34" t="s">
        <v>273</v>
      </c>
      <c r="S1749" s="34" t="s">
        <v>102</v>
      </c>
      <c r="T1749" s="36">
        <v>2.8</v>
      </c>
      <c r="U1749" s="36">
        <f>Rutas[[#This Row],[Precio x Galón ($/gal)]]*Rutas[[#This Row],[Volumen de Combustible (gal)]]</f>
        <v>59.527999999999999</v>
      </c>
      <c r="V1749" s="36"/>
      <c r="W1749" s="36"/>
      <c r="X1749" s="36"/>
      <c r="Y1749" s="145">
        <f t="shared" si="526"/>
        <v>59.527999999999999</v>
      </c>
      <c r="Z1749" s="567"/>
      <c r="AA1749" s="12">
        <v>21.26</v>
      </c>
      <c r="AB1749" s="12">
        <f t="shared" si="527"/>
        <v>1.5992474129821259</v>
      </c>
      <c r="AC1749" s="12">
        <f t="shared" si="528"/>
        <v>0</v>
      </c>
      <c r="AD1749" s="34"/>
    </row>
    <row r="1750" spans="3:30" ht="16" x14ac:dyDescent="0.2">
      <c r="C1750" s="176">
        <f t="shared" si="544"/>
        <v>1747</v>
      </c>
      <c r="D1750" s="454">
        <v>45997</v>
      </c>
      <c r="E1750" s="37">
        <v>46000</v>
      </c>
      <c r="F1750" s="65" t="s">
        <v>308</v>
      </c>
      <c r="G1750" s="11" t="str">
        <f ca="1">IF(AND(E1750&lt;&gt;"",E1750&lt;TODAY()),"Disponible",IFERROR(INDEX(Vehiculos[Estado Vehiculo],MATCH(F1750,Vehiculos[Placa Vehiculo],0)),""))</f>
        <v>Disponible</v>
      </c>
      <c r="H1750" s="34"/>
      <c r="I1750" s="34" t="s">
        <v>273</v>
      </c>
      <c r="J1750" s="34"/>
      <c r="K1750" s="39">
        <v>1899</v>
      </c>
      <c r="L1750" s="39">
        <v>1931</v>
      </c>
      <c r="M1750" s="15">
        <f t="shared" si="524"/>
        <v>32</v>
      </c>
      <c r="N1750" s="381">
        <f>Rutas[[#This Row],[Kms Recorridos]]</f>
        <v>32</v>
      </c>
      <c r="O1750" s="39"/>
      <c r="P1750" s="36"/>
      <c r="Q1750" s="16">
        <f t="shared" si="525"/>
        <v>0</v>
      </c>
      <c r="R1750" s="34" t="s">
        <v>273</v>
      </c>
      <c r="S1750" s="34" t="s">
        <v>102</v>
      </c>
      <c r="T1750" s="36">
        <v>2.8</v>
      </c>
      <c r="U1750" s="36">
        <f>Rutas[[#This Row],[Precio x Galón ($/gal)]]*Rutas[[#This Row],[Volumen de Combustible (gal)]]</f>
        <v>57.4</v>
      </c>
      <c r="V1750" s="36"/>
      <c r="W1750" s="36"/>
      <c r="X1750" s="36"/>
      <c r="Y1750" s="145">
        <f t="shared" si="526"/>
        <v>57.4</v>
      </c>
      <c r="Z1750" s="567"/>
      <c r="AA1750" s="12">
        <v>20.5</v>
      </c>
      <c r="AB1750" s="12">
        <f t="shared" si="527"/>
        <v>1.5609756097560976</v>
      </c>
      <c r="AC1750" s="12">
        <f t="shared" si="528"/>
        <v>0</v>
      </c>
      <c r="AD1750" s="34"/>
    </row>
    <row r="1751" spans="3:30" ht="16" x14ac:dyDescent="0.2">
      <c r="C1751" s="176">
        <f t="shared" si="544"/>
        <v>1748</v>
      </c>
      <c r="D1751" s="454">
        <v>46000</v>
      </c>
      <c r="E1751" s="37">
        <v>46004</v>
      </c>
      <c r="F1751" s="65" t="s">
        <v>308</v>
      </c>
      <c r="G1751" s="11" t="str">
        <f ca="1">IF(AND(E1751&lt;&gt;"",E1751&lt;TODAY()),"Disponible",IFERROR(INDEX(Vehiculos[Estado Vehiculo],MATCH(F1751,Vehiculos[Placa Vehiculo],0)),""))</f>
        <v>Disponible</v>
      </c>
      <c r="H1751" s="34"/>
      <c r="I1751" s="34" t="s">
        <v>273</v>
      </c>
      <c r="J1751" s="34"/>
      <c r="K1751" s="39">
        <v>1931</v>
      </c>
      <c r="L1751" s="39">
        <v>1966</v>
      </c>
      <c r="M1751" s="15">
        <f t="shared" si="524"/>
        <v>35</v>
      </c>
      <c r="N1751" s="381">
        <f>Rutas[[#This Row],[Kms Recorridos]]</f>
        <v>35</v>
      </c>
      <c r="O1751" s="39"/>
      <c r="P1751" s="36"/>
      <c r="Q1751" s="16">
        <f t="shared" si="525"/>
        <v>0</v>
      </c>
      <c r="R1751" s="34" t="s">
        <v>339</v>
      </c>
      <c r="S1751" s="34" t="s">
        <v>102</v>
      </c>
      <c r="T1751" s="36">
        <v>2.8</v>
      </c>
      <c r="U1751" s="36">
        <f>Rutas[[#This Row],[Precio x Galón ($/gal)]]*Rutas[[#This Row],[Volumen de Combustible (gal)]]</f>
        <v>69.3</v>
      </c>
      <c r="V1751" s="36"/>
      <c r="W1751" s="36"/>
      <c r="X1751" s="36"/>
      <c r="Y1751" s="145">
        <f t="shared" si="526"/>
        <v>69.3</v>
      </c>
      <c r="Z1751" s="572">
        <v>16253</v>
      </c>
      <c r="AA1751" s="12">
        <v>24.75</v>
      </c>
      <c r="AB1751" s="12">
        <f t="shared" si="527"/>
        <v>1.4141414141414141</v>
      </c>
      <c r="AC1751" s="12">
        <f t="shared" si="528"/>
        <v>0</v>
      </c>
      <c r="AD1751" s="34"/>
    </row>
    <row r="1752" spans="3:30" ht="16" x14ac:dyDescent="0.2">
      <c r="C1752" s="176">
        <f t="shared" si="544"/>
        <v>1749</v>
      </c>
      <c r="D1752" s="454">
        <v>46004</v>
      </c>
      <c r="E1752" s="37">
        <v>46010</v>
      </c>
      <c r="F1752" s="65" t="s">
        <v>308</v>
      </c>
      <c r="G1752" s="11" t="str">
        <f ca="1">IF(AND(E1752&lt;&gt;"",E1752&lt;TODAY()),"Disponible",IFERROR(INDEX(Vehiculos[Estado Vehiculo],MATCH(F1752,Vehiculos[Placa Vehiculo],0)),""))</f>
        <v>Disponible</v>
      </c>
      <c r="H1752" s="34" t="s">
        <v>250</v>
      </c>
      <c r="I1752" s="34" t="s">
        <v>273</v>
      </c>
      <c r="J1752" s="34"/>
      <c r="K1752" s="39">
        <v>1966</v>
      </c>
      <c r="L1752" s="39">
        <v>2022</v>
      </c>
      <c r="M1752" s="15">
        <f t="shared" si="524"/>
        <v>56</v>
      </c>
      <c r="N1752" s="381">
        <f>Rutas[[#This Row],[Kms Recorridos]]</f>
        <v>56</v>
      </c>
      <c r="O1752" s="39"/>
      <c r="P1752" s="36"/>
      <c r="Q1752" s="16">
        <f t="shared" si="525"/>
        <v>0</v>
      </c>
      <c r="R1752" s="34" t="s">
        <v>339</v>
      </c>
      <c r="S1752" s="34" t="s">
        <v>102</v>
      </c>
      <c r="T1752" s="36">
        <v>2.8</v>
      </c>
      <c r="U1752" s="36">
        <f>Rutas[[#This Row],[Precio x Galón ($/gal)]]*Rutas[[#This Row],[Volumen de Combustible (gal)]]</f>
        <v>42.811999999999998</v>
      </c>
      <c r="V1752" s="36"/>
      <c r="W1752" s="36"/>
      <c r="X1752" s="36"/>
      <c r="Y1752" s="145">
        <f t="shared" si="526"/>
        <v>42.811999999999998</v>
      </c>
      <c r="Z1752" s="572">
        <v>16267</v>
      </c>
      <c r="AA1752" s="12">
        <v>15.29</v>
      </c>
      <c r="AB1752" s="12">
        <f t="shared" si="527"/>
        <v>3.6625245258338786</v>
      </c>
      <c r="AC1752" s="12">
        <f t="shared" si="528"/>
        <v>0</v>
      </c>
      <c r="AD1752" s="34"/>
    </row>
    <row r="1753" spans="3:30" ht="16" x14ac:dyDescent="0.2">
      <c r="C1753" s="176">
        <f t="shared" si="544"/>
        <v>1750</v>
      </c>
      <c r="D1753" s="454">
        <v>46010</v>
      </c>
      <c r="E1753" s="37">
        <v>46012</v>
      </c>
      <c r="F1753" s="65" t="s">
        <v>308</v>
      </c>
      <c r="G1753" s="11" t="str">
        <f ca="1">IF(AND(E1753&lt;&gt;"",E1753&lt;TODAY()),"Disponible",IFERROR(INDEX(Vehiculos[Estado Vehiculo],MATCH(F1753,Vehiculos[Placa Vehiculo],0)),""))</f>
        <v>Disponible</v>
      </c>
      <c r="H1753" s="34"/>
      <c r="I1753" s="34" t="s">
        <v>273</v>
      </c>
      <c r="J1753" s="34"/>
      <c r="K1753" s="39">
        <v>2022</v>
      </c>
      <c r="L1753" s="39">
        <v>2049</v>
      </c>
      <c r="M1753" s="15">
        <f t="shared" si="524"/>
        <v>27</v>
      </c>
      <c r="N1753" s="381">
        <f>Rutas[[#This Row],[Kms Recorridos]]</f>
        <v>27</v>
      </c>
      <c r="O1753" s="39"/>
      <c r="P1753" s="36"/>
      <c r="Q1753" s="16">
        <f t="shared" si="525"/>
        <v>0</v>
      </c>
      <c r="R1753" s="34" t="s">
        <v>273</v>
      </c>
      <c r="S1753" s="34" t="s">
        <v>102</v>
      </c>
      <c r="T1753" s="36">
        <v>2.8</v>
      </c>
      <c r="U1753" s="36">
        <f>Rutas[[#This Row],[Precio x Galón ($/gal)]]*Rutas[[#This Row],[Volumen de Combustible (gal)]]</f>
        <v>42.279999999999994</v>
      </c>
      <c r="V1753" s="36"/>
      <c r="W1753" s="36"/>
      <c r="X1753" s="36"/>
      <c r="Y1753" s="145">
        <f t="shared" si="526"/>
        <v>42.279999999999994</v>
      </c>
      <c r="Z1753" s="567"/>
      <c r="AA1753" s="12">
        <v>15.1</v>
      </c>
      <c r="AB1753" s="12">
        <f t="shared" si="527"/>
        <v>1.7880794701986755</v>
      </c>
      <c r="AC1753" s="12">
        <f t="shared" si="528"/>
        <v>0</v>
      </c>
      <c r="AD1753" s="34"/>
    </row>
    <row r="1754" spans="3:30" ht="16" x14ac:dyDescent="0.2">
      <c r="C1754" s="176">
        <f t="shared" si="544"/>
        <v>1751</v>
      </c>
      <c r="D1754" s="454">
        <v>46012</v>
      </c>
      <c r="E1754" s="37">
        <v>46016</v>
      </c>
      <c r="F1754" s="65" t="s">
        <v>308</v>
      </c>
      <c r="G1754" s="11" t="str">
        <f ca="1">IF(AND(E1754&lt;&gt;"",E1754&lt;TODAY()),"Disponible",IFERROR(INDEX(Vehiculos[Estado Vehiculo],MATCH(F1754,Vehiculos[Placa Vehiculo],0)),""))</f>
        <v>Disponible</v>
      </c>
      <c r="H1754" s="34" t="s">
        <v>250</v>
      </c>
      <c r="I1754" s="34" t="s">
        <v>273</v>
      </c>
      <c r="J1754" s="34"/>
      <c r="K1754" s="39">
        <v>2049</v>
      </c>
      <c r="L1754" s="39">
        <v>2087</v>
      </c>
      <c r="M1754" s="15">
        <f>L1754-K1754</f>
        <v>38</v>
      </c>
      <c r="N1754" s="381">
        <f>Rutas[[#This Row],[Kms Recorridos]]</f>
        <v>38</v>
      </c>
      <c r="O1754" s="39"/>
      <c r="P1754" s="36"/>
      <c r="Q1754" s="16">
        <f>M1754*P1754</f>
        <v>0</v>
      </c>
      <c r="R1754" s="34" t="s">
        <v>339</v>
      </c>
      <c r="S1754" s="34" t="s">
        <v>102</v>
      </c>
      <c r="T1754" s="36">
        <v>2.8</v>
      </c>
      <c r="U1754" s="36">
        <f>Rutas[[#This Row],[Precio x Galón ($/gal)]]*Rutas[[#This Row],[Volumen de Combustible (gal)]]</f>
        <v>41.383999999999993</v>
      </c>
      <c r="V1754" s="36"/>
      <c r="W1754" s="36"/>
      <c r="X1754" s="36"/>
      <c r="Y1754" s="145">
        <f>U1754+SUM(V1754:X1754)</f>
        <v>41.383999999999993</v>
      </c>
      <c r="Z1754" s="572">
        <v>16279</v>
      </c>
      <c r="AA1754" s="12">
        <v>14.78</v>
      </c>
      <c r="AB1754" s="12">
        <f>IFERROR(M1754/AA1754,0)</f>
        <v>2.5710419485791611</v>
      </c>
      <c r="AC1754" s="12">
        <f>IFERROR(Q1754/M1754,0)</f>
        <v>0</v>
      </c>
      <c r="AD1754" s="34"/>
    </row>
    <row r="1755" spans="3:30" ht="16" x14ac:dyDescent="0.2">
      <c r="C1755" s="176">
        <f t="shared" si="544"/>
        <v>1752</v>
      </c>
      <c r="D1755" s="454">
        <v>46016</v>
      </c>
      <c r="E1755" s="37">
        <v>46019</v>
      </c>
      <c r="F1755" s="65" t="s">
        <v>308</v>
      </c>
      <c r="G1755" s="11" t="str">
        <f ca="1">IF(AND(E1755&lt;&gt;"",E1755&lt;TODAY()),"Disponible",IFERROR(INDEX(Vehiculos[Estado Vehiculo],MATCH(F1755,Vehiculos[Placa Vehiculo],0)),""))</f>
        <v>Disponible</v>
      </c>
      <c r="H1755" s="34"/>
      <c r="I1755" s="34" t="s">
        <v>273</v>
      </c>
      <c r="J1755" s="34"/>
      <c r="K1755" s="39">
        <v>2087</v>
      </c>
      <c r="L1755" s="39">
        <v>2122</v>
      </c>
      <c r="M1755" s="15">
        <f>L1755-K1755</f>
        <v>35</v>
      </c>
      <c r="N1755" s="381">
        <f>Rutas[[#This Row],[Kms Recorridos]]</f>
        <v>35</v>
      </c>
      <c r="O1755" s="39"/>
      <c r="P1755" s="36"/>
      <c r="Q1755" s="16">
        <f>M1755*P1755</f>
        <v>0</v>
      </c>
      <c r="R1755" s="34" t="s">
        <v>273</v>
      </c>
      <c r="S1755" s="34" t="s">
        <v>102</v>
      </c>
      <c r="T1755" s="36">
        <v>2.8</v>
      </c>
      <c r="U1755" s="36">
        <f>Rutas[[#This Row],[Precio x Galón ($/gal)]]*Rutas[[#This Row],[Volumen de Combustible (gal)]]</f>
        <v>54.151999999999994</v>
      </c>
      <c r="V1755" s="36"/>
      <c r="W1755" s="36"/>
      <c r="X1755" s="36"/>
      <c r="Y1755" s="145">
        <f>U1755+SUM(V1755:X1755)</f>
        <v>54.151999999999994</v>
      </c>
      <c r="Z1755" s="567"/>
      <c r="AA1755" s="12">
        <v>19.34</v>
      </c>
      <c r="AB1755" s="12">
        <f>IFERROR(M1755/AA1755,0)</f>
        <v>1.8097207859358841</v>
      </c>
      <c r="AC1755" s="12">
        <f>IFERROR(Q1755/M1755,0)</f>
        <v>0</v>
      </c>
      <c r="AD1755" s="34"/>
    </row>
    <row r="1756" spans="3:30" ht="16" x14ac:dyDescent="0.2">
      <c r="C1756" s="176">
        <f t="shared" si="544"/>
        <v>1753</v>
      </c>
      <c r="D1756" s="454">
        <v>46019</v>
      </c>
      <c r="E1756" s="37">
        <v>46022</v>
      </c>
      <c r="F1756" s="65" t="s">
        <v>308</v>
      </c>
      <c r="G1756" s="11" t="str">
        <f ca="1">IF(AND(E1756&lt;&gt;"",E1756&lt;TODAY()),"Disponible",IFERROR(INDEX(Vehiculos[Estado Vehiculo],MATCH(F1756,Vehiculos[Placa Vehiculo],0)),""))</f>
        <v>Disponible</v>
      </c>
      <c r="H1756" s="34"/>
      <c r="I1756" s="34" t="s">
        <v>273</v>
      </c>
      <c r="J1756" s="34"/>
      <c r="K1756" s="39">
        <v>2122</v>
      </c>
      <c r="L1756" s="39">
        <v>2154</v>
      </c>
      <c r="M1756" s="15">
        <f>L1756-K1756</f>
        <v>32</v>
      </c>
      <c r="N1756" s="381">
        <f>Rutas[[#This Row],[Kms Recorridos]]</f>
        <v>32</v>
      </c>
      <c r="O1756" s="39"/>
      <c r="P1756" s="36"/>
      <c r="Q1756" s="16">
        <f>M1756*P1756</f>
        <v>0</v>
      </c>
      <c r="R1756" s="34" t="s">
        <v>273</v>
      </c>
      <c r="S1756" s="34" t="s">
        <v>102</v>
      </c>
      <c r="T1756" s="36">
        <v>2.8</v>
      </c>
      <c r="U1756" s="36">
        <f>Rutas[[#This Row],[Precio x Galón ($/gal)]]*Rutas[[#This Row],[Volumen de Combustible (gal)]]</f>
        <v>58.603999999999992</v>
      </c>
      <c r="V1756" s="36"/>
      <c r="W1756" s="36"/>
      <c r="X1756" s="36"/>
      <c r="Y1756" s="145">
        <f>U1756+SUM(V1756:X1756)</f>
        <v>58.603999999999992</v>
      </c>
      <c r="Z1756" s="567"/>
      <c r="AA1756" s="12">
        <v>20.93</v>
      </c>
      <c r="AB1756" s="12">
        <f>IFERROR(M1756/AA1756,0)</f>
        <v>1.5289058767319637</v>
      </c>
      <c r="AC1756" s="12">
        <f>IFERROR(Q1756/M1756,0)</f>
        <v>0</v>
      </c>
      <c r="AD1756" s="34"/>
    </row>
    <row r="1757" spans="3:30" ht="16" x14ac:dyDescent="0.2">
      <c r="C1757" s="176">
        <f t="shared" si="544"/>
        <v>1754</v>
      </c>
      <c r="D1757" s="454"/>
      <c r="E1757" s="37"/>
      <c r="F1757" s="65"/>
      <c r="G1757" s="11" t="str">
        <f ca="1">IF(AND(E1757&lt;&gt;"",E1757&lt;TODAY()),"Disponible",IFERROR(INDEX(Vehiculos[Estado Vehiculo],MATCH(F1757,Vehiculos[Placa Vehiculo],0)),""))</f>
        <v/>
      </c>
      <c r="H1757" s="34"/>
      <c r="I1757" s="34"/>
      <c r="J1757" s="34"/>
      <c r="K1757" s="39"/>
      <c r="L1757" s="39"/>
      <c r="M1757" s="15">
        <f>L1757-K1757</f>
        <v>0</v>
      </c>
      <c r="N1757" s="15"/>
      <c r="O1757" s="39"/>
      <c r="P1757" s="36"/>
      <c r="Q1757" s="16">
        <f>M1757*P1757</f>
        <v>0</v>
      </c>
      <c r="R1757" s="34"/>
      <c r="S1757" s="34"/>
      <c r="T1757" s="36"/>
      <c r="U1757" s="36"/>
      <c r="V1757" s="36"/>
      <c r="W1757" s="36"/>
      <c r="X1757" s="36"/>
      <c r="Y1757" s="145">
        <f>U1757+SUM(V1757:X1757)</f>
        <v>0</v>
      </c>
      <c r="Z1757" s="567"/>
      <c r="AA1757" s="12"/>
      <c r="AB1757" s="12">
        <f>IFERROR(M1757/AA1757,0)</f>
        <v>0</v>
      </c>
      <c r="AC1757" s="12">
        <f>IFERROR(Q1757/M1757,0)</f>
        <v>0</v>
      </c>
      <c r="AD1757" s="34"/>
    </row>
    <row r="1758" spans="3:30" ht="16" x14ac:dyDescent="0.2">
      <c r="C1758" s="176">
        <f t="shared" si="544"/>
        <v>1755</v>
      </c>
      <c r="D1758" s="454"/>
      <c r="E1758" s="37"/>
      <c r="F1758" s="65"/>
      <c r="G1758" s="11" t="str">
        <f ca="1">IF(AND(E1758&lt;&gt;"",E1758&lt;TODAY()),"Disponible",IFERROR(INDEX(Vehiculos[Estado Vehiculo],MATCH(F1758,Vehiculos[Placa Vehiculo],0)),""))</f>
        <v/>
      </c>
      <c r="H1758" s="34"/>
      <c r="I1758" s="34"/>
      <c r="J1758" s="34"/>
      <c r="K1758" s="39"/>
      <c r="L1758" s="39"/>
      <c r="M1758" s="15">
        <f t="shared" si="524"/>
        <v>0</v>
      </c>
      <c r="N1758" s="15"/>
      <c r="O1758" s="39"/>
      <c r="P1758" s="36"/>
      <c r="Q1758" s="16">
        <f t="shared" si="525"/>
        <v>0</v>
      </c>
      <c r="R1758" s="34"/>
      <c r="S1758" s="34"/>
      <c r="T1758" s="36"/>
      <c r="U1758" s="36">
        <f>Rutas[[#This Row],[Precio x Galón ($/gal)]]*Rutas[[#This Row],[Volumen de Combustible (gal)]]</f>
        <v>0</v>
      </c>
      <c r="V1758" s="36"/>
      <c r="W1758" s="36"/>
      <c r="X1758" s="36"/>
      <c r="Y1758" s="145">
        <f t="shared" si="526"/>
        <v>0</v>
      </c>
      <c r="Z1758" s="567"/>
      <c r="AA1758" s="12"/>
      <c r="AB1758" s="12">
        <f t="shared" si="527"/>
        <v>0</v>
      </c>
      <c r="AC1758" s="12">
        <f t="shared" si="528"/>
        <v>0</v>
      </c>
      <c r="AD1758" s="34"/>
    </row>
    <row r="1759" spans="3:30" ht="16" x14ac:dyDescent="0.2">
      <c r="C1759" s="176">
        <f t="shared" si="544"/>
        <v>1756</v>
      </c>
      <c r="D1759" s="90">
        <v>45992</v>
      </c>
      <c r="E1759" s="90">
        <v>45993</v>
      </c>
      <c r="F1759" s="68" t="s">
        <v>312</v>
      </c>
      <c r="G1759" s="379" t="str">
        <f ca="1">IF(AND(E1759&lt;&gt;"",E1759&lt;TODAY()),"Disponible",IFERROR(INDEX(Vehiculos[Estado Vehiculo],MATCH(F1759,Vehiculos[Placa Vehiculo],0)),""))</f>
        <v>Disponible</v>
      </c>
      <c r="H1759" s="89" t="s">
        <v>242</v>
      </c>
      <c r="I1759" s="89" t="s">
        <v>273</v>
      </c>
      <c r="J1759" s="89"/>
      <c r="K1759" s="380">
        <v>718</v>
      </c>
      <c r="L1759" s="380">
        <v>749</v>
      </c>
      <c r="M1759" s="381">
        <f t="shared" si="524"/>
        <v>31</v>
      </c>
      <c r="N1759" s="381">
        <f>Rutas[[#This Row],[Kms Recorridos]]</f>
        <v>31</v>
      </c>
      <c r="O1759" s="380"/>
      <c r="P1759" s="92"/>
      <c r="Q1759" s="382">
        <f t="shared" si="525"/>
        <v>0</v>
      </c>
      <c r="R1759" s="89" t="s">
        <v>339</v>
      </c>
      <c r="S1759" s="89" t="s">
        <v>102</v>
      </c>
      <c r="T1759" s="92">
        <v>2.8</v>
      </c>
      <c r="U1759" s="92">
        <f>Rutas[[#This Row],[Precio x Galón ($/gal)]]*Rutas[[#This Row],[Volumen de Combustible (gal)]]</f>
        <v>39.507999999999996</v>
      </c>
      <c r="V1759" s="92"/>
      <c r="W1759" s="92"/>
      <c r="X1759" s="92"/>
      <c r="Y1759" s="382">
        <f t="shared" si="526"/>
        <v>39.507999999999996</v>
      </c>
      <c r="Z1759" s="578">
        <v>16235</v>
      </c>
      <c r="AA1759" s="382">
        <v>14.11</v>
      </c>
      <c r="AB1759" s="382">
        <f t="shared" si="527"/>
        <v>2.1970233876683203</v>
      </c>
      <c r="AC1759" s="382">
        <f t="shared" si="528"/>
        <v>0</v>
      </c>
      <c r="AD1759" s="89"/>
    </row>
    <row r="1760" spans="3:30" ht="16" x14ac:dyDescent="0.2">
      <c r="C1760" s="176">
        <f t="shared" si="544"/>
        <v>1757</v>
      </c>
      <c r="D1760" s="454">
        <v>45993</v>
      </c>
      <c r="E1760" s="37">
        <v>45996</v>
      </c>
      <c r="F1760" s="65" t="s">
        <v>312</v>
      </c>
      <c r="G1760" s="11" t="str">
        <f ca="1">IF(AND(E1760&lt;&gt;"",E1760&lt;TODAY()),"Disponible",IFERROR(INDEX(Vehiculos[Estado Vehiculo],MATCH(F1760,Vehiculos[Placa Vehiculo],0)),""))</f>
        <v>Disponible</v>
      </c>
      <c r="H1760" s="34"/>
      <c r="I1760" s="34" t="s">
        <v>273</v>
      </c>
      <c r="J1760" s="34"/>
      <c r="K1760" s="39">
        <v>749</v>
      </c>
      <c r="L1760" s="39">
        <v>772</v>
      </c>
      <c r="M1760" s="15">
        <f t="shared" si="524"/>
        <v>23</v>
      </c>
      <c r="N1760" s="381">
        <f>Rutas[[#This Row],[Kms Recorridos]]</f>
        <v>23</v>
      </c>
      <c r="O1760" s="39"/>
      <c r="P1760" s="36"/>
      <c r="Q1760" s="16">
        <f t="shared" si="525"/>
        <v>0</v>
      </c>
      <c r="R1760" s="34" t="s">
        <v>273</v>
      </c>
      <c r="S1760" s="34" t="s">
        <v>102</v>
      </c>
      <c r="T1760" s="36">
        <v>2.8</v>
      </c>
      <c r="U1760" s="36">
        <f>Rutas[[#This Row],[Precio x Galón ($/gal)]]*Rutas[[#This Row],[Volumen de Combustible (gal)]]</f>
        <v>38.22</v>
      </c>
      <c r="V1760" s="36"/>
      <c r="W1760" s="36"/>
      <c r="X1760" s="36"/>
      <c r="Y1760" s="145">
        <f t="shared" si="526"/>
        <v>38.22</v>
      </c>
      <c r="Z1760" s="567"/>
      <c r="AA1760" s="12">
        <v>13.65</v>
      </c>
      <c r="AB1760" s="12">
        <f t="shared" si="527"/>
        <v>1.684981684981685</v>
      </c>
      <c r="AC1760" s="12">
        <f t="shared" si="528"/>
        <v>0</v>
      </c>
      <c r="AD1760" s="34"/>
    </row>
    <row r="1761" spans="3:30" ht="16" x14ac:dyDescent="0.2">
      <c r="C1761" s="176">
        <f t="shared" si="544"/>
        <v>1758</v>
      </c>
      <c r="D1761" s="454">
        <v>45996</v>
      </c>
      <c r="E1761" s="37">
        <v>46000</v>
      </c>
      <c r="F1761" s="65" t="s">
        <v>312</v>
      </c>
      <c r="G1761" s="11" t="str">
        <f ca="1">IF(AND(E1761&lt;&gt;"",E1761&lt;TODAY()),"Disponible",IFERROR(INDEX(Vehiculos[Estado Vehiculo],MATCH(F1761,Vehiculos[Placa Vehiculo],0)),""))</f>
        <v>Disponible</v>
      </c>
      <c r="H1761" s="34"/>
      <c r="I1761" s="34" t="s">
        <v>273</v>
      </c>
      <c r="J1761" s="34"/>
      <c r="K1761" s="39">
        <v>772</v>
      </c>
      <c r="L1761" s="39">
        <v>800</v>
      </c>
      <c r="M1761" s="15">
        <f>L1761-K1761</f>
        <v>28</v>
      </c>
      <c r="N1761" s="381">
        <f>Rutas[[#This Row],[Kms Recorridos]]</f>
        <v>28</v>
      </c>
      <c r="O1761" s="39"/>
      <c r="P1761" s="36"/>
      <c r="Q1761" s="16">
        <f>M1761*P1761</f>
        <v>0</v>
      </c>
      <c r="R1761" s="34" t="s">
        <v>196</v>
      </c>
      <c r="S1761" s="34" t="s">
        <v>102</v>
      </c>
      <c r="T1761" s="36">
        <v>2.8</v>
      </c>
      <c r="U1761" s="36">
        <f>Rutas[[#This Row],[Precio x Galón ($/gal)]]*Rutas[[#This Row],[Volumen de Combustible (gal)]]</f>
        <v>42</v>
      </c>
      <c r="V1761" s="36"/>
      <c r="W1761" s="36"/>
      <c r="X1761" s="36"/>
      <c r="Y1761" s="145">
        <f>U1761+SUM(V1761:X1761)</f>
        <v>42</v>
      </c>
      <c r="Z1761" s="567"/>
      <c r="AA1761" s="12">
        <v>15</v>
      </c>
      <c r="AB1761" s="12">
        <f>IFERROR(M1761/AA1761,0)</f>
        <v>1.8666666666666667</v>
      </c>
      <c r="AC1761" s="12">
        <f>IFERROR(Q1761/M1761,0)</f>
        <v>0</v>
      </c>
      <c r="AD1761" s="34"/>
    </row>
    <row r="1762" spans="3:30" ht="16" x14ac:dyDescent="0.2">
      <c r="C1762" s="176">
        <f t="shared" si="544"/>
        <v>1759</v>
      </c>
      <c r="D1762" s="454">
        <v>46000</v>
      </c>
      <c r="E1762" s="37">
        <v>46002</v>
      </c>
      <c r="F1762" s="65" t="s">
        <v>312</v>
      </c>
      <c r="G1762" s="11" t="str">
        <f ca="1">IF(AND(E1762&lt;&gt;"",E1762&lt;TODAY()),"Disponible",IFERROR(INDEX(Vehiculos[Estado Vehiculo],MATCH(F1762,Vehiculos[Placa Vehiculo],0)),""))</f>
        <v>Disponible</v>
      </c>
      <c r="H1762" s="34"/>
      <c r="I1762" s="34" t="s">
        <v>273</v>
      </c>
      <c r="J1762" s="34"/>
      <c r="K1762" s="39">
        <v>800</v>
      </c>
      <c r="L1762" s="39">
        <v>825</v>
      </c>
      <c r="M1762" s="15">
        <f t="shared" si="524"/>
        <v>25</v>
      </c>
      <c r="N1762" s="381">
        <f>Rutas[[#This Row],[Kms Recorridos]]</f>
        <v>25</v>
      </c>
      <c r="O1762" s="39"/>
      <c r="P1762" s="36"/>
      <c r="Q1762" s="16">
        <f t="shared" si="525"/>
        <v>0</v>
      </c>
      <c r="R1762" s="34" t="s">
        <v>339</v>
      </c>
      <c r="S1762" s="34" t="s">
        <v>102</v>
      </c>
      <c r="T1762" s="36">
        <v>2.8</v>
      </c>
      <c r="U1762" s="36">
        <f>Rutas[[#This Row],[Precio x Galón ($/gal)]]*Rutas[[#This Row],[Volumen de Combustible (gal)]]</f>
        <v>70.727999999999994</v>
      </c>
      <c r="V1762" s="36"/>
      <c r="W1762" s="36"/>
      <c r="X1762" s="36"/>
      <c r="Y1762" s="145">
        <f t="shared" si="526"/>
        <v>70.727999999999994</v>
      </c>
      <c r="Z1762" s="567"/>
      <c r="AA1762" s="12">
        <v>25.26</v>
      </c>
      <c r="AB1762" s="12">
        <f t="shared" si="527"/>
        <v>0.98970704671417253</v>
      </c>
      <c r="AC1762" s="12">
        <f t="shared" si="528"/>
        <v>0</v>
      </c>
      <c r="AD1762" s="34"/>
    </row>
    <row r="1763" spans="3:30" ht="16" x14ac:dyDescent="0.2">
      <c r="C1763" s="176">
        <f t="shared" si="544"/>
        <v>1760</v>
      </c>
      <c r="D1763" s="454">
        <v>46002</v>
      </c>
      <c r="E1763" s="37">
        <v>46005</v>
      </c>
      <c r="F1763" s="65" t="s">
        <v>312</v>
      </c>
      <c r="G1763" s="11" t="str">
        <f ca="1">IF(AND(E1763&lt;&gt;"",E1763&lt;TODAY()),"Disponible",IFERROR(INDEX(Vehiculos[Estado Vehiculo],MATCH(F1763,Vehiculos[Placa Vehiculo],0)),""))</f>
        <v>Disponible</v>
      </c>
      <c r="H1763" s="34"/>
      <c r="I1763" s="34" t="s">
        <v>273</v>
      </c>
      <c r="J1763" s="34"/>
      <c r="K1763" s="39">
        <v>825</v>
      </c>
      <c r="L1763" s="39">
        <v>850</v>
      </c>
      <c r="M1763" s="15">
        <f t="shared" si="524"/>
        <v>25</v>
      </c>
      <c r="N1763" s="381">
        <f>Rutas[[#This Row],[Kms Recorridos]]</f>
        <v>25</v>
      </c>
      <c r="O1763" s="39"/>
      <c r="P1763" s="36"/>
      <c r="Q1763" s="16">
        <f t="shared" si="525"/>
        <v>0</v>
      </c>
      <c r="R1763" s="34" t="s">
        <v>273</v>
      </c>
      <c r="S1763" s="34" t="s">
        <v>102</v>
      </c>
      <c r="T1763" s="36">
        <v>2.8</v>
      </c>
      <c r="U1763" s="36">
        <f>Rutas[[#This Row],[Precio x Galón ($/gal)]]*Rutas[[#This Row],[Volumen de Combustible (gal)]]</f>
        <v>34.047999999999995</v>
      </c>
      <c r="V1763" s="36"/>
      <c r="W1763" s="36"/>
      <c r="X1763" s="36"/>
      <c r="Y1763" s="145">
        <f t="shared" si="526"/>
        <v>34.047999999999995</v>
      </c>
      <c r="Z1763" s="567"/>
      <c r="AA1763" s="12">
        <v>12.16</v>
      </c>
      <c r="AB1763" s="12">
        <f t="shared" si="527"/>
        <v>2.0559210526315788</v>
      </c>
      <c r="AC1763" s="12">
        <f t="shared" si="528"/>
        <v>0</v>
      </c>
      <c r="AD1763" s="34"/>
    </row>
    <row r="1764" spans="3:30" ht="16" x14ac:dyDescent="0.2">
      <c r="C1764" s="176">
        <f t="shared" si="544"/>
        <v>1761</v>
      </c>
      <c r="D1764" s="454">
        <v>46005</v>
      </c>
      <c r="E1764" s="37">
        <v>46009</v>
      </c>
      <c r="F1764" s="65" t="s">
        <v>312</v>
      </c>
      <c r="G1764" s="11" t="str">
        <f ca="1">IF(AND(E1764&lt;&gt;"",E1764&lt;TODAY()),"Disponible",IFERROR(INDEX(Vehiculos[Estado Vehiculo],MATCH(F1764,Vehiculos[Placa Vehiculo],0)),""))</f>
        <v>Disponible</v>
      </c>
      <c r="H1764" s="34" t="s">
        <v>422</v>
      </c>
      <c r="I1764" s="34" t="s">
        <v>273</v>
      </c>
      <c r="J1764" s="34"/>
      <c r="K1764" s="39">
        <v>850</v>
      </c>
      <c r="L1764" s="39">
        <v>880</v>
      </c>
      <c r="M1764" s="15">
        <f t="shared" si="524"/>
        <v>30</v>
      </c>
      <c r="N1764" s="381">
        <f>Rutas[[#This Row],[Kms Recorridos]]</f>
        <v>30</v>
      </c>
      <c r="O1764" s="39"/>
      <c r="P1764" s="36"/>
      <c r="Q1764" s="16">
        <f t="shared" si="525"/>
        <v>0</v>
      </c>
      <c r="R1764" s="34" t="s">
        <v>339</v>
      </c>
      <c r="S1764" s="34" t="s">
        <v>102</v>
      </c>
      <c r="T1764" s="36">
        <v>2.8</v>
      </c>
      <c r="U1764" s="36">
        <f>Rutas[[#This Row],[Precio x Galón ($/gal)]]*Rutas[[#This Row],[Volumen de Combustible (gal)]]</f>
        <v>48.552</v>
      </c>
      <c r="V1764" s="36"/>
      <c r="W1764" s="36"/>
      <c r="X1764" s="36"/>
      <c r="Y1764" s="145">
        <f t="shared" si="526"/>
        <v>48.552</v>
      </c>
      <c r="Z1764" s="572">
        <v>16262</v>
      </c>
      <c r="AA1764" s="12">
        <v>17.34</v>
      </c>
      <c r="AB1764" s="12">
        <f t="shared" si="527"/>
        <v>1.7301038062283738</v>
      </c>
      <c r="AC1764" s="12">
        <f t="shared" si="528"/>
        <v>0</v>
      </c>
      <c r="AD1764" s="34"/>
    </row>
    <row r="1765" spans="3:30" ht="16" x14ac:dyDescent="0.2">
      <c r="C1765" s="176">
        <f t="shared" si="544"/>
        <v>1762</v>
      </c>
      <c r="D1765" s="454">
        <v>46009</v>
      </c>
      <c r="E1765" s="37">
        <v>46012</v>
      </c>
      <c r="F1765" s="65" t="s">
        <v>312</v>
      </c>
      <c r="G1765" s="11" t="str">
        <f ca="1">IF(AND(E1765&lt;&gt;"",E1765&lt;TODAY()),"Disponible",IFERROR(INDEX(Vehiculos[Estado Vehiculo],MATCH(F1765,Vehiculos[Placa Vehiculo],0)),""))</f>
        <v>Disponible</v>
      </c>
      <c r="H1765" s="34"/>
      <c r="I1765" s="34" t="s">
        <v>273</v>
      </c>
      <c r="J1765" s="34"/>
      <c r="K1765" s="39">
        <v>880</v>
      </c>
      <c r="L1765" s="39">
        <v>911</v>
      </c>
      <c r="M1765" s="15">
        <f>L1765-K1765</f>
        <v>31</v>
      </c>
      <c r="N1765" s="381">
        <f>Rutas[[#This Row],[Kms Recorridos]]</f>
        <v>31</v>
      </c>
      <c r="O1765" s="39"/>
      <c r="P1765" s="36"/>
      <c r="Q1765" s="16">
        <f>M1765*P1765</f>
        <v>0</v>
      </c>
      <c r="R1765" s="34" t="s">
        <v>273</v>
      </c>
      <c r="S1765" s="34" t="s">
        <v>102</v>
      </c>
      <c r="T1765" s="36">
        <v>2.8</v>
      </c>
      <c r="U1765" s="36">
        <f>Rutas[[#This Row],[Precio x Galón ($/gal)]]*Rutas[[#This Row],[Volumen de Combustible (gal)]]</f>
        <v>50.007999999999996</v>
      </c>
      <c r="V1765" s="36"/>
      <c r="W1765" s="36"/>
      <c r="X1765" s="36"/>
      <c r="Y1765" s="145">
        <f>U1765+SUM(V1765:X1765)</f>
        <v>50.007999999999996</v>
      </c>
      <c r="Z1765" s="567"/>
      <c r="AA1765" s="12">
        <v>17.86</v>
      </c>
      <c r="AB1765" s="12">
        <f>IFERROR(M1765/AA1765,0)</f>
        <v>1.7357222844344906</v>
      </c>
      <c r="AC1765" s="12">
        <f>IFERROR(Q1765/M1765,0)</f>
        <v>0</v>
      </c>
      <c r="AD1765" s="34"/>
    </row>
    <row r="1766" spans="3:30" ht="16" x14ac:dyDescent="0.2">
      <c r="C1766" s="176">
        <f t="shared" si="544"/>
        <v>1763</v>
      </c>
      <c r="D1766" s="454">
        <v>46012</v>
      </c>
      <c r="E1766" s="37">
        <v>46016</v>
      </c>
      <c r="F1766" s="65" t="s">
        <v>312</v>
      </c>
      <c r="G1766" s="11" t="str">
        <f ca="1">IF(AND(E1766&lt;&gt;"",E1766&lt;TODAY()),"Disponible",IFERROR(INDEX(Vehiculos[Estado Vehiculo],MATCH(F1766,Vehiculos[Placa Vehiculo],0)),""))</f>
        <v>Disponible</v>
      </c>
      <c r="H1766" s="34" t="s">
        <v>422</v>
      </c>
      <c r="I1766" s="34" t="s">
        <v>273</v>
      </c>
      <c r="J1766" s="34"/>
      <c r="K1766" s="39">
        <v>911</v>
      </c>
      <c r="L1766" s="39">
        <v>936</v>
      </c>
      <c r="M1766" s="15">
        <f>L1766-K1766</f>
        <v>25</v>
      </c>
      <c r="N1766" s="381">
        <f>Rutas[[#This Row],[Kms Recorridos]]</f>
        <v>25</v>
      </c>
      <c r="O1766" s="39"/>
      <c r="P1766" s="36"/>
      <c r="Q1766" s="16">
        <f>M1766*P1766</f>
        <v>0</v>
      </c>
      <c r="R1766" s="34" t="s">
        <v>339</v>
      </c>
      <c r="S1766" s="34" t="s">
        <v>102</v>
      </c>
      <c r="T1766" s="36">
        <v>2.8</v>
      </c>
      <c r="U1766" s="36">
        <f>Rutas[[#This Row],[Precio x Galón ($/gal)]]*Rutas[[#This Row],[Volumen de Combustible (gal)]]</f>
        <v>37.855999999999995</v>
      </c>
      <c r="V1766" s="36"/>
      <c r="W1766" s="36"/>
      <c r="X1766" s="36"/>
      <c r="Y1766" s="145">
        <f>U1766+SUM(V1766:X1766)</f>
        <v>37.855999999999995</v>
      </c>
      <c r="Z1766" s="572">
        <v>16281</v>
      </c>
      <c r="AA1766" s="12">
        <v>13.52</v>
      </c>
      <c r="AB1766" s="12">
        <f>IFERROR(M1766/AA1766,0)</f>
        <v>1.849112426035503</v>
      </c>
      <c r="AC1766" s="12">
        <f>IFERROR(Q1766/M1766,0)</f>
        <v>0</v>
      </c>
      <c r="AD1766" s="34"/>
    </row>
    <row r="1767" spans="3:30" ht="16" x14ac:dyDescent="0.2">
      <c r="C1767" s="176">
        <f t="shared" si="544"/>
        <v>1764</v>
      </c>
      <c r="D1767" s="454">
        <v>46016</v>
      </c>
      <c r="E1767" s="37">
        <v>46019</v>
      </c>
      <c r="F1767" s="65" t="s">
        <v>312</v>
      </c>
      <c r="G1767" s="11" t="str">
        <f ca="1">IF(AND(E1767&lt;&gt;"",E1767&lt;TODAY()),"Disponible",IFERROR(INDEX(Vehiculos[Estado Vehiculo],MATCH(F1767,Vehiculos[Placa Vehiculo],0)),""))</f>
        <v>Disponible</v>
      </c>
      <c r="H1767" s="34"/>
      <c r="I1767" s="34" t="s">
        <v>273</v>
      </c>
      <c r="J1767" s="34"/>
      <c r="K1767" s="39">
        <v>936</v>
      </c>
      <c r="L1767" s="39">
        <v>966</v>
      </c>
      <c r="M1767" s="15">
        <f>L1767-K1767</f>
        <v>30</v>
      </c>
      <c r="N1767" s="381">
        <f>Rutas[[#This Row],[Kms Recorridos]]</f>
        <v>30</v>
      </c>
      <c r="O1767" s="39"/>
      <c r="P1767" s="36"/>
      <c r="Q1767" s="16">
        <f>M1767*P1767</f>
        <v>0</v>
      </c>
      <c r="R1767" s="34" t="s">
        <v>273</v>
      </c>
      <c r="S1767" s="34" t="s">
        <v>102</v>
      </c>
      <c r="T1767" s="36">
        <v>2.8</v>
      </c>
      <c r="U1767" s="36">
        <f>Rutas[[#This Row],[Precio x Galón ($/gal)]]*Rutas[[#This Row],[Volumen de Combustible (gal)]]</f>
        <v>48.58</v>
      </c>
      <c r="V1767" s="36"/>
      <c r="W1767" s="36"/>
      <c r="X1767" s="36"/>
      <c r="Y1767" s="145">
        <f>U1767+SUM(V1767:X1767)</f>
        <v>48.58</v>
      </c>
      <c r="Z1767" s="567"/>
      <c r="AA1767" s="12">
        <v>17.350000000000001</v>
      </c>
      <c r="AB1767" s="12">
        <f>IFERROR(M1767/AA1767,0)</f>
        <v>1.7291066282420748</v>
      </c>
      <c r="AC1767" s="12">
        <f>IFERROR(Q1767/M1767,0)</f>
        <v>0</v>
      </c>
      <c r="AD1767" s="34"/>
    </row>
    <row r="1768" spans="3:30" ht="16" x14ac:dyDescent="0.2">
      <c r="C1768" s="176">
        <f t="shared" si="544"/>
        <v>1765</v>
      </c>
      <c r="D1768" s="454">
        <v>46019</v>
      </c>
      <c r="E1768" s="37">
        <v>46022</v>
      </c>
      <c r="F1768" s="65" t="s">
        <v>312</v>
      </c>
      <c r="G1768" s="11" t="str">
        <f ca="1">IF(AND(E1768&lt;&gt;"",E1768&lt;TODAY()),"Disponible",IFERROR(INDEX(Vehiculos[Estado Vehiculo],MATCH(F1768,Vehiculos[Placa Vehiculo],0)),""))</f>
        <v>Disponible</v>
      </c>
      <c r="H1768" s="34"/>
      <c r="I1768" s="34" t="s">
        <v>273</v>
      </c>
      <c r="J1768" s="34"/>
      <c r="K1768" s="39">
        <v>966</v>
      </c>
      <c r="L1768" s="39">
        <v>993</v>
      </c>
      <c r="M1768" s="15">
        <f>L1768-K1768</f>
        <v>27</v>
      </c>
      <c r="N1768" s="381">
        <f>Rutas[[#This Row],[Kms Recorridos]]</f>
        <v>27</v>
      </c>
      <c r="O1768" s="39"/>
      <c r="P1768" s="36"/>
      <c r="Q1768" s="16">
        <f>M1768*P1768</f>
        <v>0</v>
      </c>
      <c r="R1768" s="34" t="s">
        <v>273</v>
      </c>
      <c r="S1768" s="34" t="s">
        <v>102</v>
      </c>
      <c r="T1768" s="36">
        <v>2.8</v>
      </c>
      <c r="U1768" s="36">
        <f>Rutas[[#This Row],[Precio x Galón ($/gal)]]*Rutas[[#This Row],[Volumen de Combustible (gal)]]</f>
        <v>38.779999999999994</v>
      </c>
      <c r="V1768" s="36"/>
      <c r="W1768" s="36"/>
      <c r="X1768" s="36"/>
      <c r="Y1768" s="145">
        <f>U1768+SUM(V1768:X1768)</f>
        <v>38.779999999999994</v>
      </c>
      <c r="Z1768" s="567"/>
      <c r="AA1768" s="12">
        <v>13.85</v>
      </c>
      <c r="AB1768" s="12">
        <f>IFERROR(M1768/AA1768,0)</f>
        <v>1.9494584837545126</v>
      </c>
      <c r="AC1768" s="12">
        <f>IFERROR(Q1768/M1768,0)</f>
        <v>0</v>
      </c>
      <c r="AD1768" s="34"/>
    </row>
    <row r="1769" spans="3:30" ht="16" x14ac:dyDescent="0.2">
      <c r="C1769" s="176">
        <f t="shared" si="544"/>
        <v>1766</v>
      </c>
      <c r="D1769" s="454"/>
      <c r="E1769" s="37"/>
      <c r="F1769" s="65"/>
      <c r="G1769" s="11" t="str">
        <f ca="1">IF(AND(E1769&lt;&gt;"",E1769&lt;TODAY()),"Disponible",IFERROR(INDEX(Vehiculos[Estado Vehiculo],MATCH(F1769,Vehiculos[Placa Vehiculo],0)),""))</f>
        <v/>
      </c>
      <c r="H1769" s="34"/>
      <c r="I1769" s="34"/>
      <c r="J1769" s="34"/>
      <c r="K1769" s="39"/>
      <c r="L1769" s="39"/>
      <c r="M1769" s="15">
        <f>L1769-K1769</f>
        <v>0</v>
      </c>
      <c r="N1769" s="15"/>
      <c r="O1769" s="39"/>
      <c r="P1769" s="36"/>
      <c r="Q1769" s="16">
        <f>M1769*P1769</f>
        <v>0</v>
      </c>
      <c r="R1769" s="34"/>
      <c r="S1769" s="34"/>
      <c r="T1769" s="36"/>
      <c r="U1769" s="36"/>
      <c r="V1769" s="36"/>
      <c r="W1769" s="36"/>
      <c r="X1769" s="36"/>
      <c r="Y1769" s="145">
        <f>U1769+SUM(V1769:X1769)</f>
        <v>0</v>
      </c>
      <c r="Z1769" s="567"/>
      <c r="AA1769" s="12"/>
      <c r="AB1769" s="12">
        <f>IFERROR(M1769/AA1769,0)</f>
        <v>0</v>
      </c>
      <c r="AC1769" s="12">
        <f>IFERROR(Q1769/M1769,0)</f>
        <v>0</v>
      </c>
      <c r="AD1769" s="34"/>
    </row>
    <row r="1770" spans="3:30" ht="16" x14ac:dyDescent="0.2">
      <c r="C1770" s="176">
        <f t="shared" si="544"/>
        <v>1767</v>
      </c>
      <c r="D1770" s="454"/>
      <c r="E1770" s="37"/>
      <c r="F1770" s="65"/>
      <c r="G1770" s="11" t="str">
        <f ca="1">IF(AND(E1770&lt;&gt;"",E1770&lt;TODAY()),"Disponible",IFERROR(INDEX(Vehiculos[Estado Vehiculo],MATCH(F1770,Vehiculos[Placa Vehiculo],0)),""))</f>
        <v/>
      </c>
      <c r="H1770" s="34"/>
      <c r="I1770" s="34"/>
      <c r="J1770" s="34"/>
      <c r="K1770" s="39"/>
      <c r="L1770" s="39"/>
      <c r="M1770" s="15">
        <f t="shared" si="524"/>
        <v>0</v>
      </c>
      <c r="N1770" s="15"/>
      <c r="O1770" s="39"/>
      <c r="P1770" s="36"/>
      <c r="Q1770" s="16">
        <f t="shared" si="525"/>
        <v>0</v>
      </c>
      <c r="R1770" s="34"/>
      <c r="S1770" s="34"/>
      <c r="T1770" s="36"/>
      <c r="U1770" s="36"/>
      <c r="V1770" s="36"/>
      <c r="W1770" s="36"/>
      <c r="X1770" s="36"/>
      <c r="Y1770" s="145">
        <f t="shared" si="526"/>
        <v>0</v>
      </c>
      <c r="Z1770" s="567"/>
      <c r="AA1770" s="12"/>
      <c r="AB1770" s="12">
        <f t="shared" si="527"/>
        <v>0</v>
      </c>
      <c r="AC1770" s="12">
        <f t="shared" si="528"/>
        <v>0</v>
      </c>
      <c r="AD1770" s="34"/>
    </row>
    <row r="1771" spans="3:30" ht="16" x14ac:dyDescent="0.2">
      <c r="C1771" s="176">
        <f t="shared" si="544"/>
        <v>1768</v>
      </c>
      <c r="D1771" s="90">
        <v>45992</v>
      </c>
      <c r="E1771" s="90"/>
      <c r="F1771" s="68" t="s">
        <v>306</v>
      </c>
      <c r="G1771" s="379" t="str">
        <f ca="1">IF(AND(E1771&lt;&gt;"",E1771&lt;TODAY()),"Disponible",IFERROR(INDEX(Vehiculos[Estado Vehiculo],MATCH(F1771,Vehiculos[Placa Vehiculo],0)),""))</f>
        <v>Disponible</v>
      </c>
      <c r="H1771" s="89"/>
      <c r="I1771" s="89" t="s">
        <v>273</v>
      </c>
      <c r="J1771" s="89"/>
      <c r="K1771" s="380">
        <v>2316</v>
      </c>
      <c r="L1771" s="380"/>
      <c r="M1771" s="381">
        <f t="shared" si="524"/>
        <v>-2316</v>
      </c>
      <c r="N1771" s="381"/>
      <c r="O1771" s="380"/>
      <c r="P1771" s="92"/>
      <c r="Q1771" s="382">
        <f t="shared" si="525"/>
        <v>0</v>
      </c>
      <c r="R1771" s="89"/>
      <c r="S1771" s="89"/>
      <c r="T1771" s="92"/>
      <c r="U1771" s="92">
        <f>Rutas[[#This Row],[Precio x Galón ($/gal)]]*Rutas[[#This Row],[Volumen de Combustible (gal)]]</f>
        <v>0</v>
      </c>
      <c r="V1771" s="92"/>
      <c r="W1771" s="92"/>
      <c r="X1771" s="92"/>
      <c r="Y1771" s="382">
        <f t="shared" si="526"/>
        <v>0</v>
      </c>
      <c r="Z1771" s="382"/>
      <c r="AA1771" s="382"/>
      <c r="AB1771" s="382">
        <f t="shared" si="527"/>
        <v>0</v>
      </c>
      <c r="AC1771" s="382">
        <f t="shared" si="528"/>
        <v>0</v>
      </c>
      <c r="AD1771" s="89"/>
    </row>
    <row r="1772" spans="3:30" ht="16" x14ac:dyDescent="0.2">
      <c r="C1772" s="176">
        <f t="shared" si="544"/>
        <v>1769</v>
      </c>
      <c r="D1772" s="454"/>
      <c r="E1772" s="37"/>
      <c r="F1772" s="65"/>
      <c r="G1772" s="11" t="str">
        <f ca="1">IF(AND(E1772&lt;&gt;"",E1772&lt;TODAY()),"Disponible",IFERROR(INDEX(Vehiculos[Estado Vehiculo],MATCH(F1772,Vehiculos[Placa Vehiculo],0)),""))</f>
        <v/>
      </c>
      <c r="H1772" s="34"/>
      <c r="I1772" s="34"/>
      <c r="J1772" s="34"/>
      <c r="K1772" s="39"/>
      <c r="L1772" s="39"/>
      <c r="M1772" s="15">
        <f t="shared" si="524"/>
        <v>0</v>
      </c>
      <c r="N1772" s="15"/>
      <c r="O1772" s="39"/>
      <c r="P1772" s="36"/>
      <c r="Q1772" s="16">
        <f t="shared" si="525"/>
        <v>0</v>
      </c>
      <c r="R1772" s="34"/>
      <c r="S1772" s="34"/>
      <c r="T1772" s="36"/>
      <c r="U1772" s="36">
        <f>Rutas[[#This Row],[Precio x Galón ($/gal)]]*Rutas[[#This Row],[Volumen de Combustible (gal)]]</f>
        <v>0</v>
      </c>
      <c r="V1772" s="36"/>
      <c r="W1772" s="36"/>
      <c r="X1772" s="36"/>
      <c r="Y1772" s="145">
        <f t="shared" si="526"/>
        <v>0</v>
      </c>
      <c r="Z1772" s="567"/>
      <c r="AA1772" s="12"/>
      <c r="AB1772" s="12">
        <f t="shared" si="527"/>
        <v>0</v>
      </c>
      <c r="AC1772" s="12">
        <f t="shared" si="528"/>
        <v>0</v>
      </c>
      <c r="AD1772" s="34"/>
    </row>
    <row r="1773" spans="3:30" ht="16" x14ac:dyDescent="0.2">
      <c r="C1773" s="176">
        <f t="shared" si="544"/>
        <v>1770</v>
      </c>
      <c r="D1773" s="454"/>
      <c r="E1773" s="37"/>
      <c r="F1773" s="65"/>
      <c r="G1773" s="11" t="str">
        <f ca="1">IF(AND(E1773&lt;&gt;"",E1773&lt;TODAY()),"Disponible",IFERROR(INDEX(Vehiculos[Estado Vehiculo],MATCH(F1773,Vehiculos[Placa Vehiculo],0)),""))</f>
        <v/>
      </c>
      <c r="H1773" s="34"/>
      <c r="I1773" s="34"/>
      <c r="J1773" s="34"/>
      <c r="K1773" s="39"/>
      <c r="L1773" s="39"/>
      <c r="M1773" s="15">
        <f t="shared" si="524"/>
        <v>0</v>
      </c>
      <c r="N1773" s="15"/>
      <c r="O1773" s="39"/>
      <c r="P1773" s="36"/>
      <c r="Q1773" s="16">
        <f t="shared" si="525"/>
        <v>0</v>
      </c>
      <c r="R1773" s="34"/>
      <c r="S1773" s="34"/>
      <c r="T1773" s="36"/>
      <c r="U1773" s="36">
        <f>Rutas[[#This Row],[Precio x Galón ($/gal)]]*Rutas[[#This Row],[Volumen de Combustible (gal)]]</f>
        <v>0</v>
      </c>
      <c r="V1773" s="36"/>
      <c r="W1773" s="36"/>
      <c r="X1773" s="36"/>
      <c r="Y1773" s="145">
        <f t="shared" si="526"/>
        <v>0</v>
      </c>
      <c r="Z1773" s="567"/>
      <c r="AA1773" s="12"/>
      <c r="AB1773" s="12">
        <f t="shared" si="527"/>
        <v>0</v>
      </c>
      <c r="AC1773" s="12">
        <f t="shared" si="528"/>
        <v>0</v>
      </c>
      <c r="AD1773" s="34"/>
    </row>
    <row r="1774" spans="3:30" ht="16" x14ac:dyDescent="0.2">
      <c r="C1774" s="176">
        <f t="shared" si="544"/>
        <v>1771</v>
      </c>
      <c r="D1774" s="454"/>
      <c r="E1774" s="37"/>
      <c r="F1774" s="65"/>
      <c r="G1774" s="11" t="str">
        <f ca="1">IF(AND(E1774&lt;&gt;"",E1774&lt;TODAY()),"Disponible",IFERROR(INDEX(Vehiculos[Estado Vehiculo],MATCH(F1774,Vehiculos[Placa Vehiculo],0)),""))</f>
        <v/>
      </c>
      <c r="H1774" s="34"/>
      <c r="I1774" s="34"/>
      <c r="J1774" s="34"/>
      <c r="K1774" s="39"/>
      <c r="L1774" s="39"/>
      <c r="M1774" s="15">
        <f>L1774-K1774</f>
        <v>0</v>
      </c>
      <c r="N1774" s="15"/>
      <c r="O1774" s="39"/>
      <c r="P1774" s="36"/>
      <c r="Q1774" s="16">
        <f>M1774*P1774</f>
        <v>0</v>
      </c>
      <c r="R1774" s="34"/>
      <c r="S1774" s="34"/>
      <c r="T1774" s="36"/>
      <c r="U1774" s="36">
        <f>Rutas[[#This Row],[Precio x Galón ($/gal)]]*Rutas[[#This Row],[Volumen de Combustible (gal)]]</f>
        <v>0</v>
      </c>
      <c r="V1774" s="36"/>
      <c r="W1774" s="36"/>
      <c r="X1774" s="36"/>
      <c r="Y1774" s="145">
        <f>U1774+SUM(V1774:X1774)</f>
        <v>0</v>
      </c>
      <c r="Z1774" s="567"/>
      <c r="AA1774" s="12"/>
      <c r="AB1774" s="12">
        <f>IFERROR(M1774/AA1774,0)</f>
        <v>0</v>
      </c>
      <c r="AC1774" s="12">
        <f>IFERROR(Q1774/M1774,0)</f>
        <v>0</v>
      </c>
      <c r="AD1774" s="34"/>
    </row>
    <row r="1775" spans="3:30" ht="16" x14ac:dyDescent="0.2">
      <c r="C1775" s="176">
        <f t="shared" si="544"/>
        <v>1772</v>
      </c>
      <c r="D1775" s="454"/>
      <c r="E1775" s="37"/>
      <c r="F1775" s="65"/>
      <c r="G1775" s="11" t="str">
        <f ca="1">IF(AND(E1775&lt;&gt;"",E1775&lt;TODAY()),"Disponible",IFERROR(INDEX(Vehiculos[Estado Vehiculo],MATCH(F1775,Vehiculos[Placa Vehiculo],0)),""))</f>
        <v/>
      </c>
      <c r="H1775" s="34"/>
      <c r="I1775" s="34"/>
      <c r="J1775" s="34"/>
      <c r="K1775" s="39"/>
      <c r="L1775" s="39"/>
      <c r="M1775" s="15">
        <f>L1775-K1775</f>
        <v>0</v>
      </c>
      <c r="N1775" s="15"/>
      <c r="O1775" s="39"/>
      <c r="P1775" s="36"/>
      <c r="Q1775" s="16">
        <f>M1775*P1775</f>
        <v>0</v>
      </c>
      <c r="R1775" s="34"/>
      <c r="S1775" s="34"/>
      <c r="T1775" s="36"/>
      <c r="U1775" s="36">
        <f>Rutas[[#This Row],[Precio x Galón ($/gal)]]*Rutas[[#This Row],[Volumen de Combustible (gal)]]</f>
        <v>0</v>
      </c>
      <c r="V1775" s="36"/>
      <c r="W1775" s="36"/>
      <c r="X1775" s="36"/>
      <c r="Y1775" s="145">
        <f>U1775+SUM(V1775:X1775)</f>
        <v>0</v>
      </c>
      <c r="Z1775" s="567"/>
      <c r="AA1775" s="12"/>
      <c r="AB1775" s="12">
        <f>IFERROR(M1775/AA1775,0)</f>
        <v>0</v>
      </c>
      <c r="AC1775" s="12">
        <f>IFERROR(Q1775/M1775,0)</f>
        <v>0</v>
      </c>
      <c r="AD1775" s="34"/>
    </row>
    <row r="1776" spans="3:30" ht="16" x14ac:dyDescent="0.2">
      <c r="C1776" s="176">
        <f t="shared" si="544"/>
        <v>1773</v>
      </c>
      <c r="D1776" s="90">
        <v>45992</v>
      </c>
      <c r="E1776" s="90">
        <v>45994</v>
      </c>
      <c r="F1776" s="68" t="s">
        <v>307</v>
      </c>
      <c r="G1776" s="379" t="str">
        <f ca="1">IF(AND(E1776&lt;&gt;"",E1776&lt;TODAY()),"Disponible",IFERROR(INDEX(Vehiculos[Estado Vehiculo],MATCH(F1776,Vehiculos[Placa Vehiculo],0)),""))</f>
        <v>Disponible</v>
      </c>
      <c r="H1776" s="89"/>
      <c r="I1776" s="89" t="s">
        <v>273</v>
      </c>
      <c r="J1776" s="89"/>
      <c r="K1776" s="380">
        <v>4882</v>
      </c>
      <c r="L1776" s="380">
        <v>4914</v>
      </c>
      <c r="M1776" s="381">
        <f>L1776-K1776</f>
        <v>32</v>
      </c>
      <c r="N1776" s="381">
        <f>Rutas[[#This Row],[Kms Recorridos]]</f>
        <v>32</v>
      </c>
      <c r="O1776" s="380"/>
      <c r="P1776" s="92"/>
      <c r="Q1776" s="382">
        <f>M1776*P1776</f>
        <v>0</v>
      </c>
      <c r="R1776" s="89" t="s">
        <v>339</v>
      </c>
      <c r="S1776" s="89" t="s">
        <v>102</v>
      </c>
      <c r="T1776" s="92">
        <v>2.8</v>
      </c>
      <c r="U1776" s="92">
        <f>Rutas[[#This Row],[Precio x Galón ($/gal)]]*Rutas[[#This Row],[Volumen de Combustible (gal)]]</f>
        <v>48.832000000000001</v>
      </c>
      <c r="V1776" s="92"/>
      <c r="W1776" s="92"/>
      <c r="X1776" s="92"/>
      <c r="Y1776" s="382">
        <f>U1776+SUM(V1776:X1776)</f>
        <v>48.832000000000001</v>
      </c>
      <c r="Z1776" s="382"/>
      <c r="AA1776" s="382">
        <v>17.440000000000001</v>
      </c>
      <c r="AB1776" s="382">
        <f>IFERROR(M1776/AA1776,0)</f>
        <v>1.8348623853211008</v>
      </c>
      <c r="AC1776" s="382">
        <f>IFERROR(Q1776/M1776,0)</f>
        <v>0</v>
      </c>
      <c r="AD1776" s="89"/>
    </row>
    <row r="1777" spans="3:30" ht="16" x14ac:dyDescent="0.2">
      <c r="C1777" s="176">
        <f t="shared" si="544"/>
        <v>1774</v>
      </c>
      <c r="D1777" s="454">
        <v>45994</v>
      </c>
      <c r="E1777" s="37">
        <v>46005</v>
      </c>
      <c r="F1777" s="65" t="s">
        <v>307</v>
      </c>
      <c r="G1777" s="11" t="str">
        <f ca="1">IF(AND(E1777&lt;&gt;"",E1777&lt;TODAY()),"Disponible",IFERROR(INDEX(Vehiculos[Estado Vehiculo],MATCH(F1777,Vehiculos[Placa Vehiculo],0)),""))</f>
        <v>Disponible</v>
      </c>
      <c r="H1777" s="34"/>
      <c r="I1777" s="34" t="s">
        <v>273</v>
      </c>
      <c r="J1777" s="34"/>
      <c r="K1777" s="39">
        <v>4914</v>
      </c>
      <c r="L1777" s="39">
        <v>4942</v>
      </c>
      <c r="M1777" s="15">
        <f>L1777-K1777</f>
        <v>28</v>
      </c>
      <c r="N1777" s="381">
        <f>Rutas[[#This Row],[Kms Recorridos]]</f>
        <v>28</v>
      </c>
      <c r="O1777" s="39"/>
      <c r="P1777" s="36"/>
      <c r="Q1777" s="16">
        <f>M1777*P1777</f>
        <v>0</v>
      </c>
      <c r="R1777" s="34" t="s">
        <v>273</v>
      </c>
      <c r="S1777" s="34" t="s">
        <v>102</v>
      </c>
      <c r="T1777" s="36">
        <v>2.8</v>
      </c>
      <c r="U1777" s="36">
        <f>Rutas[[#This Row],[Precio x Galón ($/gal)]]*Rutas[[#This Row],[Volumen de Combustible (gal)]]</f>
        <v>34.972000000000001</v>
      </c>
      <c r="V1777" s="36"/>
      <c r="W1777" s="36"/>
      <c r="X1777" s="36"/>
      <c r="Y1777" s="145">
        <f>U1777+SUM(V1777:X1777)</f>
        <v>34.972000000000001</v>
      </c>
      <c r="Z1777" s="567"/>
      <c r="AA1777" s="12">
        <v>12.49</v>
      </c>
      <c r="AB1777" s="12">
        <f>IFERROR(M1777/AA1777,0)</f>
        <v>2.2417934347477981</v>
      </c>
      <c r="AC1777" s="12">
        <f>IFERROR(Q1777/M1777,0)</f>
        <v>0</v>
      </c>
      <c r="AD1777" s="34"/>
    </row>
    <row r="1778" spans="3:30" ht="16" x14ac:dyDescent="0.2">
      <c r="C1778" s="176">
        <f t="shared" si="544"/>
        <v>1775</v>
      </c>
      <c r="D1778" s="454">
        <v>46005</v>
      </c>
      <c r="E1778" s="37">
        <v>46016</v>
      </c>
      <c r="F1778" s="65" t="s">
        <v>307</v>
      </c>
      <c r="G1778" s="11" t="str">
        <f ca="1">IF(AND(E1778&lt;&gt;"",E1778&lt;TODAY()),"Disponible",IFERROR(INDEX(Vehiculos[Estado Vehiculo],MATCH(F1778,Vehiculos[Placa Vehiculo],0)),""))</f>
        <v>Disponible</v>
      </c>
      <c r="H1778" s="34"/>
      <c r="I1778" s="34" t="s">
        <v>273</v>
      </c>
      <c r="J1778" s="34"/>
      <c r="K1778" s="39">
        <v>4942</v>
      </c>
      <c r="L1778" s="39">
        <v>4968</v>
      </c>
      <c r="M1778" s="15">
        <f>L1778-K1778</f>
        <v>26</v>
      </c>
      <c r="N1778" s="381">
        <f>Rutas[[#This Row],[Kms Recorridos]]</f>
        <v>26</v>
      </c>
      <c r="O1778" s="39"/>
      <c r="P1778" s="36"/>
      <c r="Q1778" s="16">
        <f>M1778*P1778</f>
        <v>0</v>
      </c>
      <c r="R1778" s="34" t="s">
        <v>339</v>
      </c>
      <c r="S1778" s="34" t="s">
        <v>102</v>
      </c>
      <c r="T1778" s="36">
        <v>2.8</v>
      </c>
      <c r="U1778" s="36">
        <f>Rutas[[#This Row],[Precio x Galón ($/gal)]]*Rutas[[#This Row],[Volumen de Combustible (gal)]]</f>
        <v>45.387999999999998</v>
      </c>
      <c r="V1778" s="36"/>
      <c r="W1778" s="36"/>
      <c r="X1778" s="36"/>
      <c r="Y1778" s="145">
        <f>U1778+SUM(V1778:X1778)</f>
        <v>45.387999999999998</v>
      </c>
      <c r="Z1778" s="572">
        <v>16277</v>
      </c>
      <c r="AA1778" s="12">
        <v>16.21</v>
      </c>
      <c r="AB1778" s="12">
        <f>IFERROR(M1778/AA1778,0)</f>
        <v>1.6039481801357187</v>
      </c>
      <c r="AC1778" s="12">
        <f>IFERROR(Q1778/M1778,0)</f>
        <v>0</v>
      </c>
      <c r="AD1778" s="34"/>
    </row>
    <row r="1779" spans="3:30" ht="16" x14ac:dyDescent="0.2">
      <c r="C1779" s="176">
        <f t="shared" si="544"/>
        <v>1776</v>
      </c>
      <c r="D1779" s="454">
        <v>46016</v>
      </c>
      <c r="E1779" s="37">
        <v>46022</v>
      </c>
      <c r="F1779" s="65" t="s">
        <v>307</v>
      </c>
      <c r="G1779" s="11" t="str">
        <f ca="1">IF(AND(E1779&lt;&gt;"",E1779&lt;TODAY()),"Disponible",IFERROR(INDEX(Vehiculos[Estado Vehiculo],MATCH(F1779,Vehiculos[Placa Vehiculo],0)),""))</f>
        <v>Disponible</v>
      </c>
      <c r="H1779" s="34"/>
      <c r="I1779" s="34" t="s">
        <v>273</v>
      </c>
      <c r="J1779" s="34"/>
      <c r="K1779" s="39">
        <v>4968</v>
      </c>
      <c r="L1779" s="39">
        <v>4986</v>
      </c>
      <c r="M1779" s="15">
        <f t="shared" si="524"/>
        <v>18</v>
      </c>
      <c r="N1779" s="381">
        <f>Rutas[[#This Row],[Kms Recorridos]]</f>
        <v>18</v>
      </c>
      <c r="O1779" s="39"/>
      <c r="P1779" s="36"/>
      <c r="Q1779" s="16">
        <f t="shared" si="525"/>
        <v>0</v>
      </c>
      <c r="R1779" s="34" t="s">
        <v>273</v>
      </c>
      <c r="S1779" s="34" t="s">
        <v>102</v>
      </c>
      <c r="T1779" s="36">
        <v>2.8</v>
      </c>
      <c r="U1779" s="36">
        <f>Rutas[[#This Row],[Precio x Galón ($/gal)]]*Rutas[[#This Row],[Volumen de Combustible (gal)]]</f>
        <v>13.915999999999999</v>
      </c>
      <c r="V1779" s="36"/>
      <c r="W1779" s="36"/>
      <c r="X1779" s="36"/>
      <c r="Y1779" s="145">
        <f t="shared" si="526"/>
        <v>13.915999999999999</v>
      </c>
      <c r="Z1779" s="567"/>
      <c r="AA1779" s="12">
        <v>4.97</v>
      </c>
      <c r="AB1779" s="12">
        <f t="shared" si="527"/>
        <v>3.6217303822937628</v>
      </c>
      <c r="AC1779" s="12">
        <f t="shared" si="528"/>
        <v>0</v>
      </c>
      <c r="AD1779" s="34"/>
    </row>
    <row r="1780" spans="3:30" ht="16" x14ac:dyDescent="0.2">
      <c r="C1780" s="176">
        <f t="shared" si="544"/>
        <v>1777</v>
      </c>
      <c r="D1780" s="454"/>
      <c r="E1780" s="37"/>
      <c r="F1780" s="65"/>
      <c r="G1780" s="11" t="str">
        <f ca="1">IF(AND(E1780&lt;&gt;"",E1780&lt;TODAY()),"Disponible",IFERROR(INDEX(Vehiculos[Estado Vehiculo],MATCH(F1780,Vehiculos[Placa Vehiculo],0)),""))</f>
        <v/>
      </c>
      <c r="H1780" s="34"/>
      <c r="I1780" s="34"/>
      <c r="J1780" s="34"/>
      <c r="K1780" s="39"/>
      <c r="L1780" s="39"/>
      <c r="M1780" s="15">
        <f t="shared" si="524"/>
        <v>0</v>
      </c>
      <c r="N1780" s="15"/>
      <c r="O1780" s="39"/>
      <c r="P1780" s="36"/>
      <c r="Q1780" s="16">
        <f t="shared" si="525"/>
        <v>0</v>
      </c>
      <c r="R1780" s="34"/>
      <c r="S1780" s="34"/>
      <c r="T1780" s="36"/>
      <c r="U1780" s="36">
        <f>Rutas[[#This Row],[Precio x Galón ($/gal)]]*Rutas[[#This Row],[Volumen de Combustible (gal)]]</f>
        <v>0</v>
      </c>
      <c r="V1780" s="36"/>
      <c r="W1780" s="36"/>
      <c r="X1780" s="36"/>
      <c r="Y1780" s="145">
        <f t="shared" si="526"/>
        <v>0</v>
      </c>
      <c r="Z1780" s="567"/>
      <c r="AA1780" s="12"/>
      <c r="AB1780" s="12">
        <f t="shared" si="527"/>
        <v>0</v>
      </c>
      <c r="AC1780" s="12">
        <f t="shared" si="528"/>
        <v>0</v>
      </c>
      <c r="AD1780" s="34"/>
    </row>
    <row r="1781" spans="3:30" ht="16" x14ac:dyDescent="0.2">
      <c r="C1781" s="176">
        <f t="shared" si="544"/>
        <v>1778</v>
      </c>
      <c r="D1781" s="454"/>
      <c r="E1781" s="37"/>
      <c r="F1781" s="65"/>
      <c r="G1781" s="11" t="str">
        <f ca="1">IF(AND(E1781&lt;&gt;"",E1781&lt;TODAY()),"Disponible",IFERROR(INDEX(Vehiculos[Estado Vehiculo],MATCH(F1781,Vehiculos[Placa Vehiculo],0)),""))</f>
        <v/>
      </c>
      <c r="H1781" s="34"/>
      <c r="I1781" s="34"/>
      <c r="J1781" s="34"/>
      <c r="K1781" s="39"/>
      <c r="L1781" s="39"/>
      <c r="M1781" s="15">
        <f t="shared" si="524"/>
        <v>0</v>
      </c>
      <c r="N1781" s="15"/>
      <c r="O1781" s="39"/>
      <c r="P1781" s="36"/>
      <c r="Q1781" s="16">
        <f t="shared" si="525"/>
        <v>0</v>
      </c>
      <c r="R1781" s="34"/>
      <c r="S1781" s="34"/>
      <c r="T1781" s="36"/>
      <c r="U1781" s="36">
        <f>Rutas[[#This Row],[Precio x Galón ($/gal)]]*Rutas[[#This Row],[Volumen de Combustible (gal)]]</f>
        <v>0</v>
      </c>
      <c r="V1781" s="36"/>
      <c r="W1781" s="36"/>
      <c r="X1781" s="36"/>
      <c r="Y1781" s="145">
        <f t="shared" si="526"/>
        <v>0</v>
      </c>
      <c r="Z1781" s="567"/>
      <c r="AA1781" s="12"/>
      <c r="AB1781" s="12">
        <f t="shared" si="527"/>
        <v>0</v>
      </c>
      <c r="AC1781" s="12">
        <f t="shared" si="528"/>
        <v>0</v>
      </c>
      <c r="AD1781" s="34"/>
    </row>
    <row r="1782" spans="3:30" ht="16" x14ac:dyDescent="0.2">
      <c r="C1782" s="176">
        <f t="shared" si="544"/>
        <v>1779</v>
      </c>
      <c r="D1782" s="90">
        <v>45992</v>
      </c>
      <c r="E1782" s="90">
        <v>46001</v>
      </c>
      <c r="F1782" s="68" t="s">
        <v>414</v>
      </c>
      <c r="G1782" s="379" t="str">
        <f ca="1">IF(AND(E1782&lt;&gt;"",E1782&lt;TODAY()),"Disponible",IFERROR(INDEX(Vehiculos[Estado Vehiculo],MATCH(F1782,Vehiculos[Placa Vehiculo],0)),""))</f>
        <v>Disponible</v>
      </c>
      <c r="H1782" s="89"/>
      <c r="I1782" s="89" t="s">
        <v>273</v>
      </c>
      <c r="J1782" s="89"/>
      <c r="K1782" s="380">
        <v>317</v>
      </c>
      <c r="L1782" s="380">
        <v>332</v>
      </c>
      <c r="M1782" s="381">
        <f t="shared" si="524"/>
        <v>15</v>
      </c>
      <c r="N1782" s="381">
        <f>Rutas[[#This Row],[Kms Recorridos]]</f>
        <v>15</v>
      </c>
      <c r="O1782" s="380"/>
      <c r="P1782" s="92"/>
      <c r="Q1782" s="382">
        <f t="shared" si="525"/>
        <v>0</v>
      </c>
      <c r="R1782" s="89"/>
      <c r="S1782" s="89"/>
      <c r="T1782" s="92"/>
      <c r="U1782" s="92">
        <f>Rutas[[#This Row],[Precio x Galón ($/gal)]]*Rutas[[#This Row],[Volumen de Combustible (gal)]]</f>
        <v>0</v>
      </c>
      <c r="V1782" s="92"/>
      <c r="W1782" s="92"/>
      <c r="X1782" s="92"/>
      <c r="Y1782" s="382">
        <f t="shared" si="526"/>
        <v>0</v>
      </c>
      <c r="Z1782" s="382"/>
      <c r="AA1782" s="382"/>
      <c r="AB1782" s="382">
        <f t="shared" si="527"/>
        <v>0</v>
      </c>
      <c r="AC1782" s="382">
        <f t="shared" si="528"/>
        <v>0</v>
      </c>
      <c r="AD1782" s="89"/>
    </row>
    <row r="1783" spans="3:30" ht="16" x14ac:dyDescent="0.2">
      <c r="C1783" s="176">
        <f t="shared" si="544"/>
        <v>1780</v>
      </c>
      <c r="D1783" s="454">
        <v>46001</v>
      </c>
      <c r="E1783" s="37">
        <v>46011</v>
      </c>
      <c r="F1783" s="65" t="s">
        <v>414</v>
      </c>
      <c r="G1783" s="11" t="str">
        <f ca="1">IF(AND(E1783&lt;&gt;"",E1783&lt;TODAY()),"Disponible",IFERROR(INDEX(Vehiculos[Estado Vehiculo],MATCH(F1783,Vehiculos[Placa Vehiculo],0)),""))</f>
        <v>Disponible</v>
      </c>
      <c r="H1783" s="34"/>
      <c r="I1783" s="34" t="s">
        <v>273</v>
      </c>
      <c r="J1783" s="34"/>
      <c r="K1783" s="39">
        <v>332</v>
      </c>
      <c r="L1783" s="39">
        <v>351</v>
      </c>
      <c r="M1783" s="15">
        <f t="shared" si="524"/>
        <v>19</v>
      </c>
      <c r="N1783" s="381">
        <f>Rutas[[#This Row],[Kms Recorridos]]</f>
        <v>19</v>
      </c>
      <c r="O1783" s="39"/>
      <c r="P1783" s="36"/>
      <c r="Q1783" s="16">
        <f t="shared" si="525"/>
        <v>0</v>
      </c>
      <c r="R1783" s="34"/>
      <c r="S1783" s="34"/>
      <c r="T1783" s="36"/>
      <c r="U1783" s="36">
        <f>Rutas[[#This Row],[Precio x Galón ($/gal)]]*Rutas[[#This Row],[Volumen de Combustible (gal)]]</f>
        <v>0</v>
      </c>
      <c r="V1783" s="36"/>
      <c r="W1783" s="36"/>
      <c r="X1783" s="36"/>
      <c r="Y1783" s="145">
        <f t="shared" si="526"/>
        <v>0</v>
      </c>
      <c r="Z1783" s="567"/>
      <c r="AA1783" s="12"/>
      <c r="AB1783" s="12">
        <f t="shared" si="527"/>
        <v>0</v>
      </c>
      <c r="AC1783" s="12">
        <f t="shared" si="528"/>
        <v>0</v>
      </c>
      <c r="AD1783" s="34"/>
    </row>
    <row r="1784" spans="3:30" ht="16" x14ac:dyDescent="0.2">
      <c r="C1784" s="176">
        <f t="shared" si="544"/>
        <v>1781</v>
      </c>
      <c r="D1784" s="454">
        <v>46011</v>
      </c>
      <c r="E1784" s="37">
        <v>46021</v>
      </c>
      <c r="F1784" s="65" t="s">
        <v>414</v>
      </c>
      <c r="G1784" s="11" t="str">
        <f ca="1">IF(AND(E1784&lt;&gt;"",E1784&lt;TODAY()),"Disponible",IFERROR(INDEX(Vehiculos[Estado Vehiculo],MATCH(F1784,Vehiculos[Placa Vehiculo],0)),""))</f>
        <v>Disponible</v>
      </c>
      <c r="H1784" s="34"/>
      <c r="I1784" s="34" t="s">
        <v>273</v>
      </c>
      <c r="J1784" s="34"/>
      <c r="K1784" s="39">
        <v>351</v>
      </c>
      <c r="L1784" s="39">
        <v>366</v>
      </c>
      <c r="M1784" s="15">
        <f t="shared" si="524"/>
        <v>15</v>
      </c>
      <c r="N1784" s="381">
        <f>Rutas[[#This Row],[Kms Recorridos]]</f>
        <v>15</v>
      </c>
      <c r="O1784" s="39"/>
      <c r="P1784" s="36"/>
      <c r="Q1784" s="16">
        <f t="shared" si="525"/>
        <v>0</v>
      </c>
      <c r="R1784" s="34"/>
      <c r="S1784" s="34"/>
      <c r="T1784" s="36"/>
      <c r="U1784" s="36">
        <f>Rutas[[#This Row],[Precio x Galón ($/gal)]]*Rutas[[#This Row],[Volumen de Combustible (gal)]]</f>
        <v>0</v>
      </c>
      <c r="V1784" s="36"/>
      <c r="W1784" s="36"/>
      <c r="X1784" s="36"/>
      <c r="Y1784" s="145">
        <f t="shared" si="526"/>
        <v>0</v>
      </c>
      <c r="Z1784" s="567"/>
      <c r="AA1784" s="12"/>
      <c r="AB1784" s="12">
        <f t="shared" si="527"/>
        <v>0</v>
      </c>
      <c r="AC1784" s="12">
        <f t="shared" si="528"/>
        <v>0</v>
      </c>
      <c r="AD1784" s="34"/>
    </row>
    <row r="1785" spans="3:30" ht="16" x14ac:dyDescent="0.2">
      <c r="C1785" s="176">
        <f t="shared" si="544"/>
        <v>1782</v>
      </c>
      <c r="D1785" s="454"/>
      <c r="E1785" s="37"/>
      <c r="F1785" s="65"/>
      <c r="G1785" s="11" t="str">
        <f ca="1">IF(AND(E1785&lt;&gt;"",E1785&lt;TODAY()),"Disponible",IFERROR(INDEX(Vehiculos[Estado Vehiculo],MATCH(F1785,Vehiculos[Placa Vehiculo],0)),""))</f>
        <v/>
      </c>
      <c r="H1785" s="34"/>
      <c r="I1785" s="34"/>
      <c r="J1785" s="34"/>
      <c r="K1785" s="39"/>
      <c r="L1785" s="39"/>
      <c r="M1785" s="15">
        <f t="shared" si="524"/>
        <v>0</v>
      </c>
      <c r="N1785" s="15"/>
      <c r="O1785" s="39"/>
      <c r="P1785" s="36"/>
      <c r="Q1785" s="16">
        <f t="shared" si="525"/>
        <v>0</v>
      </c>
      <c r="R1785" s="34"/>
      <c r="S1785" s="34"/>
      <c r="T1785" s="36"/>
      <c r="U1785" s="36">
        <f>Rutas[[#This Row],[Precio x Galón ($/gal)]]*Rutas[[#This Row],[Volumen de Combustible (gal)]]</f>
        <v>0</v>
      </c>
      <c r="V1785" s="36"/>
      <c r="W1785" s="36"/>
      <c r="X1785" s="36"/>
      <c r="Y1785" s="145">
        <f t="shared" si="526"/>
        <v>0</v>
      </c>
      <c r="Z1785" s="567"/>
      <c r="AA1785" s="12"/>
      <c r="AB1785" s="12">
        <f t="shared" si="527"/>
        <v>0</v>
      </c>
      <c r="AC1785" s="12">
        <f t="shared" si="528"/>
        <v>0</v>
      </c>
      <c r="AD1785" s="34"/>
    </row>
    <row r="1786" spans="3:30" ht="16" x14ac:dyDescent="0.2">
      <c r="C1786" s="176">
        <f t="shared" si="544"/>
        <v>1783</v>
      </c>
      <c r="D1786" s="454"/>
      <c r="E1786" s="37"/>
      <c r="F1786" s="65"/>
      <c r="G1786" s="11" t="str">
        <f ca="1">IF(AND(E1786&lt;&gt;"",E1786&lt;TODAY()),"Disponible",IFERROR(INDEX(Vehiculos[Estado Vehiculo],MATCH(F1786,Vehiculos[Placa Vehiculo],0)),""))</f>
        <v/>
      </c>
      <c r="H1786" s="34"/>
      <c r="I1786" s="34"/>
      <c r="J1786" s="34"/>
      <c r="K1786" s="39"/>
      <c r="L1786" s="39"/>
      <c r="M1786" s="15">
        <f t="shared" si="524"/>
        <v>0</v>
      </c>
      <c r="N1786" s="15"/>
      <c r="O1786" s="39"/>
      <c r="P1786" s="36"/>
      <c r="Q1786" s="16">
        <f t="shared" si="525"/>
        <v>0</v>
      </c>
      <c r="R1786" s="34"/>
      <c r="S1786" s="34"/>
      <c r="T1786" s="36"/>
      <c r="U1786" s="36">
        <f>Rutas[[#This Row],[Precio x Galón ($/gal)]]*Rutas[[#This Row],[Volumen de Combustible (gal)]]</f>
        <v>0</v>
      </c>
      <c r="V1786" s="36"/>
      <c r="W1786" s="36"/>
      <c r="X1786" s="36"/>
      <c r="Y1786" s="145">
        <f t="shared" si="526"/>
        <v>0</v>
      </c>
      <c r="Z1786" s="567"/>
      <c r="AA1786" s="12"/>
      <c r="AB1786" s="12">
        <f t="shared" si="527"/>
        <v>0</v>
      </c>
      <c r="AC1786" s="12">
        <f t="shared" si="528"/>
        <v>0</v>
      </c>
      <c r="AD1786" s="34"/>
    </row>
    <row r="1787" spans="3:30" ht="16" x14ac:dyDescent="0.2">
      <c r="C1787" s="176">
        <f t="shared" si="544"/>
        <v>1784</v>
      </c>
      <c r="D1787" s="454"/>
      <c r="E1787" s="37"/>
      <c r="F1787" s="65"/>
      <c r="G1787" s="11" t="str">
        <f ca="1">IF(AND(E1787&lt;&gt;"",E1787&lt;TODAY()),"Disponible",IFERROR(INDEX(Vehiculos[Estado Vehiculo],MATCH(F1787,Vehiculos[Placa Vehiculo],0)),""))</f>
        <v/>
      </c>
      <c r="H1787" s="34"/>
      <c r="I1787" s="34"/>
      <c r="J1787" s="34"/>
      <c r="K1787" s="39"/>
      <c r="L1787" s="39"/>
      <c r="M1787" s="15">
        <f t="shared" ref="M1787:M1850" si="550">L1787-K1787</f>
        <v>0</v>
      </c>
      <c r="N1787" s="15"/>
      <c r="O1787" s="39"/>
      <c r="P1787" s="36"/>
      <c r="Q1787" s="16">
        <f t="shared" ref="Q1787:Q1850" si="551">M1787*P1787</f>
        <v>0</v>
      </c>
      <c r="R1787" s="34"/>
      <c r="S1787" s="34"/>
      <c r="T1787" s="36"/>
      <c r="U1787" s="36">
        <f>Rutas[[#This Row],[Precio x Galón ($/gal)]]*Rutas[[#This Row],[Volumen de Combustible (gal)]]</f>
        <v>0</v>
      </c>
      <c r="V1787" s="36"/>
      <c r="W1787" s="36"/>
      <c r="X1787" s="36"/>
      <c r="Y1787" s="145">
        <f t="shared" ref="Y1787:Y1850" si="552">U1787+SUM(V1787:X1787)</f>
        <v>0</v>
      </c>
      <c r="Z1787" s="567"/>
      <c r="AA1787" s="12"/>
      <c r="AB1787" s="12">
        <f t="shared" ref="AB1787:AB1850" si="553">IFERROR(M1787/AA1787,0)</f>
        <v>0</v>
      </c>
      <c r="AC1787" s="12">
        <f t="shared" ref="AC1787:AC1850" si="554">IFERROR(Q1787/M1787,0)</f>
        <v>0</v>
      </c>
      <c r="AD1787" s="34"/>
    </row>
    <row r="1788" spans="3:30" ht="16" x14ac:dyDescent="0.2">
      <c r="C1788" s="176">
        <f t="shared" si="544"/>
        <v>1785</v>
      </c>
      <c r="D1788" s="90">
        <v>45992</v>
      </c>
      <c r="E1788" s="90">
        <v>46001</v>
      </c>
      <c r="F1788" s="68" t="s">
        <v>524</v>
      </c>
      <c r="G1788" s="379" t="str">
        <f ca="1">IF(AND(E1788&lt;&gt;"",E1788&lt;TODAY()),"Disponible",IFERROR(INDEX(Vehiculos[Estado Vehiculo],MATCH(F1788,Vehiculos[Placa Vehiculo],0)),""))</f>
        <v>Disponible</v>
      </c>
      <c r="H1788" s="89"/>
      <c r="I1788" s="89" t="s">
        <v>273</v>
      </c>
      <c r="J1788" s="89"/>
      <c r="K1788" s="380">
        <v>510</v>
      </c>
      <c r="L1788" s="380">
        <v>704</v>
      </c>
      <c r="M1788" s="381">
        <f t="shared" si="550"/>
        <v>194</v>
      </c>
      <c r="N1788" s="381"/>
      <c r="O1788" s="380"/>
      <c r="P1788" s="92"/>
      <c r="Q1788" s="382">
        <f t="shared" si="551"/>
        <v>0</v>
      </c>
      <c r="R1788" s="89"/>
      <c r="S1788" s="89"/>
      <c r="T1788" s="92"/>
      <c r="U1788" s="92">
        <f>Rutas[[#This Row],[Precio x Galón ($/gal)]]*Rutas[[#This Row],[Volumen de Combustible (gal)]]</f>
        <v>0</v>
      </c>
      <c r="V1788" s="92"/>
      <c r="W1788" s="92"/>
      <c r="X1788" s="92"/>
      <c r="Y1788" s="382">
        <f t="shared" si="552"/>
        <v>0</v>
      </c>
      <c r="Z1788" s="382"/>
      <c r="AA1788" s="382"/>
      <c r="AB1788" s="382">
        <f t="shared" si="553"/>
        <v>0</v>
      </c>
      <c r="AC1788" s="382">
        <f t="shared" si="554"/>
        <v>0</v>
      </c>
      <c r="AD1788" s="89"/>
    </row>
    <row r="1789" spans="3:30" ht="16" x14ac:dyDescent="0.2">
      <c r="C1789" s="176">
        <f t="shared" si="544"/>
        <v>1786</v>
      </c>
      <c r="D1789" s="454">
        <v>46001</v>
      </c>
      <c r="E1789" s="37">
        <v>46013</v>
      </c>
      <c r="F1789" s="65" t="s">
        <v>524</v>
      </c>
      <c r="G1789" s="11" t="str">
        <f ca="1">IF(AND(E1789&lt;&gt;"",E1789&lt;TODAY()),"Disponible",IFERROR(INDEX(Vehiculos[Estado Vehiculo],MATCH(F1789,Vehiculos[Placa Vehiculo],0)),""))</f>
        <v>Disponible</v>
      </c>
      <c r="H1789" s="34"/>
      <c r="I1789" s="34" t="s">
        <v>273</v>
      </c>
      <c r="J1789" s="34"/>
      <c r="K1789" s="39">
        <v>704</v>
      </c>
      <c r="L1789" s="39">
        <v>729</v>
      </c>
      <c r="M1789" s="15">
        <f t="shared" si="550"/>
        <v>25</v>
      </c>
      <c r="N1789" s="381">
        <f>Rutas[[#This Row],[Kms Recorridos]]</f>
        <v>25</v>
      </c>
      <c r="O1789" s="39"/>
      <c r="P1789" s="36"/>
      <c r="Q1789" s="16">
        <f t="shared" si="551"/>
        <v>0</v>
      </c>
      <c r="R1789" s="34" t="s">
        <v>273</v>
      </c>
      <c r="S1789" s="34" t="s">
        <v>102</v>
      </c>
      <c r="T1789" s="36">
        <v>2.8</v>
      </c>
      <c r="U1789" s="36">
        <f>Rutas[[#This Row],[Precio x Galón ($/gal)]]*Rutas[[#This Row],[Volumen de Combustible (gal)]]</f>
        <v>20.776</v>
      </c>
      <c r="V1789" s="36"/>
      <c r="W1789" s="36"/>
      <c r="X1789" s="36"/>
      <c r="Y1789" s="145">
        <f t="shared" si="552"/>
        <v>20.776</v>
      </c>
      <c r="Z1789" s="567"/>
      <c r="AA1789" s="12">
        <v>7.42</v>
      </c>
      <c r="AB1789" s="12">
        <f t="shared" si="553"/>
        <v>3.3692722371967654</v>
      </c>
      <c r="AC1789" s="12">
        <f t="shared" si="554"/>
        <v>0</v>
      </c>
      <c r="AD1789" s="34"/>
    </row>
    <row r="1790" spans="3:30" ht="16" x14ac:dyDescent="0.2">
      <c r="C1790" s="176">
        <f t="shared" si="544"/>
        <v>1787</v>
      </c>
      <c r="D1790" s="454">
        <v>46013</v>
      </c>
      <c r="E1790" s="37">
        <v>46019</v>
      </c>
      <c r="F1790" s="65" t="s">
        <v>524</v>
      </c>
      <c r="G1790" s="11" t="str">
        <f ca="1">IF(AND(E1790&lt;&gt;"",E1790&lt;TODAY()),"Disponible",IFERROR(INDEX(Vehiculos[Estado Vehiculo],MATCH(F1790,Vehiculos[Placa Vehiculo],0)),""))</f>
        <v>Disponible</v>
      </c>
      <c r="H1790" s="34"/>
      <c r="I1790" s="34" t="s">
        <v>273</v>
      </c>
      <c r="J1790" s="34"/>
      <c r="K1790" s="39">
        <v>729</v>
      </c>
      <c r="L1790" s="39">
        <v>770</v>
      </c>
      <c r="M1790" s="15">
        <f t="shared" si="550"/>
        <v>41</v>
      </c>
      <c r="N1790" s="381">
        <f>Rutas[[#This Row],[Kms Recorridos]]</f>
        <v>41</v>
      </c>
      <c r="O1790" s="39"/>
      <c r="P1790" s="36"/>
      <c r="Q1790" s="16">
        <f t="shared" si="551"/>
        <v>0</v>
      </c>
      <c r="R1790" s="34" t="s">
        <v>273</v>
      </c>
      <c r="S1790" s="34" t="s">
        <v>102</v>
      </c>
      <c r="T1790" s="36">
        <v>2.8</v>
      </c>
      <c r="U1790" s="36">
        <f>Rutas[[#This Row],[Precio x Galón ($/gal)]]*Rutas[[#This Row],[Volumen de Combustible (gal)]]</f>
        <v>24.08</v>
      </c>
      <c r="V1790" s="36"/>
      <c r="W1790" s="36"/>
      <c r="X1790" s="36"/>
      <c r="Y1790" s="145">
        <f t="shared" si="552"/>
        <v>24.08</v>
      </c>
      <c r="Z1790" s="567"/>
      <c r="AA1790" s="12">
        <v>8.6</v>
      </c>
      <c r="AB1790" s="12">
        <f t="shared" si="553"/>
        <v>4.7674418604651168</v>
      </c>
      <c r="AC1790" s="12">
        <f t="shared" si="554"/>
        <v>0</v>
      </c>
      <c r="AD1790" s="34"/>
    </row>
    <row r="1791" spans="3:30" ht="16" x14ac:dyDescent="0.2">
      <c r="C1791" s="176">
        <f t="shared" si="544"/>
        <v>1788</v>
      </c>
      <c r="D1791" s="454"/>
      <c r="E1791" s="37"/>
      <c r="F1791" s="65"/>
      <c r="G1791" s="11" t="str">
        <f ca="1">IF(AND(E1791&lt;&gt;"",E1791&lt;TODAY()),"Disponible",IFERROR(INDEX(Vehiculos[Estado Vehiculo],MATCH(F1791,Vehiculos[Placa Vehiculo],0)),""))</f>
        <v/>
      </c>
      <c r="H1791" s="34"/>
      <c r="I1791" s="34"/>
      <c r="J1791" s="34"/>
      <c r="K1791" s="39"/>
      <c r="L1791" s="39"/>
      <c r="M1791" s="15">
        <f t="shared" si="550"/>
        <v>0</v>
      </c>
      <c r="N1791" s="15"/>
      <c r="O1791" s="39"/>
      <c r="P1791" s="36"/>
      <c r="Q1791" s="16">
        <f t="shared" si="551"/>
        <v>0</v>
      </c>
      <c r="R1791" s="34"/>
      <c r="S1791" s="34"/>
      <c r="T1791" s="36"/>
      <c r="U1791" s="36">
        <f>Rutas[[#This Row],[Precio x Galón ($/gal)]]*Rutas[[#This Row],[Volumen de Combustible (gal)]]</f>
        <v>0</v>
      </c>
      <c r="V1791" s="36"/>
      <c r="W1791" s="36"/>
      <c r="X1791" s="36"/>
      <c r="Y1791" s="145">
        <f t="shared" si="552"/>
        <v>0</v>
      </c>
      <c r="Z1791" s="567"/>
      <c r="AA1791" s="12"/>
      <c r="AB1791" s="12">
        <f t="shared" si="553"/>
        <v>0</v>
      </c>
      <c r="AC1791" s="12">
        <f t="shared" si="554"/>
        <v>0</v>
      </c>
      <c r="AD1791" s="34"/>
    </row>
    <row r="1792" spans="3:30" ht="16" x14ac:dyDescent="0.2">
      <c r="C1792" s="176">
        <f t="shared" si="544"/>
        <v>1789</v>
      </c>
      <c r="D1792" s="454"/>
      <c r="E1792" s="37"/>
      <c r="F1792" s="65"/>
      <c r="G1792" s="11" t="str">
        <f ca="1">IF(AND(E1792&lt;&gt;"",E1792&lt;TODAY()),"Disponible",IFERROR(INDEX(Vehiculos[Estado Vehiculo],MATCH(F1792,Vehiculos[Placa Vehiculo],0)),""))</f>
        <v/>
      </c>
      <c r="H1792" s="34"/>
      <c r="I1792" s="34"/>
      <c r="J1792" s="34"/>
      <c r="K1792" s="39"/>
      <c r="L1792" s="39"/>
      <c r="M1792" s="15">
        <f t="shared" si="550"/>
        <v>0</v>
      </c>
      <c r="N1792" s="15"/>
      <c r="O1792" s="39"/>
      <c r="P1792" s="36"/>
      <c r="Q1792" s="16">
        <f t="shared" si="551"/>
        <v>0</v>
      </c>
      <c r="R1792" s="34"/>
      <c r="S1792" s="34"/>
      <c r="T1792" s="36"/>
      <c r="U1792" s="36">
        <f>Rutas[[#This Row],[Precio x Galón ($/gal)]]*Rutas[[#This Row],[Volumen de Combustible (gal)]]</f>
        <v>0</v>
      </c>
      <c r="V1792" s="36"/>
      <c r="W1792" s="36"/>
      <c r="X1792" s="36"/>
      <c r="Y1792" s="145">
        <f t="shared" si="552"/>
        <v>0</v>
      </c>
      <c r="Z1792" s="567"/>
      <c r="AA1792" s="12"/>
      <c r="AB1792" s="12">
        <f t="shared" si="553"/>
        <v>0</v>
      </c>
      <c r="AC1792" s="12">
        <f t="shared" si="554"/>
        <v>0</v>
      </c>
      <c r="AD1792" s="34"/>
    </row>
    <row r="1793" spans="3:30" ht="16" x14ac:dyDescent="0.2">
      <c r="C1793" s="176">
        <f t="shared" si="544"/>
        <v>1790</v>
      </c>
      <c r="D1793" s="454"/>
      <c r="E1793" s="37"/>
      <c r="F1793" s="65"/>
      <c r="G1793" s="11" t="str">
        <f ca="1">IF(AND(E1793&lt;&gt;"",E1793&lt;TODAY()),"Disponible",IFERROR(INDEX(Vehiculos[Estado Vehiculo],MATCH(F1793,Vehiculos[Placa Vehiculo],0)),""))</f>
        <v/>
      </c>
      <c r="H1793" s="34"/>
      <c r="I1793" s="34"/>
      <c r="J1793" s="34"/>
      <c r="K1793" s="39"/>
      <c r="L1793" s="39"/>
      <c r="M1793" s="15">
        <f t="shared" si="550"/>
        <v>0</v>
      </c>
      <c r="N1793" s="15"/>
      <c r="O1793" s="39"/>
      <c r="P1793" s="36"/>
      <c r="Q1793" s="16">
        <f t="shared" si="551"/>
        <v>0</v>
      </c>
      <c r="R1793" s="34"/>
      <c r="S1793" s="34"/>
      <c r="T1793" s="36"/>
      <c r="U1793" s="36">
        <f>Rutas[[#This Row],[Precio x Galón ($/gal)]]*Rutas[[#This Row],[Volumen de Combustible (gal)]]</f>
        <v>0</v>
      </c>
      <c r="V1793" s="36"/>
      <c r="W1793" s="36"/>
      <c r="X1793" s="36"/>
      <c r="Y1793" s="145">
        <f t="shared" si="552"/>
        <v>0</v>
      </c>
      <c r="Z1793" s="567"/>
      <c r="AA1793" s="12"/>
      <c r="AB1793" s="12">
        <f t="shared" si="553"/>
        <v>0</v>
      </c>
      <c r="AC1793" s="12">
        <f t="shared" si="554"/>
        <v>0</v>
      </c>
      <c r="AD1793" s="34"/>
    </row>
    <row r="1794" spans="3:30" ht="16" x14ac:dyDescent="0.2">
      <c r="C1794" s="176">
        <f t="shared" si="544"/>
        <v>1791</v>
      </c>
      <c r="D1794" s="454"/>
      <c r="E1794" s="37"/>
      <c r="F1794" s="65"/>
      <c r="G1794" s="11" t="str">
        <f ca="1">IF(AND(E1794&lt;&gt;"",E1794&lt;TODAY()),"Disponible",IFERROR(INDEX(Vehiculos[Estado Vehiculo],MATCH(F1794,Vehiculos[Placa Vehiculo],0)),""))</f>
        <v/>
      </c>
      <c r="H1794" s="34"/>
      <c r="I1794" s="34"/>
      <c r="J1794" s="34"/>
      <c r="K1794" s="39"/>
      <c r="L1794" s="39"/>
      <c r="M1794" s="15">
        <f t="shared" si="550"/>
        <v>0</v>
      </c>
      <c r="N1794" s="15"/>
      <c r="O1794" s="39"/>
      <c r="P1794" s="36"/>
      <c r="Q1794" s="16">
        <f t="shared" si="551"/>
        <v>0</v>
      </c>
      <c r="R1794" s="34"/>
      <c r="S1794" s="34"/>
      <c r="T1794" s="36"/>
      <c r="U1794" s="36">
        <f>Rutas[[#This Row],[Precio x Galón ($/gal)]]*Rutas[[#This Row],[Volumen de Combustible (gal)]]</f>
        <v>0</v>
      </c>
      <c r="V1794" s="36"/>
      <c r="W1794" s="36"/>
      <c r="X1794" s="36"/>
      <c r="Y1794" s="145">
        <f t="shared" si="552"/>
        <v>0</v>
      </c>
      <c r="Z1794" s="567"/>
      <c r="AA1794" s="12"/>
      <c r="AB1794" s="12">
        <f t="shared" si="553"/>
        <v>0</v>
      </c>
      <c r="AC1794" s="12">
        <f t="shared" si="554"/>
        <v>0</v>
      </c>
      <c r="AD1794" s="34"/>
    </row>
    <row r="1795" spans="3:30" ht="16" x14ac:dyDescent="0.2">
      <c r="C1795" s="176">
        <f t="shared" si="544"/>
        <v>1792</v>
      </c>
      <c r="D1795" s="454"/>
      <c r="E1795" s="37"/>
      <c r="F1795" s="65"/>
      <c r="G1795" s="11" t="str">
        <f ca="1">IF(AND(E1795&lt;&gt;"",E1795&lt;TODAY()),"Disponible",IFERROR(INDEX(Vehiculos[Estado Vehiculo],MATCH(F1795,Vehiculos[Placa Vehiculo],0)),""))</f>
        <v/>
      </c>
      <c r="H1795" s="34"/>
      <c r="I1795" s="34"/>
      <c r="J1795" s="34"/>
      <c r="K1795" s="39"/>
      <c r="L1795" s="39"/>
      <c r="M1795" s="15">
        <f t="shared" si="550"/>
        <v>0</v>
      </c>
      <c r="N1795" s="15"/>
      <c r="O1795" s="39"/>
      <c r="P1795" s="36"/>
      <c r="Q1795" s="16">
        <f t="shared" si="551"/>
        <v>0</v>
      </c>
      <c r="R1795" s="34"/>
      <c r="S1795" s="34"/>
      <c r="T1795" s="36"/>
      <c r="U1795" s="36">
        <f>Rutas[[#This Row],[Precio x Galón ($/gal)]]*Rutas[[#This Row],[Volumen de Combustible (gal)]]</f>
        <v>0</v>
      </c>
      <c r="V1795" s="36"/>
      <c r="W1795" s="36"/>
      <c r="X1795" s="36"/>
      <c r="Y1795" s="145">
        <f t="shared" si="552"/>
        <v>0</v>
      </c>
      <c r="Z1795" s="567"/>
      <c r="AA1795" s="12"/>
      <c r="AB1795" s="12">
        <f t="shared" si="553"/>
        <v>0</v>
      </c>
      <c r="AC1795" s="12">
        <f t="shared" si="554"/>
        <v>0</v>
      </c>
      <c r="AD1795" s="34"/>
    </row>
    <row r="1796" spans="3:30" ht="16" x14ac:dyDescent="0.2">
      <c r="C1796" s="176">
        <f t="shared" ref="C1796:C1816" si="555">ROW(A1793)</f>
        <v>1793</v>
      </c>
      <c r="D1796" s="454"/>
      <c r="E1796" s="37"/>
      <c r="F1796" s="65"/>
      <c r="G1796" s="11" t="str">
        <f ca="1">IF(AND(E1796&lt;&gt;"",E1796&lt;TODAY()),"Disponible",IFERROR(INDEX(Vehiculos[Estado Vehiculo],MATCH(F1796,Vehiculos[Placa Vehiculo],0)),""))</f>
        <v/>
      </c>
      <c r="H1796" s="34"/>
      <c r="I1796" s="34"/>
      <c r="J1796" s="34"/>
      <c r="K1796" s="39"/>
      <c r="L1796" s="39"/>
      <c r="M1796" s="15">
        <f t="shared" si="550"/>
        <v>0</v>
      </c>
      <c r="N1796" s="15"/>
      <c r="O1796" s="39"/>
      <c r="P1796" s="36"/>
      <c r="Q1796" s="16">
        <f t="shared" si="551"/>
        <v>0</v>
      </c>
      <c r="R1796" s="34"/>
      <c r="S1796" s="34"/>
      <c r="T1796" s="36"/>
      <c r="U1796" s="36">
        <f>Rutas[[#This Row],[Precio x Galón ($/gal)]]*Rutas[[#This Row],[Volumen de Combustible (gal)]]</f>
        <v>0</v>
      </c>
      <c r="V1796" s="36"/>
      <c r="W1796" s="36"/>
      <c r="X1796" s="36"/>
      <c r="Y1796" s="145">
        <f t="shared" si="552"/>
        <v>0</v>
      </c>
      <c r="Z1796" s="567"/>
      <c r="AA1796" s="12"/>
      <c r="AB1796" s="12">
        <f t="shared" si="553"/>
        <v>0</v>
      </c>
      <c r="AC1796" s="12">
        <f t="shared" si="554"/>
        <v>0</v>
      </c>
      <c r="AD1796" s="34"/>
    </row>
    <row r="1797" spans="3:30" ht="16" x14ac:dyDescent="0.2">
      <c r="C1797" s="176">
        <f t="shared" si="555"/>
        <v>1794</v>
      </c>
      <c r="D1797" s="454"/>
      <c r="E1797" s="37"/>
      <c r="F1797" s="65"/>
      <c r="G1797" s="11" t="str">
        <f ca="1">IF(AND(E1797&lt;&gt;"",E1797&lt;TODAY()),"Disponible",IFERROR(INDEX(Vehiculos[Estado Vehiculo],MATCH(F1797,Vehiculos[Placa Vehiculo],0)),""))</f>
        <v/>
      </c>
      <c r="H1797" s="34"/>
      <c r="I1797" s="34"/>
      <c r="J1797" s="34"/>
      <c r="K1797" s="39"/>
      <c r="L1797" s="39"/>
      <c r="M1797" s="15">
        <f t="shared" si="550"/>
        <v>0</v>
      </c>
      <c r="N1797" s="15"/>
      <c r="O1797" s="39"/>
      <c r="P1797" s="36"/>
      <c r="Q1797" s="16">
        <f t="shared" si="551"/>
        <v>0</v>
      </c>
      <c r="R1797" s="34"/>
      <c r="S1797" s="34"/>
      <c r="T1797" s="36"/>
      <c r="U1797" s="36">
        <f>Rutas[[#This Row],[Precio x Galón ($/gal)]]*Rutas[[#This Row],[Volumen de Combustible (gal)]]</f>
        <v>0</v>
      </c>
      <c r="V1797" s="36"/>
      <c r="W1797" s="36"/>
      <c r="X1797" s="36"/>
      <c r="Y1797" s="145">
        <f t="shared" si="552"/>
        <v>0</v>
      </c>
      <c r="Z1797" s="567"/>
      <c r="AA1797" s="12"/>
      <c r="AB1797" s="12">
        <f t="shared" si="553"/>
        <v>0</v>
      </c>
      <c r="AC1797" s="12">
        <f t="shared" si="554"/>
        <v>0</v>
      </c>
      <c r="AD1797" s="34"/>
    </row>
    <row r="1798" spans="3:30" ht="16" x14ac:dyDescent="0.2">
      <c r="C1798" s="176">
        <f t="shared" si="555"/>
        <v>1795</v>
      </c>
      <c r="D1798" s="454"/>
      <c r="E1798" s="37"/>
      <c r="F1798" s="65"/>
      <c r="G1798" s="11" t="str">
        <f ca="1">IF(AND(E1798&lt;&gt;"",E1798&lt;TODAY()),"Disponible",IFERROR(INDEX(Vehiculos[Estado Vehiculo],MATCH(F1798,Vehiculos[Placa Vehiculo],0)),""))</f>
        <v/>
      </c>
      <c r="H1798" s="34"/>
      <c r="I1798" s="34"/>
      <c r="J1798" s="34"/>
      <c r="K1798" s="39"/>
      <c r="L1798" s="39"/>
      <c r="M1798" s="15">
        <f t="shared" si="550"/>
        <v>0</v>
      </c>
      <c r="N1798" s="15"/>
      <c r="O1798" s="39"/>
      <c r="P1798" s="36"/>
      <c r="Q1798" s="16">
        <f t="shared" si="551"/>
        <v>0</v>
      </c>
      <c r="R1798" s="34"/>
      <c r="S1798" s="34"/>
      <c r="T1798" s="36"/>
      <c r="U1798" s="36">
        <f>Rutas[[#This Row],[Precio x Galón ($/gal)]]*Rutas[[#This Row],[Volumen de Combustible (gal)]]</f>
        <v>0</v>
      </c>
      <c r="V1798" s="36"/>
      <c r="W1798" s="36"/>
      <c r="X1798" s="36"/>
      <c r="Y1798" s="145">
        <f t="shared" si="552"/>
        <v>0</v>
      </c>
      <c r="Z1798" s="567"/>
      <c r="AA1798" s="12"/>
      <c r="AB1798" s="12">
        <f t="shared" si="553"/>
        <v>0</v>
      </c>
      <c r="AC1798" s="12">
        <f t="shared" si="554"/>
        <v>0</v>
      </c>
      <c r="AD1798" s="34"/>
    </row>
    <row r="1799" spans="3:30" ht="16" x14ac:dyDescent="0.2">
      <c r="C1799" s="176">
        <f t="shared" si="555"/>
        <v>1796</v>
      </c>
      <c r="D1799" s="454"/>
      <c r="E1799" s="37"/>
      <c r="F1799" s="65"/>
      <c r="G1799" s="11" t="str">
        <f ca="1">IF(AND(E1799&lt;&gt;"",E1799&lt;TODAY()),"Disponible",IFERROR(INDEX(Vehiculos[Estado Vehiculo],MATCH(F1799,Vehiculos[Placa Vehiculo],0)),""))</f>
        <v/>
      </c>
      <c r="H1799" s="34"/>
      <c r="I1799" s="34"/>
      <c r="J1799" s="34"/>
      <c r="K1799" s="39"/>
      <c r="L1799" s="39"/>
      <c r="M1799" s="15">
        <f t="shared" si="550"/>
        <v>0</v>
      </c>
      <c r="N1799" s="15"/>
      <c r="O1799" s="39"/>
      <c r="P1799" s="36"/>
      <c r="Q1799" s="16">
        <f t="shared" si="551"/>
        <v>0</v>
      </c>
      <c r="R1799" s="34"/>
      <c r="S1799" s="34"/>
      <c r="T1799" s="36"/>
      <c r="U1799" s="36">
        <f>Rutas[[#This Row],[Precio x Galón ($/gal)]]*Rutas[[#This Row],[Volumen de Combustible (gal)]]</f>
        <v>0</v>
      </c>
      <c r="V1799" s="36"/>
      <c r="W1799" s="36"/>
      <c r="X1799" s="36"/>
      <c r="Y1799" s="145">
        <f t="shared" si="552"/>
        <v>0</v>
      </c>
      <c r="Z1799" s="567"/>
      <c r="AA1799" s="12"/>
      <c r="AB1799" s="12">
        <f t="shared" si="553"/>
        <v>0</v>
      </c>
      <c r="AC1799" s="12">
        <f t="shared" si="554"/>
        <v>0</v>
      </c>
      <c r="AD1799" s="34"/>
    </row>
    <row r="1800" spans="3:30" ht="16" x14ac:dyDescent="0.2">
      <c r="C1800" s="176">
        <f t="shared" si="555"/>
        <v>1797</v>
      </c>
      <c r="D1800" s="454"/>
      <c r="E1800" s="37"/>
      <c r="F1800" s="65"/>
      <c r="G1800" s="11" t="str">
        <f ca="1">IF(AND(E1800&lt;&gt;"",E1800&lt;TODAY()),"Disponible",IFERROR(INDEX(Vehiculos[Estado Vehiculo],MATCH(F1800,Vehiculos[Placa Vehiculo],0)),""))</f>
        <v/>
      </c>
      <c r="H1800" s="34"/>
      <c r="I1800" s="34"/>
      <c r="J1800" s="34"/>
      <c r="K1800" s="39"/>
      <c r="L1800" s="39"/>
      <c r="M1800" s="15">
        <f t="shared" si="550"/>
        <v>0</v>
      </c>
      <c r="N1800" s="15"/>
      <c r="O1800" s="39"/>
      <c r="P1800" s="36"/>
      <c r="Q1800" s="16">
        <f t="shared" si="551"/>
        <v>0</v>
      </c>
      <c r="R1800" s="34"/>
      <c r="S1800" s="34"/>
      <c r="T1800" s="36"/>
      <c r="U1800" s="36">
        <f>Rutas[[#This Row],[Precio x Galón ($/gal)]]*Rutas[[#This Row],[Volumen de Combustible (gal)]]</f>
        <v>0</v>
      </c>
      <c r="V1800" s="36"/>
      <c r="W1800" s="36"/>
      <c r="X1800" s="36"/>
      <c r="Y1800" s="145">
        <f t="shared" si="552"/>
        <v>0</v>
      </c>
      <c r="Z1800" s="567"/>
      <c r="AA1800" s="12"/>
      <c r="AB1800" s="12">
        <f t="shared" si="553"/>
        <v>0</v>
      </c>
      <c r="AC1800" s="12">
        <f t="shared" si="554"/>
        <v>0</v>
      </c>
      <c r="AD1800" s="34"/>
    </row>
    <row r="1801" spans="3:30" ht="16" x14ac:dyDescent="0.2">
      <c r="C1801" s="176">
        <f t="shared" si="555"/>
        <v>1798</v>
      </c>
      <c r="D1801" s="454"/>
      <c r="E1801" s="37"/>
      <c r="F1801" s="65"/>
      <c r="G1801" s="11" t="str">
        <f ca="1">IF(AND(E1801&lt;&gt;"",E1801&lt;TODAY()),"Disponible",IFERROR(INDEX(Vehiculos[Estado Vehiculo],MATCH(F1801,Vehiculos[Placa Vehiculo],0)),""))</f>
        <v/>
      </c>
      <c r="H1801" s="34"/>
      <c r="I1801" s="34"/>
      <c r="J1801" s="34"/>
      <c r="K1801" s="39"/>
      <c r="L1801" s="39"/>
      <c r="M1801" s="15">
        <f t="shared" si="550"/>
        <v>0</v>
      </c>
      <c r="N1801" s="15"/>
      <c r="O1801" s="39"/>
      <c r="P1801" s="36"/>
      <c r="Q1801" s="16">
        <f t="shared" si="551"/>
        <v>0</v>
      </c>
      <c r="R1801" s="34"/>
      <c r="S1801" s="34"/>
      <c r="T1801" s="36"/>
      <c r="U1801" s="36">
        <f>Rutas[[#This Row],[Precio x Galón ($/gal)]]*Rutas[[#This Row],[Volumen de Combustible (gal)]]</f>
        <v>0</v>
      </c>
      <c r="V1801" s="36"/>
      <c r="W1801" s="36"/>
      <c r="X1801" s="36"/>
      <c r="Y1801" s="145">
        <f t="shared" si="552"/>
        <v>0</v>
      </c>
      <c r="Z1801" s="567"/>
      <c r="AA1801" s="12"/>
      <c r="AB1801" s="12">
        <f t="shared" si="553"/>
        <v>0</v>
      </c>
      <c r="AC1801" s="12">
        <f t="shared" si="554"/>
        <v>0</v>
      </c>
      <c r="AD1801" s="34"/>
    </row>
    <row r="1802" spans="3:30" ht="16" x14ac:dyDescent="0.2">
      <c r="C1802" s="176">
        <f t="shared" si="555"/>
        <v>1799</v>
      </c>
      <c r="D1802" s="454"/>
      <c r="E1802" s="37"/>
      <c r="F1802" s="65"/>
      <c r="G1802" s="11" t="str">
        <f ca="1">IF(AND(E1802&lt;&gt;"",E1802&lt;TODAY()),"Disponible",IFERROR(INDEX(Vehiculos[Estado Vehiculo],MATCH(F1802,Vehiculos[Placa Vehiculo],0)),""))</f>
        <v/>
      </c>
      <c r="H1802" s="34"/>
      <c r="I1802" s="34"/>
      <c r="J1802" s="34"/>
      <c r="K1802" s="39"/>
      <c r="L1802" s="39"/>
      <c r="M1802" s="15">
        <f t="shared" si="550"/>
        <v>0</v>
      </c>
      <c r="N1802" s="15"/>
      <c r="O1802" s="39"/>
      <c r="P1802" s="36"/>
      <c r="Q1802" s="16">
        <f t="shared" si="551"/>
        <v>0</v>
      </c>
      <c r="R1802" s="34"/>
      <c r="S1802" s="34"/>
      <c r="T1802" s="36"/>
      <c r="U1802" s="36">
        <f>Rutas[[#This Row],[Precio x Galón ($/gal)]]*Rutas[[#This Row],[Volumen de Combustible (gal)]]</f>
        <v>0</v>
      </c>
      <c r="V1802" s="36"/>
      <c r="W1802" s="36"/>
      <c r="X1802" s="36"/>
      <c r="Y1802" s="145">
        <f t="shared" si="552"/>
        <v>0</v>
      </c>
      <c r="Z1802" s="567"/>
      <c r="AA1802" s="12"/>
      <c r="AB1802" s="12">
        <f t="shared" si="553"/>
        <v>0</v>
      </c>
      <c r="AC1802" s="12">
        <f t="shared" si="554"/>
        <v>0</v>
      </c>
      <c r="AD1802" s="34"/>
    </row>
    <row r="1803" spans="3:30" ht="16" x14ac:dyDescent="0.2">
      <c r="C1803" s="176">
        <f t="shared" si="555"/>
        <v>1800</v>
      </c>
      <c r="D1803" s="454"/>
      <c r="E1803" s="37"/>
      <c r="F1803" s="65"/>
      <c r="G1803" s="11" t="str">
        <f ca="1">IF(AND(E1803&lt;&gt;"",E1803&lt;TODAY()),"Disponible",IFERROR(INDEX(Vehiculos[Estado Vehiculo],MATCH(F1803,Vehiculos[Placa Vehiculo],0)),""))</f>
        <v/>
      </c>
      <c r="H1803" s="34"/>
      <c r="I1803" s="34"/>
      <c r="J1803" s="34"/>
      <c r="K1803" s="39"/>
      <c r="L1803" s="39"/>
      <c r="M1803" s="15">
        <f t="shared" si="550"/>
        <v>0</v>
      </c>
      <c r="N1803" s="15"/>
      <c r="O1803" s="39"/>
      <c r="P1803" s="36"/>
      <c r="Q1803" s="16">
        <f t="shared" si="551"/>
        <v>0</v>
      </c>
      <c r="R1803" s="34"/>
      <c r="S1803" s="34"/>
      <c r="T1803" s="36"/>
      <c r="U1803" s="36"/>
      <c r="V1803" s="36"/>
      <c r="W1803" s="36"/>
      <c r="X1803" s="36"/>
      <c r="Y1803" s="145">
        <f t="shared" si="552"/>
        <v>0</v>
      </c>
      <c r="Z1803" s="567"/>
      <c r="AA1803" s="12"/>
      <c r="AB1803" s="12">
        <f t="shared" si="553"/>
        <v>0</v>
      </c>
      <c r="AC1803" s="12">
        <f t="shared" si="554"/>
        <v>0</v>
      </c>
      <c r="AD1803" s="34"/>
    </row>
    <row r="1804" spans="3:30" ht="16" x14ac:dyDescent="0.2">
      <c r="C1804" s="176">
        <f t="shared" si="555"/>
        <v>1801</v>
      </c>
      <c r="D1804" s="454"/>
      <c r="E1804" s="37"/>
      <c r="F1804" s="65"/>
      <c r="G1804" s="11" t="str">
        <f ca="1">IF(AND(E1804&lt;&gt;"",E1804&lt;TODAY()),"Disponible",IFERROR(INDEX(Vehiculos[Estado Vehiculo],MATCH(F1804,Vehiculos[Placa Vehiculo],0)),""))</f>
        <v/>
      </c>
      <c r="H1804" s="34"/>
      <c r="I1804" s="34"/>
      <c r="J1804" s="34"/>
      <c r="K1804" s="39"/>
      <c r="L1804" s="39"/>
      <c r="M1804" s="15">
        <f t="shared" si="550"/>
        <v>0</v>
      </c>
      <c r="N1804" s="15"/>
      <c r="O1804" s="39"/>
      <c r="P1804" s="36"/>
      <c r="Q1804" s="16">
        <f t="shared" si="551"/>
        <v>0</v>
      </c>
      <c r="R1804" s="34"/>
      <c r="S1804" s="34"/>
      <c r="T1804" s="36"/>
      <c r="U1804" s="36"/>
      <c r="V1804" s="36"/>
      <c r="W1804" s="36"/>
      <c r="X1804" s="36"/>
      <c r="Y1804" s="145">
        <f t="shared" si="552"/>
        <v>0</v>
      </c>
      <c r="Z1804" s="567"/>
      <c r="AA1804" s="12"/>
      <c r="AB1804" s="12">
        <f t="shared" si="553"/>
        <v>0</v>
      </c>
      <c r="AC1804" s="12">
        <f t="shared" si="554"/>
        <v>0</v>
      </c>
      <c r="AD1804" s="34"/>
    </row>
    <row r="1805" spans="3:30" ht="16" x14ac:dyDescent="0.2">
      <c r="C1805" s="176">
        <f t="shared" si="555"/>
        <v>1802</v>
      </c>
      <c r="D1805" s="454"/>
      <c r="E1805" s="37"/>
      <c r="F1805" s="65"/>
      <c r="G1805" s="11" t="str">
        <f ca="1">IF(AND(E1805&lt;&gt;"",E1805&lt;TODAY()),"Disponible",IFERROR(INDEX(Vehiculos[Estado Vehiculo],MATCH(F1805,Vehiculos[Placa Vehiculo],0)),""))</f>
        <v/>
      </c>
      <c r="H1805" s="34"/>
      <c r="I1805" s="34"/>
      <c r="J1805" s="34"/>
      <c r="K1805" s="39"/>
      <c r="L1805" s="39"/>
      <c r="M1805" s="15">
        <f t="shared" si="550"/>
        <v>0</v>
      </c>
      <c r="N1805" s="15"/>
      <c r="O1805" s="39"/>
      <c r="P1805" s="36"/>
      <c r="Q1805" s="16">
        <f t="shared" si="551"/>
        <v>0</v>
      </c>
      <c r="R1805" s="34"/>
      <c r="S1805" s="34"/>
      <c r="T1805" s="36"/>
      <c r="U1805" s="36"/>
      <c r="V1805" s="36"/>
      <c r="W1805" s="36"/>
      <c r="X1805" s="36"/>
      <c r="Y1805" s="145">
        <f t="shared" si="552"/>
        <v>0</v>
      </c>
      <c r="Z1805" s="567"/>
      <c r="AA1805" s="12"/>
      <c r="AB1805" s="12">
        <f t="shared" si="553"/>
        <v>0</v>
      </c>
      <c r="AC1805" s="12">
        <f t="shared" si="554"/>
        <v>0</v>
      </c>
      <c r="AD1805" s="34"/>
    </row>
    <row r="1806" spans="3:30" ht="16" x14ac:dyDescent="0.2">
      <c r="C1806" s="176">
        <f t="shared" si="555"/>
        <v>1803</v>
      </c>
      <c r="D1806" s="454"/>
      <c r="E1806" s="37"/>
      <c r="F1806" s="65"/>
      <c r="G1806" s="11" t="str">
        <f ca="1">IF(AND(E1806&lt;&gt;"",E1806&lt;TODAY()),"Disponible",IFERROR(INDEX(Vehiculos[Estado Vehiculo],MATCH(F1806,Vehiculos[Placa Vehiculo],0)),""))</f>
        <v/>
      </c>
      <c r="H1806" s="34"/>
      <c r="I1806" s="34"/>
      <c r="J1806" s="34"/>
      <c r="K1806" s="39"/>
      <c r="L1806" s="39"/>
      <c r="M1806" s="15">
        <f t="shared" si="550"/>
        <v>0</v>
      </c>
      <c r="N1806" s="15"/>
      <c r="O1806" s="39"/>
      <c r="P1806" s="36"/>
      <c r="Q1806" s="16">
        <f t="shared" si="551"/>
        <v>0</v>
      </c>
      <c r="R1806" s="34"/>
      <c r="S1806" s="34"/>
      <c r="T1806" s="36"/>
      <c r="U1806" s="36"/>
      <c r="V1806" s="36"/>
      <c r="W1806" s="36"/>
      <c r="X1806" s="36"/>
      <c r="Y1806" s="145">
        <f t="shared" si="552"/>
        <v>0</v>
      </c>
      <c r="Z1806" s="567"/>
      <c r="AA1806" s="12"/>
      <c r="AB1806" s="12">
        <f t="shared" si="553"/>
        <v>0</v>
      </c>
      <c r="AC1806" s="12">
        <f t="shared" si="554"/>
        <v>0</v>
      </c>
      <c r="AD1806" s="34"/>
    </row>
    <row r="1807" spans="3:30" ht="16" x14ac:dyDescent="0.2">
      <c r="C1807" s="176">
        <f t="shared" si="555"/>
        <v>1804</v>
      </c>
      <c r="D1807" s="454"/>
      <c r="E1807" s="37"/>
      <c r="F1807" s="65"/>
      <c r="G1807" s="11" t="str">
        <f ca="1">IF(AND(E1807&lt;&gt;"",E1807&lt;TODAY()),"Disponible",IFERROR(INDEX(Vehiculos[Estado Vehiculo],MATCH(F1807,Vehiculos[Placa Vehiculo],0)),""))</f>
        <v/>
      </c>
      <c r="H1807" s="34"/>
      <c r="I1807" s="34"/>
      <c r="J1807" s="34"/>
      <c r="K1807" s="39"/>
      <c r="L1807" s="39"/>
      <c r="M1807" s="15">
        <f t="shared" si="550"/>
        <v>0</v>
      </c>
      <c r="N1807" s="15"/>
      <c r="O1807" s="39"/>
      <c r="P1807" s="36"/>
      <c r="Q1807" s="16">
        <f t="shared" si="551"/>
        <v>0</v>
      </c>
      <c r="R1807" s="34"/>
      <c r="S1807" s="34"/>
      <c r="T1807" s="36"/>
      <c r="U1807" s="36"/>
      <c r="V1807" s="36"/>
      <c r="W1807" s="36"/>
      <c r="X1807" s="36"/>
      <c r="Y1807" s="145">
        <f t="shared" si="552"/>
        <v>0</v>
      </c>
      <c r="Z1807" s="567"/>
      <c r="AA1807" s="12"/>
      <c r="AB1807" s="12">
        <f t="shared" si="553"/>
        <v>0</v>
      </c>
      <c r="AC1807" s="12">
        <f t="shared" si="554"/>
        <v>0</v>
      </c>
      <c r="AD1807" s="34"/>
    </row>
    <row r="1808" spans="3:30" ht="16" x14ac:dyDescent="0.2">
      <c r="C1808" s="176">
        <f t="shared" si="555"/>
        <v>1805</v>
      </c>
      <c r="D1808" s="454"/>
      <c r="E1808" s="37"/>
      <c r="F1808" s="65"/>
      <c r="G1808" s="11" t="str">
        <f ca="1">IF(AND(E1808&lt;&gt;"",E1808&lt;TODAY()),"Disponible",IFERROR(INDEX(Vehiculos[Estado Vehiculo],MATCH(F1808,Vehiculos[Placa Vehiculo],0)),""))</f>
        <v/>
      </c>
      <c r="H1808" s="34"/>
      <c r="I1808" s="34"/>
      <c r="J1808" s="34"/>
      <c r="K1808" s="39"/>
      <c r="L1808" s="39"/>
      <c r="M1808" s="15">
        <f t="shared" si="550"/>
        <v>0</v>
      </c>
      <c r="N1808" s="15"/>
      <c r="O1808" s="39"/>
      <c r="P1808" s="36"/>
      <c r="Q1808" s="16">
        <f t="shared" si="551"/>
        <v>0</v>
      </c>
      <c r="R1808" s="34"/>
      <c r="S1808" s="34"/>
      <c r="T1808" s="36"/>
      <c r="U1808" s="36"/>
      <c r="V1808" s="36"/>
      <c r="W1808" s="36"/>
      <c r="X1808" s="36"/>
      <c r="Y1808" s="145">
        <f t="shared" si="552"/>
        <v>0</v>
      </c>
      <c r="Z1808" s="567"/>
      <c r="AA1808" s="12"/>
      <c r="AB1808" s="12">
        <f t="shared" si="553"/>
        <v>0</v>
      </c>
      <c r="AC1808" s="12">
        <f t="shared" si="554"/>
        <v>0</v>
      </c>
      <c r="AD1808" s="34"/>
    </row>
    <row r="1809" spans="3:30" ht="16" x14ac:dyDescent="0.2">
      <c r="C1809" s="176">
        <f t="shared" si="555"/>
        <v>1806</v>
      </c>
      <c r="D1809" s="454"/>
      <c r="E1809" s="37"/>
      <c r="F1809" s="65"/>
      <c r="G1809" s="11" t="str">
        <f ca="1">IF(AND(E1809&lt;&gt;"",E1809&lt;TODAY()),"Disponible",IFERROR(INDEX(Vehiculos[Estado Vehiculo],MATCH(F1809,Vehiculos[Placa Vehiculo],0)),""))</f>
        <v/>
      </c>
      <c r="H1809" s="34"/>
      <c r="I1809" s="34"/>
      <c r="J1809" s="34"/>
      <c r="K1809" s="39"/>
      <c r="L1809" s="39"/>
      <c r="M1809" s="15">
        <f t="shared" si="550"/>
        <v>0</v>
      </c>
      <c r="N1809" s="15"/>
      <c r="O1809" s="39"/>
      <c r="P1809" s="36"/>
      <c r="Q1809" s="16">
        <f t="shared" si="551"/>
        <v>0</v>
      </c>
      <c r="R1809" s="34"/>
      <c r="S1809" s="34"/>
      <c r="T1809" s="36"/>
      <c r="U1809" s="36"/>
      <c r="V1809" s="36"/>
      <c r="W1809" s="36"/>
      <c r="X1809" s="36"/>
      <c r="Y1809" s="145">
        <f t="shared" si="552"/>
        <v>0</v>
      </c>
      <c r="Z1809" s="567"/>
      <c r="AA1809" s="12"/>
      <c r="AB1809" s="12">
        <f t="shared" si="553"/>
        <v>0</v>
      </c>
      <c r="AC1809" s="12">
        <f t="shared" si="554"/>
        <v>0</v>
      </c>
      <c r="AD1809" s="34"/>
    </row>
    <row r="1810" spans="3:30" ht="16" x14ac:dyDescent="0.2">
      <c r="C1810" s="176">
        <f t="shared" si="555"/>
        <v>1807</v>
      </c>
      <c r="D1810" s="454"/>
      <c r="E1810" s="37"/>
      <c r="F1810" s="65"/>
      <c r="G1810" s="11" t="str">
        <f ca="1">IF(AND(E1810&lt;&gt;"",E1810&lt;TODAY()),"Disponible",IFERROR(INDEX(Vehiculos[Estado Vehiculo],MATCH(F1810,Vehiculos[Placa Vehiculo],0)),""))</f>
        <v/>
      </c>
      <c r="H1810" s="34"/>
      <c r="I1810" s="34"/>
      <c r="J1810" s="34"/>
      <c r="K1810" s="39"/>
      <c r="L1810" s="39"/>
      <c r="M1810" s="15">
        <f t="shared" si="550"/>
        <v>0</v>
      </c>
      <c r="N1810" s="15"/>
      <c r="O1810" s="39"/>
      <c r="P1810" s="36"/>
      <c r="Q1810" s="16">
        <f t="shared" si="551"/>
        <v>0</v>
      </c>
      <c r="R1810" s="34"/>
      <c r="S1810" s="34"/>
      <c r="T1810" s="36"/>
      <c r="U1810" s="36"/>
      <c r="V1810" s="36"/>
      <c r="W1810" s="36"/>
      <c r="X1810" s="36"/>
      <c r="Y1810" s="145">
        <f t="shared" si="552"/>
        <v>0</v>
      </c>
      <c r="Z1810" s="567"/>
      <c r="AA1810" s="12"/>
      <c r="AB1810" s="12">
        <f t="shared" si="553"/>
        <v>0</v>
      </c>
      <c r="AC1810" s="12">
        <f t="shared" si="554"/>
        <v>0</v>
      </c>
      <c r="AD1810" s="34"/>
    </row>
    <row r="1811" spans="3:30" ht="16" x14ac:dyDescent="0.2">
      <c r="C1811" s="176">
        <f t="shared" si="555"/>
        <v>1808</v>
      </c>
      <c r="D1811" s="454"/>
      <c r="E1811" s="37"/>
      <c r="F1811" s="65"/>
      <c r="G1811" s="11" t="str">
        <f ca="1">IF(AND(E1811&lt;&gt;"",E1811&lt;TODAY()),"Disponible",IFERROR(INDEX(Vehiculos[Estado Vehiculo],MATCH(F1811,Vehiculos[Placa Vehiculo],0)),""))</f>
        <v/>
      </c>
      <c r="H1811" s="34"/>
      <c r="I1811" s="34"/>
      <c r="J1811" s="34"/>
      <c r="K1811" s="39"/>
      <c r="L1811" s="39"/>
      <c r="M1811" s="15">
        <f t="shared" si="550"/>
        <v>0</v>
      </c>
      <c r="N1811" s="15"/>
      <c r="O1811" s="39"/>
      <c r="P1811" s="36"/>
      <c r="Q1811" s="16">
        <f t="shared" si="551"/>
        <v>0</v>
      </c>
      <c r="R1811" s="34"/>
      <c r="S1811" s="34"/>
      <c r="T1811" s="36"/>
      <c r="U1811" s="36"/>
      <c r="V1811" s="36"/>
      <c r="W1811" s="36"/>
      <c r="X1811" s="36"/>
      <c r="Y1811" s="145">
        <f t="shared" si="552"/>
        <v>0</v>
      </c>
      <c r="Z1811" s="567"/>
      <c r="AA1811" s="12"/>
      <c r="AB1811" s="12">
        <f t="shared" si="553"/>
        <v>0</v>
      </c>
      <c r="AC1811" s="12">
        <f t="shared" si="554"/>
        <v>0</v>
      </c>
      <c r="AD1811" s="34"/>
    </row>
    <row r="1812" spans="3:30" ht="16" x14ac:dyDescent="0.2">
      <c r="C1812" s="176">
        <f t="shared" si="555"/>
        <v>1809</v>
      </c>
      <c r="D1812" s="454"/>
      <c r="E1812" s="37"/>
      <c r="F1812" s="65"/>
      <c r="G1812" s="11" t="str">
        <f ca="1">IF(AND(E1812&lt;&gt;"",E1812&lt;TODAY()),"Disponible",IFERROR(INDEX(Vehiculos[Estado Vehiculo],MATCH(F1812,Vehiculos[Placa Vehiculo],0)),""))</f>
        <v/>
      </c>
      <c r="H1812" s="34"/>
      <c r="I1812" s="34"/>
      <c r="J1812" s="34"/>
      <c r="K1812" s="39"/>
      <c r="L1812" s="39"/>
      <c r="M1812" s="15">
        <f t="shared" si="550"/>
        <v>0</v>
      </c>
      <c r="N1812" s="15"/>
      <c r="O1812" s="39"/>
      <c r="P1812" s="36"/>
      <c r="Q1812" s="16">
        <f t="shared" si="551"/>
        <v>0</v>
      </c>
      <c r="R1812" s="34"/>
      <c r="S1812" s="34"/>
      <c r="T1812" s="36"/>
      <c r="U1812" s="36"/>
      <c r="V1812" s="36"/>
      <c r="W1812" s="36"/>
      <c r="X1812" s="36"/>
      <c r="Y1812" s="145">
        <f t="shared" si="552"/>
        <v>0</v>
      </c>
      <c r="Z1812" s="567"/>
      <c r="AA1812" s="12"/>
      <c r="AB1812" s="12">
        <f t="shared" si="553"/>
        <v>0</v>
      </c>
      <c r="AC1812" s="12">
        <f t="shared" si="554"/>
        <v>0</v>
      </c>
      <c r="AD1812" s="34"/>
    </row>
    <row r="1813" spans="3:30" ht="16" x14ac:dyDescent="0.2">
      <c r="C1813" s="176">
        <f t="shared" si="555"/>
        <v>1810</v>
      </c>
      <c r="D1813" s="454"/>
      <c r="E1813" s="37"/>
      <c r="F1813" s="65"/>
      <c r="G1813" s="11" t="str">
        <f ca="1">IF(AND(E1813&lt;&gt;"",E1813&lt;TODAY()),"Disponible",IFERROR(INDEX(Vehiculos[Estado Vehiculo],MATCH(F1813,Vehiculos[Placa Vehiculo],0)),""))</f>
        <v/>
      </c>
      <c r="H1813" s="34"/>
      <c r="I1813" s="34"/>
      <c r="J1813" s="34"/>
      <c r="K1813" s="39"/>
      <c r="L1813" s="39"/>
      <c r="M1813" s="15">
        <f t="shared" si="550"/>
        <v>0</v>
      </c>
      <c r="N1813" s="15"/>
      <c r="O1813" s="39"/>
      <c r="P1813" s="36"/>
      <c r="Q1813" s="16">
        <f t="shared" si="551"/>
        <v>0</v>
      </c>
      <c r="R1813" s="34"/>
      <c r="S1813" s="34"/>
      <c r="T1813" s="36"/>
      <c r="U1813" s="36"/>
      <c r="V1813" s="36"/>
      <c r="W1813" s="36"/>
      <c r="X1813" s="36"/>
      <c r="Y1813" s="145">
        <f t="shared" si="552"/>
        <v>0</v>
      </c>
      <c r="Z1813" s="567"/>
      <c r="AA1813" s="12"/>
      <c r="AB1813" s="12">
        <f t="shared" si="553"/>
        <v>0</v>
      </c>
      <c r="AC1813" s="12">
        <f t="shared" si="554"/>
        <v>0</v>
      </c>
      <c r="AD1813" s="34"/>
    </row>
    <row r="1814" spans="3:30" ht="16" x14ac:dyDescent="0.2">
      <c r="C1814" s="176">
        <f t="shared" si="555"/>
        <v>1811</v>
      </c>
      <c r="D1814" s="454"/>
      <c r="E1814" s="37"/>
      <c r="F1814" s="65"/>
      <c r="G1814" s="11" t="str">
        <f ca="1">IF(AND(E1814&lt;&gt;"",E1814&lt;TODAY()),"Disponible",IFERROR(INDEX(Vehiculos[Estado Vehiculo],MATCH(F1814,Vehiculos[Placa Vehiculo],0)),""))</f>
        <v/>
      </c>
      <c r="H1814" s="34"/>
      <c r="I1814" s="34"/>
      <c r="J1814" s="34"/>
      <c r="K1814" s="39"/>
      <c r="L1814" s="39"/>
      <c r="M1814" s="15">
        <f t="shared" si="550"/>
        <v>0</v>
      </c>
      <c r="N1814" s="15"/>
      <c r="O1814" s="39"/>
      <c r="P1814" s="36"/>
      <c r="Q1814" s="16">
        <f t="shared" si="551"/>
        <v>0</v>
      </c>
      <c r="R1814" s="34"/>
      <c r="S1814" s="34"/>
      <c r="T1814" s="36"/>
      <c r="U1814" s="36"/>
      <c r="V1814" s="36"/>
      <c r="W1814" s="36"/>
      <c r="X1814" s="36"/>
      <c r="Y1814" s="145">
        <f t="shared" si="552"/>
        <v>0</v>
      </c>
      <c r="Z1814" s="567"/>
      <c r="AA1814" s="12"/>
      <c r="AB1814" s="12">
        <f t="shared" si="553"/>
        <v>0</v>
      </c>
      <c r="AC1814" s="12">
        <f t="shared" si="554"/>
        <v>0</v>
      </c>
      <c r="AD1814" s="34"/>
    </row>
    <row r="1815" spans="3:30" ht="16" x14ac:dyDescent="0.2">
      <c r="C1815" s="176">
        <f t="shared" si="555"/>
        <v>1812</v>
      </c>
      <c r="D1815" s="454"/>
      <c r="E1815" s="37"/>
      <c r="F1815" s="65"/>
      <c r="G1815" s="11" t="str">
        <f ca="1">IF(AND(E1815&lt;&gt;"",E1815&lt;TODAY()),"Disponible",IFERROR(INDEX(Vehiculos[Estado Vehiculo],MATCH(F1815,Vehiculos[Placa Vehiculo],0)),""))</f>
        <v/>
      </c>
      <c r="H1815" s="34"/>
      <c r="I1815" s="34"/>
      <c r="J1815" s="34"/>
      <c r="K1815" s="39"/>
      <c r="L1815" s="39"/>
      <c r="M1815" s="15">
        <f t="shared" si="550"/>
        <v>0</v>
      </c>
      <c r="N1815" s="15"/>
      <c r="O1815" s="39"/>
      <c r="P1815" s="36"/>
      <c r="Q1815" s="16">
        <f t="shared" si="551"/>
        <v>0</v>
      </c>
      <c r="R1815" s="34"/>
      <c r="S1815" s="34"/>
      <c r="T1815" s="36"/>
      <c r="U1815" s="36"/>
      <c r="V1815" s="36"/>
      <c r="W1815" s="36"/>
      <c r="X1815" s="36"/>
      <c r="Y1815" s="145">
        <f t="shared" si="552"/>
        <v>0</v>
      </c>
      <c r="Z1815" s="567"/>
      <c r="AA1815" s="12"/>
      <c r="AB1815" s="12">
        <f t="shared" si="553"/>
        <v>0</v>
      </c>
      <c r="AC1815" s="12">
        <f t="shared" si="554"/>
        <v>0</v>
      </c>
      <c r="AD1815" s="34"/>
    </row>
    <row r="1816" spans="3:30" ht="16" x14ac:dyDescent="0.2">
      <c r="C1816" s="176">
        <f t="shared" si="555"/>
        <v>1813</v>
      </c>
      <c r="D1816" s="454"/>
      <c r="E1816" s="37"/>
      <c r="F1816" s="65"/>
      <c r="G1816" s="11" t="str">
        <f ca="1">IF(AND(E1816&lt;&gt;"",E1816&lt;TODAY()),"Disponible",IFERROR(INDEX(Vehiculos[Estado Vehiculo],MATCH(F1816,Vehiculos[Placa Vehiculo],0)),""))</f>
        <v/>
      </c>
      <c r="H1816" s="34"/>
      <c r="I1816" s="34"/>
      <c r="J1816" s="34"/>
      <c r="K1816" s="39"/>
      <c r="L1816" s="39"/>
      <c r="M1816" s="15">
        <f t="shared" si="550"/>
        <v>0</v>
      </c>
      <c r="N1816" s="15"/>
      <c r="O1816" s="39"/>
      <c r="P1816" s="36"/>
      <c r="Q1816" s="16">
        <f t="shared" si="551"/>
        <v>0</v>
      </c>
      <c r="R1816" s="34"/>
      <c r="S1816" s="34"/>
      <c r="T1816" s="36"/>
      <c r="U1816" s="36"/>
      <c r="V1816" s="36"/>
      <c r="W1816" s="36"/>
      <c r="X1816" s="36"/>
      <c r="Y1816" s="145">
        <f t="shared" si="552"/>
        <v>0</v>
      </c>
      <c r="Z1816" s="567"/>
      <c r="AA1816" s="12"/>
      <c r="AB1816" s="12">
        <f t="shared" si="553"/>
        <v>0</v>
      </c>
      <c r="AC1816" s="12">
        <f t="shared" si="554"/>
        <v>0</v>
      </c>
      <c r="AD1816" s="34"/>
    </row>
    <row r="1817" spans="3:30" ht="16" x14ac:dyDescent="0.2">
      <c r="C1817" s="10">
        <f t="shared" ref="C1817:C1850" si="556">ROW(A1814)</f>
        <v>1814</v>
      </c>
      <c r="D1817" s="454"/>
      <c r="E1817" s="37"/>
      <c r="F1817" s="65"/>
      <c r="G1817" s="11" t="str">
        <f ca="1">IF(AND(E1817&lt;&gt;"",E1817&lt;TODAY()),"Disponible",IFERROR(INDEX(Vehiculos[Estado Vehiculo],MATCH(F1817,Vehiculos[Placa Vehiculo],0)),""))</f>
        <v/>
      </c>
      <c r="H1817" s="34"/>
      <c r="I1817" s="34"/>
      <c r="J1817" s="34"/>
      <c r="K1817" s="39"/>
      <c r="L1817" s="39"/>
      <c r="M1817" s="15">
        <f t="shared" si="550"/>
        <v>0</v>
      </c>
      <c r="N1817" s="15"/>
      <c r="O1817" s="39"/>
      <c r="P1817" s="36"/>
      <c r="Q1817" s="16">
        <f t="shared" si="551"/>
        <v>0</v>
      </c>
      <c r="R1817" s="34"/>
      <c r="S1817" s="34"/>
      <c r="T1817" s="36"/>
      <c r="U1817" s="36"/>
      <c r="V1817" s="36"/>
      <c r="W1817" s="36"/>
      <c r="X1817" s="36"/>
      <c r="Y1817" s="145">
        <f t="shared" si="552"/>
        <v>0</v>
      </c>
      <c r="Z1817" s="567"/>
      <c r="AA1817" s="12"/>
      <c r="AB1817" s="12">
        <f t="shared" si="553"/>
        <v>0</v>
      </c>
      <c r="AC1817" s="12">
        <f t="shared" si="554"/>
        <v>0</v>
      </c>
      <c r="AD1817" s="34"/>
    </row>
    <row r="1818" spans="3:30" ht="16" x14ac:dyDescent="0.2">
      <c r="C1818" s="10">
        <f t="shared" si="556"/>
        <v>1815</v>
      </c>
      <c r="D1818" s="454"/>
      <c r="E1818" s="37"/>
      <c r="F1818" s="65"/>
      <c r="G1818" s="11" t="str">
        <f ca="1">IF(AND(E1818&lt;&gt;"",E1818&lt;TODAY()),"Disponible",IFERROR(INDEX(Vehiculos[Estado Vehiculo],MATCH(F1818,Vehiculos[Placa Vehiculo],0)),""))</f>
        <v/>
      </c>
      <c r="H1818" s="34"/>
      <c r="I1818" s="34"/>
      <c r="J1818" s="34"/>
      <c r="K1818" s="39"/>
      <c r="L1818" s="39"/>
      <c r="M1818" s="15">
        <f t="shared" si="550"/>
        <v>0</v>
      </c>
      <c r="N1818" s="15"/>
      <c r="O1818" s="39"/>
      <c r="P1818" s="36"/>
      <c r="Q1818" s="16">
        <f t="shared" si="551"/>
        <v>0</v>
      </c>
      <c r="R1818" s="34"/>
      <c r="S1818" s="34"/>
      <c r="T1818" s="36"/>
      <c r="U1818" s="36"/>
      <c r="V1818" s="36"/>
      <c r="W1818" s="36"/>
      <c r="X1818" s="36"/>
      <c r="Y1818" s="145">
        <f t="shared" si="552"/>
        <v>0</v>
      </c>
      <c r="Z1818" s="567"/>
      <c r="AA1818" s="12"/>
      <c r="AB1818" s="12">
        <f t="shared" si="553"/>
        <v>0</v>
      </c>
      <c r="AC1818" s="12">
        <f t="shared" si="554"/>
        <v>0</v>
      </c>
      <c r="AD1818" s="34"/>
    </row>
    <row r="1819" spans="3:30" ht="16" x14ac:dyDescent="0.2">
      <c r="C1819" s="10">
        <f t="shared" si="556"/>
        <v>1816</v>
      </c>
      <c r="D1819" s="454"/>
      <c r="E1819" s="37"/>
      <c r="F1819" s="65"/>
      <c r="G1819" s="11" t="str">
        <f ca="1">IF(AND(E1819&lt;&gt;"",E1819&lt;TODAY()),"Disponible",IFERROR(INDEX(Vehiculos[Estado Vehiculo],MATCH(F1819,Vehiculos[Placa Vehiculo],0)),""))</f>
        <v/>
      </c>
      <c r="H1819" s="34"/>
      <c r="I1819" s="34"/>
      <c r="J1819" s="34"/>
      <c r="K1819" s="39"/>
      <c r="L1819" s="39"/>
      <c r="M1819" s="15">
        <f t="shared" si="550"/>
        <v>0</v>
      </c>
      <c r="N1819" s="15"/>
      <c r="O1819" s="39"/>
      <c r="P1819" s="36"/>
      <c r="Q1819" s="16">
        <f t="shared" si="551"/>
        <v>0</v>
      </c>
      <c r="R1819" s="34"/>
      <c r="S1819" s="34"/>
      <c r="T1819" s="36"/>
      <c r="U1819" s="36"/>
      <c r="V1819" s="36"/>
      <c r="W1819" s="36"/>
      <c r="X1819" s="36"/>
      <c r="Y1819" s="145">
        <f t="shared" si="552"/>
        <v>0</v>
      </c>
      <c r="Z1819" s="567"/>
      <c r="AA1819" s="12"/>
      <c r="AB1819" s="12">
        <f t="shared" si="553"/>
        <v>0</v>
      </c>
      <c r="AC1819" s="12">
        <f t="shared" si="554"/>
        <v>0</v>
      </c>
      <c r="AD1819" s="34"/>
    </row>
    <row r="1820" spans="3:30" ht="16" x14ac:dyDescent="0.2">
      <c r="C1820" s="10">
        <f t="shared" si="556"/>
        <v>1817</v>
      </c>
      <c r="D1820" s="454"/>
      <c r="E1820" s="37"/>
      <c r="F1820" s="65"/>
      <c r="G1820" s="11" t="str">
        <f ca="1">IF(AND(E1820&lt;&gt;"",E1820&lt;TODAY()),"Disponible",IFERROR(INDEX(Vehiculos[Estado Vehiculo],MATCH(F1820,Vehiculos[Placa Vehiculo],0)),""))</f>
        <v/>
      </c>
      <c r="H1820" s="34"/>
      <c r="I1820" s="34"/>
      <c r="J1820" s="34"/>
      <c r="K1820" s="39"/>
      <c r="L1820" s="39"/>
      <c r="M1820" s="15">
        <f t="shared" si="550"/>
        <v>0</v>
      </c>
      <c r="N1820" s="15"/>
      <c r="O1820" s="39"/>
      <c r="P1820" s="36"/>
      <c r="Q1820" s="16">
        <f t="shared" si="551"/>
        <v>0</v>
      </c>
      <c r="R1820" s="34"/>
      <c r="S1820" s="34"/>
      <c r="T1820" s="36"/>
      <c r="U1820" s="36"/>
      <c r="V1820" s="36"/>
      <c r="W1820" s="36"/>
      <c r="X1820" s="36"/>
      <c r="Y1820" s="145">
        <f t="shared" si="552"/>
        <v>0</v>
      </c>
      <c r="Z1820" s="567"/>
      <c r="AA1820" s="12"/>
      <c r="AB1820" s="12">
        <f t="shared" si="553"/>
        <v>0</v>
      </c>
      <c r="AC1820" s="12">
        <f t="shared" si="554"/>
        <v>0</v>
      </c>
      <c r="AD1820" s="34"/>
    </row>
    <row r="1821" spans="3:30" ht="16" x14ac:dyDescent="0.2">
      <c r="C1821" s="10">
        <f t="shared" si="556"/>
        <v>1818</v>
      </c>
      <c r="D1821" s="454"/>
      <c r="E1821" s="37"/>
      <c r="F1821" s="65"/>
      <c r="G1821" s="11" t="str">
        <f ca="1">IF(AND(E1821&lt;&gt;"",E1821&lt;TODAY()),"Disponible",IFERROR(INDEX(Vehiculos[Estado Vehiculo],MATCH(F1821,Vehiculos[Placa Vehiculo],0)),""))</f>
        <v/>
      </c>
      <c r="H1821" s="34"/>
      <c r="I1821" s="34"/>
      <c r="J1821" s="34"/>
      <c r="K1821" s="39"/>
      <c r="L1821" s="39"/>
      <c r="M1821" s="15">
        <f t="shared" si="550"/>
        <v>0</v>
      </c>
      <c r="N1821" s="15"/>
      <c r="O1821" s="39"/>
      <c r="P1821" s="36"/>
      <c r="Q1821" s="16">
        <f t="shared" si="551"/>
        <v>0</v>
      </c>
      <c r="R1821" s="34"/>
      <c r="S1821" s="34"/>
      <c r="T1821" s="36"/>
      <c r="U1821" s="36"/>
      <c r="V1821" s="36"/>
      <c r="W1821" s="36"/>
      <c r="X1821" s="36"/>
      <c r="Y1821" s="145">
        <f t="shared" si="552"/>
        <v>0</v>
      </c>
      <c r="Z1821" s="567"/>
      <c r="AA1821" s="12"/>
      <c r="AB1821" s="12">
        <f t="shared" si="553"/>
        <v>0</v>
      </c>
      <c r="AC1821" s="12">
        <f t="shared" si="554"/>
        <v>0</v>
      </c>
      <c r="AD1821" s="34"/>
    </row>
    <row r="1822" spans="3:30" ht="16" x14ac:dyDescent="0.2">
      <c r="C1822" s="10">
        <f t="shared" si="556"/>
        <v>1819</v>
      </c>
      <c r="D1822" s="454"/>
      <c r="E1822" s="37"/>
      <c r="F1822" s="65"/>
      <c r="G1822" s="11" t="str">
        <f ca="1">IF(AND(E1822&lt;&gt;"",E1822&lt;TODAY()),"Disponible",IFERROR(INDEX(Vehiculos[Estado Vehiculo],MATCH(F1822,Vehiculos[Placa Vehiculo],0)),""))</f>
        <v/>
      </c>
      <c r="H1822" s="34"/>
      <c r="I1822" s="34"/>
      <c r="J1822" s="34"/>
      <c r="K1822" s="39"/>
      <c r="L1822" s="39"/>
      <c r="M1822" s="15">
        <f t="shared" si="550"/>
        <v>0</v>
      </c>
      <c r="N1822" s="15"/>
      <c r="O1822" s="39"/>
      <c r="P1822" s="36"/>
      <c r="Q1822" s="16">
        <f t="shared" si="551"/>
        <v>0</v>
      </c>
      <c r="R1822" s="34"/>
      <c r="S1822" s="34"/>
      <c r="T1822" s="36"/>
      <c r="U1822" s="36"/>
      <c r="V1822" s="36"/>
      <c r="W1822" s="36"/>
      <c r="X1822" s="36"/>
      <c r="Y1822" s="145">
        <f t="shared" si="552"/>
        <v>0</v>
      </c>
      <c r="Z1822" s="567"/>
      <c r="AA1822" s="12"/>
      <c r="AB1822" s="12">
        <f t="shared" si="553"/>
        <v>0</v>
      </c>
      <c r="AC1822" s="12">
        <f t="shared" si="554"/>
        <v>0</v>
      </c>
      <c r="AD1822" s="34"/>
    </row>
    <row r="1823" spans="3:30" ht="16" x14ac:dyDescent="0.2">
      <c r="C1823" s="10">
        <f t="shared" si="556"/>
        <v>1820</v>
      </c>
      <c r="D1823" s="454"/>
      <c r="E1823" s="37"/>
      <c r="F1823" s="65"/>
      <c r="G1823" s="11" t="str">
        <f ca="1">IF(AND(E1823&lt;&gt;"",E1823&lt;TODAY()),"Disponible",IFERROR(INDEX(Vehiculos[Estado Vehiculo],MATCH(F1823,Vehiculos[Placa Vehiculo],0)),""))</f>
        <v/>
      </c>
      <c r="H1823" s="34"/>
      <c r="I1823" s="34"/>
      <c r="J1823" s="34"/>
      <c r="K1823" s="39"/>
      <c r="L1823" s="39"/>
      <c r="M1823" s="15">
        <f t="shared" si="550"/>
        <v>0</v>
      </c>
      <c r="N1823" s="15"/>
      <c r="O1823" s="39"/>
      <c r="P1823" s="36"/>
      <c r="Q1823" s="16">
        <f t="shared" si="551"/>
        <v>0</v>
      </c>
      <c r="R1823" s="34"/>
      <c r="S1823" s="34"/>
      <c r="T1823" s="36"/>
      <c r="U1823" s="36"/>
      <c r="V1823" s="36"/>
      <c r="W1823" s="36"/>
      <c r="X1823" s="36"/>
      <c r="Y1823" s="145">
        <f t="shared" si="552"/>
        <v>0</v>
      </c>
      <c r="Z1823" s="567"/>
      <c r="AA1823" s="12"/>
      <c r="AB1823" s="12">
        <f t="shared" si="553"/>
        <v>0</v>
      </c>
      <c r="AC1823" s="12">
        <f t="shared" si="554"/>
        <v>0</v>
      </c>
      <c r="AD1823" s="34"/>
    </row>
    <row r="1824" spans="3:30" ht="16" x14ac:dyDescent="0.2">
      <c r="C1824" s="10">
        <f t="shared" si="556"/>
        <v>1821</v>
      </c>
      <c r="D1824" s="454"/>
      <c r="E1824" s="37"/>
      <c r="F1824" s="65"/>
      <c r="G1824" s="11" t="str">
        <f ca="1">IF(AND(E1824&lt;&gt;"",E1824&lt;TODAY()),"Disponible",IFERROR(INDEX(Vehiculos[Estado Vehiculo],MATCH(F1824,Vehiculos[Placa Vehiculo],0)),""))</f>
        <v/>
      </c>
      <c r="H1824" s="34"/>
      <c r="I1824" s="34"/>
      <c r="J1824" s="34"/>
      <c r="K1824" s="39"/>
      <c r="L1824" s="39"/>
      <c r="M1824" s="15">
        <f t="shared" si="550"/>
        <v>0</v>
      </c>
      <c r="N1824" s="15"/>
      <c r="O1824" s="39"/>
      <c r="P1824" s="36"/>
      <c r="Q1824" s="16">
        <f t="shared" si="551"/>
        <v>0</v>
      </c>
      <c r="R1824" s="34"/>
      <c r="S1824" s="34"/>
      <c r="T1824" s="36"/>
      <c r="U1824" s="36"/>
      <c r="V1824" s="36"/>
      <c r="W1824" s="36"/>
      <c r="X1824" s="36"/>
      <c r="Y1824" s="145">
        <f t="shared" si="552"/>
        <v>0</v>
      </c>
      <c r="Z1824" s="567"/>
      <c r="AA1824" s="12"/>
      <c r="AB1824" s="12">
        <f t="shared" si="553"/>
        <v>0</v>
      </c>
      <c r="AC1824" s="12">
        <f t="shared" si="554"/>
        <v>0</v>
      </c>
      <c r="AD1824" s="34"/>
    </row>
    <row r="1825" spans="3:30" ht="16" x14ac:dyDescent="0.2">
      <c r="C1825" s="10">
        <f t="shared" si="556"/>
        <v>1822</v>
      </c>
      <c r="D1825" s="454"/>
      <c r="E1825" s="37"/>
      <c r="F1825" s="65"/>
      <c r="G1825" s="11" t="str">
        <f ca="1">IF(AND(E1825&lt;&gt;"",E1825&lt;TODAY()),"Disponible",IFERROR(INDEX(Vehiculos[Estado Vehiculo],MATCH(F1825,Vehiculos[Placa Vehiculo],0)),""))</f>
        <v/>
      </c>
      <c r="H1825" s="34"/>
      <c r="I1825" s="34"/>
      <c r="J1825" s="34"/>
      <c r="K1825" s="39"/>
      <c r="L1825" s="39"/>
      <c r="M1825" s="15">
        <f t="shared" si="550"/>
        <v>0</v>
      </c>
      <c r="N1825" s="15"/>
      <c r="O1825" s="39"/>
      <c r="P1825" s="36"/>
      <c r="Q1825" s="16">
        <f t="shared" si="551"/>
        <v>0</v>
      </c>
      <c r="R1825" s="34"/>
      <c r="S1825" s="34"/>
      <c r="T1825" s="36"/>
      <c r="U1825" s="36"/>
      <c r="V1825" s="36"/>
      <c r="W1825" s="36"/>
      <c r="X1825" s="36"/>
      <c r="Y1825" s="145">
        <f t="shared" si="552"/>
        <v>0</v>
      </c>
      <c r="Z1825" s="567"/>
      <c r="AA1825" s="12"/>
      <c r="AB1825" s="12">
        <f t="shared" si="553"/>
        <v>0</v>
      </c>
      <c r="AC1825" s="12">
        <f t="shared" si="554"/>
        <v>0</v>
      </c>
      <c r="AD1825" s="34"/>
    </row>
    <row r="1826" spans="3:30" ht="16" x14ac:dyDescent="0.2">
      <c r="C1826" s="10">
        <f t="shared" si="556"/>
        <v>1823</v>
      </c>
      <c r="D1826" s="454"/>
      <c r="E1826" s="37"/>
      <c r="F1826" s="65"/>
      <c r="G1826" s="11" t="str">
        <f ca="1">IF(AND(E1826&lt;&gt;"",E1826&lt;TODAY()),"Disponible",IFERROR(INDEX(Vehiculos[Estado Vehiculo],MATCH(F1826,Vehiculos[Placa Vehiculo],0)),""))</f>
        <v/>
      </c>
      <c r="H1826" s="34"/>
      <c r="I1826" s="34"/>
      <c r="J1826" s="34"/>
      <c r="K1826" s="39"/>
      <c r="L1826" s="39"/>
      <c r="M1826" s="15">
        <f t="shared" si="550"/>
        <v>0</v>
      </c>
      <c r="N1826" s="15"/>
      <c r="O1826" s="39"/>
      <c r="P1826" s="36"/>
      <c r="Q1826" s="16">
        <f t="shared" si="551"/>
        <v>0</v>
      </c>
      <c r="R1826" s="34"/>
      <c r="S1826" s="34"/>
      <c r="T1826" s="36"/>
      <c r="U1826" s="36"/>
      <c r="V1826" s="36"/>
      <c r="W1826" s="36"/>
      <c r="X1826" s="36"/>
      <c r="Y1826" s="145">
        <f t="shared" si="552"/>
        <v>0</v>
      </c>
      <c r="Z1826" s="567"/>
      <c r="AA1826" s="12"/>
      <c r="AB1826" s="12">
        <f t="shared" si="553"/>
        <v>0</v>
      </c>
      <c r="AC1826" s="12">
        <f t="shared" si="554"/>
        <v>0</v>
      </c>
      <c r="AD1826" s="34"/>
    </row>
    <row r="1827" spans="3:30" ht="16" x14ac:dyDescent="0.2">
      <c r="C1827" s="10">
        <f t="shared" si="556"/>
        <v>1824</v>
      </c>
      <c r="D1827" s="454"/>
      <c r="E1827" s="37"/>
      <c r="F1827" s="65"/>
      <c r="G1827" s="11" t="str">
        <f ca="1">IF(AND(E1827&lt;&gt;"",E1827&lt;TODAY()),"Disponible",IFERROR(INDEX(Vehiculos[Estado Vehiculo],MATCH(F1827,Vehiculos[Placa Vehiculo],0)),""))</f>
        <v/>
      </c>
      <c r="H1827" s="34"/>
      <c r="I1827" s="34"/>
      <c r="J1827" s="34"/>
      <c r="K1827" s="39"/>
      <c r="L1827" s="39"/>
      <c r="M1827" s="15">
        <f t="shared" si="550"/>
        <v>0</v>
      </c>
      <c r="N1827" s="15"/>
      <c r="O1827" s="39"/>
      <c r="P1827" s="36"/>
      <c r="Q1827" s="16">
        <f t="shared" si="551"/>
        <v>0</v>
      </c>
      <c r="R1827" s="34"/>
      <c r="S1827" s="34"/>
      <c r="T1827" s="36"/>
      <c r="U1827" s="36"/>
      <c r="V1827" s="36"/>
      <c r="W1827" s="36"/>
      <c r="X1827" s="36"/>
      <c r="Y1827" s="145">
        <f t="shared" si="552"/>
        <v>0</v>
      </c>
      <c r="Z1827" s="567"/>
      <c r="AA1827" s="12"/>
      <c r="AB1827" s="12">
        <f t="shared" si="553"/>
        <v>0</v>
      </c>
      <c r="AC1827" s="12">
        <f t="shared" si="554"/>
        <v>0</v>
      </c>
      <c r="AD1827" s="34"/>
    </row>
    <row r="1828" spans="3:30" ht="16" x14ac:dyDescent="0.2">
      <c r="C1828" s="10">
        <f t="shared" si="556"/>
        <v>1825</v>
      </c>
      <c r="D1828" s="454"/>
      <c r="E1828" s="37"/>
      <c r="F1828" s="65"/>
      <c r="G1828" s="11" t="str">
        <f ca="1">IF(AND(E1828&lt;&gt;"",E1828&lt;TODAY()),"Disponible",IFERROR(INDEX(Vehiculos[Estado Vehiculo],MATCH(F1828,Vehiculos[Placa Vehiculo],0)),""))</f>
        <v/>
      </c>
      <c r="H1828" s="34"/>
      <c r="I1828" s="34"/>
      <c r="J1828" s="34"/>
      <c r="K1828" s="39"/>
      <c r="L1828" s="39"/>
      <c r="M1828" s="15">
        <f t="shared" si="550"/>
        <v>0</v>
      </c>
      <c r="N1828" s="15"/>
      <c r="O1828" s="39"/>
      <c r="P1828" s="36"/>
      <c r="Q1828" s="16">
        <f t="shared" si="551"/>
        <v>0</v>
      </c>
      <c r="R1828" s="34"/>
      <c r="S1828" s="34"/>
      <c r="T1828" s="36"/>
      <c r="U1828" s="36"/>
      <c r="V1828" s="36"/>
      <c r="W1828" s="36"/>
      <c r="X1828" s="36"/>
      <c r="Y1828" s="145">
        <f t="shared" si="552"/>
        <v>0</v>
      </c>
      <c r="Z1828" s="567"/>
      <c r="AA1828" s="12"/>
      <c r="AB1828" s="12">
        <f t="shared" si="553"/>
        <v>0</v>
      </c>
      <c r="AC1828" s="12">
        <f t="shared" si="554"/>
        <v>0</v>
      </c>
      <c r="AD1828" s="34"/>
    </row>
    <row r="1829" spans="3:30" ht="16" x14ac:dyDescent="0.2">
      <c r="C1829" s="10">
        <f t="shared" si="556"/>
        <v>1826</v>
      </c>
      <c r="D1829" s="454"/>
      <c r="E1829" s="37"/>
      <c r="F1829" s="65"/>
      <c r="G1829" s="11" t="str">
        <f ca="1">IF(AND(E1829&lt;&gt;"",E1829&lt;TODAY()),"Disponible",IFERROR(INDEX(Vehiculos[Estado Vehiculo],MATCH(F1829,Vehiculos[Placa Vehiculo],0)),""))</f>
        <v/>
      </c>
      <c r="H1829" s="34"/>
      <c r="I1829" s="34"/>
      <c r="J1829" s="34"/>
      <c r="K1829" s="39"/>
      <c r="L1829" s="39"/>
      <c r="M1829" s="15">
        <f t="shared" si="550"/>
        <v>0</v>
      </c>
      <c r="N1829" s="15"/>
      <c r="O1829" s="39"/>
      <c r="P1829" s="36"/>
      <c r="Q1829" s="16">
        <f t="shared" si="551"/>
        <v>0</v>
      </c>
      <c r="R1829" s="34"/>
      <c r="S1829" s="34"/>
      <c r="T1829" s="36"/>
      <c r="U1829" s="36"/>
      <c r="V1829" s="36"/>
      <c r="W1829" s="36"/>
      <c r="X1829" s="36"/>
      <c r="Y1829" s="145">
        <f t="shared" si="552"/>
        <v>0</v>
      </c>
      <c r="Z1829" s="567"/>
      <c r="AA1829" s="12"/>
      <c r="AB1829" s="12">
        <f t="shared" si="553"/>
        <v>0</v>
      </c>
      <c r="AC1829" s="12">
        <f t="shared" si="554"/>
        <v>0</v>
      </c>
      <c r="AD1829" s="34"/>
    </row>
    <row r="1830" spans="3:30" ht="16" x14ac:dyDescent="0.2">
      <c r="C1830" s="10">
        <f t="shared" si="556"/>
        <v>1827</v>
      </c>
      <c r="D1830" s="454"/>
      <c r="E1830" s="37"/>
      <c r="F1830" s="65"/>
      <c r="G1830" s="11" t="str">
        <f ca="1">IF(AND(E1830&lt;&gt;"",E1830&lt;TODAY()),"Disponible",IFERROR(INDEX(Vehiculos[Estado Vehiculo],MATCH(F1830,Vehiculos[Placa Vehiculo],0)),""))</f>
        <v/>
      </c>
      <c r="H1830" s="34"/>
      <c r="I1830" s="34"/>
      <c r="J1830" s="34"/>
      <c r="K1830" s="39"/>
      <c r="L1830" s="39"/>
      <c r="M1830" s="15">
        <f t="shared" si="550"/>
        <v>0</v>
      </c>
      <c r="N1830" s="15"/>
      <c r="O1830" s="39"/>
      <c r="P1830" s="36"/>
      <c r="Q1830" s="16">
        <f t="shared" si="551"/>
        <v>0</v>
      </c>
      <c r="R1830" s="34"/>
      <c r="S1830" s="34"/>
      <c r="T1830" s="36"/>
      <c r="U1830" s="36"/>
      <c r="V1830" s="36"/>
      <c r="W1830" s="36"/>
      <c r="X1830" s="36"/>
      <c r="Y1830" s="145">
        <f t="shared" si="552"/>
        <v>0</v>
      </c>
      <c r="Z1830" s="567"/>
      <c r="AA1830" s="12"/>
      <c r="AB1830" s="12">
        <f t="shared" si="553"/>
        <v>0</v>
      </c>
      <c r="AC1830" s="12">
        <f t="shared" si="554"/>
        <v>0</v>
      </c>
      <c r="AD1830" s="34"/>
    </row>
    <row r="1831" spans="3:30" ht="16" x14ac:dyDescent="0.2">
      <c r="C1831" s="10">
        <f t="shared" si="556"/>
        <v>1828</v>
      </c>
      <c r="D1831" s="454"/>
      <c r="E1831" s="37"/>
      <c r="F1831" s="65"/>
      <c r="G1831" s="11" t="str">
        <f ca="1">IF(AND(E1831&lt;&gt;"",E1831&lt;TODAY()),"Disponible",IFERROR(INDEX(Vehiculos[Estado Vehiculo],MATCH(F1831,Vehiculos[Placa Vehiculo],0)),""))</f>
        <v/>
      </c>
      <c r="H1831" s="34"/>
      <c r="I1831" s="34"/>
      <c r="J1831" s="34"/>
      <c r="K1831" s="39"/>
      <c r="L1831" s="39"/>
      <c r="M1831" s="15">
        <f t="shared" si="550"/>
        <v>0</v>
      </c>
      <c r="N1831" s="15"/>
      <c r="O1831" s="39"/>
      <c r="P1831" s="36"/>
      <c r="Q1831" s="16">
        <f t="shared" si="551"/>
        <v>0</v>
      </c>
      <c r="R1831" s="34"/>
      <c r="S1831" s="34"/>
      <c r="T1831" s="36"/>
      <c r="U1831" s="36"/>
      <c r="V1831" s="36"/>
      <c r="W1831" s="36"/>
      <c r="X1831" s="36"/>
      <c r="Y1831" s="145">
        <f t="shared" si="552"/>
        <v>0</v>
      </c>
      <c r="Z1831" s="567"/>
      <c r="AA1831" s="12"/>
      <c r="AB1831" s="12">
        <f t="shared" si="553"/>
        <v>0</v>
      </c>
      <c r="AC1831" s="12">
        <f t="shared" si="554"/>
        <v>0</v>
      </c>
      <c r="AD1831" s="34"/>
    </row>
    <row r="1832" spans="3:30" ht="16" x14ac:dyDescent="0.2">
      <c r="C1832" s="10">
        <f t="shared" si="556"/>
        <v>1829</v>
      </c>
      <c r="D1832" s="454"/>
      <c r="E1832" s="37"/>
      <c r="F1832" s="65"/>
      <c r="G1832" s="11" t="str">
        <f ca="1">IF(AND(E1832&lt;&gt;"",E1832&lt;TODAY()),"Disponible",IFERROR(INDEX(Vehiculos[Estado Vehiculo],MATCH(F1832,Vehiculos[Placa Vehiculo],0)),""))</f>
        <v/>
      </c>
      <c r="H1832" s="34"/>
      <c r="I1832" s="34"/>
      <c r="J1832" s="34"/>
      <c r="K1832" s="39"/>
      <c r="L1832" s="39"/>
      <c r="M1832" s="15">
        <f t="shared" si="550"/>
        <v>0</v>
      </c>
      <c r="N1832" s="15"/>
      <c r="O1832" s="39"/>
      <c r="P1832" s="36"/>
      <c r="Q1832" s="16">
        <f t="shared" si="551"/>
        <v>0</v>
      </c>
      <c r="R1832" s="34"/>
      <c r="S1832" s="34"/>
      <c r="T1832" s="36"/>
      <c r="U1832" s="36"/>
      <c r="V1832" s="36"/>
      <c r="W1832" s="36"/>
      <c r="X1832" s="36"/>
      <c r="Y1832" s="145">
        <f t="shared" si="552"/>
        <v>0</v>
      </c>
      <c r="Z1832" s="567"/>
      <c r="AA1832" s="12"/>
      <c r="AB1832" s="12">
        <f t="shared" si="553"/>
        <v>0</v>
      </c>
      <c r="AC1832" s="12">
        <f t="shared" si="554"/>
        <v>0</v>
      </c>
      <c r="AD1832" s="34"/>
    </row>
    <row r="1833" spans="3:30" ht="16" x14ac:dyDescent="0.2">
      <c r="C1833" s="10">
        <f t="shared" si="556"/>
        <v>1830</v>
      </c>
      <c r="D1833" s="454"/>
      <c r="E1833" s="37"/>
      <c r="F1833" s="65"/>
      <c r="G1833" s="11" t="str">
        <f ca="1">IF(AND(E1833&lt;&gt;"",E1833&lt;TODAY()),"Disponible",IFERROR(INDEX(Vehiculos[Estado Vehiculo],MATCH(F1833,Vehiculos[Placa Vehiculo],0)),""))</f>
        <v/>
      </c>
      <c r="H1833" s="34"/>
      <c r="I1833" s="34"/>
      <c r="J1833" s="34"/>
      <c r="K1833" s="39"/>
      <c r="L1833" s="39"/>
      <c r="M1833" s="15">
        <f t="shared" si="550"/>
        <v>0</v>
      </c>
      <c r="N1833" s="15"/>
      <c r="O1833" s="39"/>
      <c r="P1833" s="36"/>
      <c r="Q1833" s="16">
        <f t="shared" si="551"/>
        <v>0</v>
      </c>
      <c r="R1833" s="34"/>
      <c r="S1833" s="34"/>
      <c r="T1833" s="36"/>
      <c r="U1833" s="36"/>
      <c r="V1833" s="36"/>
      <c r="W1833" s="36"/>
      <c r="X1833" s="36"/>
      <c r="Y1833" s="145">
        <f t="shared" si="552"/>
        <v>0</v>
      </c>
      <c r="Z1833" s="567"/>
      <c r="AA1833" s="12"/>
      <c r="AB1833" s="12">
        <f t="shared" si="553"/>
        <v>0</v>
      </c>
      <c r="AC1833" s="12">
        <f t="shared" si="554"/>
        <v>0</v>
      </c>
      <c r="AD1833" s="34"/>
    </row>
    <row r="1834" spans="3:30" ht="16" x14ac:dyDescent="0.2">
      <c r="C1834" s="10">
        <f t="shared" si="556"/>
        <v>1831</v>
      </c>
      <c r="D1834" s="454"/>
      <c r="E1834" s="37"/>
      <c r="F1834" s="65"/>
      <c r="G1834" s="11" t="str">
        <f ca="1">IF(AND(E1834&lt;&gt;"",E1834&lt;TODAY()),"Disponible",IFERROR(INDEX(Vehiculos[Estado Vehiculo],MATCH(F1834,Vehiculos[Placa Vehiculo],0)),""))</f>
        <v/>
      </c>
      <c r="H1834" s="34"/>
      <c r="I1834" s="34"/>
      <c r="J1834" s="34"/>
      <c r="K1834" s="39"/>
      <c r="L1834" s="39"/>
      <c r="M1834" s="15">
        <f t="shared" si="550"/>
        <v>0</v>
      </c>
      <c r="N1834" s="15"/>
      <c r="O1834" s="39"/>
      <c r="P1834" s="36"/>
      <c r="Q1834" s="16">
        <f t="shared" si="551"/>
        <v>0</v>
      </c>
      <c r="R1834" s="34"/>
      <c r="S1834" s="34"/>
      <c r="T1834" s="36"/>
      <c r="U1834" s="36"/>
      <c r="V1834" s="36"/>
      <c r="W1834" s="36"/>
      <c r="X1834" s="36"/>
      <c r="Y1834" s="145">
        <f t="shared" si="552"/>
        <v>0</v>
      </c>
      <c r="Z1834" s="567"/>
      <c r="AA1834" s="12"/>
      <c r="AB1834" s="12">
        <f t="shared" si="553"/>
        <v>0</v>
      </c>
      <c r="AC1834" s="12">
        <f t="shared" si="554"/>
        <v>0</v>
      </c>
      <c r="AD1834" s="34"/>
    </row>
    <row r="1835" spans="3:30" ht="16" x14ac:dyDescent="0.2">
      <c r="C1835" s="10">
        <f t="shared" si="556"/>
        <v>1832</v>
      </c>
      <c r="D1835" s="454"/>
      <c r="E1835" s="37"/>
      <c r="F1835" s="65"/>
      <c r="G1835" s="11" t="str">
        <f ca="1">IF(AND(E1835&lt;&gt;"",E1835&lt;TODAY()),"Disponible",IFERROR(INDEX(Vehiculos[Estado Vehiculo],MATCH(F1835,Vehiculos[Placa Vehiculo],0)),""))</f>
        <v/>
      </c>
      <c r="H1835" s="34"/>
      <c r="I1835" s="34"/>
      <c r="J1835" s="34"/>
      <c r="K1835" s="39"/>
      <c r="L1835" s="39"/>
      <c r="M1835" s="15">
        <f t="shared" si="550"/>
        <v>0</v>
      </c>
      <c r="N1835" s="15"/>
      <c r="O1835" s="39"/>
      <c r="P1835" s="36"/>
      <c r="Q1835" s="16">
        <f t="shared" si="551"/>
        <v>0</v>
      </c>
      <c r="R1835" s="34"/>
      <c r="S1835" s="34"/>
      <c r="T1835" s="36"/>
      <c r="U1835" s="36"/>
      <c r="V1835" s="36"/>
      <c r="W1835" s="36"/>
      <c r="X1835" s="36"/>
      <c r="Y1835" s="145">
        <f t="shared" si="552"/>
        <v>0</v>
      </c>
      <c r="Z1835" s="567"/>
      <c r="AA1835" s="12"/>
      <c r="AB1835" s="12">
        <f t="shared" si="553"/>
        <v>0</v>
      </c>
      <c r="AC1835" s="12">
        <f t="shared" si="554"/>
        <v>0</v>
      </c>
      <c r="AD1835" s="34"/>
    </row>
    <row r="1836" spans="3:30" ht="16" x14ac:dyDescent="0.2">
      <c r="C1836" s="10">
        <f t="shared" si="556"/>
        <v>1833</v>
      </c>
      <c r="D1836" s="454"/>
      <c r="E1836" s="37"/>
      <c r="F1836" s="65"/>
      <c r="G1836" s="11" t="str">
        <f ca="1">IF(AND(E1836&lt;&gt;"",E1836&lt;TODAY()),"Disponible",IFERROR(INDEX(Vehiculos[Estado Vehiculo],MATCH(F1836,Vehiculos[Placa Vehiculo],0)),""))</f>
        <v/>
      </c>
      <c r="H1836" s="34"/>
      <c r="I1836" s="34"/>
      <c r="J1836" s="34"/>
      <c r="K1836" s="39"/>
      <c r="L1836" s="39"/>
      <c r="M1836" s="15">
        <f t="shared" si="550"/>
        <v>0</v>
      </c>
      <c r="N1836" s="15"/>
      <c r="O1836" s="39"/>
      <c r="P1836" s="36"/>
      <c r="Q1836" s="16">
        <f t="shared" si="551"/>
        <v>0</v>
      </c>
      <c r="R1836" s="34"/>
      <c r="S1836" s="34"/>
      <c r="T1836" s="36"/>
      <c r="U1836" s="36"/>
      <c r="V1836" s="36"/>
      <c r="W1836" s="36"/>
      <c r="X1836" s="36"/>
      <c r="Y1836" s="145">
        <f t="shared" si="552"/>
        <v>0</v>
      </c>
      <c r="Z1836" s="567"/>
      <c r="AA1836" s="12"/>
      <c r="AB1836" s="12">
        <f t="shared" si="553"/>
        <v>0</v>
      </c>
      <c r="AC1836" s="12">
        <f t="shared" si="554"/>
        <v>0</v>
      </c>
      <c r="AD1836" s="34"/>
    </row>
    <row r="1837" spans="3:30" ht="16" x14ac:dyDescent="0.2">
      <c r="C1837" s="10">
        <f t="shared" si="556"/>
        <v>1834</v>
      </c>
      <c r="D1837" s="454"/>
      <c r="E1837" s="37"/>
      <c r="F1837" s="65"/>
      <c r="G1837" s="11" t="str">
        <f ca="1">IF(AND(E1837&lt;&gt;"",E1837&lt;TODAY()),"Disponible",IFERROR(INDEX(Vehiculos[Estado Vehiculo],MATCH(F1837,Vehiculos[Placa Vehiculo],0)),""))</f>
        <v/>
      </c>
      <c r="H1837" s="34"/>
      <c r="I1837" s="34"/>
      <c r="J1837" s="34"/>
      <c r="K1837" s="39"/>
      <c r="L1837" s="39"/>
      <c r="M1837" s="15">
        <f t="shared" si="550"/>
        <v>0</v>
      </c>
      <c r="N1837" s="15"/>
      <c r="O1837" s="39"/>
      <c r="P1837" s="36"/>
      <c r="Q1837" s="16">
        <f t="shared" si="551"/>
        <v>0</v>
      </c>
      <c r="R1837" s="34"/>
      <c r="S1837" s="34"/>
      <c r="T1837" s="36"/>
      <c r="U1837" s="36"/>
      <c r="V1837" s="36"/>
      <c r="W1837" s="36"/>
      <c r="X1837" s="36"/>
      <c r="Y1837" s="145">
        <f t="shared" si="552"/>
        <v>0</v>
      </c>
      <c r="Z1837" s="567"/>
      <c r="AA1837" s="12"/>
      <c r="AB1837" s="12">
        <f t="shared" si="553"/>
        <v>0</v>
      </c>
      <c r="AC1837" s="12">
        <f t="shared" si="554"/>
        <v>0</v>
      </c>
      <c r="AD1837" s="34"/>
    </row>
    <row r="1838" spans="3:30" ht="16" x14ac:dyDescent="0.2">
      <c r="C1838" s="10">
        <f t="shared" si="556"/>
        <v>1835</v>
      </c>
      <c r="D1838" s="454"/>
      <c r="E1838" s="37"/>
      <c r="F1838" s="65"/>
      <c r="G1838" s="11" t="str">
        <f ca="1">IF(AND(E1838&lt;&gt;"",E1838&lt;TODAY()),"Disponible",IFERROR(INDEX(Vehiculos[Estado Vehiculo],MATCH(F1838,Vehiculos[Placa Vehiculo],0)),""))</f>
        <v/>
      </c>
      <c r="H1838" s="34"/>
      <c r="I1838" s="34"/>
      <c r="J1838" s="34"/>
      <c r="K1838" s="39"/>
      <c r="L1838" s="39"/>
      <c r="M1838" s="15">
        <f t="shared" si="550"/>
        <v>0</v>
      </c>
      <c r="N1838" s="15"/>
      <c r="O1838" s="39"/>
      <c r="P1838" s="36"/>
      <c r="Q1838" s="16">
        <f t="shared" si="551"/>
        <v>0</v>
      </c>
      <c r="R1838" s="34"/>
      <c r="S1838" s="34"/>
      <c r="T1838" s="36"/>
      <c r="U1838" s="36"/>
      <c r="V1838" s="36"/>
      <c r="W1838" s="36"/>
      <c r="X1838" s="36"/>
      <c r="Y1838" s="145">
        <f t="shared" si="552"/>
        <v>0</v>
      </c>
      <c r="Z1838" s="567"/>
      <c r="AA1838" s="12"/>
      <c r="AB1838" s="12">
        <f t="shared" si="553"/>
        <v>0</v>
      </c>
      <c r="AC1838" s="12">
        <f t="shared" si="554"/>
        <v>0</v>
      </c>
      <c r="AD1838" s="34"/>
    </row>
    <row r="1839" spans="3:30" ht="16" x14ac:dyDescent="0.2">
      <c r="C1839" s="10">
        <f t="shared" si="556"/>
        <v>1836</v>
      </c>
      <c r="D1839" s="454"/>
      <c r="E1839" s="37"/>
      <c r="F1839" s="65"/>
      <c r="G1839" s="11" t="str">
        <f ca="1">IF(AND(E1839&lt;&gt;"",E1839&lt;TODAY()),"Disponible",IFERROR(INDEX(Vehiculos[Estado Vehiculo],MATCH(F1839,Vehiculos[Placa Vehiculo],0)),""))</f>
        <v/>
      </c>
      <c r="H1839" s="34"/>
      <c r="I1839" s="34"/>
      <c r="J1839" s="34"/>
      <c r="K1839" s="39"/>
      <c r="L1839" s="39"/>
      <c r="M1839" s="15">
        <f t="shared" si="550"/>
        <v>0</v>
      </c>
      <c r="N1839" s="15"/>
      <c r="O1839" s="39"/>
      <c r="P1839" s="36"/>
      <c r="Q1839" s="16">
        <f t="shared" si="551"/>
        <v>0</v>
      </c>
      <c r="R1839" s="34"/>
      <c r="S1839" s="34"/>
      <c r="T1839" s="36"/>
      <c r="U1839" s="36"/>
      <c r="V1839" s="36"/>
      <c r="W1839" s="36"/>
      <c r="X1839" s="36"/>
      <c r="Y1839" s="145">
        <f t="shared" si="552"/>
        <v>0</v>
      </c>
      <c r="Z1839" s="567"/>
      <c r="AA1839" s="12">
        <f t="shared" ref="AA1839:AA1850" si="557">IFERROR(U1839/T1839,0)</f>
        <v>0</v>
      </c>
      <c r="AB1839" s="12">
        <f t="shared" si="553"/>
        <v>0</v>
      </c>
      <c r="AC1839" s="12">
        <f t="shared" si="554"/>
        <v>0</v>
      </c>
      <c r="AD1839" s="34"/>
    </row>
    <row r="1840" spans="3:30" ht="16" x14ac:dyDescent="0.2">
      <c r="C1840" s="10">
        <f t="shared" si="556"/>
        <v>1837</v>
      </c>
      <c r="D1840" s="454"/>
      <c r="E1840" s="37"/>
      <c r="F1840" s="65"/>
      <c r="G1840" s="11" t="str">
        <f ca="1">IF(AND(E1840&lt;&gt;"",E1840&lt;TODAY()),"Disponible",IFERROR(INDEX(Vehiculos[Estado Vehiculo],MATCH(F1840,Vehiculos[Placa Vehiculo],0)),""))</f>
        <v/>
      </c>
      <c r="H1840" s="34"/>
      <c r="I1840" s="34"/>
      <c r="J1840" s="34"/>
      <c r="K1840" s="39"/>
      <c r="L1840" s="39"/>
      <c r="M1840" s="15">
        <f t="shared" si="550"/>
        <v>0</v>
      </c>
      <c r="N1840" s="15"/>
      <c r="O1840" s="39"/>
      <c r="P1840" s="36"/>
      <c r="Q1840" s="16">
        <f t="shared" si="551"/>
        <v>0</v>
      </c>
      <c r="R1840" s="34"/>
      <c r="S1840" s="34"/>
      <c r="T1840" s="36"/>
      <c r="U1840" s="36"/>
      <c r="V1840" s="36"/>
      <c r="W1840" s="36"/>
      <c r="X1840" s="36"/>
      <c r="Y1840" s="145">
        <f t="shared" si="552"/>
        <v>0</v>
      </c>
      <c r="Z1840" s="567"/>
      <c r="AA1840" s="12">
        <f t="shared" si="557"/>
        <v>0</v>
      </c>
      <c r="AB1840" s="12">
        <f t="shared" si="553"/>
        <v>0</v>
      </c>
      <c r="AC1840" s="12">
        <f t="shared" si="554"/>
        <v>0</v>
      </c>
      <c r="AD1840" s="34"/>
    </row>
    <row r="1841" spans="3:30" ht="16" x14ac:dyDescent="0.2">
      <c r="C1841" s="10">
        <f t="shared" si="556"/>
        <v>1838</v>
      </c>
      <c r="D1841" s="454"/>
      <c r="E1841" s="37"/>
      <c r="F1841" s="65"/>
      <c r="G1841" s="11" t="str">
        <f ca="1">IF(AND(E1841&lt;&gt;"",E1841&lt;TODAY()),"Disponible",IFERROR(INDEX(Vehiculos[Estado Vehiculo],MATCH(F1841,Vehiculos[Placa Vehiculo],0)),""))</f>
        <v/>
      </c>
      <c r="H1841" s="34"/>
      <c r="I1841" s="34"/>
      <c r="J1841" s="34"/>
      <c r="K1841" s="39"/>
      <c r="L1841" s="39"/>
      <c r="M1841" s="15">
        <f t="shared" si="550"/>
        <v>0</v>
      </c>
      <c r="N1841" s="15"/>
      <c r="O1841" s="39"/>
      <c r="P1841" s="36"/>
      <c r="Q1841" s="16">
        <f t="shared" si="551"/>
        <v>0</v>
      </c>
      <c r="R1841" s="34"/>
      <c r="S1841" s="34"/>
      <c r="T1841" s="36"/>
      <c r="U1841" s="36"/>
      <c r="V1841" s="36"/>
      <c r="W1841" s="36"/>
      <c r="X1841" s="36"/>
      <c r="Y1841" s="145">
        <f t="shared" si="552"/>
        <v>0</v>
      </c>
      <c r="Z1841" s="567"/>
      <c r="AA1841" s="12">
        <f t="shared" si="557"/>
        <v>0</v>
      </c>
      <c r="AB1841" s="12">
        <f t="shared" si="553"/>
        <v>0</v>
      </c>
      <c r="AC1841" s="12">
        <f t="shared" si="554"/>
        <v>0</v>
      </c>
      <c r="AD1841" s="34"/>
    </row>
    <row r="1842" spans="3:30" ht="16" x14ac:dyDescent="0.2">
      <c r="C1842" s="10">
        <f t="shared" si="556"/>
        <v>1839</v>
      </c>
      <c r="D1842" s="454"/>
      <c r="E1842" s="37"/>
      <c r="F1842" s="65"/>
      <c r="G1842" s="11" t="str">
        <f ca="1">IF(AND(E1842&lt;&gt;"",E1842&lt;TODAY()),"Disponible",IFERROR(INDEX(Vehiculos[Estado Vehiculo],MATCH(F1842,Vehiculos[Placa Vehiculo],0)),""))</f>
        <v/>
      </c>
      <c r="H1842" s="34"/>
      <c r="I1842" s="34"/>
      <c r="J1842" s="34"/>
      <c r="K1842" s="39"/>
      <c r="L1842" s="39"/>
      <c r="M1842" s="15">
        <f t="shared" si="550"/>
        <v>0</v>
      </c>
      <c r="N1842" s="15"/>
      <c r="O1842" s="39"/>
      <c r="P1842" s="36"/>
      <c r="Q1842" s="16">
        <f t="shared" si="551"/>
        <v>0</v>
      </c>
      <c r="R1842" s="34"/>
      <c r="S1842" s="34"/>
      <c r="T1842" s="36"/>
      <c r="U1842" s="36"/>
      <c r="V1842" s="36"/>
      <c r="W1842" s="36"/>
      <c r="X1842" s="36"/>
      <c r="Y1842" s="145">
        <f t="shared" si="552"/>
        <v>0</v>
      </c>
      <c r="Z1842" s="567"/>
      <c r="AA1842" s="12">
        <f t="shared" si="557"/>
        <v>0</v>
      </c>
      <c r="AB1842" s="12">
        <f t="shared" si="553"/>
        <v>0</v>
      </c>
      <c r="AC1842" s="12">
        <f t="shared" si="554"/>
        <v>0</v>
      </c>
      <c r="AD1842" s="34"/>
    </row>
    <row r="1843" spans="3:30" ht="16" x14ac:dyDescent="0.2">
      <c r="C1843" s="10">
        <f t="shared" si="556"/>
        <v>1840</v>
      </c>
      <c r="D1843" s="454"/>
      <c r="E1843" s="37"/>
      <c r="F1843" s="65"/>
      <c r="G1843" s="11" t="str">
        <f ca="1">IF(AND(E1843&lt;&gt;"",E1843&lt;TODAY()),"Disponible",IFERROR(INDEX(Vehiculos[Estado Vehiculo],MATCH(F1843,Vehiculos[Placa Vehiculo],0)),""))</f>
        <v/>
      </c>
      <c r="H1843" s="34"/>
      <c r="I1843" s="34"/>
      <c r="J1843" s="34"/>
      <c r="K1843" s="39"/>
      <c r="L1843" s="39"/>
      <c r="M1843" s="15">
        <f t="shared" si="550"/>
        <v>0</v>
      </c>
      <c r="N1843" s="15"/>
      <c r="O1843" s="39"/>
      <c r="P1843" s="36"/>
      <c r="Q1843" s="16">
        <f t="shared" si="551"/>
        <v>0</v>
      </c>
      <c r="R1843" s="34"/>
      <c r="S1843" s="34"/>
      <c r="T1843" s="36"/>
      <c r="U1843" s="36"/>
      <c r="V1843" s="36"/>
      <c r="W1843" s="36"/>
      <c r="X1843" s="36"/>
      <c r="Y1843" s="145">
        <f t="shared" si="552"/>
        <v>0</v>
      </c>
      <c r="Z1843" s="567"/>
      <c r="AA1843" s="12">
        <f t="shared" si="557"/>
        <v>0</v>
      </c>
      <c r="AB1843" s="12">
        <f t="shared" si="553"/>
        <v>0</v>
      </c>
      <c r="AC1843" s="12">
        <f t="shared" si="554"/>
        <v>0</v>
      </c>
      <c r="AD1843" s="34"/>
    </row>
    <row r="1844" spans="3:30" ht="16" x14ac:dyDescent="0.2">
      <c r="C1844" s="10">
        <f t="shared" si="556"/>
        <v>1841</v>
      </c>
      <c r="D1844" s="454"/>
      <c r="E1844" s="37"/>
      <c r="F1844" s="65"/>
      <c r="G1844" s="11" t="str">
        <f ca="1">IF(AND(E1844&lt;&gt;"",E1844&lt;TODAY()),"Disponible",IFERROR(INDEX(Vehiculos[Estado Vehiculo],MATCH(F1844,Vehiculos[Placa Vehiculo],0)),""))</f>
        <v/>
      </c>
      <c r="H1844" s="34"/>
      <c r="I1844" s="34"/>
      <c r="J1844" s="34"/>
      <c r="K1844" s="39"/>
      <c r="L1844" s="39"/>
      <c r="M1844" s="15">
        <f t="shared" si="550"/>
        <v>0</v>
      </c>
      <c r="N1844" s="15"/>
      <c r="O1844" s="39"/>
      <c r="P1844" s="36"/>
      <c r="Q1844" s="16">
        <f t="shared" si="551"/>
        <v>0</v>
      </c>
      <c r="R1844" s="34"/>
      <c r="S1844" s="34"/>
      <c r="T1844" s="36"/>
      <c r="U1844" s="36"/>
      <c r="V1844" s="36"/>
      <c r="W1844" s="36"/>
      <c r="X1844" s="36"/>
      <c r="Y1844" s="145">
        <f t="shared" si="552"/>
        <v>0</v>
      </c>
      <c r="Z1844" s="567"/>
      <c r="AA1844" s="12">
        <f t="shared" si="557"/>
        <v>0</v>
      </c>
      <c r="AB1844" s="12">
        <f t="shared" si="553"/>
        <v>0</v>
      </c>
      <c r="AC1844" s="12">
        <f t="shared" si="554"/>
        <v>0</v>
      </c>
      <c r="AD1844" s="34"/>
    </row>
    <row r="1845" spans="3:30" ht="16" x14ac:dyDescent="0.2">
      <c r="C1845" s="10">
        <f t="shared" si="556"/>
        <v>1842</v>
      </c>
      <c r="D1845" s="454"/>
      <c r="E1845" s="37"/>
      <c r="F1845" s="65"/>
      <c r="G1845" s="11" t="str">
        <f ca="1">IF(AND(E1845&lt;&gt;"",E1845&lt;TODAY()),"Disponible",IFERROR(INDEX(Vehiculos[Estado Vehiculo],MATCH(F1845,Vehiculos[Placa Vehiculo],0)),""))</f>
        <v/>
      </c>
      <c r="H1845" s="34"/>
      <c r="I1845" s="34"/>
      <c r="J1845" s="34"/>
      <c r="K1845" s="39"/>
      <c r="L1845" s="39"/>
      <c r="M1845" s="15">
        <f t="shared" si="550"/>
        <v>0</v>
      </c>
      <c r="N1845" s="15"/>
      <c r="O1845" s="39"/>
      <c r="P1845" s="36"/>
      <c r="Q1845" s="16">
        <f t="shared" si="551"/>
        <v>0</v>
      </c>
      <c r="R1845" s="34"/>
      <c r="S1845" s="34"/>
      <c r="T1845" s="36"/>
      <c r="U1845" s="36"/>
      <c r="V1845" s="36"/>
      <c r="W1845" s="36"/>
      <c r="X1845" s="36"/>
      <c r="Y1845" s="145">
        <f t="shared" si="552"/>
        <v>0</v>
      </c>
      <c r="Z1845" s="567"/>
      <c r="AA1845" s="12">
        <f t="shared" si="557"/>
        <v>0</v>
      </c>
      <c r="AB1845" s="12">
        <f t="shared" si="553"/>
        <v>0</v>
      </c>
      <c r="AC1845" s="12">
        <f t="shared" si="554"/>
        <v>0</v>
      </c>
      <c r="AD1845" s="34"/>
    </row>
    <row r="1846" spans="3:30" ht="16" x14ac:dyDescent="0.2">
      <c r="C1846" s="10">
        <f t="shared" si="556"/>
        <v>1843</v>
      </c>
      <c r="D1846" s="454"/>
      <c r="E1846" s="37"/>
      <c r="F1846" s="65"/>
      <c r="G1846" s="11" t="str">
        <f ca="1">IF(AND(E1846&lt;&gt;"",E1846&lt;TODAY()),"Disponible",IFERROR(INDEX(Vehiculos[Estado Vehiculo],MATCH(F1846,Vehiculos[Placa Vehiculo],0)),""))</f>
        <v/>
      </c>
      <c r="H1846" s="34"/>
      <c r="I1846" s="34"/>
      <c r="J1846" s="34"/>
      <c r="K1846" s="39"/>
      <c r="L1846" s="39"/>
      <c r="M1846" s="15">
        <f t="shared" si="550"/>
        <v>0</v>
      </c>
      <c r="N1846" s="15"/>
      <c r="O1846" s="39"/>
      <c r="P1846" s="36"/>
      <c r="Q1846" s="16">
        <f t="shared" si="551"/>
        <v>0</v>
      </c>
      <c r="R1846" s="34"/>
      <c r="S1846" s="34"/>
      <c r="T1846" s="36"/>
      <c r="U1846" s="36"/>
      <c r="V1846" s="36"/>
      <c r="W1846" s="36"/>
      <c r="X1846" s="36"/>
      <c r="Y1846" s="145">
        <f t="shared" si="552"/>
        <v>0</v>
      </c>
      <c r="Z1846" s="567"/>
      <c r="AA1846" s="12">
        <f t="shared" si="557"/>
        <v>0</v>
      </c>
      <c r="AB1846" s="12">
        <f t="shared" si="553"/>
        <v>0</v>
      </c>
      <c r="AC1846" s="12">
        <f t="shared" si="554"/>
        <v>0</v>
      </c>
      <c r="AD1846" s="34"/>
    </row>
    <row r="1847" spans="3:30" ht="16" x14ac:dyDescent="0.2">
      <c r="C1847" s="10">
        <f t="shared" si="556"/>
        <v>1844</v>
      </c>
      <c r="D1847" s="454"/>
      <c r="E1847" s="37"/>
      <c r="F1847" s="65"/>
      <c r="G1847" s="11" t="str">
        <f ca="1">IF(AND(E1847&lt;&gt;"",E1847&lt;TODAY()),"Disponible",IFERROR(INDEX(Vehiculos[Estado Vehiculo],MATCH(F1847,Vehiculos[Placa Vehiculo],0)),""))</f>
        <v/>
      </c>
      <c r="H1847" s="34"/>
      <c r="I1847" s="34"/>
      <c r="J1847" s="34"/>
      <c r="K1847" s="39"/>
      <c r="L1847" s="39"/>
      <c r="M1847" s="15">
        <f t="shared" si="550"/>
        <v>0</v>
      </c>
      <c r="N1847" s="15"/>
      <c r="O1847" s="39"/>
      <c r="P1847" s="36"/>
      <c r="Q1847" s="16">
        <f t="shared" si="551"/>
        <v>0</v>
      </c>
      <c r="R1847" s="34"/>
      <c r="S1847" s="34"/>
      <c r="T1847" s="36"/>
      <c r="U1847" s="36"/>
      <c r="V1847" s="36"/>
      <c r="W1847" s="36"/>
      <c r="X1847" s="36"/>
      <c r="Y1847" s="145">
        <f t="shared" si="552"/>
        <v>0</v>
      </c>
      <c r="Z1847" s="567"/>
      <c r="AA1847" s="12">
        <f t="shared" si="557"/>
        <v>0</v>
      </c>
      <c r="AB1847" s="12">
        <f t="shared" si="553"/>
        <v>0</v>
      </c>
      <c r="AC1847" s="12">
        <f t="shared" si="554"/>
        <v>0</v>
      </c>
      <c r="AD1847" s="34"/>
    </row>
    <row r="1848" spans="3:30" ht="16" x14ac:dyDescent="0.2">
      <c r="C1848" s="10">
        <f t="shared" si="556"/>
        <v>1845</v>
      </c>
      <c r="D1848" s="454"/>
      <c r="E1848" s="37"/>
      <c r="F1848" s="65"/>
      <c r="G1848" s="11" t="str">
        <f ca="1">IF(AND(E1848&lt;&gt;"",E1848&lt;TODAY()),"Disponible",IFERROR(INDEX(Vehiculos[Estado Vehiculo],MATCH(F1848,Vehiculos[Placa Vehiculo],0)),""))</f>
        <v/>
      </c>
      <c r="H1848" s="34"/>
      <c r="I1848" s="34"/>
      <c r="J1848" s="34"/>
      <c r="K1848" s="39"/>
      <c r="L1848" s="39"/>
      <c r="M1848" s="15">
        <f t="shared" si="550"/>
        <v>0</v>
      </c>
      <c r="N1848" s="15"/>
      <c r="O1848" s="39"/>
      <c r="P1848" s="36"/>
      <c r="Q1848" s="16">
        <f t="shared" si="551"/>
        <v>0</v>
      </c>
      <c r="R1848" s="34"/>
      <c r="S1848" s="34"/>
      <c r="T1848" s="36"/>
      <c r="U1848" s="36"/>
      <c r="V1848" s="36"/>
      <c r="W1848" s="36"/>
      <c r="X1848" s="36"/>
      <c r="Y1848" s="145">
        <f t="shared" si="552"/>
        <v>0</v>
      </c>
      <c r="Z1848" s="567"/>
      <c r="AA1848" s="12">
        <f t="shared" si="557"/>
        <v>0</v>
      </c>
      <c r="AB1848" s="12">
        <f t="shared" si="553"/>
        <v>0</v>
      </c>
      <c r="AC1848" s="12">
        <f t="shared" si="554"/>
        <v>0</v>
      </c>
      <c r="AD1848" s="34"/>
    </row>
    <row r="1849" spans="3:30" ht="16" x14ac:dyDescent="0.2">
      <c r="C1849" s="10">
        <f t="shared" si="556"/>
        <v>1846</v>
      </c>
      <c r="D1849" s="454"/>
      <c r="E1849" s="37"/>
      <c r="F1849" s="65"/>
      <c r="G1849" s="11" t="str">
        <f ca="1">IF(AND(E1849&lt;&gt;"",E1849&lt;TODAY()),"Disponible",IFERROR(INDEX(Vehiculos[Estado Vehiculo],MATCH(F1849,Vehiculos[Placa Vehiculo],0)),""))</f>
        <v/>
      </c>
      <c r="H1849" s="34"/>
      <c r="I1849" s="34"/>
      <c r="J1849" s="34"/>
      <c r="K1849" s="39"/>
      <c r="L1849" s="39"/>
      <c r="M1849" s="15">
        <f t="shared" si="550"/>
        <v>0</v>
      </c>
      <c r="N1849" s="15"/>
      <c r="O1849" s="39"/>
      <c r="P1849" s="36"/>
      <c r="Q1849" s="16">
        <f t="shared" si="551"/>
        <v>0</v>
      </c>
      <c r="R1849" s="34"/>
      <c r="S1849" s="34"/>
      <c r="T1849" s="36"/>
      <c r="U1849" s="36"/>
      <c r="V1849" s="36"/>
      <c r="W1849" s="36"/>
      <c r="X1849" s="36"/>
      <c r="Y1849" s="145">
        <f t="shared" si="552"/>
        <v>0</v>
      </c>
      <c r="Z1849" s="567"/>
      <c r="AA1849" s="12">
        <f t="shared" si="557"/>
        <v>0</v>
      </c>
      <c r="AB1849" s="12">
        <f t="shared" si="553"/>
        <v>0</v>
      </c>
      <c r="AC1849" s="12">
        <f t="shared" si="554"/>
        <v>0</v>
      </c>
      <c r="AD1849" s="34"/>
    </row>
    <row r="1850" spans="3:30" ht="16" x14ac:dyDescent="0.2">
      <c r="C1850" s="10">
        <f t="shared" si="556"/>
        <v>1847</v>
      </c>
      <c r="D1850" s="454"/>
      <c r="E1850" s="37"/>
      <c r="F1850" s="65"/>
      <c r="G1850" s="11" t="str">
        <f ca="1">IF(AND(E1850&lt;&gt;"",E1850&lt;TODAY()),"Disponible",IFERROR(INDEX(Vehiculos[Estado Vehiculo],MATCH(F1850,Vehiculos[Placa Vehiculo],0)),""))</f>
        <v/>
      </c>
      <c r="H1850" s="34"/>
      <c r="I1850" s="34"/>
      <c r="J1850" s="34"/>
      <c r="K1850" s="39"/>
      <c r="L1850" s="39"/>
      <c r="M1850" s="15">
        <f t="shared" si="550"/>
        <v>0</v>
      </c>
      <c r="N1850" s="15"/>
      <c r="O1850" s="39"/>
      <c r="P1850" s="36"/>
      <c r="Q1850" s="16">
        <f t="shared" si="551"/>
        <v>0</v>
      </c>
      <c r="R1850" s="34"/>
      <c r="S1850" s="34"/>
      <c r="T1850" s="36"/>
      <c r="U1850" s="36"/>
      <c r="V1850" s="36"/>
      <c r="W1850" s="36"/>
      <c r="X1850" s="36"/>
      <c r="Y1850" s="145">
        <f t="shared" si="552"/>
        <v>0</v>
      </c>
      <c r="Z1850" s="567"/>
      <c r="AA1850" s="12">
        <f t="shared" si="557"/>
        <v>0</v>
      </c>
      <c r="AB1850" s="12">
        <f t="shared" si="553"/>
        <v>0</v>
      </c>
      <c r="AC1850" s="12">
        <f t="shared" si="554"/>
        <v>0</v>
      </c>
      <c r="AD1850" s="34"/>
    </row>
    <row r="1851" spans="3:30" ht="16" x14ac:dyDescent="0.2">
      <c r="C1851" s="10">
        <f t="shared" ref="C1851:C1914" si="558">ROW(A1848)</f>
        <v>1848</v>
      </c>
      <c r="D1851" s="454"/>
      <c r="E1851" s="37"/>
      <c r="F1851" s="65"/>
      <c r="G1851" s="11" t="str">
        <f ca="1">IF(AND(E1851&lt;&gt;"",E1851&lt;TODAY()),"Disponible",IFERROR(INDEX(Vehiculos[Estado Vehiculo],MATCH(F1851,Vehiculos[Placa Vehiculo],0)),""))</f>
        <v/>
      </c>
      <c r="H1851" s="34"/>
      <c r="I1851" s="34"/>
      <c r="J1851" s="34"/>
      <c r="K1851" s="39"/>
      <c r="L1851" s="39"/>
      <c r="M1851" s="15">
        <f t="shared" ref="M1851:M1914" si="559">L1851-K1851</f>
        <v>0</v>
      </c>
      <c r="N1851" s="15"/>
      <c r="O1851" s="39"/>
      <c r="P1851" s="36"/>
      <c r="Q1851" s="16">
        <f t="shared" ref="Q1851:Q1914" si="560">M1851*P1851</f>
        <v>0</v>
      </c>
      <c r="R1851" s="34"/>
      <c r="S1851" s="34"/>
      <c r="T1851" s="36"/>
      <c r="U1851" s="36"/>
      <c r="V1851" s="36"/>
      <c r="W1851" s="36"/>
      <c r="X1851" s="36"/>
      <c r="Y1851" s="145">
        <f t="shared" ref="Y1851:Y1914" si="561">U1851+SUM(V1851:X1851)</f>
        <v>0</v>
      </c>
      <c r="Z1851" s="567"/>
      <c r="AA1851" s="12">
        <f t="shared" ref="AA1851:AA1914" si="562">IFERROR(U1851/T1851,0)</f>
        <v>0</v>
      </c>
      <c r="AB1851" s="12">
        <f t="shared" ref="AB1851:AB1914" si="563">IFERROR(M1851/AA1851,0)</f>
        <v>0</v>
      </c>
      <c r="AC1851" s="12">
        <f t="shared" ref="AC1851:AC1914" si="564">IFERROR(Q1851/M1851,0)</f>
        <v>0</v>
      </c>
      <c r="AD1851" s="34"/>
    </row>
    <row r="1852" spans="3:30" ht="16" x14ac:dyDescent="0.2">
      <c r="C1852" s="10">
        <f t="shared" si="558"/>
        <v>1849</v>
      </c>
      <c r="D1852" s="454"/>
      <c r="E1852" s="37"/>
      <c r="F1852" s="65"/>
      <c r="G1852" s="11" t="str">
        <f ca="1">IF(AND(E1852&lt;&gt;"",E1852&lt;TODAY()),"Disponible",IFERROR(INDEX(Vehiculos[Estado Vehiculo],MATCH(F1852,Vehiculos[Placa Vehiculo],0)),""))</f>
        <v/>
      </c>
      <c r="H1852" s="34"/>
      <c r="I1852" s="34"/>
      <c r="J1852" s="34"/>
      <c r="K1852" s="39"/>
      <c r="L1852" s="39"/>
      <c r="M1852" s="15">
        <f t="shared" si="559"/>
        <v>0</v>
      </c>
      <c r="N1852" s="15"/>
      <c r="O1852" s="39"/>
      <c r="P1852" s="36"/>
      <c r="Q1852" s="16">
        <f t="shared" si="560"/>
        <v>0</v>
      </c>
      <c r="R1852" s="34"/>
      <c r="S1852" s="34"/>
      <c r="T1852" s="36"/>
      <c r="U1852" s="36"/>
      <c r="V1852" s="36"/>
      <c r="W1852" s="36"/>
      <c r="X1852" s="36"/>
      <c r="Y1852" s="145">
        <f t="shared" si="561"/>
        <v>0</v>
      </c>
      <c r="Z1852" s="567"/>
      <c r="AA1852" s="12">
        <f t="shared" si="562"/>
        <v>0</v>
      </c>
      <c r="AB1852" s="12">
        <f t="shared" si="563"/>
        <v>0</v>
      </c>
      <c r="AC1852" s="12">
        <f t="shared" si="564"/>
        <v>0</v>
      </c>
      <c r="AD1852" s="34"/>
    </row>
    <row r="1853" spans="3:30" ht="16" x14ac:dyDescent="0.2">
      <c r="C1853" s="10">
        <f t="shared" si="558"/>
        <v>1850</v>
      </c>
      <c r="D1853" s="454"/>
      <c r="E1853" s="37"/>
      <c r="F1853" s="65"/>
      <c r="G1853" s="11" t="str">
        <f ca="1">IF(AND(E1853&lt;&gt;"",E1853&lt;TODAY()),"Disponible",IFERROR(INDEX(Vehiculos[Estado Vehiculo],MATCH(F1853,Vehiculos[Placa Vehiculo],0)),""))</f>
        <v/>
      </c>
      <c r="H1853" s="34"/>
      <c r="I1853" s="34"/>
      <c r="J1853" s="34"/>
      <c r="K1853" s="39"/>
      <c r="L1853" s="39"/>
      <c r="M1853" s="15">
        <f t="shared" si="559"/>
        <v>0</v>
      </c>
      <c r="N1853" s="15"/>
      <c r="O1853" s="39"/>
      <c r="P1853" s="36"/>
      <c r="Q1853" s="16">
        <f t="shared" si="560"/>
        <v>0</v>
      </c>
      <c r="R1853" s="34"/>
      <c r="S1853" s="34"/>
      <c r="T1853" s="36"/>
      <c r="U1853" s="36"/>
      <c r="V1853" s="36"/>
      <c r="W1853" s="36"/>
      <c r="X1853" s="36"/>
      <c r="Y1853" s="145">
        <f t="shared" si="561"/>
        <v>0</v>
      </c>
      <c r="Z1853" s="567"/>
      <c r="AA1853" s="12">
        <f t="shared" si="562"/>
        <v>0</v>
      </c>
      <c r="AB1853" s="12">
        <f t="shared" si="563"/>
        <v>0</v>
      </c>
      <c r="AC1853" s="12">
        <f t="shared" si="564"/>
        <v>0</v>
      </c>
      <c r="AD1853" s="34"/>
    </row>
    <row r="1854" spans="3:30" ht="16" x14ac:dyDescent="0.2">
      <c r="C1854" s="10">
        <f t="shared" si="558"/>
        <v>1851</v>
      </c>
      <c r="D1854" s="454"/>
      <c r="E1854" s="37"/>
      <c r="F1854" s="65"/>
      <c r="G1854" s="11" t="str">
        <f ca="1">IF(AND(E1854&lt;&gt;"",E1854&lt;TODAY()),"Disponible",IFERROR(INDEX(Vehiculos[Estado Vehiculo],MATCH(F1854,Vehiculos[Placa Vehiculo],0)),""))</f>
        <v/>
      </c>
      <c r="H1854" s="34"/>
      <c r="I1854" s="34"/>
      <c r="J1854" s="34"/>
      <c r="K1854" s="39"/>
      <c r="L1854" s="39"/>
      <c r="M1854" s="15">
        <f t="shared" si="559"/>
        <v>0</v>
      </c>
      <c r="N1854" s="15"/>
      <c r="O1854" s="39"/>
      <c r="P1854" s="36"/>
      <c r="Q1854" s="16">
        <f t="shared" si="560"/>
        <v>0</v>
      </c>
      <c r="R1854" s="34"/>
      <c r="S1854" s="34"/>
      <c r="T1854" s="36"/>
      <c r="U1854" s="36"/>
      <c r="V1854" s="36"/>
      <c r="W1854" s="36"/>
      <c r="X1854" s="36"/>
      <c r="Y1854" s="145">
        <f t="shared" si="561"/>
        <v>0</v>
      </c>
      <c r="Z1854" s="567"/>
      <c r="AA1854" s="12">
        <f t="shared" si="562"/>
        <v>0</v>
      </c>
      <c r="AB1854" s="12">
        <f t="shared" si="563"/>
        <v>0</v>
      </c>
      <c r="AC1854" s="12">
        <f t="shared" si="564"/>
        <v>0</v>
      </c>
      <c r="AD1854" s="34"/>
    </row>
    <row r="1855" spans="3:30" ht="16" x14ac:dyDescent="0.2">
      <c r="C1855" s="10">
        <f t="shared" si="558"/>
        <v>1852</v>
      </c>
      <c r="D1855" s="454"/>
      <c r="E1855" s="37"/>
      <c r="F1855" s="65"/>
      <c r="G1855" s="11" t="str">
        <f ca="1">IF(AND(E1855&lt;&gt;"",E1855&lt;TODAY()),"Disponible",IFERROR(INDEX(Vehiculos[Estado Vehiculo],MATCH(F1855,Vehiculos[Placa Vehiculo],0)),""))</f>
        <v/>
      </c>
      <c r="H1855" s="34"/>
      <c r="I1855" s="34"/>
      <c r="J1855" s="34"/>
      <c r="K1855" s="39"/>
      <c r="L1855" s="39"/>
      <c r="M1855" s="15">
        <f t="shared" si="559"/>
        <v>0</v>
      </c>
      <c r="N1855" s="15"/>
      <c r="O1855" s="39"/>
      <c r="P1855" s="36"/>
      <c r="Q1855" s="16">
        <f t="shared" si="560"/>
        <v>0</v>
      </c>
      <c r="R1855" s="34"/>
      <c r="S1855" s="34"/>
      <c r="T1855" s="36"/>
      <c r="U1855" s="36"/>
      <c r="V1855" s="36"/>
      <c r="W1855" s="36"/>
      <c r="X1855" s="36"/>
      <c r="Y1855" s="145">
        <f t="shared" si="561"/>
        <v>0</v>
      </c>
      <c r="Z1855" s="567"/>
      <c r="AA1855" s="12">
        <f t="shared" si="562"/>
        <v>0</v>
      </c>
      <c r="AB1855" s="12">
        <f t="shared" si="563"/>
        <v>0</v>
      </c>
      <c r="AC1855" s="12">
        <f t="shared" si="564"/>
        <v>0</v>
      </c>
      <c r="AD1855" s="34"/>
    </row>
    <row r="1856" spans="3:30" ht="16" x14ac:dyDescent="0.2">
      <c r="C1856" s="10">
        <f t="shared" si="558"/>
        <v>1853</v>
      </c>
      <c r="D1856" s="454"/>
      <c r="E1856" s="37"/>
      <c r="F1856" s="65"/>
      <c r="G1856" s="11" t="str">
        <f ca="1">IF(AND(E1856&lt;&gt;"",E1856&lt;TODAY()),"Disponible",IFERROR(INDEX(Vehiculos[Estado Vehiculo],MATCH(F1856,Vehiculos[Placa Vehiculo],0)),""))</f>
        <v/>
      </c>
      <c r="H1856" s="34"/>
      <c r="I1856" s="34"/>
      <c r="J1856" s="34"/>
      <c r="K1856" s="39"/>
      <c r="L1856" s="39"/>
      <c r="M1856" s="15">
        <f t="shared" si="559"/>
        <v>0</v>
      </c>
      <c r="N1856" s="15"/>
      <c r="O1856" s="39"/>
      <c r="P1856" s="36"/>
      <c r="Q1856" s="16">
        <f t="shared" si="560"/>
        <v>0</v>
      </c>
      <c r="R1856" s="34"/>
      <c r="S1856" s="34"/>
      <c r="T1856" s="36"/>
      <c r="U1856" s="36"/>
      <c r="V1856" s="36"/>
      <c r="W1856" s="36"/>
      <c r="X1856" s="36"/>
      <c r="Y1856" s="145">
        <f t="shared" si="561"/>
        <v>0</v>
      </c>
      <c r="Z1856" s="567"/>
      <c r="AA1856" s="12">
        <f t="shared" si="562"/>
        <v>0</v>
      </c>
      <c r="AB1856" s="12">
        <f t="shared" si="563"/>
        <v>0</v>
      </c>
      <c r="AC1856" s="12">
        <f t="shared" si="564"/>
        <v>0</v>
      </c>
      <c r="AD1856" s="34"/>
    </row>
    <row r="1857" spans="3:30" ht="16" x14ac:dyDescent="0.2">
      <c r="C1857" s="10">
        <f t="shared" si="558"/>
        <v>1854</v>
      </c>
      <c r="D1857" s="454"/>
      <c r="E1857" s="37"/>
      <c r="F1857" s="65"/>
      <c r="G1857" s="11" t="str">
        <f ca="1">IF(AND(E1857&lt;&gt;"",E1857&lt;TODAY()),"Disponible",IFERROR(INDEX(Vehiculos[Estado Vehiculo],MATCH(F1857,Vehiculos[Placa Vehiculo],0)),""))</f>
        <v/>
      </c>
      <c r="H1857" s="34"/>
      <c r="I1857" s="34"/>
      <c r="J1857" s="34"/>
      <c r="K1857" s="39"/>
      <c r="L1857" s="39"/>
      <c r="M1857" s="15">
        <f t="shared" si="559"/>
        <v>0</v>
      </c>
      <c r="N1857" s="15"/>
      <c r="O1857" s="39"/>
      <c r="P1857" s="36"/>
      <c r="Q1857" s="16">
        <f t="shared" si="560"/>
        <v>0</v>
      </c>
      <c r="R1857" s="34"/>
      <c r="S1857" s="34"/>
      <c r="T1857" s="36"/>
      <c r="U1857" s="36"/>
      <c r="V1857" s="36"/>
      <c r="W1857" s="36"/>
      <c r="X1857" s="36"/>
      <c r="Y1857" s="145">
        <f t="shared" si="561"/>
        <v>0</v>
      </c>
      <c r="Z1857" s="567"/>
      <c r="AA1857" s="12">
        <f t="shared" si="562"/>
        <v>0</v>
      </c>
      <c r="AB1857" s="12">
        <f t="shared" si="563"/>
        <v>0</v>
      </c>
      <c r="AC1857" s="12">
        <f t="shared" si="564"/>
        <v>0</v>
      </c>
      <c r="AD1857" s="34"/>
    </row>
    <row r="1858" spans="3:30" ht="16" x14ac:dyDescent="0.2">
      <c r="C1858" s="10">
        <f t="shared" si="558"/>
        <v>1855</v>
      </c>
      <c r="D1858" s="454"/>
      <c r="E1858" s="37"/>
      <c r="F1858" s="65"/>
      <c r="G1858" s="11" t="str">
        <f ca="1">IF(AND(E1858&lt;&gt;"",E1858&lt;TODAY()),"Disponible",IFERROR(INDEX(Vehiculos[Estado Vehiculo],MATCH(F1858,Vehiculos[Placa Vehiculo],0)),""))</f>
        <v/>
      </c>
      <c r="H1858" s="34"/>
      <c r="I1858" s="34"/>
      <c r="J1858" s="34"/>
      <c r="K1858" s="39"/>
      <c r="L1858" s="39"/>
      <c r="M1858" s="15">
        <f t="shared" si="559"/>
        <v>0</v>
      </c>
      <c r="N1858" s="15"/>
      <c r="O1858" s="39"/>
      <c r="P1858" s="36"/>
      <c r="Q1858" s="16">
        <f t="shared" si="560"/>
        <v>0</v>
      </c>
      <c r="R1858" s="34"/>
      <c r="S1858" s="34"/>
      <c r="T1858" s="36"/>
      <c r="U1858" s="36"/>
      <c r="V1858" s="36"/>
      <c r="W1858" s="36"/>
      <c r="X1858" s="36"/>
      <c r="Y1858" s="145">
        <f t="shared" si="561"/>
        <v>0</v>
      </c>
      <c r="Z1858" s="567"/>
      <c r="AA1858" s="12">
        <f t="shared" si="562"/>
        <v>0</v>
      </c>
      <c r="AB1858" s="12">
        <f t="shared" si="563"/>
        <v>0</v>
      </c>
      <c r="AC1858" s="12">
        <f t="shared" si="564"/>
        <v>0</v>
      </c>
      <c r="AD1858" s="34"/>
    </row>
    <row r="1859" spans="3:30" ht="16" x14ac:dyDescent="0.2">
      <c r="C1859" s="10">
        <f t="shared" si="558"/>
        <v>1856</v>
      </c>
      <c r="D1859" s="454"/>
      <c r="E1859" s="37"/>
      <c r="F1859" s="65"/>
      <c r="G1859" s="11" t="str">
        <f ca="1">IF(AND(E1859&lt;&gt;"",E1859&lt;TODAY()),"Disponible",IFERROR(INDEX(Vehiculos[Estado Vehiculo],MATCH(F1859,Vehiculos[Placa Vehiculo],0)),""))</f>
        <v/>
      </c>
      <c r="H1859" s="34"/>
      <c r="I1859" s="34"/>
      <c r="J1859" s="34"/>
      <c r="K1859" s="39"/>
      <c r="L1859" s="39"/>
      <c r="M1859" s="15">
        <f t="shared" si="559"/>
        <v>0</v>
      </c>
      <c r="N1859" s="15"/>
      <c r="O1859" s="39"/>
      <c r="P1859" s="36"/>
      <c r="Q1859" s="16">
        <f t="shared" si="560"/>
        <v>0</v>
      </c>
      <c r="R1859" s="34"/>
      <c r="S1859" s="34"/>
      <c r="T1859" s="36"/>
      <c r="U1859" s="36"/>
      <c r="V1859" s="36"/>
      <c r="W1859" s="36"/>
      <c r="X1859" s="36"/>
      <c r="Y1859" s="145">
        <f t="shared" si="561"/>
        <v>0</v>
      </c>
      <c r="Z1859" s="567"/>
      <c r="AA1859" s="12">
        <f t="shared" si="562"/>
        <v>0</v>
      </c>
      <c r="AB1859" s="12">
        <f t="shared" si="563"/>
        <v>0</v>
      </c>
      <c r="AC1859" s="12">
        <f t="shared" si="564"/>
        <v>0</v>
      </c>
      <c r="AD1859" s="34"/>
    </row>
    <row r="1860" spans="3:30" ht="16" x14ac:dyDescent="0.2">
      <c r="C1860" s="10">
        <f t="shared" si="558"/>
        <v>1857</v>
      </c>
      <c r="D1860" s="454"/>
      <c r="E1860" s="37"/>
      <c r="F1860" s="65"/>
      <c r="G1860" s="11" t="str">
        <f ca="1">IF(AND(E1860&lt;&gt;"",E1860&lt;TODAY()),"Disponible",IFERROR(INDEX(Vehiculos[Estado Vehiculo],MATCH(F1860,Vehiculos[Placa Vehiculo],0)),""))</f>
        <v/>
      </c>
      <c r="H1860" s="34"/>
      <c r="I1860" s="34"/>
      <c r="J1860" s="34"/>
      <c r="K1860" s="39"/>
      <c r="L1860" s="39"/>
      <c r="M1860" s="15">
        <f t="shared" si="559"/>
        <v>0</v>
      </c>
      <c r="N1860" s="15"/>
      <c r="O1860" s="39"/>
      <c r="P1860" s="36"/>
      <c r="Q1860" s="16">
        <f t="shared" si="560"/>
        <v>0</v>
      </c>
      <c r="R1860" s="34"/>
      <c r="S1860" s="34"/>
      <c r="T1860" s="36"/>
      <c r="U1860" s="36"/>
      <c r="V1860" s="36"/>
      <c r="W1860" s="36"/>
      <c r="X1860" s="36"/>
      <c r="Y1860" s="145">
        <f t="shared" si="561"/>
        <v>0</v>
      </c>
      <c r="Z1860" s="567"/>
      <c r="AA1860" s="12">
        <f t="shared" si="562"/>
        <v>0</v>
      </c>
      <c r="AB1860" s="12">
        <f t="shared" si="563"/>
        <v>0</v>
      </c>
      <c r="AC1860" s="12">
        <f t="shared" si="564"/>
        <v>0</v>
      </c>
      <c r="AD1860" s="34"/>
    </row>
    <row r="1861" spans="3:30" ht="16" x14ac:dyDescent="0.2">
      <c r="C1861" s="10">
        <f t="shared" si="558"/>
        <v>1858</v>
      </c>
      <c r="D1861" s="454"/>
      <c r="E1861" s="37"/>
      <c r="F1861" s="65"/>
      <c r="G1861" s="11" t="str">
        <f ca="1">IF(AND(E1861&lt;&gt;"",E1861&lt;TODAY()),"Disponible",IFERROR(INDEX(Vehiculos[Estado Vehiculo],MATCH(F1861,Vehiculos[Placa Vehiculo],0)),""))</f>
        <v/>
      </c>
      <c r="H1861" s="34"/>
      <c r="I1861" s="34"/>
      <c r="J1861" s="34"/>
      <c r="K1861" s="39"/>
      <c r="L1861" s="39"/>
      <c r="M1861" s="15">
        <f t="shared" si="559"/>
        <v>0</v>
      </c>
      <c r="N1861" s="15"/>
      <c r="O1861" s="39"/>
      <c r="P1861" s="36"/>
      <c r="Q1861" s="16">
        <f t="shared" si="560"/>
        <v>0</v>
      </c>
      <c r="R1861" s="34"/>
      <c r="S1861" s="34"/>
      <c r="T1861" s="36"/>
      <c r="U1861" s="36"/>
      <c r="V1861" s="36"/>
      <c r="W1861" s="36"/>
      <c r="X1861" s="36"/>
      <c r="Y1861" s="145">
        <f t="shared" si="561"/>
        <v>0</v>
      </c>
      <c r="Z1861" s="567"/>
      <c r="AA1861" s="12">
        <f t="shared" si="562"/>
        <v>0</v>
      </c>
      <c r="AB1861" s="12">
        <f t="shared" si="563"/>
        <v>0</v>
      </c>
      <c r="AC1861" s="12">
        <f t="shared" si="564"/>
        <v>0</v>
      </c>
      <c r="AD1861" s="34"/>
    </row>
    <row r="1862" spans="3:30" ht="16" x14ac:dyDescent="0.2">
      <c r="C1862" s="10">
        <f t="shared" si="558"/>
        <v>1859</v>
      </c>
      <c r="D1862" s="454"/>
      <c r="E1862" s="37"/>
      <c r="F1862" s="65"/>
      <c r="G1862" s="11" t="str">
        <f ca="1">IF(AND(E1862&lt;&gt;"",E1862&lt;TODAY()),"Disponible",IFERROR(INDEX(Vehiculos[Estado Vehiculo],MATCH(F1862,Vehiculos[Placa Vehiculo],0)),""))</f>
        <v/>
      </c>
      <c r="H1862" s="34"/>
      <c r="I1862" s="34"/>
      <c r="J1862" s="34"/>
      <c r="K1862" s="39"/>
      <c r="L1862" s="39"/>
      <c r="M1862" s="15">
        <f t="shared" si="559"/>
        <v>0</v>
      </c>
      <c r="N1862" s="15"/>
      <c r="O1862" s="39"/>
      <c r="P1862" s="36"/>
      <c r="Q1862" s="16">
        <f t="shared" si="560"/>
        <v>0</v>
      </c>
      <c r="R1862" s="34"/>
      <c r="S1862" s="34"/>
      <c r="T1862" s="36"/>
      <c r="U1862" s="36"/>
      <c r="V1862" s="36"/>
      <c r="W1862" s="36"/>
      <c r="X1862" s="36"/>
      <c r="Y1862" s="145">
        <f t="shared" si="561"/>
        <v>0</v>
      </c>
      <c r="Z1862" s="567"/>
      <c r="AA1862" s="12">
        <f t="shared" si="562"/>
        <v>0</v>
      </c>
      <c r="AB1862" s="12">
        <f t="shared" si="563"/>
        <v>0</v>
      </c>
      <c r="AC1862" s="12">
        <f t="shared" si="564"/>
        <v>0</v>
      </c>
      <c r="AD1862" s="34"/>
    </row>
    <row r="1863" spans="3:30" ht="16" x14ac:dyDescent="0.2">
      <c r="C1863" s="10">
        <f t="shared" si="558"/>
        <v>1860</v>
      </c>
      <c r="D1863" s="454"/>
      <c r="E1863" s="37"/>
      <c r="F1863" s="65"/>
      <c r="G1863" s="11" t="str">
        <f ca="1">IF(AND(E1863&lt;&gt;"",E1863&lt;TODAY()),"Disponible",IFERROR(INDEX(Vehiculos[Estado Vehiculo],MATCH(F1863,Vehiculos[Placa Vehiculo],0)),""))</f>
        <v/>
      </c>
      <c r="H1863" s="34"/>
      <c r="I1863" s="34"/>
      <c r="J1863" s="34"/>
      <c r="K1863" s="39"/>
      <c r="L1863" s="39"/>
      <c r="M1863" s="15">
        <f t="shared" si="559"/>
        <v>0</v>
      </c>
      <c r="N1863" s="15"/>
      <c r="O1863" s="39"/>
      <c r="P1863" s="36"/>
      <c r="Q1863" s="16">
        <f t="shared" si="560"/>
        <v>0</v>
      </c>
      <c r="R1863" s="34"/>
      <c r="S1863" s="34"/>
      <c r="T1863" s="36"/>
      <c r="U1863" s="36"/>
      <c r="V1863" s="36"/>
      <c r="W1863" s="36"/>
      <c r="X1863" s="36"/>
      <c r="Y1863" s="145">
        <f t="shared" si="561"/>
        <v>0</v>
      </c>
      <c r="Z1863" s="567"/>
      <c r="AA1863" s="12">
        <f t="shared" si="562"/>
        <v>0</v>
      </c>
      <c r="AB1863" s="12">
        <f t="shared" si="563"/>
        <v>0</v>
      </c>
      <c r="AC1863" s="12">
        <f t="shared" si="564"/>
        <v>0</v>
      </c>
      <c r="AD1863" s="34"/>
    </row>
    <row r="1864" spans="3:30" ht="16" x14ac:dyDescent="0.2">
      <c r="C1864" s="10">
        <f t="shared" si="558"/>
        <v>1861</v>
      </c>
      <c r="D1864" s="454"/>
      <c r="E1864" s="37"/>
      <c r="F1864" s="65"/>
      <c r="G1864" s="11" t="str">
        <f ca="1">IF(AND(E1864&lt;&gt;"",E1864&lt;TODAY()),"Disponible",IFERROR(INDEX(Vehiculos[Estado Vehiculo],MATCH(F1864,Vehiculos[Placa Vehiculo],0)),""))</f>
        <v/>
      </c>
      <c r="H1864" s="34"/>
      <c r="I1864" s="34"/>
      <c r="J1864" s="34"/>
      <c r="K1864" s="39"/>
      <c r="L1864" s="39"/>
      <c r="M1864" s="15">
        <f t="shared" si="559"/>
        <v>0</v>
      </c>
      <c r="N1864" s="15"/>
      <c r="O1864" s="39"/>
      <c r="P1864" s="36"/>
      <c r="Q1864" s="16">
        <f t="shared" si="560"/>
        <v>0</v>
      </c>
      <c r="R1864" s="34"/>
      <c r="S1864" s="34"/>
      <c r="T1864" s="36"/>
      <c r="U1864" s="36"/>
      <c r="V1864" s="36"/>
      <c r="W1864" s="36"/>
      <c r="X1864" s="36"/>
      <c r="Y1864" s="145">
        <f t="shared" si="561"/>
        <v>0</v>
      </c>
      <c r="Z1864" s="567"/>
      <c r="AA1864" s="12">
        <f t="shared" si="562"/>
        <v>0</v>
      </c>
      <c r="AB1864" s="12">
        <f t="shared" si="563"/>
        <v>0</v>
      </c>
      <c r="AC1864" s="12">
        <f t="shared" si="564"/>
        <v>0</v>
      </c>
      <c r="AD1864" s="34"/>
    </row>
    <row r="1865" spans="3:30" ht="16" x14ac:dyDescent="0.2">
      <c r="C1865" s="10">
        <f t="shared" si="558"/>
        <v>1862</v>
      </c>
      <c r="D1865" s="454"/>
      <c r="E1865" s="37"/>
      <c r="F1865" s="65"/>
      <c r="G1865" s="11" t="str">
        <f ca="1">IF(AND(E1865&lt;&gt;"",E1865&lt;TODAY()),"Disponible",IFERROR(INDEX(Vehiculos[Estado Vehiculo],MATCH(F1865,Vehiculos[Placa Vehiculo],0)),""))</f>
        <v/>
      </c>
      <c r="H1865" s="34"/>
      <c r="I1865" s="34"/>
      <c r="J1865" s="34"/>
      <c r="K1865" s="39"/>
      <c r="L1865" s="39"/>
      <c r="M1865" s="15">
        <f t="shared" si="559"/>
        <v>0</v>
      </c>
      <c r="N1865" s="15"/>
      <c r="O1865" s="39"/>
      <c r="P1865" s="36"/>
      <c r="Q1865" s="16">
        <f t="shared" si="560"/>
        <v>0</v>
      </c>
      <c r="R1865" s="34"/>
      <c r="S1865" s="34"/>
      <c r="T1865" s="36"/>
      <c r="U1865" s="36"/>
      <c r="V1865" s="36"/>
      <c r="W1865" s="36"/>
      <c r="X1865" s="36"/>
      <c r="Y1865" s="145">
        <f t="shared" si="561"/>
        <v>0</v>
      </c>
      <c r="Z1865" s="567"/>
      <c r="AA1865" s="12">
        <f t="shared" si="562"/>
        <v>0</v>
      </c>
      <c r="AB1865" s="12">
        <f t="shared" si="563"/>
        <v>0</v>
      </c>
      <c r="AC1865" s="12">
        <f t="shared" si="564"/>
        <v>0</v>
      </c>
      <c r="AD1865" s="34"/>
    </row>
    <row r="1866" spans="3:30" ht="16" x14ac:dyDescent="0.2">
      <c r="C1866" s="10">
        <f t="shared" si="558"/>
        <v>1863</v>
      </c>
      <c r="D1866" s="454"/>
      <c r="E1866" s="37"/>
      <c r="F1866" s="65"/>
      <c r="G1866" s="11" t="str">
        <f ca="1">IF(AND(E1866&lt;&gt;"",E1866&lt;TODAY()),"Disponible",IFERROR(INDEX(Vehiculos[Estado Vehiculo],MATCH(F1866,Vehiculos[Placa Vehiculo],0)),""))</f>
        <v/>
      </c>
      <c r="H1866" s="34"/>
      <c r="I1866" s="34"/>
      <c r="J1866" s="34"/>
      <c r="K1866" s="39"/>
      <c r="L1866" s="39"/>
      <c r="M1866" s="15">
        <f t="shared" si="559"/>
        <v>0</v>
      </c>
      <c r="N1866" s="15"/>
      <c r="O1866" s="39"/>
      <c r="P1866" s="36"/>
      <c r="Q1866" s="16">
        <f t="shared" si="560"/>
        <v>0</v>
      </c>
      <c r="R1866" s="34"/>
      <c r="S1866" s="34"/>
      <c r="T1866" s="36"/>
      <c r="U1866" s="36"/>
      <c r="V1866" s="36"/>
      <c r="W1866" s="36"/>
      <c r="X1866" s="36"/>
      <c r="Y1866" s="145">
        <f t="shared" si="561"/>
        <v>0</v>
      </c>
      <c r="Z1866" s="567"/>
      <c r="AA1866" s="12">
        <f t="shared" si="562"/>
        <v>0</v>
      </c>
      <c r="AB1866" s="12">
        <f t="shared" si="563"/>
        <v>0</v>
      </c>
      <c r="AC1866" s="12">
        <f t="shared" si="564"/>
        <v>0</v>
      </c>
      <c r="AD1866" s="34"/>
    </row>
    <row r="1867" spans="3:30" ht="16" x14ac:dyDescent="0.2">
      <c r="C1867" s="10">
        <f t="shared" si="558"/>
        <v>1864</v>
      </c>
      <c r="D1867" s="454"/>
      <c r="E1867" s="37"/>
      <c r="F1867" s="65"/>
      <c r="G1867" s="11" t="str">
        <f ca="1">IF(AND(E1867&lt;&gt;"",E1867&lt;TODAY()),"Disponible",IFERROR(INDEX(Vehiculos[Estado Vehiculo],MATCH(F1867,Vehiculos[Placa Vehiculo],0)),""))</f>
        <v/>
      </c>
      <c r="H1867" s="34"/>
      <c r="I1867" s="34"/>
      <c r="J1867" s="34"/>
      <c r="K1867" s="39"/>
      <c r="L1867" s="39"/>
      <c r="M1867" s="15">
        <f t="shared" si="559"/>
        <v>0</v>
      </c>
      <c r="N1867" s="15"/>
      <c r="O1867" s="39"/>
      <c r="P1867" s="36"/>
      <c r="Q1867" s="16">
        <f t="shared" si="560"/>
        <v>0</v>
      </c>
      <c r="R1867" s="34"/>
      <c r="S1867" s="34"/>
      <c r="T1867" s="36"/>
      <c r="U1867" s="36"/>
      <c r="V1867" s="36"/>
      <c r="W1867" s="36"/>
      <c r="X1867" s="36"/>
      <c r="Y1867" s="145">
        <f t="shared" si="561"/>
        <v>0</v>
      </c>
      <c r="Z1867" s="567"/>
      <c r="AA1867" s="12">
        <f t="shared" si="562"/>
        <v>0</v>
      </c>
      <c r="AB1867" s="12">
        <f t="shared" si="563"/>
        <v>0</v>
      </c>
      <c r="AC1867" s="12">
        <f t="shared" si="564"/>
        <v>0</v>
      </c>
      <c r="AD1867" s="34"/>
    </row>
    <row r="1868" spans="3:30" ht="16" x14ac:dyDescent="0.2">
      <c r="C1868" s="10">
        <f t="shared" si="558"/>
        <v>1865</v>
      </c>
      <c r="D1868" s="454"/>
      <c r="E1868" s="37"/>
      <c r="F1868" s="65"/>
      <c r="G1868" s="11" t="str">
        <f ca="1">IF(AND(E1868&lt;&gt;"",E1868&lt;TODAY()),"Disponible",IFERROR(INDEX(Vehiculos[Estado Vehiculo],MATCH(F1868,Vehiculos[Placa Vehiculo],0)),""))</f>
        <v/>
      </c>
      <c r="H1868" s="34"/>
      <c r="I1868" s="34"/>
      <c r="J1868" s="34"/>
      <c r="K1868" s="39"/>
      <c r="L1868" s="39"/>
      <c r="M1868" s="15">
        <f t="shared" si="559"/>
        <v>0</v>
      </c>
      <c r="N1868" s="15"/>
      <c r="O1868" s="39"/>
      <c r="P1868" s="36"/>
      <c r="Q1868" s="16">
        <f t="shared" si="560"/>
        <v>0</v>
      </c>
      <c r="R1868" s="34"/>
      <c r="S1868" s="34"/>
      <c r="T1868" s="36"/>
      <c r="U1868" s="36"/>
      <c r="V1868" s="36"/>
      <c r="W1868" s="36"/>
      <c r="X1868" s="36"/>
      <c r="Y1868" s="145">
        <f t="shared" si="561"/>
        <v>0</v>
      </c>
      <c r="Z1868" s="567"/>
      <c r="AA1868" s="12">
        <f t="shared" si="562"/>
        <v>0</v>
      </c>
      <c r="AB1868" s="12">
        <f t="shared" si="563"/>
        <v>0</v>
      </c>
      <c r="AC1868" s="12">
        <f t="shared" si="564"/>
        <v>0</v>
      </c>
      <c r="AD1868" s="34"/>
    </row>
    <row r="1869" spans="3:30" ht="16" x14ac:dyDescent="0.2">
      <c r="C1869" s="10">
        <f t="shared" si="558"/>
        <v>1866</v>
      </c>
      <c r="D1869" s="454"/>
      <c r="E1869" s="37"/>
      <c r="F1869" s="65"/>
      <c r="G1869" s="11" t="str">
        <f ca="1">IF(AND(E1869&lt;&gt;"",E1869&lt;TODAY()),"Disponible",IFERROR(INDEX(Vehiculos[Estado Vehiculo],MATCH(F1869,Vehiculos[Placa Vehiculo],0)),""))</f>
        <v/>
      </c>
      <c r="H1869" s="34"/>
      <c r="I1869" s="34"/>
      <c r="J1869" s="34"/>
      <c r="K1869" s="39"/>
      <c r="L1869" s="39"/>
      <c r="M1869" s="15">
        <f t="shared" si="559"/>
        <v>0</v>
      </c>
      <c r="N1869" s="15"/>
      <c r="O1869" s="39"/>
      <c r="P1869" s="36"/>
      <c r="Q1869" s="16">
        <f t="shared" si="560"/>
        <v>0</v>
      </c>
      <c r="R1869" s="34"/>
      <c r="S1869" s="34"/>
      <c r="T1869" s="36"/>
      <c r="U1869" s="36"/>
      <c r="V1869" s="36"/>
      <c r="W1869" s="36"/>
      <c r="X1869" s="36"/>
      <c r="Y1869" s="145">
        <f t="shared" si="561"/>
        <v>0</v>
      </c>
      <c r="Z1869" s="567"/>
      <c r="AA1869" s="12">
        <f t="shared" si="562"/>
        <v>0</v>
      </c>
      <c r="AB1869" s="12">
        <f t="shared" si="563"/>
        <v>0</v>
      </c>
      <c r="AC1869" s="12">
        <f t="shared" si="564"/>
        <v>0</v>
      </c>
      <c r="AD1869" s="34"/>
    </row>
    <row r="1870" spans="3:30" ht="16" x14ac:dyDescent="0.2">
      <c r="C1870" s="10">
        <f t="shared" si="558"/>
        <v>1867</v>
      </c>
      <c r="D1870" s="454"/>
      <c r="E1870" s="37"/>
      <c r="F1870" s="65"/>
      <c r="G1870" s="11" t="str">
        <f ca="1">IF(AND(E1870&lt;&gt;"",E1870&lt;TODAY()),"Disponible",IFERROR(INDEX(Vehiculos[Estado Vehiculo],MATCH(F1870,Vehiculos[Placa Vehiculo],0)),""))</f>
        <v/>
      </c>
      <c r="H1870" s="34"/>
      <c r="I1870" s="34"/>
      <c r="J1870" s="34"/>
      <c r="K1870" s="39"/>
      <c r="L1870" s="39"/>
      <c r="M1870" s="15">
        <f t="shared" si="559"/>
        <v>0</v>
      </c>
      <c r="N1870" s="15"/>
      <c r="O1870" s="39"/>
      <c r="P1870" s="36"/>
      <c r="Q1870" s="16">
        <f t="shared" si="560"/>
        <v>0</v>
      </c>
      <c r="R1870" s="34"/>
      <c r="S1870" s="34"/>
      <c r="T1870" s="36"/>
      <c r="U1870" s="36"/>
      <c r="V1870" s="36"/>
      <c r="W1870" s="36"/>
      <c r="X1870" s="36"/>
      <c r="Y1870" s="145">
        <f t="shared" si="561"/>
        <v>0</v>
      </c>
      <c r="Z1870" s="567"/>
      <c r="AA1870" s="12">
        <f t="shared" si="562"/>
        <v>0</v>
      </c>
      <c r="AB1870" s="12">
        <f t="shared" si="563"/>
        <v>0</v>
      </c>
      <c r="AC1870" s="12">
        <f t="shared" si="564"/>
        <v>0</v>
      </c>
      <c r="AD1870" s="34"/>
    </row>
    <row r="1871" spans="3:30" ht="16" x14ac:dyDescent="0.2">
      <c r="C1871" s="10">
        <f t="shared" si="558"/>
        <v>1868</v>
      </c>
      <c r="D1871" s="454"/>
      <c r="E1871" s="37"/>
      <c r="F1871" s="65"/>
      <c r="G1871" s="11" t="str">
        <f ca="1">IF(AND(E1871&lt;&gt;"",E1871&lt;TODAY()),"Disponible",IFERROR(INDEX(Vehiculos[Estado Vehiculo],MATCH(F1871,Vehiculos[Placa Vehiculo],0)),""))</f>
        <v/>
      </c>
      <c r="H1871" s="34"/>
      <c r="I1871" s="34"/>
      <c r="J1871" s="34"/>
      <c r="K1871" s="39"/>
      <c r="L1871" s="39"/>
      <c r="M1871" s="15">
        <f t="shared" si="559"/>
        <v>0</v>
      </c>
      <c r="N1871" s="15"/>
      <c r="O1871" s="39"/>
      <c r="P1871" s="36"/>
      <c r="Q1871" s="16">
        <f t="shared" si="560"/>
        <v>0</v>
      </c>
      <c r="R1871" s="34"/>
      <c r="S1871" s="34"/>
      <c r="T1871" s="36"/>
      <c r="U1871" s="36"/>
      <c r="V1871" s="36"/>
      <c r="W1871" s="36"/>
      <c r="X1871" s="36"/>
      <c r="Y1871" s="145">
        <f t="shared" si="561"/>
        <v>0</v>
      </c>
      <c r="Z1871" s="567"/>
      <c r="AA1871" s="12">
        <f t="shared" si="562"/>
        <v>0</v>
      </c>
      <c r="AB1871" s="12">
        <f t="shared" si="563"/>
        <v>0</v>
      </c>
      <c r="AC1871" s="12">
        <f t="shared" si="564"/>
        <v>0</v>
      </c>
      <c r="AD1871" s="34"/>
    </row>
    <row r="1872" spans="3:30" ht="16" x14ac:dyDescent="0.2">
      <c r="C1872" s="10">
        <f t="shared" si="558"/>
        <v>1869</v>
      </c>
      <c r="D1872" s="454"/>
      <c r="E1872" s="37"/>
      <c r="F1872" s="65"/>
      <c r="G1872" s="11" t="str">
        <f ca="1">IF(AND(E1872&lt;&gt;"",E1872&lt;TODAY()),"Disponible",IFERROR(INDEX(Vehiculos[Estado Vehiculo],MATCH(F1872,Vehiculos[Placa Vehiculo],0)),""))</f>
        <v/>
      </c>
      <c r="H1872" s="34"/>
      <c r="I1872" s="34"/>
      <c r="J1872" s="34"/>
      <c r="K1872" s="39"/>
      <c r="L1872" s="39"/>
      <c r="M1872" s="15">
        <f t="shared" si="559"/>
        <v>0</v>
      </c>
      <c r="N1872" s="15"/>
      <c r="O1872" s="39"/>
      <c r="P1872" s="36"/>
      <c r="Q1872" s="16">
        <f t="shared" si="560"/>
        <v>0</v>
      </c>
      <c r="R1872" s="34"/>
      <c r="S1872" s="34"/>
      <c r="T1872" s="36"/>
      <c r="U1872" s="36"/>
      <c r="V1872" s="36"/>
      <c r="W1872" s="36"/>
      <c r="X1872" s="36"/>
      <c r="Y1872" s="145">
        <f t="shared" si="561"/>
        <v>0</v>
      </c>
      <c r="Z1872" s="567"/>
      <c r="AA1872" s="12">
        <f t="shared" si="562"/>
        <v>0</v>
      </c>
      <c r="AB1872" s="12">
        <f t="shared" si="563"/>
        <v>0</v>
      </c>
      <c r="AC1872" s="12">
        <f t="shared" si="564"/>
        <v>0</v>
      </c>
      <c r="AD1872" s="34"/>
    </row>
    <row r="1873" spans="3:30" ht="16" x14ac:dyDescent="0.2">
      <c r="C1873" s="10">
        <f t="shared" si="558"/>
        <v>1870</v>
      </c>
      <c r="D1873" s="454"/>
      <c r="E1873" s="37"/>
      <c r="F1873" s="65"/>
      <c r="G1873" s="11" t="str">
        <f ca="1">IF(AND(E1873&lt;&gt;"",E1873&lt;TODAY()),"Disponible",IFERROR(INDEX(Vehiculos[Estado Vehiculo],MATCH(F1873,Vehiculos[Placa Vehiculo],0)),""))</f>
        <v/>
      </c>
      <c r="H1873" s="34"/>
      <c r="I1873" s="34"/>
      <c r="J1873" s="34"/>
      <c r="K1873" s="39"/>
      <c r="L1873" s="39"/>
      <c r="M1873" s="15">
        <f t="shared" si="559"/>
        <v>0</v>
      </c>
      <c r="N1873" s="15"/>
      <c r="O1873" s="39"/>
      <c r="P1873" s="36"/>
      <c r="Q1873" s="16">
        <f t="shared" si="560"/>
        <v>0</v>
      </c>
      <c r="R1873" s="34"/>
      <c r="S1873" s="34"/>
      <c r="T1873" s="36"/>
      <c r="U1873" s="36"/>
      <c r="V1873" s="36"/>
      <c r="W1873" s="36"/>
      <c r="X1873" s="36"/>
      <c r="Y1873" s="145">
        <f t="shared" si="561"/>
        <v>0</v>
      </c>
      <c r="Z1873" s="567"/>
      <c r="AA1873" s="12">
        <f t="shared" si="562"/>
        <v>0</v>
      </c>
      <c r="AB1873" s="12">
        <f t="shared" si="563"/>
        <v>0</v>
      </c>
      <c r="AC1873" s="12">
        <f t="shared" si="564"/>
        <v>0</v>
      </c>
      <c r="AD1873" s="34"/>
    </row>
    <row r="1874" spans="3:30" ht="16" x14ac:dyDescent="0.2">
      <c r="C1874" s="10">
        <f t="shared" si="558"/>
        <v>1871</v>
      </c>
      <c r="D1874" s="454"/>
      <c r="E1874" s="37"/>
      <c r="F1874" s="65"/>
      <c r="G1874" s="11" t="str">
        <f ca="1">IF(AND(E1874&lt;&gt;"",E1874&lt;TODAY()),"Disponible",IFERROR(INDEX(Vehiculos[Estado Vehiculo],MATCH(F1874,Vehiculos[Placa Vehiculo],0)),""))</f>
        <v/>
      </c>
      <c r="H1874" s="34"/>
      <c r="I1874" s="34"/>
      <c r="J1874" s="34"/>
      <c r="K1874" s="39"/>
      <c r="L1874" s="39"/>
      <c r="M1874" s="15">
        <f t="shared" si="559"/>
        <v>0</v>
      </c>
      <c r="N1874" s="15"/>
      <c r="O1874" s="39"/>
      <c r="P1874" s="36"/>
      <c r="Q1874" s="16">
        <f t="shared" si="560"/>
        <v>0</v>
      </c>
      <c r="R1874" s="34"/>
      <c r="S1874" s="34"/>
      <c r="T1874" s="36"/>
      <c r="U1874" s="36"/>
      <c r="V1874" s="36"/>
      <c r="W1874" s="36"/>
      <c r="X1874" s="36"/>
      <c r="Y1874" s="145">
        <f t="shared" si="561"/>
        <v>0</v>
      </c>
      <c r="Z1874" s="567"/>
      <c r="AA1874" s="12">
        <f t="shared" si="562"/>
        <v>0</v>
      </c>
      <c r="AB1874" s="12">
        <f t="shared" si="563"/>
        <v>0</v>
      </c>
      <c r="AC1874" s="12">
        <f t="shared" si="564"/>
        <v>0</v>
      </c>
      <c r="AD1874" s="34"/>
    </row>
    <row r="1875" spans="3:30" ht="16" x14ac:dyDescent="0.2">
      <c r="C1875" s="10">
        <f t="shared" si="558"/>
        <v>1872</v>
      </c>
      <c r="D1875" s="454"/>
      <c r="E1875" s="37"/>
      <c r="F1875" s="65"/>
      <c r="G1875" s="11" t="str">
        <f ca="1">IF(AND(E1875&lt;&gt;"",E1875&lt;TODAY()),"Disponible",IFERROR(INDEX(Vehiculos[Estado Vehiculo],MATCH(F1875,Vehiculos[Placa Vehiculo],0)),""))</f>
        <v/>
      </c>
      <c r="H1875" s="34"/>
      <c r="I1875" s="34"/>
      <c r="J1875" s="34"/>
      <c r="K1875" s="39"/>
      <c r="L1875" s="39"/>
      <c r="M1875" s="15">
        <f t="shared" si="559"/>
        <v>0</v>
      </c>
      <c r="N1875" s="15"/>
      <c r="O1875" s="39"/>
      <c r="P1875" s="36"/>
      <c r="Q1875" s="16">
        <f t="shared" si="560"/>
        <v>0</v>
      </c>
      <c r="R1875" s="34"/>
      <c r="S1875" s="34"/>
      <c r="T1875" s="36"/>
      <c r="U1875" s="36"/>
      <c r="V1875" s="36"/>
      <c r="W1875" s="36"/>
      <c r="X1875" s="36"/>
      <c r="Y1875" s="145">
        <f t="shared" si="561"/>
        <v>0</v>
      </c>
      <c r="Z1875" s="567"/>
      <c r="AA1875" s="12">
        <f t="shared" si="562"/>
        <v>0</v>
      </c>
      <c r="AB1875" s="12">
        <f t="shared" si="563"/>
        <v>0</v>
      </c>
      <c r="AC1875" s="12">
        <f t="shared" si="564"/>
        <v>0</v>
      </c>
      <c r="AD1875" s="34"/>
    </row>
    <row r="1876" spans="3:30" ht="16" x14ac:dyDescent="0.2">
      <c r="C1876" s="10">
        <f t="shared" si="558"/>
        <v>1873</v>
      </c>
      <c r="D1876" s="454"/>
      <c r="E1876" s="37"/>
      <c r="F1876" s="65"/>
      <c r="G1876" s="11" t="str">
        <f ca="1">IF(AND(E1876&lt;&gt;"",E1876&lt;TODAY()),"Disponible",IFERROR(INDEX(Vehiculos[Estado Vehiculo],MATCH(F1876,Vehiculos[Placa Vehiculo],0)),""))</f>
        <v/>
      </c>
      <c r="H1876" s="34"/>
      <c r="I1876" s="34"/>
      <c r="J1876" s="34"/>
      <c r="K1876" s="39"/>
      <c r="L1876" s="39"/>
      <c r="M1876" s="15">
        <f t="shared" si="559"/>
        <v>0</v>
      </c>
      <c r="N1876" s="15"/>
      <c r="O1876" s="39"/>
      <c r="P1876" s="36"/>
      <c r="Q1876" s="16">
        <f t="shared" si="560"/>
        <v>0</v>
      </c>
      <c r="R1876" s="34"/>
      <c r="S1876" s="34"/>
      <c r="T1876" s="36"/>
      <c r="U1876" s="36"/>
      <c r="V1876" s="36"/>
      <c r="W1876" s="36"/>
      <c r="X1876" s="36"/>
      <c r="Y1876" s="145">
        <f t="shared" si="561"/>
        <v>0</v>
      </c>
      <c r="Z1876" s="567"/>
      <c r="AA1876" s="12">
        <f t="shared" si="562"/>
        <v>0</v>
      </c>
      <c r="AB1876" s="12">
        <f t="shared" si="563"/>
        <v>0</v>
      </c>
      <c r="AC1876" s="12">
        <f t="shared" si="564"/>
        <v>0</v>
      </c>
      <c r="AD1876" s="34"/>
    </row>
    <row r="1877" spans="3:30" ht="16" x14ac:dyDescent="0.2">
      <c r="C1877" s="10">
        <f t="shared" si="558"/>
        <v>1874</v>
      </c>
      <c r="D1877" s="454"/>
      <c r="E1877" s="37"/>
      <c r="F1877" s="65"/>
      <c r="G1877" s="11" t="str">
        <f ca="1">IF(AND(E1877&lt;&gt;"",E1877&lt;TODAY()),"Disponible",IFERROR(INDEX(Vehiculos[Estado Vehiculo],MATCH(F1877,Vehiculos[Placa Vehiculo],0)),""))</f>
        <v/>
      </c>
      <c r="H1877" s="34"/>
      <c r="I1877" s="34"/>
      <c r="J1877" s="34"/>
      <c r="K1877" s="39"/>
      <c r="L1877" s="39"/>
      <c r="M1877" s="15">
        <f t="shared" si="559"/>
        <v>0</v>
      </c>
      <c r="N1877" s="15"/>
      <c r="O1877" s="39"/>
      <c r="P1877" s="36"/>
      <c r="Q1877" s="16">
        <f t="shared" si="560"/>
        <v>0</v>
      </c>
      <c r="R1877" s="34"/>
      <c r="S1877" s="34"/>
      <c r="T1877" s="36"/>
      <c r="U1877" s="36"/>
      <c r="V1877" s="36"/>
      <c r="W1877" s="36"/>
      <c r="X1877" s="36"/>
      <c r="Y1877" s="145">
        <f t="shared" si="561"/>
        <v>0</v>
      </c>
      <c r="Z1877" s="567"/>
      <c r="AA1877" s="12">
        <f t="shared" si="562"/>
        <v>0</v>
      </c>
      <c r="AB1877" s="12">
        <f t="shared" si="563"/>
        <v>0</v>
      </c>
      <c r="AC1877" s="12">
        <f t="shared" si="564"/>
        <v>0</v>
      </c>
      <c r="AD1877" s="34"/>
    </row>
    <row r="1878" spans="3:30" ht="16" x14ac:dyDescent="0.2">
      <c r="C1878" s="10">
        <f t="shared" si="558"/>
        <v>1875</v>
      </c>
      <c r="D1878" s="454"/>
      <c r="E1878" s="37"/>
      <c r="F1878" s="65"/>
      <c r="G1878" s="11" t="str">
        <f ca="1">IF(AND(E1878&lt;&gt;"",E1878&lt;TODAY()),"Disponible",IFERROR(INDEX(Vehiculos[Estado Vehiculo],MATCH(F1878,Vehiculos[Placa Vehiculo],0)),""))</f>
        <v/>
      </c>
      <c r="H1878" s="34"/>
      <c r="I1878" s="34"/>
      <c r="J1878" s="34"/>
      <c r="K1878" s="39"/>
      <c r="L1878" s="39"/>
      <c r="M1878" s="15">
        <f t="shared" si="559"/>
        <v>0</v>
      </c>
      <c r="N1878" s="15"/>
      <c r="O1878" s="39"/>
      <c r="P1878" s="36"/>
      <c r="Q1878" s="16">
        <f t="shared" si="560"/>
        <v>0</v>
      </c>
      <c r="R1878" s="34"/>
      <c r="S1878" s="34"/>
      <c r="T1878" s="36"/>
      <c r="U1878" s="36"/>
      <c r="V1878" s="36"/>
      <c r="W1878" s="36"/>
      <c r="X1878" s="36"/>
      <c r="Y1878" s="145">
        <f t="shared" si="561"/>
        <v>0</v>
      </c>
      <c r="Z1878" s="567"/>
      <c r="AA1878" s="12">
        <f t="shared" si="562"/>
        <v>0</v>
      </c>
      <c r="AB1878" s="12">
        <f t="shared" si="563"/>
        <v>0</v>
      </c>
      <c r="AC1878" s="12">
        <f t="shared" si="564"/>
        <v>0</v>
      </c>
      <c r="AD1878" s="34"/>
    </row>
    <row r="1879" spans="3:30" ht="16" x14ac:dyDescent="0.2">
      <c r="C1879" s="10">
        <f t="shared" si="558"/>
        <v>1876</v>
      </c>
      <c r="D1879" s="454"/>
      <c r="E1879" s="37"/>
      <c r="F1879" s="65"/>
      <c r="G1879" s="11" t="str">
        <f ca="1">IF(AND(E1879&lt;&gt;"",E1879&lt;TODAY()),"Disponible",IFERROR(INDEX(Vehiculos[Estado Vehiculo],MATCH(F1879,Vehiculos[Placa Vehiculo],0)),""))</f>
        <v/>
      </c>
      <c r="H1879" s="34"/>
      <c r="I1879" s="34"/>
      <c r="J1879" s="34"/>
      <c r="K1879" s="39"/>
      <c r="L1879" s="39"/>
      <c r="M1879" s="15">
        <f t="shared" si="559"/>
        <v>0</v>
      </c>
      <c r="N1879" s="15"/>
      <c r="O1879" s="39"/>
      <c r="P1879" s="36"/>
      <c r="Q1879" s="16">
        <f t="shared" si="560"/>
        <v>0</v>
      </c>
      <c r="R1879" s="34"/>
      <c r="S1879" s="34"/>
      <c r="T1879" s="36"/>
      <c r="U1879" s="36"/>
      <c r="V1879" s="36"/>
      <c r="W1879" s="36"/>
      <c r="X1879" s="36"/>
      <c r="Y1879" s="145">
        <f t="shared" si="561"/>
        <v>0</v>
      </c>
      <c r="Z1879" s="567"/>
      <c r="AA1879" s="12">
        <f t="shared" si="562"/>
        <v>0</v>
      </c>
      <c r="AB1879" s="12">
        <f t="shared" si="563"/>
        <v>0</v>
      </c>
      <c r="AC1879" s="12">
        <f t="shared" si="564"/>
        <v>0</v>
      </c>
      <c r="AD1879" s="34"/>
    </row>
    <row r="1880" spans="3:30" ht="16" x14ac:dyDescent="0.2">
      <c r="C1880" s="10">
        <f t="shared" si="558"/>
        <v>1877</v>
      </c>
      <c r="D1880" s="454"/>
      <c r="E1880" s="37"/>
      <c r="F1880" s="65"/>
      <c r="G1880" s="11" t="str">
        <f ca="1">IF(AND(E1880&lt;&gt;"",E1880&lt;TODAY()),"Disponible",IFERROR(INDEX(Vehiculos[Estado Vehiculo],MATCH(F1880,Vehiculos[Placa Vehiculo],0)),""))</f>
        <v/>
      </c>
      <c r="H1880" s="34"/>
      <c r="I1880" s="34"/>
      <c r="J1880" s="34"/>
      <c r="K1880" s="39"/>
      <c r="L1880" s="39"/>
      <c r="M1880" s="15">
        <f t="shared" si="559"/>
        <v>0</v>
      </c>
      <c r="N1880" s="15"/>
      <c r="O1880" s="39"/>
      <c r="P1880" s="36"/>
      <c r="Q1880" s="16">
        <f t="shared" si="560"/>
        <v>0</v>
      </c>
      <c r="R1880" s="34"/>
      <c r="S1880" s="34"/>
      <c r="T1880" s="36"/>
      <c r="U1880" s="36"/>
      <c r="V1880" s="36"/>
      <c r="W1880" s="36"/>
      <c r="X1880" s="36"/>
      <c r="Y1880" s="145">
        <f t="shared" si="561"/>
        <v>0</v>
      </c>
      <c r="Z1880" s="567"/>
      <c r="AA1880" s="12">
        <f t="shared" si="562"/>
        <v>0</v>
      </c>
      <c r="AB1880" s="12">
        <f t="shared" si="563"/>
        <v>0</v>
      </c>
      <c r="AC1880" s="12">
        <f t="shared" si="564"/>
        <v>0</v>
      </c>
      <c r="AD1880" s="34"/>
    </row>
    <row r="1881" spans="3:30" ht="16" x14ac:dyDescent="0.2">
      <c r="C1881" s="10">
        <f t="shared" si="558"/>
        <v>1878</v>
      </c>
      <c r="D1881" s="454"/>
      <c r="E1881" s="37"/>
      <c r="F1881" s="65"/>
      <c r="G1881" s="11" t="str">
        <f ca="1">IF(AND(E1881&lt;&gt;"",E1881&lt;TODAY()),"Disponible",IFERROR(INDEX(Vehiculos[Estado Vehiculo],MATCH(F1881,Vehiculos[Placa Vehiculo],0)),""))</f>
        <v/>
      </c>
      <c r="H1881" s="34"/>
      <c r="I1881" s="34"/>
      <c r="J1881" s="34"/>
      <c r="K1881" s="39"/>
      <c r="L1881" s="39"/>
      <c r="M1881" s="15">
        <f t="shared" si="559"/>
        <v>0</v>
      </c>
      <c r="N1881" s="15"/>
      <c r="O1881" s="39"/>
      <c r="P1881" s="36"/>
      <c r="Q1881" s="16">
        <f t="shared" si="560"/>
        <v>0</v>
      </c>
      <c r="R1881" s="34"/>
      <c r="S1881" s="34"/>
      <c r="T1881" s="36"/>
      <c r="U1881" s="36"/>
      <c r="V1881" s="36"/>
      <c r="W1881" s="36"/>
      <c r="X1881" s="36"/>
      <c r="Y1881" s="145">
        <f t="shared" si="561"/>
        <v>0</v>
      </c>
      <c r="Z1881" s="567"/>
      <c r="AA1881" s="12">
        <f t="shared" si="562"/>
        <v>0</v>
      </c>
      <c r="AB1881" s="12">
        <f t="shared" si="563"/>
        <v>0</v>
      </c>
      <c r="AC1881" s="12">
        <f t="shared" si="564"/>
        <v>0</v>
      </c>
      <c r="AD1881" s="34"/>
    </row>
    <row r="1882" spans="3:30" ht="16" x14ac:dyDescent="0.2">
      <c r="C1882" s="10">
        <f t="shared" si="558"/>
        <v>1879</v>
      </c>
      <c r="D1882" s="454"/>
      <c r="E1882" s="37"/>
      <c r="F1882" s="65"/>
      <c r="G1882" s="11" t="str">
        <f ca="1">IF(AND(E1882&lt;&gt;"",E1882&lt;TODAY()),"Disponible",IFERROR(INDEX(Vehiculos[Estado Vehiculo],MATCH(F1882,Vehiculos[Placa Vehiculo],0)),""))</f>
        <v/>
      </c>
      <c r="H1882" s="34"/>
      <c r="I1882" s="34"/>
      <c r="J1882" s="34"/>
      <c r="K1882" s="39"/>
      <c r="L1882" s="39"/>
      <c r="M1882" s="15">
        <f t="shared" si="559"/>
        <v>0</v>
      </c>
      <c r="N1882" s="15"/>
      <c r="O1882" s="39"/>
      <c r="P1882" s="36"/>
      <c r="Q1882" s="16">
        <f t="shared" si="560"/>
        <v>0</v>
      </c>
      <c r="R1882" s="34"/>
      <c r="S1882" s="34"/>
      <c r="T1882" s="36"/>
      <c r="U1882" s="36"/>
      <c r="V1882" s="36"/>
      <c r="W1882" s="36"/>
      <c r="X1882" s="36"/>
      <c r="Y1882" s="145">
        <f t="shared" si="561"/>
        <v>0</v>
      </c>
      <c r="Z1882" s="567"/>
      <c r="AA1882" s="12">
        <f t="shared" si="562"/>
        <v>0</v>
      </c>
      <c r="AB1882" s="12">
        <f t="shared" si="563"/>
        <v>0</v>
      </c>
      <c r="AC1882" s="12">
        <f t="shared" si="564"/>
        <v>0</v>
      </c>
      <c r="AD1882" s="34"/>
    </row>
    <row r="1883" spans="3:30" ht="16" x14ac:dyDescent="0.2">
      <c r="C1883" s="10">
        <f t="shared" si="558"/>
        <v>1880</v>
      </c>
      <c r="D1883" s="454"/>
      <c r="E1883" s="37"/>
      <c r="F1883" s="65"/>
      <c r="G1883" s="11" t="str">
        <f ca="1">IF(AND(E1883&lt;&gt;"",E1883&lt;TODAY()),"Disponible",IFERROR(INDEX(Vehiculos[Estado Vehiculo],MATCH(F1883,Vehiculos[Placa Vehiculo],0)),""))</f>
        <v/>
      </c>
      <c r="H1883" s="34"/>
      <c r="I1883" s="34"/>
      <c r="J1883" s="34"/>
      <c r="K1883" s="39"/>
      <c r="L1883" s="39"/>
      <c r="M1883" s="15">
        <f t="shared" si="559"/>
        <v>0</v>
      </c>
      <c r="N1883" s="15"/>
      <c r="O1883" s="39"/>
      <c r="P1883" s="36"/>
      <c r="Q1883" s="16">
        <f t="shared" si="560"/>
        <v>0</v>
      </c>
      <c r="R1883" s="34"/>
      <c r="S1883" s="34"/>
      <c r="T1883" s="36"/>
      <c r="U1883" s="36"/>
      <c r="V1883" s="36"/>
      <c r="W1883" s="36"/>
      <c r="X1883" s="36"/>
      <c r="Y1883" s="145">
        <f t="shared" si="561"/>
        <v>0</v>
      </c>
      <c r="Z1883" s="567"/>
      <c r="AA1883" s="12">
        <f t="shared" si="562"/>
        <v>0</v>
      </c>
      <c r="AB1883" s="12">
        <f t="shared" si="563"/>
        <v>0</v>
      </c>
      <c r="AC1883" s="12">
        <f t="shared" si="564"/>
        <v>0</v>
      </c>
      <c r="AD1883" s="34"/>
    </row>
    <row r="1884" spans="3:30" ht="16" x14ac:dyDescent="0.2">
      <c r="C1884" s="10">
        <f t="shared" si="558"/>
        <v>1881</v>
      </c>
      <c r="D1884" s="454"/>
      <c r="E1884" s="37"/>
      <c r="F1884" s="65"/>
      <c r="G1884" s="11" t="str">
        <f ca="1">IF(AND(E1884&lt;&gt;"",E1884&lt;TODAY()),"Disponible",IFERROR(INDEX(Vehiculos[Estado Vehiculo],MATCH(F1884,Vehiculos[Placa Vehiculo],0)),""))</f>
        <v/>
      </c>
      <c r="H1884" s="34"/>
      <c r="I1884" s="34"/>
      <c r="J1884" s="34"/>
      <c r="K1884" s="39"/>
      <c r="L1884" s="39"/>
      <c r="M1884" s="15">
        <f t="shared" si="559"/>
        <v>0</v>
      </c>
      <c r="N1884" s="15"/>
      <c r="O1884" s="39"/>
      <c r="P1884" s="36"/>
      <c r="Q1884" s="16">
        <f t="shared" si="560"/>
        <v>0</v>
      </c>
      <c r="R1884" s="34"/>
      <c r="S1884" s="34"/>
      <c r="T1884" s="36"/>
      <c r="U1884" s="36"/>
      <c r="V1884" s="36"/>
      <c r="W1884" s="36"/>
      <c r="X1884" s="36"/>
      <c r="Y1884" s="145">
        <f t="shared" si="561"/>
        <v>0</v>
      </c>
      <c r="Z1884" s="567"/>
      <c r="AA1884" s="12">
        <f t="shared" si="562"/>
        <v>0</v>
      </c>
      <c r="AB1884" s="12">
        <f t="shared" si="563"/>
        <v>0</v>
      </c>
      <c r="AC1884" s="12">
        <f t="shared" si="564"/>
        <v>0</v>
      </c>
      <c r="AD1884" s="34"/>
    </row>
    <row r="1885" spans="3:30" ht="16" x14ac:dyDescent="0.2">
      <c r="C1885" s="10">
        <f t="shared" si="558"/>
        <v>1882</v>
      </c>
      <c r="D1885" s="454"/>
      <c r="E1885" s="37"/>
      <c r="F1885" s="65"/>
      <c r="G1885" s="11" t="str">
        <f ca="1">IF(AND(E1885&lt;&gt;"",E1885&lt;TODAY()),"Disponible",IFERROR(INDEX(Vehiculos[Estado Vehiculo],MATCH(F1885,Vehiculos[Placa Vehiculo],0)),""))</f>
        <v/>
      </c>
      <c r="H1885" s="34"/>
      <c r="I1885" s="34"/>
      <c r="J1885" s="34"/>
      <c r="K1885" s="39"/>
      <c r="L1885" s="39"/>
      <c r="M1885" s="15">
        <f t="shared" si="559"/>
        <v>0</v>
      </c>
      <c r="N1885" s="15"/>
      <c r="O1885" s="39"/>
      <c r="P1885" s="36"/>
      <c r="Q1885" s="16">
        <f t="shared" si="560"/>
        <v>0</v>
      </c>
      <c r="R1885" s="34"/>
      <c r="S1885" s="34"/>
      <c r="T1885" s="36"/>
      <c r="U1885" s="36"/>
      <c r="V1885" s="36"/>
      <c r="W1885" s="36"/>
      <c r="X1885" s="36"/>
      <c r="Y1885" s="145">
        <f t="shared" si="561"/>
        <v>0</v>
      </c>
      <c r="Z1885" s="567"/>
      <c r="AA1885" s="12">
        <f t="shared" si="562"/>
        <v>0</v>
      </c>
      <c r="AB1885" s="12">
        <f t="shared" si="563"/>
        <v>0</v>
      </c>
      <c r="AC1885" s="12">
        <f t="shared" si="564"/>
        <v>0</v>
      </c>
      <c r="AD1885" s="34"/>
    </row>
    <row r="1886" spans="3:30" ht="16" x14ac:dyDescent="0.2">
      <c r="C1886" s="10">
        <f t="shared" si="558"/>
        <v>1883</v>
      </c>
      <c r="D1886" s="454"/>
      <c r="E1886" s="37"/>
      <c r="F1886" s="65"/>
      <c r="G1886" s="11" t="str">
        <f ca="1">IF(AND(E1886&lt;&gt;"",E1886&lt;TODAY()),"Disponible",IFERROR(INDEX(Vehiculos[Estado Vehiculo],MATCH(F1886,Vehiculos[Placa Vehiculo],0)),""))</f>
        <v/>
      </c>
      <c r="H1886" s="34"/>
      <c r="I1886" s="34"/>
      <c r="J1886" s="34"/>
      <c r="K1886" s="39"/>
      <c r="L1886" s="39"/>
      <c r="M1886" s="15">
        <f t="shared" si="559"/>
        <v>0</v>
      </c>
      <c r="N1886" s="15"/>
      <c r="O1886" s="39"/>
      <c r="P1886" s="36"/>
      <c r="Q1886" s="16">
        <f t="shared" si="560"/>
        <v>0</v>
      </c>
      <c r="R1886" s="34"/>
      <c r="S1886" s="34"/>
      <c r="T1886" s="36"/>
      <c r="U1886" s="36"/>
      <c r="V1886" s="36"/>
      <c r="W1886" s="36"/>
      <c r="X1886" s="36"/>
      <c r="Y1886" s="145">
        <f t="shared" si="561"/>
        <v>0</v>
      </c>
      <c r="Z1886" s="567"/>
      <c r="AA1886" s="12">
        <f t="shared" si="562"/>
        <v>0</v>
      </c>
      <c r="AB1886" s="12">
        <f t="shared" si="563"/>
        <v>0</v>
      </c>
      <c r="AC1886" s="12">
        <f t="shared" si="564"/>
        <v>0</v>
      </c>
      <c r="AD1886" s="34"/>
    </row>
    <row r="1887" spans="3:30" ht="16" x14ac:dyDescent="0.2">
      <c r="C1887" s="10">
        <f t="shared" si="558"/>
        <v>1884</v>
      </c>
      <c r="D1887" s="454"/>
      <c r="E1887" s="37"/>
      <c r="F1887" s="65"/>
      <c r="G1887" s="11" t="str">
        <f ca="1">IF(AND(E1887&lt;&gt;"",E1887&lt;TODAY()),"Disponible",IFERROR(INDEX(Vehiculos[Estado Vehiculo],MATCH(F1887,Vehiculos[Placa Vehiculo],0)),""))</f>
        <v/>
      </c>
      <c r="H1887" s="34"/>
      <c r="I1887" s="34"/>
      <c r="J1887" s="34"/>
      <c r="K1887" s="39"/>
      <c r="L1887" s="39"/>
      <c r="M1887" s="15">
        <f t="shared" si="559"/>
        <v>0</v>
      </c>
      <c r="N1887" s="15"/>
      <c r="O1887" s="39"/>
      <c r="P1887" s="36"/>
      <c r="Q1887" s="16">
        <f t="shared" si="560"/>
        <v>0</v>
      </c>
      <c r="R1887" s="34"/>
      <c r="S1887" s="34"/>
      <c r="T1887" s="36"/>
      <c r="U1887" s="36"/>
      <c r="V1887" s="36"/>
      <c r="W1887" s="36"/>
      <c r="X1887" s="36"/>
      <c r="Y1887" s="145">
        <f t="shared" si="561"/>
        <v>0</v>
      </c>
      <c r="Z1887" s="567"/>
      <c r="AA1887" s="12">
        <f t="shared" si="562"/>
        <v>0</v>
      </c>
      <c r="AB1887" s="12">
        <f t="shared" si="563"/>
        <v>0</v>
      </c>
      <c r="AC1887" s="12">
        <f t="shared" si="564"/>
        <v>0</v>
      </c>
      <c r="AD1887" s="34"/>
    </row>
    <row r="1888" spans="3:30" ht="16" x14ac:dyDescent="0.2">
      <c r="C1888" s="10">
        <f t="shared" si="558"/>
        <v>1885</v>
      </c>
      <c r="D1888" s="454"/>
      <c r="E1888" s="37"/>
      <c r="F1888" s="65"/>
      <c r="G1888" s="11" t="str">
        <f ca="1">IF(AND(E1888&lt;&gt;"",E1888&lt;TODAY()),"Disponible",IFERROR(INDEX(Vehiculos[Estado Vehiculo],MATCH(F1888,Vehiculos[Placa Vehiculo],0)),""))</f>
        <v/>
      </c>
      <c r="H1888" s="34"/>
      <c r="I1888" s="34"/>
      <c r="J1888" s="34"/>
      <c r="K1888" s="39"/>
      <c r="L1888" s="39"/>
      <c r="M1888" s="15">
        <f t="shared" si="559"/>
        <v>0</v>
      </c>
      <c r="N1888" s="15"/>
      <c r="O1888" s="39"/>
      <c r="P1888" s="36"/>
      <c r="Q1888" s="16">
        <f t="shared" si="560"/>
        <v>0</v>
      </c>
      <c r="R1888" s="34"/>
      <c r="S1888" s="34"/>
      <c r="T1888" s="36"/>
      <c r="U1888" s="36"/>
      <c r="V1888" s="36"/>
      <c r="W1888" s="36"/>
      <c r="X1888" s="36"/>
      <c r="Y1888" s="145">
        <f t="shared" si="561"/>
        <v>0</v>
      </c>
      <c r="Z1888" s="567"/>
      <c r="AA1888" s="12">
        <f t="shared" si="562"/>
        <v>0</v>
      </c>
      <c r="AB1888" s="12">
        <f t="shared" si="563"/>
        <v>0</v>
      </c>
      <c r="AC1888" s="12">
        <f t="shared" si="564"/>
        <v>0</v>
      </c>
      <c r="AD1888" s="34"/>
    </row>
    <row r="1889" spans="3:30" ht="16" x14ac:dyDescent="0.2">
      <c r="C1889" s="10">
        <f t="shared" si="558"/>
        <v>1886</v>
      </c>
      <c r="D1889" s="454"/>
      <c r="E1889" s="37"/>
      <c r="F1889" s="65"/>
      <c r="G1889" s="11" t="str">
        <f ca="1">IF(AND(E1889&lt;&gt;"",E1889&lt;TODAY()),"Disponible",IFERROR(INDEX(Vehiculos[Estado Vehiculo],MATCH(F1889,Vehiculos[Placa Vehiculo],0)),""))</f>
        <v/>
      </c>
      <c r="H1889" s="34"/>
      <c r="I1889" s="34"/>
      <c r="J1889" s="34"/>
      <c r="K1889" s="39"/>
      <c r="L1889" s="39"/>
      <c r="M1889" s="15">
        <f t="shared" si="559"/>
        <v>0</v>
      </c>
      <c r="N1889" s="15"/>
      <c r="O1889" s="39"/>
      <c r="P1889" s="36"/>
      <c r="Q1889" s="16">
        <f t="shared" si="560"/>
        <v>0</v>
      </c>
      <c r="R1889" s="34"/>
      <c r="S1889" s="34"/>
      <c r="T1889" s="36"/>
      <c r="U1889" s="36"/>
      <c r="V1889" s="36"/>
      <c r="W1889" s="36"/>
      <c r="X1889" s="36"/>
      <c r="Y1889" s="145">
        <f t="shared" si="561"/>
        <v>0</v>
      </c>
      <c r="Z1889" s="567"/>
      <c r="AA1889" s="12">
        <f t="shared" si="562"/>
        <v>0</v>
      </c>
      <c r="AB1889" s="12">
        <f t="shared" si="563"/>
        <v>0</v>
      </c>
      <c r="AC1889" s="12">
        <f t="shared" si="564"/>
        <v>0</v>
      </c>
      <c r="AD1889" s="34"/>
    </row>
    <row r="1890" spans="3:30" ht="16" x14ac:dyDescent="0.2">
      <c r="C1890" s="10">
        <f t="shared" si="558"/>
        <v>1887</v>
      </c>
      <c r="D1890" s="454"/>
      <c r="E1890" s="37"/>
      <c r="F1890" s="65"/>
      <c r="G1890" s="11" t="str">
        <f ca="1">IF(AND(E1890&lt;&gt;"",E1890&lt;TODAY()),"Disponible",IFERROR(INDEX(Vehiculos[Estado Vehiculo],MATCH(F1890,Vehiculos[Placa Vehiculo],0)),""))</f>
        <v/>
      </c>
      <c r="H1890" s="34"/>
      <c r="I1890" s="34"/>
      <c r="J1890" s="34"/>
      <c r="K1890" s="39"/>
      <c r="L1890" s="39"/>
      <c r="M1890" s="15">
        <f t="shared" si="559"/>
        <v>0</v>
      </c>
      <c r="N1890" s="15"/>
      <c r="O1890" s="39"/>
      <c r="P1890" s="36"/>
      <c r="Q1890" s="16">
        <f t="shared" si="560"/>
        <v>0</v>
      </c>
      <c r="R1890" s="34"/>
      <c r="S1890" s="34"/>
      <c r="T1890" s="36"/>
      <c r="U1890" s="36"/>
      <c r="V1890" s="36"/>
      <c r="W1890" s="36"/>
      <c r="X1890" s="36"/>
      <c r="Y1890" s="145">
        <f t="shared" si="561"/>
        <v>0</v>
      </c>
      <c r="Z1890" s="567"/>
      <c r="AA1890" s="12">
        <f t="shared" si="562"/>
        <v>0</v>
      </c>
      <c r="AB1890" s="12">
        <f t="shared" si="563"/>
        <v>0</v>
      </c>
      <c r="AC1890" s="12">
        <f t="shared" si="564"/>
        <v>0</v>
      </c>
      <c r="AD1890" s="34"/>
    </row>
    <row r="1891" spans="3:30" ht="16" x14ac:dyDescent="0.2">
      <c r="C1891" s="10">
        <f t="shared" si="558"/>
        <v>1888</v>
      </c>
      <c r="D1891" s="454"/>
      <c r="E1891" s="37"/>
      <c r="F1891" s="65"/>
      <c r="G1891" s="11" t="str">
        <f ca="1">IF(AND(E1891&lt;&gt;"",E1891&lt;TODAY()),"Disponible",IFERROR(INDEX(Vehiculos[Estado Vehiculo],MATCH(F1891,Vehiculos[Placa Vehiculo],0)),""))</f>
        <v/>
      </c>
      <c r="H1891" s="34"/>
      <c r="I1891" s="34"/>
      <c r="J1891" s="34"/>
      <c r="K1891" s="39"/>
      <c r="L1891" s="39"/>
      <c r="M1891" s="15">
        <f t="shared" si="559"/>
        <v>0</v>
      </c>
      <c r="N1891" s="15"/>
      <c r="O1891" s="39"/>
      <c r="P1891" s="36"/>
      <c r="Q1891" s="16">
        <f t="shared" si="560"/>
        <v>0</v>
      </c>
      <c r="R1891" s="34"/>
      <c r="S1891" s="34"/>
      <c r="T1891" s="36"/>
      <c r="U1891" s="36"/>
      <c r="V1891" s="36"/>
      <c r="W1891" s="36"/>
      <c r="X1891" s="36"/>
      <c r="Y1891" s="145">
        <f t="shared" si="561"/>
        <v>0</v>
      </c>
      <c r="Z1891" s="567"/>
      <c r="AA1891" s="12">
        <f t="shared" si="562"/>
        <v>0</v>
      </c>
      <c r="AB1891" s="12">
        <f t="shared" si="563"/>
        <v>0</v>
      </c>
      <c r="AC1891" s="12">
        <f t="shared" si="564"/>
        <v>0</v>
      </c>
      <c r="AD1891" s="34"/>
    </row>
    <row r="1892" spans="3:30" ht="16" x14ac:dyDescent="0.2">
      <c r="C1892" s="10">
        <f t="shared" si="558"/>
        <v>1889</v>
      </c>
      <c r="D1892" s="454"/>
      <c r="E1892" s="37"/>
      <c r="F1892" s="65"/>
      <c r="G1892" s="11" t="str">
        <f ca="1">IF(AND(E1892&lt;&gt;"",E1892&lt;TODAY()),"Disponible",IFERROR(INDEX(Vehiculos[Estado Vehiculo],MATCH(F1892,Vehiculos[Placa Vehiculo],0)),""))</f>
        <v/>
      </c>
      <c r="H1892" s="34"/>
      <c r="I1892" s="34"/>
      <c r="J1892" s="34"/>
      <c r="K1892" s="39"/>
      <c r="L1892" s="39"/>
      <c r="M1892" s="15">
        <f t="shared" si="559"/>
        <v>0</v>
      </c>
      <c r="N1892" s="15"/>
      <c r="O1892" s="39"/>
      <c r="P1892" s="36"/>
      <c r="Q1892" s="16">
        <f t="shared" si="560"/>
        <v>0</v>
      </c>
      <c r="R1892" s="34"/>
      <c r="S1892" s="34"/>
      <c r="T1892" s="36"/>
      <c r="U1892" s="36"/>
      <c r="V1892" s="36"/>
      <c r="W1892" s="36"/>
      <c r="X1892" s="36"/>
      <c r="Y1892" s="145">
        <f t="shared" si="561"/>
        <v>0</v>
      </c>
      <c r="Z1892" s="567"/>
      <c r="AA1892" s="12">
        <f t="shared" si="562"/>
        <v>0</v>
      </c>
      <c r="AB1892" s="12">
        <f t="shared" si="563"/>
        <v>0</v>
      </c>
      <c r="AC1892" s="12">
        <f t="shared" si="564"/>
        <v>0</v>
      </c>
      <c r="AD1892" s="34"/>
    </row>
    <row r="1893" spans="3:30" ht="16" x14ac:dyDescent="0.2">
      <c r="C1893" s="10">
        <f t="shared" si="558"/>
        <v>1890</v>
      </c>
      <c r="D1893" s="454"/>
      <c r="E1893" s="37"/>
      <c r="F1893" s="65"/>
      <c r="G1893" s="11" t="str">
        <f ca="1">IF(AND(E1893&lt;&gt;"",E1893&lt;TODAY()),"Disponible",IFERROR(INDEX(Vehiculos[Estado Vehiculo],MATCH(F1893,Vehiculos[Placa Vehiculo],0)),""))</f>
        <v/>
      </c>
      <c r="H1893" s="34"/>
      <c r="I1893" s="34"/>
      <c r="J1893" s="34"/>
      <c r="K1893" s="39"/>
      <c r="L1893" s="39"/>
      <c r="M1893" s="15">
        <f t="shared" si="559"/>
        <v>0</v>
      </c>
      <c r="N1893" s="15"/>
      <c r="O1893" s="39"/>
      <c r="P1893" s="36"/>
      <c r="Q1893" s="16">
        <f t="shared" si="560"/>
        <v>0</v>
      </c>
      <c r="R1893" s="34"/>
      <c r="S1893" s="34"/>
      <c r="T1893" s="36"/>
      <c r="U1893" s="36"/>
      <c r="V1893" s="36"/>
      <c r="W1893" s="36"/>
      <c r="X1893" s="36"/>
      <c r="Y1893" s="145">
        <f t="shared" si="561"/>
        <v>0</v>
      </c>
      <c r="Z1893" s="567"/>
      <c r="AA1893" s="12">
        <f t="shared" si="562"/>
        <v>0</v>
      </c>
      <c r="AB1893" s="12">
        <f t="shared" si="563"/>
        <v>0</v>
      </c>
      <c r="AC1893" s="12">
        <f t="shared" si="564"/>
        <v>0</v>
      </c>
      <c r="AD1893" s="34"/>
    </row>
    <row r="1894" spans="3:30" ht="16" x14ac:dyDescent="0.2">
      <c r="C1894" s="10">
        <f t="shared" si="558"/>
        <v>1891</v>
      </c>
      <c r="D1894" s="454"/>
      <c r="E1894" s="37"/>
      <c r="F1894" s="65"/>
      <c r="G1894" s="11" t="str">
        <f ca="1">IF(AND(E1894&lt;&gt;"",E1894&lt;TODAY()),"Disponible",IFERROR(INDEX(Vehiculos[Estado Vehiculo],MATCH(F1894,Vehiculos[Placa Vehiculo],0)),""))</f>
        <v/>
      </c>
      <c r="H1894" s="34"/>
      <c r="I1894" s="34"/>
      <c r="J1894" s="34"/>
      <c r="K1894" s="39"/>
      <c r="L1894" s="39"/>
      <c r="M1894" s="15">
        <f t="shared" si="559"/>
        <v>0</v>
      </c>
      <c r="N1894" s="15"/>
      <c r="O1894" s="39"/>
      <c r="P1894" s="36"/>
      <c r="Q1894" s="16">
        <f t="shared" si="560"/>
        <v>0</v>
      </c>
      <c r="R1894" s="34"/>
      <c r="S1894" s="34"/>
      <c r="T1894" s="36"/>
      <c r="U1894" s="36"/>
      <c r="V1894" s="36"/>
      <c r="W1894" s="36"/>
      <c r="X1894" s="36"/>
      <c r="Y1894" s="145">
        <f t="shared" si="561"/>
        <v>0</v>
      </c>
      <c r="Z1894" s="567"/>
      <c r="AA1894" s="12">
        <f t="shared" si="562"/>
        <v>0</v>
      </c>
      <c r="AB1894" s="12">
        <f t="shared" si="563"/>
        <v>0</v>
      </c>
      <c r="AC1894" s="12">
        <f t="shared" si="564"/>
        <v>0</v>
      </c>
      <c r="AD1894" s="34"/>
    </row>
    <row r="1895" spans="3:30" ht="16" x14ac:dyDescent="0.2">
      <c r="C1895" s="10">
        <f t="shared" si="558"/>
        <v>1892</v>
      </c>
      <c r="D1895" s="454"/>
      <c r="E1895" s="37"/>
      <c r="F1895" s="65"/>
      <c r="G1895" s="11" t="str">
        <f ca="1">IF(AND(E1895&lt;&gt;"",E1895&lt;TODAY()),"Disponible",IFERROR(INDEX(Vehiculos[Estado Vehiculo],MATCH(F1895,Vehiculos[Placa Vehiculo],0)),""))</f>
        <v/>
      </c>
      <c r="H1895" s="34"/>
      <c r="I1895" s="34"/>
      <c r="J1895" s="34"/>
      <c r="K1895" s="39"/>
      <c r="L1895" s="39"/>
      <c r="M1895" s="15">
        <f t="shared" si="559"/>
        <v>0</v>
      </c>
      <c r="N1895" s="15"/>
      <c r="O1895" s="39"/>
      <c r="P1895" s="36"/>
      <c r="Q1895" s="16">
        <f t="shared" si="560"/>
        <v>0</v>
      </c>
      <c r="R1895" s="34"/>
      <c r="S1895" s="34"/>
      <c r="T1895" s="36"/>
      <c r="U1895" s="36"/>
      <c r="V1895" s="36"/>
      <c r="W1895" s="36"/>
      <c r="X1895" s="36"/>
      <c r="Y1895" s="145">
        <f t="shared" si="561"/>
        <v>0</v>
      </c>
      <c r="Z1895" s="567"/>
      <c r="AA1895" s="12">
        <f t="shared" si="562"/>
        <v>0</v>
      </c>
      <c r="AB1895" s="12">
        <f t="shared" si="563"/>
        <v>0</v>
      </c>
      <c r="AC1895" s="12">
        <f t="shared" si="564"/>
        <v>0</v>
      </c>
      <c r="AD1895" s="34"/>
    </row>
    <row r="1896" spans="3:30" ht="16" x14ac:dyDescent="0.2">
      <c r="C1896" s="10">
        <f t="shared" si="558"/>
        <v>1893</v>
      </c>
      <c r="D1896" s="454"/>
      <c r="E1896" s="37"/>
      <c r="F1896" s="65"/>
      <c r="G1896" s="11" t="str">
        <f ca="1">IF(AND(E1896&lt;&gt;"",E1896&lt;TODAY()),"Disponible",IFERROR(INDEX(Vehiculos[Estado Vehiculo],MATCH(F1896,Vehiculos[Placa Vehiculo],0)),""))</f>
        <v/>
      </c>
      <c r="H1896" s="34"/>
      <c r="I1896" s="34"/>
      <c r="J1896" s="34"/>
      <c r="K1896" s="39"/>
      <c r="L1896" s="39"/>
      <c r="M1896" s="15">
        <f t="shared" si="559"/>
        <v>0</v>
      </c>
      <c r="N1896" s="15"/>
      <c r="O1896" s="39"/>
      <c r="P1896" s="36"/>
      <c r="Q1896" s="16">
        <f t="shared" si="560"/>
        <v>0</v>
      </c>
      <c r="R1896" s="34"/>
      <c r="S1896" s="34"/>
      <c r="T1896" s="36"/>
      <c r="U1896" s="36"/>
      <c r="V1896" s="36"/>
      <c r="W1896" s="36"/>
      <c r="X1896" s="36"/>
      <c r="Y1896" s="145">
        <f t="shared" si="561"/>
        <v>0</v>
      </c>
      <c r="Z1896" s="567"/>
      <c r="AA1896" s="12">
        <f t="shared" si="562"/>
        <v>0</v>
      </c>
      <c r="AB1896" s="12">
        <f t="shared" si="563"/>
        <v>0</v>
      </c>
      <c r="AC1896" s="12">
        <f t="shared" si="564"/>
        <v>0</v>
      </c>
      <c r="AD1896" s="34"/>
    </row>
    <row r="1897" spans="3:30" ht="16" x14ac:dyDescent="0.2">
      <c r="C1897" s="10">
        <f t="shared" si="558"/>
        <v>1894</v>
      </c>
      <c r="D1897" s="454"/>
      <c r="E1897" s="37"/>
      <c r="F1897" s="65"/>
      <c r="G1897" s="11" t="str">
        <f ca="1">IF(AND(E1897&lt;&gt;"",E1897&lt;TODAY()),"Disponible",IFERROR(INDEX(Vehiculos[Estado Vehiculo],MATCH(F1897,Vehiculos[Placa Vehiculo],0)),""))</f>
        <v/>
      </c>
      <c r="H1897" s="34"/>
      <c r="I1897" s="34"/>
      <c r="J1897" s="34"/>
      <c r="K1897" s="39"/>
      <c r="L1897" s="39"/>
      <c r="M1897" s="15">
        <f t="shared" si="559"/>
        <v>0</v>
      </c>
      <c r="N1897" s="15"/>
      <c r="O1897" s="39"/>
      <c r="P1897" s="36"/>
      <c r="Q1897" s="16">
        <f t="shared" si="560"/>
        <v>0</v>
      </c>
      <c r="R1897" s="34"/>
      <c r="S1897" s="34"/>
      <c r="T1897" s="36"/>
      <c r="U1897" s="36"/>
      <c r="V1897" s="36"/>
      <c r="W1897" s="36"/>
      <c r="X1897" s="36"/>
      <c r="Y1897" s="145">
        <f t="shared" si="561"/>
        <v>0</v>
      </c>
      <c r="Z1897" s="567"/>
      <c r="AA1897" s="12">
        <f t="shared" si="562"/>
        <v>0</v>
      </c>
      <c r="AB1897" s="12">
        <f t="shared" si="563"/>
        <v>0</v>
      </c>
      <c r="AC1897" s="12">
        <f t="shared" si="564"/>
        <v>0</v>
      </c>
      <c r="AD1897" s="34"/>
    </row>
    <row r="1898" spans="3:30" ht="16" x14ac:dyDescent="0.2">
      <c r="C1898" s="10">
        <f t="shared" si="558"/>
        <v>1895</v>
      </c>
      <c r="D1898" s="454"/>
      <c r="E1898" s="37"/>
      <c r="F1898" s="65"/>
      <c r="G1898" s="11" t="str">
        <f ca="1">IF(AND(E1898&lt;&gt;"",E1898&lt;TODAY()),"Disponible",IFERROR(INDEX(Vehiculos[Estado Vehiculo],MATCH(F1898,Vehiculos[Placa Vehiculo],0)),""))</f>
        <v/>
      </c>
      <c r="H1898" s="34"/>
      <c r="I1898" s="34"/>
      <c r="J1898" s="34"/>
      <c r="K1898" s="39"/>
      <c r="L1898" s="39"/>
      <c r="M1898" s="15">
        <f t="shared" si="559"/>
        <v>0</v>
      </c>
      <c r="N1898" s="15"/>
      <c r="O1898" s="39"/>
      <c r="P1898" s="36"/>
      <c r="Q1898" s="16">
        <f t="shared" si="560"/>
        <v>0</v>
      </c>
      <c r="R1898" s="34"/>
      <c r="S1898" s="34"/>
      <c r="T1898" s="36"/>
      <c r="U1898" s="36"/>
      <c r="V1898" s="36"/>
      <c r="W1898" s="36"/>
      <c r="X1898" s="36"/>
      <c r="Y1898" s="145">
        <f t="shared" si="561"/>
        <v>0</v>
      </c>
      <c r="Z1898" s="567"/>
      <c r="AA1898" s="12">
        <f t="shared" si="562"/>
        <v>0</v>
      </c>
      <c r="AB1898" s="12">
        <f t="shared" si="563"/>
        <v>0</v>
      </c>
      <c r="AC1898" s="12">
        <f t="shared" si="564"/>
        <v>0</v>
      </c>
      <c r="AD1898" s="34"/>
    </row>
    <row r="1899" spans="3:30" ht="16" x14ac:dyDescent="0.2">
      <c r="C1899" s="10">
        <f t="shared" si="558"/>
        <v>1896</v>
      </c>
      <c r="D1899" s="454"/>
      <c r="E1899" s="37"/>
      <c r="F1899" s="65"/>
      <c r="G1899" s="11" t="str">
        <f ca="1">IF(AND(E1899&lt;&gt;"",E1899&lt;TODAY()),"Disponible",IFERROR(INDEX(Vehiculos[Estado Vehiculo],MATCH(F1899,Vehiculos[Placa Vehiculo],0)),""))</f>
        <v/>
      </c>
      <c r="H1899" s="34"/>
      <c r="I1899" s="34"/>
      <c r="J1899" s="34"/>
      <c r="K1899" s="39"/>
      <c r="L1899" s="39"/>
      <c r="M1899" s="15">
        <f t="shared" si="559"/>
        <v>0</v>
      </c>
      <c r="N1899" s="15"/>
      <c r="O1899" s="39"/>
      <c r="P1899" s="36"/>
      <c r="Q1899" s="16">
        <f t="shared" si="560"/>
        <v>0</v>
      </c>
      <c r="R1899" s="34"/>
      <c r="S1899" s="34"/>
      <c r="T1899" s="36"/>
      <c r="U1899" s="36"/>
      <c r="V1899" s="36"/>
      <c r="W1899" s="36"/>
      <c r="X1899" s="36"/>
      <c r="Y1899" s="145">
        <f t="shared" si="561"/>
        <v>0</v>
      </c>
      <c r="Z1899" s="567"/>
      <c r="AA1899" s="12">
        <f t="shared" si="562"/>
        <v>0</v>
      </c>
      <c r="AB1899" s="12">
        <f t="shared" si="563"/>
        <v>0</v>
      </c>
      <c r="AC1899" s="12">
        <f t="shared" si="564"/>
        <v>0</v>
      </c>
      <c r="AD1899" s="34"/>
    </row>
    <row r="1900" spans="3:30" ht="16" x14ac:dyDescent="0.2">
      <c r="C1900" s="10">
        <f t="shared" si="558"/>
        <v>1897</v>
      </c>
      <c r="D1900" s="454"/>
      <c r="E1900" s="37"/>
      <c r="F1900" s="65"/>
      <c r="G1900" s="11" t="str">
        <f ca="1">IF(AND(E1900&lt;&gt;"",E1900&lt;TODAY()),"Disponible",IFERROR(INDEX(Vehiculos[Estado Vehiculo],MATCH(F1900,Vehiculos[Placa Vehiculo],0)),""))</f>
        <v/>
      </c>
      <c r="H1900" s="34"/>
      <c r="I1900" s="34"/>
      <c r="J1900" s="34"/>
      <c r="K1900" s="39"/>
      <c r="L1900" s="39"/>
      <c r="M1900" s="15">
        <f t="shared" si="559"/>
        <v>0</v>
      </c>
      <c r="N1900" s="15"/>
      <c r="O1900" s="39"/>
      <c r="P1900" s="36"/>
      <c r="Q1900" s="16">
        <f t="shared" si="560"/>
        <v>0</v>
      </c>
      <c r="R1900" s="34"/>
      <c r="S1900" s="34"/>
      <c r="T1900" s="36"/>
      <c r="U1900" s="36"/>
      <c r="V1900" s="36"/>
      <c r="W1900" s="36"/>
      <c r="X1900" s="36"/>
      <c r="Y1900" s="145">
        <f t="shared" si="561"/>
        <v>0</v>
      </c>
      <c r="Z1900" s="567"/>
      <c r="AA1900" s="12">
        <f t="shared" si="562"/>
        <v>0</v>
      </c>
      <c r="AB1900" s="12">
        <f t="shared" si="563"/>
        <v>0</v>
      </c>
      <c r="AC1900" s="12">
        <f t="shared" si="564"/>
        <v>0</v>
      </c>
      <c r="AD1900" s="34"/>
    </row>
    <row r="1901" spans="3:30" ht="16" x14ac:dyDescent="0.2">
      <c r="C1901" s="10">
        <f t="shared" si="558"/>
        <v>1898</v>
      </c>
      <c r="D1901" s="454"/>
      <c r="E1901" s="37"/>
      <c r="F1901" s="65"/>
      <c r="G1901" s="11" t="str">
        <f ca="1">IF(AND(E1901&lt;&gt;"",E1901&lt;TODAY()),"Disponible",IFERROR(INDEX(Vehiculos[Estado Vehiculo],MATCH(F1901,Vehiculos[Placa Vehiculo],0)),""))</f>
        <v/>
      </c>
      <c r="H1901" s="34"/>
      <c r="I1901" s="34"/>
      <c r="J1901" s="34"/>
      <c r="K1901" s="39"/>
      <c r="L1901" s="39"/>
      <c r="M1901" s="15">
        <f t="shared" si="559"/>
        <v>0</v>
      </c>
      <c r="N1901" s="15"/>
      <c r="O1901" s="39"/>
      <c r="P1901" s="36"/>
      <c r="Q1901" s="16">
        <f t="shared" si="560"/>
        <v>0</v>
      </c>
      <c r="R1901" s="34"/>
      <c r="S1901" s="34"/>
      <c r="T1901" s="36"/>
      <c r="U1901" s="36"/>
      <c r="V1901" s="36"/>
      <c r="W1901" s="36"/>
      <c r="X1901" s="36"/>
      <c r="Y1901" s="145">
        <f t="shared" si="561"/>
        <v>0</v>
      </c>
      <c r="Z1901" s="567"/>
      <c r="AA1901" s="12">
        <f t="shared" si="562"/>
        <v>0</v>
      </c>
      <c r="AB1901" s="12">
        <f t="shared" si="563"/>
        <v>0</v>
      </c>
      <c r="AC1901" s="12">
        <f t="shared" si="564"/>
        <v>0</v>
      </c>
      <c r="AD1901" s="34"/>
    </row>
    <row r="1902" spans="3:30" ht="16" x14ac:dyDescent="0.2">
      <c r="C1902" s="10">
        <f t="shared" si="558"/>
        <v>1899</v>
      </c>
      <c r="D1902" s="454"/>
      <c r="E1902" s="37"/>
      <c r="F1902" s="65"/>
      <c r="G1902" s="11" t="str">
        <f ca="1">IF(AND(E1902&lt;&gt;"",E1902&lt;TODAY()),"Disponible",IFERROR(INDEX(Vehiculos[Estado Vehiculo],MATCH(F1902,Vehiculos[Placa Vehiculo],0)),""))</f>
        <v/>
      </c>
      <c r="H1902" s="34"/>
      <c r="I1902" s="34"/>
      <c r="J1902" s="34"/>
      <c r="K1902" s="39"/>
      <c r="L1902" s="39"/>
      <c r="M1902" s="15">
        <f t="shared" si="559"/>
        <v>0</v>
      </c>
      <c r="N1902" s="15"/>
      <c r="O1902" s="39"/>
      <c r="P1902" s="36"/>
      <c r="Q1902" s="16">
        <f t="shared" si="560"/>
        <v>0</v>
      </c>
      <c r="R1902" s="34"/>
      <c r="S1902" s="34"/>
      <c r="T1902" s="36"/>
      <c r="U1902" s="36"/>
      <c r="V1902" s="36"/>
      <c r="W1902" s="36"/>
      <c r="X1902" s="36"/>
      <c r="Y1902" s="145">
        <f t="shared" si="561"/>
        <v>0</v>
      </c>
      <c r="Z1902" s="567"/>
      <c r="AA1902" s="12">
        <f t="shared" si="562"/>
        <v>0</v>
      </c>
      <c r="AB1902" s="12">
        <f t="shared" si="563"/>
        <v>0</v>
      </c>
      <c r="AC1902" s="12">
        <f t="shared" si="564"/>
        <v>0</v>
      </c>
      <c r="AD1902" s="34"/>
    </row>
    <row r="1903" spans="3:30" ht="16" x14ac:dyDescent="0.2">
      <c r="C1903" s="10">
        <f t="shared" si="558"/>
        <v>1900</v>
      </c>
      <c r="D1903" s="454"/>
      <c r="E1903" s="37"/>
      <c r="F1903" s="65"/>
      <c r="G1903" s="11" t="str">
        <f ca="1">IF(AND(E1903&lt;&gt;"",E1903&lt;TODAY()),"Disponible",IFERROR(INDEX(Vehiculos[Estado Vehiculo],MATCH(F1903,Vehiculos[Placa Vehiculo],0)),""))</f>
        <v/>
      </c>
      <c r="H1903" s="34"/>
      <c r="I1903" s="34"/>
      <c r="J1903" s="34"/>
      <c r="K1903" s="39"/>
      <c r="L1903" s="39"/>
      <c r="M1903" s="15">
        <f t="shared" si="559"/>
        <v>0</v>
      </c>
      <c r="N1903" s="15"/>
      <c r="O1903" s="39"/>
      <c r="P1903" s="36"/>
      <c r="Q1903" s="16">
        <f t="shared" si="560"/>
        <v>0</v>
      </c>
      <c r="R1903" s="34"/>
      <c r="S1903" s="34"/>
      <c r="T1903" s="36"/>
      <c r="U1903" s="36"/>
      <c r="V1903" s="36"/>
      <c r="W1903" s="36"/>
      <c r="X1903" s="36"/>
      <c r="Y1903" s="145">
        <f t="shared" si="561"/>
        <v>0</v>
      </c>
      <c r="Z1903" s="567"/>
      <c r="AA1903" s="12">
        <f t="shared" si="562"/>
        <v>0</v>
      </c>
      <c r="AB1903" s="12">
        <f t="shared" si="563"/>
        <v>0</v>
      </c>
      <c r="AC1903" s="12">
        <f t="shared" si="564"/>
        <v>0</v>
      </c>
      <c r="AD1903" s="34"/>
    </row>
    <row r="1904" spans="3:30" ht="16" x14ac:dyDescent="0.2">
      <c r="C1904" s="10">
        <f t="shared" si="558"/>
        <v>1901</v>
      </c>
      <c r="D1904" s="454"/>
      <c r="E1904" s="37"/>
      <c r="F1904" s="65"/>
      <c r="G1904" s="11" t="str">
        <f ca="1">IF(AND(E1904&lt;&gt;"",E1904&lt;TODAY()),"Disponible",IFERROR(INDEX(Vehiculos[Estado Vehiculo],MATCH(F1904,Vehiculos[Placa Vehiculo],0)),""))</f>
        <v/>
      </c>
      <c r="H1904" s="34"/>
      <c r="I1904" s="34"/>
      <c r="J1904" s="34"/>
      <c r="K1904" s="39"/>
      <c r="L1904" s="39"/>
      <c r="M1904" s="15">
        <f t="shared" si="559"/>
        <v>0</v>
      </c>
      <c r="N1904" s="15"/>
      <c r="O1904" s="39"/>
      <c r="P1904" s="36"/>
      <c r="Q1904" s="16">
        <f t="shared" si="560"/>
        <v>0</v>
      </c>
      <c r="R1904" s="34"/>
      <c r="S1904" s="34"/>
      <c r="T1904" s="36"/>
      <c r="U1904" s="36"/>
      <c r="V1904" s="36"/>
      <c r="W1904" s="36"/>
      <c r="X1904" s="36"/>
      <c r="Y1904" s="145">
        <f t="shared" si="561"/>
        <v>0</v>
      </c>
      <c r="Z1904" s="567"/>
      <c r="AA1904" s="12">
        <f t="shared" si="562"/>
        <v>0</v>
      </c>
      <c r="AB1904" s="12">
        <f t="shared" si="563"/>
        <v>0</v>
      </c>
      <c r="AC1904" s="12">
        <f t="shared" si="564"/>
        <v>0</v>
      </c>
      <c r="AD1904" s="34"/>
    </row>
    <row r="1905" spans="3:30" ht="16" x14ac:dyDescent="0.2">
      <c r="C1905" s="10">
        <f t="shared" si="558"/>
        <v>1902</v>
      </c>
      <c r="D1905" s="454"/>
      <c r="E1905" s="37"/>
      <c r="F1905" s="65"/>
      <c r="G1905" s="11" t="str">
        <f ca="1">IF(AND(E1905&lt;&gt;"",E1905&lt;TODAY()),"Disponible",IFERROR(INDEX(Vehiculos[Estado Vehiculo],MATCH(F1905,Vehiculos[Placa Vehiculo],0)),""))</f>
        <v/>
      </c>
      <c r="H1905" s="34"/>
      <c r="I1905" s="34"/>
      <c r="J1905" s="34"/>
      <c r="K1905" s="39"/>
      <c r="L1905" s="39"/>
      <c r="M1905" s="15">
        <f t="shared" si="559"/>
        <v>0</v>
      </c>
      <c r="N1905" s="15"/>
      <c r="O1905" s="39"/>
      <c r="P1905" s="36"/>
      <c r="Q1905" s="16">
        <f t="shared" si="560"/>
        <v>0</v>
      </c>
      <c r="R1905" s="34"/>
      <c r="S1905" s="34"/>
      <c r="T1905" s="36"/>
      <c r="U1905" s="36"/>
      <c r="V1905" s="36"/>
      <c r="W1905" s="36"/>
      <c r="X1905" s="36"/>
      <c r="Y1905" s="145">
        <f t="shared" si="561"/>
        <v>0</v>
      </c>
      <c r="Z1905" s="567"/>
      <c r="AA1905" s="12">
        <f t="shared" si="562"/>
        <v>0</v>
      </c>
      <c r="AB1905" s="12">
        <f t="shared" si="563"/>
        <v>0</v>
      </c>
      <c r="AC1905" s="12">
        <f t="shared" si="564"/>
        <v>0</v>
      </c>
      <c r="AD1905" s="34"/>
    </row>
    <row r="1906" spans="3:30" ht="16" x14ac:dyDescent="0.2">
      <c r="C1906" s="10">
        <f t="shared" si="558"/>
        <v>1903</v>
      </c>
      <c r="D1906" s="454"/>
      <c r="E1906" s="37"/>
      <c r="F1906" s="65"/>
      <c r="G1906" s="11" t="str">
        <f ca="1">IF(AND(E1906&lt;&gt;"",E1906&lt;TODAY()),"Disponible",IFERROR(INDEX(Vehiculos[Estado Vehiculo],MATCH(F1906,Vehiculos[Placa Vehiculo],0)),""))</f>
        <v/>
      </c>
      <c r="H1906" s="34"/>
      <c r="I1906" s="34"/>
      <c r="J1906" s="34"/>
      <c r="K1906" s="39"/>
      <c r="L1906" s="39"/>
      <c r="M1906" s="15">
        <f t="shared" si="559"/>
        <v>0</v>
      </c>
      <c r="N1906" s="15"/>
      <c r="O1906" s="39"/>
      <c r="P1906" s="36"/>
      <c r="Q1906" s="16">
        <f t="shared" si="560"/>
        <v>0</v>
      </c>
      <c r="R1906" s="34"/>
      <c r="S1906" s="34"/>
      <c r="T1906" s="36"/>
      <c r="U1906" s="36"/>
      <c r="V1906" s="36"/>
      <c r="W1906" s="36"/>
      <c r="X1906" s="36"/>
      <c r="Y1906" s="145">
        <f t="shared" si="561"/>
        <v>0</v>
      </c>
      <c r="Z1906" s="567"/>
      <c r="AA1906" s="12">
        <f t="shared" si="562"/>
        <v>0</v>
      </c>
      <c r="AB1906" s="12">
        <f t="shared" si="563"/>
        <v>0</v>
      </c>
      <c r="AC1906" s="12">
        <f t="shared" si="564"/>
        <v>0</v>
      </c>
      <c r="AD1906" s="34"/>
    </row>
    <row r="1907" spans="3:30" ht="16" x14ac:dyDescent="0.2">
      <c r="C1907" s="10">
        <f t="shared" si="558"/>
        <v>1904</v>
      </c>
      <c r="D1907" s="454"/>
      <c r="E1907" s="37"/>
      <c r="F1907" s="65"/>
      <c r="G1907" s="11" t="str">
        <f ca="1">IF(AND(E1907&lt;&gt;"",E1907&lt;TODAY()),"Disponible",IFERROR(INDEX(Vehiculos[Estado Vehiculo],MATCH(F1907,Vehiculos[Placa Vehiculo],0)),""))</f>
        <v/>
      </c>
      <c r="H1907" s="34"/>
      <c r="I1907" s="34"/>
      <c r="J1907" s="34"/>
      <c r="K1907" s="39"/>
      <c r="L1907" s="39"/>
      <c r="M1907" s="15">
        <f t="shared" si="559"/>
        <v>0</v>
      </c>
      <c r="N1907" s="15"/>
      <c r="O1907" s="39"/>
      <c r="P1907" s="36"/>
      <c r="Q1907" s="16">
        <f t="shared" si="560"/>
        <v>0</v>
      </c>
      <c r="R1907" s="34"/>
      <c r="S1907" s="34"/>
      <c r="T1907" s="36"/>
      <c r="U1907" s="36"/>
      <c r="V1907" s="36"/>
      <c r="W1907" s="36"/>
      <c r="X1907" s="36"/>
      <c r="Y1907" s="145">
        <f t="shared" si="561"/>
        <v>0</v>
      </c>
      <c r="Z1907" s="567"/>
      <c r="AA1907" s="12">
        <f t="shared" si="562"/>
        <v>0</v>
      </c>
      <c r="AB1907" s="12">
        <f t="shared" si="563"/>
        <v>0</v>
      </c>
      <c r="AC1907" s="12">
        <f t="shared" si="564"/>
        <v>0</v>
      </c>
      <c r="AD1907" s="34"/>
    </row>
    <row r="1908" spans="3:30" ht="16" x14ac:dyDescent="0.2">
      <c r="C1908" s="10">
        <f t="shared" si="558"/>
        <v>1905</v>
      </c>
      <c r="D1908" s="454"/>
      <c r="E1908" s="37"/>
      <c r="F1908" s="65"/>
      <c r="G1908" s="11" t="str">
        <f ca="1">IF(AND(E1908&lt;&gt;"",E1908&lt;TODAY()),"Disponible",IFERROR(INDEX(Vehiculos[Estado Vehiculo],MATCH(F1908,Vehiculos[Placa Vehiculo],0)),""))</f>
        <v/>
      </c>
      <c r="H1908" s="34"/>
      <c r="I1908" s="34"/>
      <c r="J1908" s="34"/>
      <c r="K1908" s="39"/>
      <c r="L1908" s="39"/>
      <c r="M1908" s="15">
        <f t="shared" si="559"/>
        <v>0</v>
      </c>
      <c r="N1908" s="15"/>
      <c r="O1908" s="39"/>
      <c r="P1908" s="36"/>
      <c r="Q1908" s="16">
        <f t="shared" si="560"/>
        <v>0</v>
      </c>
      <c r="R1908" s="34"/>
      <c r="S1908" s="34"/>
      <c r="T1908" s="36"/>
      <c r="U1908" s="36"/>
      <c r="V1908" s="36"/>
      <c r="W1908" s="36"/>
      <c r="X1908" s="36"/>
      <c r="Y1908" s="145">
        <f t="shared" si="561"/>
        <v>0</v>
      </c>
      <c r="Z1908" s="567"/>
      <c r="AA1908" s="12">
        <f t="shared" si="562"/>
        <v>0</v>
      </c>
      <c r="AB1908" s="12">
        <f t="shared" si="563"/>
        <v>0</v>
      </c>
      <c r="AC1908" s="12">
        <f t="shared" si="564"/>
        <v>0</v>
      </c>
      <c r="AD1908" s="34"/>
    </row>
    <row r="1909" spans="3:30" ht="16" x14ac:dyDescent="0.2">
      <c r="C1909" s="10">
        <f t="shared" si="558"/>
        <v>1906</v>
      </c>
      <c r="D1909" s="454"/>
      <c r="E1909" s="37"/>
      <c r="F1909" s="65"/>
      <c r="G1909" s="11" t="str">
        <f ca="1">IF(AND(E1909&lt;&gt;"",E1909&lt;TODAY()),"Disponible",IFERROR(INDEX(Vehiculos[Estado Vehiculo],MATCH(F1909,Vehiculos[Placa Vehiculo],0)),""))</f>
        <v/>
      </c>
      <c r="H1909" s="34"/>
      <c r="I1909" s="34"/>
      <c r="J1909" s="34"/>
      <c r="K1909" s="39"/>
      <c r="L1909" s="39"/>
      <c r="M1909" s="15">
        <f t="shared" si="559"/>
        <v>0</v>
      </c>
      <c r="N1909" s="15"/>
      <c r="O1909" s="39"/>
      <c r="P1909" s="36"/>
      <c r="Q1909" s="16">
        <f t="shared" si="560"/>
        <v>0</v>
      </c>
      <c r="R1909" s="34"/>
      <c r="S1909" s="34"/>
      <c r="T1909" s="36"/>
      <c r="U1909" s="36"/>
      <c r="V1909" s="36"/>
      <c r="W1909" s="36"/>
      <c r="X1909" s="36"/>
      <c r="Y1909" s="145">
        <f t="shared" si="561"/>
        <v>0</v>
      </c>
      <c r="Z1909" s="567"/>
      <c r="AA1909" s="12">
        <f t="shared" si="562"/>
        <v>0</v>
      </c>
      <c r="AB1909" s="12">
        <f t="shared" si="563"/>
        <v>0</v>
      </c>
      <c r="AC1909" s="12">
        <f t="shared" si="564"/>
        <v>0</v>
      </c>
      <c r="AD1909" s="34"/>
    </row>
    <row r="1910" spans="3:30" ht="16" x14ac:dyDescent="0.2">
      <c r="C1910" s="10">
        <f t="shared" si="558"/>
        <v>1907</v>
      </c>
      <c r="D1910" s="454"/>
      <c r="E1910" s="37"/>
      <c r="F1910" s="65"/>
      <c r="G1910" s="11" t="str">
        <f ca="1">IF(AND(E1910&lt;&gt;"",E1910&lt;TODAY()),"Disponible",IFERROR(INDEX(Vehiculos[Estado Vehiculo],MATCH(F1910,Vehiculos[Placa Vehiculo],0)),""))</f>
        <v/>
      </c>
      <c r="H1910" s="34"/>
      <c r="I1910" s="34"/>
      <c r="J1910" s="34"/>
      <c r="K1910" s="39"/>
      <c r="L1910" s="39"/>
      <c r="M1910" s="15">
        <f t="shared" si="559"/>
        <v>0</v>
      </c>
      <c r="N1910" s="15"/>
      <c r="O1910" s="39"/>
      <c r="P1910" s="36"/>
      <c r="Q1910" s="16">
        <f t="shared" si="560"/>
        <v>0</v>
      </c>
      <c r="R1910" s="34"/>
      <c r="S1910" s="34"/>
      <c r="T1910" s="36"/>
      <c r="U1910" s="36"/>
      <c r="V1910" s="36"/>
      <c r="W1910" s="36"/>
      <c r="X1910" s="36"/>
      <c r="Y1910" s="145">
        <f t="shared" si="561"/>
        <v>0</v>
      </c>
      <c r="Z1910" s="567"/>
      <c r="AA1910" s="12">
        <f t="shared" si="562"/>
        <v>0</v>
      </c>
      <c r="AB1910" s="12">
        <f t="shared" si="563"/>
        <v>0</v>
      </c>
      <c r="AC1910" s="12">
        <f t="shared" si="564"/>
        <v>0</v>
      </c>
      <c r="AD1910" s="34"/>
    </row>
    <row r="1911" spans="3:30" ht="16" x14ac:dyDescent="0.2">
      <c r="C1911" s="10">
        <f t="shared" si="558"/>
        <v>1908</v>
      </c>
      <c r="D1911" s="454"/>
      <c r="E1911" s="37"/>
      <c r="F1911" s="65"/>
      <c r="G1911" s="11" t="str">
        <f ca="1">IF(AND(E1911&lt;&gt;"",E1911&lt;TODAY()),"Disponible",IFERROR(INDEX(Vehiculos[Estado Vehiculo],MATCH(F1911,Vehiculos[Placa Vehiculo],0)),""))</f>
        <v/>
      </c>
      <c r="H1911" s="34"/>
      <c r="I1911" s="34"/>
      <c r="J1911" s="34"/>
      <c r="K1911" s="39"/>
      <c r="L1911" s="39"/>
      <c r="M1911" s="15">
        <f t="shared" si="559"/>
        <v>0</v>
      </c>
      <c r="N1911" s="15"/>
      <c r="O1911" s="39"/>
      <c r="P1911" s="36"/>
      <c r="Q1911" s="16">
        <f t="shared" si="560"/>
        <v>0</v>
      </c>
      <c r="R1911" s="34"/>
      <c r="S1911" s="34"/>
      <c r="T1911" s="36"/>
      <c r="U1911" s="36"/>
      <c r="V1911" s="36"/>
      <c r="W1911" s="36"/>
      <c r="X1911" s="36"/>
      <c r="Y1911" s="145">
        <f t="shared" si="561"/>
        <v>0</v>
      </c>
      <c r="Z1911" s="567"/>
      <c r="AA1911" s="12">
        <f t="shared" si="562"/>
        <v>0</v>
      </c>
      <c r="AB1911" s="12">
        <f t="shared" si="563"/>
        <v>0</v>
      </c>
      <c r="AC1911" s="12">
        <f t="shared" si="564"/>
        <v>0</v>
      </c>
      <c r="AD1911" s="34"/>
    </row>
    <row r="1912" spans="3:30" ht="16" x14ac:dyDescent="0.2">
      <c r="C1912" s="10">
        <f t="shared" si="558"/>
        <v>1909</v>
      </c>
      <c r="D1912" s="454"/>
      <c r="E1912" s="37"/>
      <c r="F1912" s="65"/>
      <c r="G1912" s="11" t="str">
        <f ca="1">IF(AND(E1912&lt;&gt;"",E1912&lt;TODAY()),"Disponible",IFERROR(INDEX(Vehiculos[Estado Vehiculo],MATCH(F1912,Vehiculos[Placa Vehiculo],0)),""))</f>
        <v/>
      </c>
      <c r="H1912" s="34"/>
      <c r="I1912" s="34"/>
      <c r="J1912" s="34"/>
      <c r="K1912" s="39"/>
      <c r="L1912" s="39"/>
      <c r="M1912" s="15">
        <f t="shared" si="559"/>
        <v>0</v>
      </c>
      <c r="N1912" s="15"/>
      <c r="O1912" s="39"/>
      <c r="P1912" s="36"/>
      <c r="Q1912" s="16">
        <f t="shared" si="560"/>
        <v>0</v>
      </c>
      <c r="R1912" s="34"/>
      <c r="S1912" s="34"/>
      <c r="T1912" s="36"/>
      <c r="U1912" s="36"/>
      <c r="V1912" s="36"/>
      <c r="W1912" s="36"/>
      <c r="X1912" s="36"/>
      <c r="Y1912" s="145">
        <f t="shared" si="561"/>
        <v>0</v>
      </c>
      <c r="Z1912" s="567"/>
      <c r="AA1912" s="12">
        <f t="shared" si="562"/>
        <v>0</v>
      </c>
      <c r="AB1912" s="12">
        <f t="shared" si="563"/>
        <v>0</v>
      </c>
      <c r="AC1912" s="12">
        <f t="shared" si="564"/>
        <v>0</v>
      </c>
      <c r="AD1912" s="34"/>
    </row>
    <row r="1913" spans="3:30" ht="16" x14ac:dyDescent="0.2">
      <c r="C1913" s="10">
        <f t="shared" si="558"/>
        <v>1910</v>
      </c>
      <c r="D1913" s="454"/>
      <c r="E1913" s="37"/>
      <c r="F1913" s="65"/>
      <c r="G1913" s="11" t="str">
        <f ca="1">IF(AND(E1913&lt;&gt;"",E1913&lt;TODAY()),"Disponible",IFERROR(INDEX(Vehiculos[Estado Vehiculo],MATCH(F1913,Vehiculos[Placa Vehiculo],0)),""))</f>
        <v/>
      </c>
      <c r="H1913" s="34"/>
      <c r="I1913" s="34"/>
      <c r="J1913" s="34"/>
      <c r="K1913" s="39"/>
      <c r="L1913" s="39"/>
      <c r="M1913" s="15">
        <f t="shared" si="559"/>
        <v>0</v>
      </c>
      <c r="N1913" s="15"/>
      <c r="O1913" s="39"/>
      <c r="P1913" s="36"/>
      <c r="Q1913" s="16">
        <f t="shared" si="560"/>
        <v>0</v>
      </c>
      <c r="R1913" s="34"/>
      <c r="S1913" s="34"/>
      <c r="T1913" s="36"/>
      <c r="U1913" s="36"/>
      <c r="V1913" s="36"/>
      <c r="W1913" s="36"/>
      <c r="X1913" s="36"/>
      <c r="Y1913" s="145">
        <f t="shared" si="561"/>
        <v>0</v>
      </c>
      <c r="Z1913" s="567"/>
      <c r="AA1913" s="12">
        <f t="shared" si="562"/>
        <v>0</v>
      </c>
      <c r="AB1913" s="12">
        <f t="shared" si="563"/>
        <v>0</v>
      </c>
      <c r="AC1913" s="12">
        <f t="shared" si="564"/>
        <v>0</v>
      </c>
      <c r="AD1913" s="34"/>
    </row>
    <row r="1914" spans="3:30" ht="16" x14ac:dyDescent="0.2">
      <c r="C1914" s="10">
        <f t="shared" si="558"/>
        <v>1911</v>
      </c>
      <c r="D1914" s="454"/>
      <c r="E1914" s="37"/>
      <c r="F1914" s="65"/>
      <c r="G1914" s="11" t="str">
        <f ca="1">IF(AND(E1914&lt;&gt;"",E1914&lt;TODAY()),"Disponible",IFERROR(INDEX(Vehiculos[Estado Vehiculo],MATCH(F1914,Vehiculos[Placa Vehiculo],0)),""))</f>
        <v/>
      </c>
      <c r="H1914" s="34"/>
      <c r="I1914" s="34"/>
      <c r="J1914" s="34"/>
      <c r="K1914" s="39"/>
      <c r="L1914" s="39"/>
      <c r="M1914" s="15">
        <f t="shared" si="559"/>
        <v>0</v>
      </c>
      <c r="N1914" s="15"/>
      <c r="O1914" s="39"/>
      <c r="P1914" s="36"/>
      <c r="Q1914" s="16">
        <f t="shared" si="560"/>
        <v>0</v>
      </c>
      <c r="R1914" s="34"/>
      <c r="S1914" s="34"/>
      <c r="T1914" s="36"/>
      <c r="U1914" s="36"/>
      <c r="V1914" s="36"/>
      <c r="W1914" s="36"/>
      <c r="X1914" s="36"/>
      <c r="Y1914" s="145">
        <f t="shared" si="561"/>
        <v>0</v>
      </c>
      <c r="Z1914" s="567"/>
      <c r="AA1914" s="12">
        <f t="shared" si="562"/>
        <v>0</v>
      </c>
      <c r="AB1914" s="12">
        <f t="shared" si="563"/>
        <v>0</v>
      </c>
      <c r="AC1914" s="12">
        <f t="shared" si="564"/>
        <v>0</v>
      </c>
      <c r="AD1914" s="34"/>
    </row>
    <row r="1915" spans="3:30" ht="16" x14ac:dyDescent="0.2">
      <c r="C1915" s="10">
        <f t="shared" ref="C1915:C1944" si="565">ROW(A1912)</f>
        <v>1912</v>
      </c>
      <c r="D1915" s="454"/>
      <c r="E1915" s="37"/>
      <c r="F1915" s="65"/>
      <c r="G1915" s="11" t="str">
        <f ca="1">IF(AND(E1915&lt;&gt;"",E1915&lt;TODAY()),"Disponible",IFERROR(INDEX(Vehiculos[Estado Vehiculo],MATCH(F1915,Vehiculos[Placa Vehiculo],0)),""))</f>
        <v/>
      </c>
      <c r="H1915" s="34"/>
      <c r="I1915" s="34"/>
      <c r="J1915" s="34"/>
      <c r="K1915" s="39"/>
      <c r="L1915" s="39"/>
      <c r="M1915" s="15">
        <f t="shared" ref="M1915:M1944" si="566">L1915-K1915</f>
        <v>0</v>
      </c>
      <c r="N1915" s="15"/>
      <c r="O1915" s="39"/>
      <c r="P1915" s="36"/>
      <c r="Q1915" s="16">
        <f t="shared" ref="Q1915:Q1944" si="567">M1915*P1915</f>
        <v>0</v>
      </c>
      <c r="R1915" s="34"/>
      <c r="S1915" s="34"/>
      <c r="T1915" s="36"/>
      <c r="U1915" s="36"/>
      <c r="V1915" s="36"/>
      <c r="W1915" s="36"/>
      <c r="X1915" s="36"/>
      <c r="Y1915" s="145">
        <f t="shared" ref="Y1915:Y1944" si="568">U1915+SUM(V1915:X1915)</f>
        <v>0</v>
      </c>
      <c r="Z1915" s="567"/>
      <c r="AA1915" s="12">
        <f t="shared" ref="AA1915:AA1944" si="569">IFERROR(U1915/T1915,0)</f>
        <v>0</v>
      </c>
      <c r="AB1915" s="12">
        <f t="shared" ref="AB1915:AB1944" si="570">IFERROR(M1915/AA1915,0)</f>
        <v>0</v>
      </c>
      <c r="AC1915" s="12">
        <f t="shared" ref="AC1915:AC1944" si="571">IFERROR(Q1915/M1915,0)</f>
        <v>0</v>
      </c>
      <c r="AD1915" s="34"/>
    </row>
    <row r="1916" spans="3:30" ht="16" x14ac:dyDescent="0.2">
      <c r="C1916" s="10">
        <f t="shared" si="565"/>
        <v>1913</v>
      </c>
      <c r="D1916" s="454"/>
      <c r="E1916" s="37"/>
      <c r="F1916" s="65"/>
      <c r="G1916" s="11" t="str">
        <f ca="1">IF(AND(E1916&lt;&gt;"",E1916&lt;TODAY()),"Disponible",IFERROR(INDEX(Vehiculos[Estado Vehiculo],MATCH(F1916,Vehiculos[Placa Vehiculo],0)),""))</f>
        <v/>
      </c>
      <c r="H1916" s="34"/>
      <c r="I1916" s="34"/>
      <c r="J1916" s="34"/>
      <c r="K1916" s="39"/>
      <c r="L1916" s="39"/>
      <c r="M1916" s="15">
        <f t="shared" si="566"/>
        <v>0</v>
      </c>
      <c r="N1916" s="15"/>
      <c r="O1916" s="39"/>
      <c r="P1916" s="36"/>
      <c r="Q1916" s="16">
        <f t="shared" si="567"/>
        <v>0</v>
      </c>
      <c r="R1916" s="34"/>
      <c r="S1916" s="34"/>
      <c r="T1916" s="36"/>
      <c r="U1916" s="36"/>
      <c r="V1916" s="36"/>
      <c r="W1916" s="36"/>
      <c r="X1916" s="36"/>
      <c r="Y1916" s="145">
        <f t="shared" si="568"/>
        <v>0</v>
      </c>
      <c r="Z1916" s="567"/>
      <c r="AA1916" s="12">
        <f t="shared" si="569"/>
        <v>0</v>
      </c>
      <c r="AB1916" s="12">
        <f t="shared" si="570"/>
        <v>0</v>
      </c>
      <c r="AC1916" s="12">
        <f t="shared" si="571"/>
        <v>0</v>
      </c>
      <c r="AD1916" s="34"/>
    </row>
    <row r="1917" spans="3:30" ht="16" x14ac:dyDescent="0.2">
      <c r="C1917" s="10">
        <f t="shared" si="565"/>
        <v>1914</v>
      </c>
      <c r="D1917" s="454"/>
      <c r="E1917" s="37"/>
      <c r="F1917" s="65"/>
      <c r="G1917" s="11" t="str">
        <f ca="1">IF(AND(E1917&lt;&gt;"",E1917&lt;TODAY()),"Disponible",IFERROR(INDEX(Vehiculos[Estado Vehiculo],MATCH(F1917,Vehiculos[Placa Vehiculo],0)),""))</f>
        <v/>
      </c>
      <c r="H1917" s="34"/>
      <c r="I1917" s="34"/>
      <c r="J1917" s="34"/>
      <c r="K1917" s="39"/>
      <c r="L1917" s="39"/>
      <c r="M1917" s="15">
        <f t="shared" si="566"/>
        <v>0</v>
      </c>
      <c r="N1917" s="15"/>
      <c r="O1917" s="39"/>
      <c r="P1917" s="36"/>
      <c r="Q1917" s="16">
        <f t="shared" si="567"/>
        <v>0</v>
      </c>
      <c r="R1917" s="34"/>
      <c r="S1917" s="34"/>
      <c r="T1917" s="36"/>
      <c r="U1917" s="36"/>
      <c r="V1917" s="36"/>
      <c r="W1917" s="36"/>
      <c r="X1917" s="36"/>
      <c r="Y1917" s="145">
        <f t="shared" si="568"/>
        <v>0</v>
      </c>
      <c r="Z1917" s="567"/>
      <c r="AA1917" s="12">
        <f t="shared" si="569"/>
        <v>0</v>
      </c>
      <c r="AB1917" s="12">
        <f t="shared" si="570"/>
        <v>0</v>
      </c>
      <c r="AC1917" s="12">
        <f t="shared" si="571"/>
        <v>0</v>
      </c>
      <c r="AD1917" s="34"/>
    </row>
    <row r="1918" spans="3:30" ht="16" x14ac:dyDescent="0.2">
      <c r="C1918" s="10">
        <f t="shared" si="565"/>
        <v>1915</v>
      </c>
      <c r="D1918" s="454"/>
      <c r="E1918" s="37"/>
      <c r="F1918" s="65"/>
      <c r="G1918" s="11" t="str">
        <f ca="1">IF(AND(E1918&lt;&gt;"",E1918&lt;TODAY()),"Disponible",IFERROR(INDEX(Vehiculos[Estado Vehiculo],MATCH(F1918,Vehiculos[Placa Vehiculo],0)),""))</f>
        <v/>
      </c>
      <c r="H1918" s="34"/>
      <c r="I1918" s="34"/>
      <c r="J1918" s="34"/>
      <c r="K1918" s="39"/>
      <c r="L1918" s="39"/>
      <c r="M1918" s="15">
        <f t="shared" si="566"/>
        <v>0</v>
      </c>
      <c r="N1918" s="15"/>
      <c r="O1918" s="39"/>
      <c r="P1918" s="36"/>
      <c r="Q1918" s="16">
        <f t="shared" si="567"/>
        <v>0</v>
      </c>
      <c r="R1918" s="34"/>
      <c r="S1918" s="34"/>
      <c r="T1918" s="36"/>
      <c r="U1918" s="36"/>
      <c r="V1918" s="36"/>
      <c r="W1918" s="36"/>
      <c r="X1918" s="36"/>
      <c r="Y1918" s="145">
        <f t="shared" si="568"/>
        <v>0</v>
      </c>
      <c r="Z1918" s="567"/>
      <c r="AA1918" s="12">
        <f t="shared" si="569"/>
        <v>0</v>
      </c>
      <c r="AB1918" s="12">
        <f t="shared" si="570"/>
        <v>0</v>
      </c>
      <c r="AC1918" s="12">
        <f t="shared" si="571"/>
        <v>0</v>
      </c>
      <c r="AD1918" s="34"/>
    </row>
    <row r="1919" spans="3:30" ht="16" x14ac:dyDescent="0.2">
      <c r="C1919" s="10">
        <f t="shared" si="565"/>
        <v>1916</v>
      </c>
      <c r="D1919" s="454"/>
      <c r="E1919" s="37"/>
      <c r="F1919" s="65"/>
      <c r="G1919" s="11" t="str">
        <f ca="1">IF(AND(E1919&lt;&gt;"",E1919&lt;TODAY()),"Disponible",IFERROR(INDEX(Vehiculos[Estado Vehiculo],MATCH(F1919,Vehiculos[Placa Vehiculo],0)),""))</f>
        <v/>
      </c>
      <c r="H1919" s="34"/>
      <c r="I1919" s="34"/>
      <c r="J1919" s="34"/>
      <c r="K1919" s="39"/>
      <c r="L1919" s="39"/>
      <c r="M1919" s="15">
        <f t="shared" si="566"/>
        <v>0</v>
      </c>
      <c r="N1919" s="15"/>
      <c r="O1919" s="39"/>
      <c r="P1919" s="36"/>
      <c r="Q1919" s="16">
        <f t="shared" si="567"/>
        <v>0</v>
      </c>
      <c r="R1919" s="34"/>
      <c r="S1919" s="34"/>
      <c r="T1919" s="36"/>
      <c r="U1919" s="36"/>
      <c r="V1919" s="36"/>
      <c r="W1919" s="36"/>
      <c r="X1919" s="36"/>
      <c r="Y1919" s="145">
        <f t="shared" si="568"/>
        <v>0</v>
      </c>
      <c r="Z1919" s="567"/>
      <c r="AA1919" s="12">
        <f t="shared" si="569"/>
        <v>0</v>
      </c>
      <c r="AB1919" s="12">
        <f t="shared" si="570"/>
        <v>0</v>
      </c>
      <c r="AC1919" s="12">
        <f t="shared" si="571"/>
        <v>0</v>
      </c>
      <c r="AD1919" s="34"/>
    </row>
    <row r="1920" spans="3:30" ht="16" x14ac:dyDescent="0.2">
      <c r="C1920" s="10">
        <f t="shared" si="565"/>
        <v>1917</v>
      </c>
      <c r="D1920" s="454"/>
      <c r="E1920" s="37"/>
      <c r="F1920" s="65"/>
      <c r="G1920" s="11" t="str">
        <f ca="1">IF(AND(E1920&lt;&gt;"",E1920&lt;TODAY()),"Disponible",IFERROR(INDEX(Vehiculos[Estado Vehiculo],MATCH(F1920,Vehiculos[Placa Vehiculo],0)),""))</f>
        <v/>
      </c>
      <c r="H1920" s="34"/>
      <c r="I1920" s="34"/>
      <c r="J1920" s="34"/>
      <c r="K1920" s="39"/>
      <c r="L1920" s="39"/>
      <c r="M1920" s="15">
        <f t="shared" si="566"/>
        <v>0</v>
      </c>
      <c r="N1920" s="15"/>
      <c r="O1920" s="39"/>
      <c r="P1920" s="36"/>
      <c r="Q1920" s="16">
        <f t="shared" si="567"/>
        <v>0</v>
      </c>
      <c r="R1920" s="34"/>
      <c r="S1920" s="34"/>
      <c r="T1920" s="36"/>
      <c r="U1920" s="36"/>
      <c r="V1920" s="36"/>
      <c r="W1920" s="36"/>
      <c r="X1920" s="36"/>
      <c r="Y1920" s="145">
        <f t="shared" si="568"/>
        <v>0</v>
      </c>
      <c r="Z1920" s="567"/>
      <c r="AA1920" s="12">
        <f t="shared" si="569"/>
        <v>0</v>
      </c>
      <c r="AB1920" s="12">
        <f t="shared" si="570"/>
        <v>0</v>
      </c>
      <c r="AC1920" s="12">
        <f t="shared" si="571"/>
        <v>0</v>
      </c>
      <c r="AD1920" s="34"/>
    </row>
    <row r="1921" spans="3:30" ht="16" x14ac:dyDescent="0.2">
      <c r="C1921" s="10">
        <f t="shared" si="565"/>
        <v>1918</v>
      </c>
      <c r="D1921" s="454"/>
      <c r="E1921" s="37"/>
      <c r="F1921" s="65"/>
      <c r="G1921" s="11" t="str">
        <f ca="1">IF(AND(E1921&lt;&gt;"",E1921&lt;TODAY()),"Disponible",IFERROR(INDEX(Vehiculos[Estado Vehiculo],MATCH(F1921,Vehiculos[Placa Vehiculo],0)),""))</f>
        <v/>
      </c>
      <c r="H1921" s="34"/>
      <c r="I1921" s="34"/>
      <c r="J1921" s="34"/>
      <c r="K1921" s="39"/>
      <c r="L1921" s="39"/>
      <c r="M1921" s="15">
        <f t="shared" si="566"/>
        <v>0</v>
      </c>
      <c r="N1921" s="15"/>
      <c r="O1921" s="39"/>
      <c r="P1921" s="36"/>
      <c r="Q1921" s="16">
        <f t="shared" si="567"/>
        <v>0</v>
      </c>
      <c r="R1921" s="34"/>
      <c r="S1921" s="34"/>
      <c r="T1921" s="36"/>
      <c r="U1921" s="36"/>
      <c r="V1921" s="36"/>
      <c r="W1921" s="36"/>
      <c r="X1921" s="36"/>
      <c r="Y1921" s="145">
        <f t="shared" si="568"/>
        <v>0</v>
      </c>
      <c r="Z1921" s="567"/>
      <c r="AA1921" s="12">
        <f t="shared" si="569"/>
        <v>0</v>
      </c>
      <c r="AB1921" s="12">
        <f t="shared" si="570"/>
        <v>0</v>
      </c>
      <c r="AC1921" s="12">
        <f t="shared" si="571"/>
        <v>0</v>
      </c>
      <c r="AD1921" s="34"/>
    </row>
    <row r="1922" spans="3:30" ht="16" x14ac:dyDescent="0.2">
      <c r="C1922" s="10">
        <f t="shared" si="565"/>
        <v>1919</v>
      </c>
      <c r="D1922" s="454"/>
      <c r="E1922" s="37"/>
      <c r="F1922" s="65"/>
      <c r="G1922" s="11" t="str">
        <f ca="1">IF(AND(E1922&lt;&gt;"",E1922&lt;TODAY()),"Disponible",IFERROR(INDEX(Vehiculos[Estado Vehiculo],MATCH(F1922,Vehiculos[Placa Vehiculo],0)),""))</f>
        <v/>
      </c>
      <c r="H1922" s="34"/>
      <c r="I1922" s="34"/>
      <c r="J1922" s="34"/>
      <c r="K1922" s="39"/>
      <c r="L1922" s="39"/>
      <c r="M1922" s="15">
        <f t="shared" si="566"/>
        <v>0</v>
      </c>
      <c r="N1922" s="15"/>
      <c r="O1922" s="39"/>
      <c r="P1922" s="36"/>
      <c r="Q1922" s="16">
        <f t="shared" si="567"/>
        <v>0</v>
      </c>
      <c r="R1922" s="34"/>
      <c r="S1922" s="34"/>
      <c r="T1922" s="36"/>
      <c r="U1922" s="36"/>
      <c r="V1922" s="36"/>
      <c r="W1922" s="36"/>
      <c r="X1922" s="36"/>
      <c r="Y1922" s="145">
        <f t="shared" si="568"/>
        <v>0</v>
      </c>
      <c r="Z1922" s="567"/>
      <c r="AA1922" s="12">
        <f t="shared" si="569"/>
        <v>0</v>
      </c>
      <c r="AB1922" s="12">
        <f t="shared" si="570"/>
        <v>0</v>
      </c>
      <c r="AC1922" s="12">
        <f t="shared" si="571"/>
        <v>0</v>
      </c>
      <c r="AD1922" s="34"/>
    </row>
    <row r="1923" spans="3:30" ht="16" x14ac:dyDescent="0.2">
      <c r="C1923" s="10">
        <f t="shared" si="565"/>
        <v>1920</v>
      </c>
      <c r="D1923" s="454"/>
      <c r="E1923" s="37"/>
      <c r="F1923" s="65"/>
      <c r="G1923" s="11" t="str">
        <f ca="1">IF(AND(E1923&lt;&gt;"",E1923&lt;TODAY()),"Disponible",IFERROR(INDEX(Vehiculos[Estado Vehiculo],MATCH(F1923,Vehiculos[Placa Vehiculo],0)),""))</f>
        <v/>
      </c>
      <c r="H1923" s="34"/>
      <c r="I1923" s="34"/>
      <c r="J1923" s="34"/>
      <c r="K1923" s="39"/>
      <c r="L1923" s="39"/>
      <c r="M1923" s="15">
        <f t="shared" si="566"/>
        <v>0</v>
      </c>
      <c r="N1923" s="15"/>
      <c r="O1923" s="39"/>
      <c r="P1923" s="36"/>
      <c r="Q1923" s="16">
        <f t="shared" si="567"/>
        <v>0</v>
      </c>
      <c r="R1923" s="34"/>
      <c r="S1923" s="34"/>
      <c r="T1923" s="36"/>
      <c r="U1923" s="36"/>
      <c r="V1923" s="36"/>
      <c r="W1923" s="36"/>
      <c r="X1923" s="36"/>
      <c r="Y1923" s="145">
        <f t="shared" si="568"/>
        <v>0</v>
      </c>
      <c r="Z1923" s="567"/>
      <c r="AA1923" s="12">
        <f t="shared" si="569"/>
        <v>0</v>
      </c>
      <c r="AB1923" s="12">
        <f t="shared" si="570"/>
        <v>0</v>
      </c>
      <c r="AC1923" s="12">
        <f t="shared" si="571"/>
        <v>0</v>
      </c>
      <c r="AD1923" s="34"/>
    </row>
    <row r="1924" spans="3:30" ht="16" x14ac:dyDescent="0.2">
      <c r="C1924" s="10">
        <f t="shared" si="565"/>
        <v>1921</v>
      </c>
      <c r="D1924" s="454"/>
      <c r="E1924" s="37"/>
      <c r="F1924" s="65"/>
      <c r="G1924" s="11" t="str">
        <f ca="1">IF(AND(E1924&lt;&gt;"",E1924&lt;TODAY()),"Disponible",IFERROR(INDEX(Vehiculos[Estado Vehiculo],MATCH(F1924,Vehiculos[Placa Vehiculo],0)),""))</f>
        <v/>
      </c>
      <c r="H1924" s="34"/>
      <c r="I1924" s="34"/>
      <c r="J1924" s="34"/>
      <c r="K1924" s="39"/>
      <c r="L1924" s="39"/>
      <c r="M1924" s="15">
        <f t="shared" si="566"/>
        <v>0</v>
      </c>
      <c r="N1924" s="15"/>
      <c r="O1924" s="39"/>
      <c r="P1924" s="36"/>
      <c r="Q1924" s="16">
        <f t="shared" si="567"/>
        <v>0</v>
      </c>
      <c r="R1924" s="34"/>
      <c r="S1924" s="34"/>
      <c r="T1924" s="36"/>
      <c r="U1924" s="36"/>
      <c r="V1924" s="36"/>
      <c r="W1924" s="36"/>
      <c r="X1924" s="36"/>
      <c r="Y1924" s="145">
        <f t="shared" si="568"/>
        <v>0</v>
      </c>
      <c r="Z1924" s="567"/>
      <c r="AA1924" s="12">
        <f t="shared" si="569"/>
        <v>0</v>
      </c>
      <c r="AB1924" s="12">
        <f t="shared" si="570"/>
        <v>0</v>
      </c>
      <c r="AC1924" s="12">
        <f t="shared" si="571"/>
        <v>0</v>
      </c>
      <c r="AD1924" s="34"/>
    </row>
    <row r="1925" spans="3:30" ht="16" x14ac:dyDescent="0.2">
      <c r="C1925" s="10">
        <f t="shared" si="565"/>
        <v>1922</v>
      </c>
      <c r="D1925" s="454"/>
      <c r="E1925" s="37"/>
      <c r="F1925" s="65"/>
      <c r="G1925" s="11" t="str">
        <f ca="1">IF(AND(E1925&lt;&gt;"",E1925&lt;TODAY()),"Disponible",IFERROR(INDEX(Vehiculos[Estado Vehiculo],MATCH(F1925,Vehiculos[Placa Vehiculo],0)),""))</f>
        <v/>
      </c>
      <c r="H1925" s="34"/>
      <c r="I1925" s="34"/>
      <c r="J1925" s="34"/>
      <c r="K1925" s="39"/>
      <c r="L1925" s="39"/>
      <c r="M1925" s="15">
        <f t="shared" si="566"/>
        <v>0</v>
      </c>
      <c r="N1925" s="15"/>
      <c r="O1925" s="39"/>
      <c r="P1925" s="36"/>
      <c r="Q1925" s="16">
        <f t="shared" si="567"/>
        <v>0</v>
      </c>
      <c r="R1925" s="34"/>
      <c r="S1925" s="34"/>
      <c r="T1925" s="36"/>
      <c r="U1925" s="36"/>
      <c r="V1925" s="36"/>
      <c r="W1925" s="36"/>
      <c r="X1925" s="36"/>
      <c r="Y1925" s="145">
        <f t="shared" si="568"/>
        <v>0</v>
      </c>
      <c r="Z1925" s="567"/>
      <c r="AA1925" s="12">
        <f t="shared" si="569"/>
        <v>0</v>
      </c>
      <c r="AB1925" s="12">
        <f t="shared" si="570"/>
        <v>0</v>
      </c>
      <c r="AC1925" s="12">
        <f t="shared" si="571"/>
        <v>0</v>
      </c>
      <c r="AD1925" s="34"/>
    </row>
    <row r="1926" spans="3:30" ht="16" x14ac:dyDescent="0.2">
      <c r="C1926" s="10">
        <f t="shared" si="565"/>
        <v>1923</v>
      </c>
      <c r="D1926" s="454"/>
      <c r="E1926" s="37"/>
      <c r="F1926" s="65"/>
      <c r="G1926" s="11" t="str">
        <f ca="1">IF(AND(E1926&lt;&gt;"",E1926&lt;TODAY()),"Disponible",IFERROR(INDEX(Vehiculos[Estado Vehiculo],MATCH(F1926,Vehiculos[Placa Vehiculo],0)),""))</f>
        <v/>
      </c>
      <c r="H1926" s="34"/>
      <c r="I1926" s="34"/>
      <c r="J1926" s="34"/>
      <c r="K1926" s="39"/>
      <c r="L1926" s="39"/>
      <c r="M1926" s="15">
        <f t="shared" si="566"/>
        <v>0</v>
      </c>
      <c r="N1926" s="15"/>
      <c r="O1926" s="39"/>
      <c r="P1926" s="36"/>
      <c r="Q1926" s="16">
        <f t="shared" si="567"/>
        <v>0</v>
      </c>
      <c r="R1926" s="34"/>
      <c r="S1926" s="34"/>
      <c r="T1926" s="36"/>
      <c r="U1926" s="36"/>
      <c r="V1926" s="36"/>
      <c r="W1926" s="36"/>
      <c r="X1926" s="36"/>
      <c r="Y1926" s="145">
        <f t="shared" si="568"/>
        <v>0</v>
      </c>
      <c r="Z1926" s="567"/>
      <c r="AA1926" s="12">
        <f t="shared" si="569"/>
        <v>0</v>
      </c>
      <c r="AB1926" s="12">
        <f t="shared" si="570"/>
        <v>0</v>
      </c>
      <c r="AC1926" s="12">
        <f t="shared" si="571"/>
        <v>0</v>
      </c>
      <c r="AD1926" s="34"/>
    </row>
    <row r="1927" spans="3:30" ht="16" x14ac:dyDescent="0.2">
      <c r="C1927" s="10">
        <f t="shared" si="565"/>
        <v>1924</v>
      </c>
      <c r="D1927" s="454"/>
      <c r="E1927" s="37"/>
      <c r="F1927" s="65"/>
      <c r="G1927" s="11" t="str">
        <f ca="1">IF(AND(E1927&lt;&gt;"",E1927&lt;TODAY()),"Disponible",IFERROR(INDEX(Vehiculos[Estado Vehiculo],MATCH(F1927,Vehiculos[Placa Vehiculo],0)),""))</f>
        <v/>
      </c>
      <c r="H1927" s="34"/>
      <c r="I1927" s="34"/>
      <c r="J1927" s="34"/>
      <c r="K1927" s="39"/>
      <c r="L1927" s="39"/>
      <c r="M1927" s="15">
        <f t="shared" si="566"/>
        <v>0</v>
      </c>
      <c r="N1927" s="15"/>
      <c r="O1927" s="39"/>
      <c r="P1927" s="36"/>
      <c r="Q1927" s="16">
        <f t="shared" si="567"/>
        <v>0</v>
      </c>
      <c r="R1927" s="34"/>
      <c r="S1927" s="34"/>
      <c r="T1927" s="36"/>
      <c r="U1927" s="36"/>
      <c r="V1927" s="36"/>
      <c r="W1927" s="36"/>
      <c r="X1927" s="36"/>
      <c r="Y1927" s="145">
        <f t="shared" si="568"/>
        <v>0</v>
      </c>
      <c r="Z1927" s="567"/>
      <c r="AA1927" s="12">
        <f t="shared" si="569"/>
        <v>0</v>
      </c>
      <c r="AB1927" s="12">
        <f t="shared" si="570"/>
        <v>0</v>
      </c>
      <c r="AC1927" s="12">
        <f t="shared" si="571"/>
        <v>0</v>
      </c>
      <c r="AD1927" s="34"/>
    </row>
    <row r="1928" spans="3:30" ht="16" x14ac:dyDescent="0.2">
      <c r="C1928" s="10">
        <f t="shared" si="565"/>
        <v>1925</v>
      </c>
      <c r="D1928" s="454"/>
      <c r="E1928" s="37"/>
      <c r="F1928" s="65"/>
      <c r="G1928" s="11" t="str">
        <f ca="1">IF(AND(E1928&lt;&gt;"",E1928&lt;TODAY()),"Disponible",IFERROR(INDEX(Vehiculos[Estado Vehiculo],MATCH(F1928,Vehiculos[Placa Vehiculo],0)),""))</f>
        <v/>
      </c>
      <c r="H1928" s="34"/>
      <c r="I1928" s="34"/>
      <c r="J1928" s="34"/>
      <c r="K1928" s="39"/>
      <c r="L1928" s="39"/>
      <c r="M1928" s="15">
        <f t="shared" si="566"/>
        <v>0</v>
      </c>
      <c r="N1928" s="15"/>
      <c r="O1928" s="39"/>
      <c r="P1928" s="36"/>
      <c r="Q1928" s="16">
        <f t="shared" si="567"/>
        <v>0</v>
      </c>
      <c r="R1928" s="34"/>
      <c r="S1928" s="34"/>
      <c r="T1928" s="36"/>
      <c r="U1928" s="36"/>
      <c r="V1928" s="36"/>
      <c r="W1928" s="36"/>
      <c r="X1928" s="36"/>
      <c r="Y1928" s="145">
        <f t="shared" si="568"/>
        <v>0</v>
      </c>
      <c r="Z1928" s="567"/>
      <c r="AA1928" s="12">
        <f t="shared" si="569"/>
        <v>0</v>
      </c>
      <c r="AB1928" s="12">
        <f t="shared" si="570"/>
        <v>0</v>
      </c>
      <c r="AC1928" s="12">
        <f t="shared" si="571"/>
        <v>0</v>
      </c>
      <c r="AD1928" s="34"/>
    </row>
    <row r="1929" spans="3:30" ht="16" x14ac:dyDescent="0.2">
      <c r="C1929" s="10">
        <f t="shared" si="565"/>
        <v>1926</v>
      </c>
      <c r="D1929" s="454"/>
      <c r="E1929" s="37"/>
      <c r="F1929" s="65"/>
      <c r="G1929" s="11" t="str">
        <f ca="1">IF(AND(E1929&lt;&gt;"",E1929&lt;TODAY()),"Disponible",IFERROR(INDEX(Vehiculos[Estado Vehiculo],MATCH(F1929,Vehiculos[Placa Vehiculo],0)),""))</f>
        <v/>
      </c>
      <c r="H1929" s="34"/>
      <c r="I1929" s="34"/>
      <c r="J1929" s="34"/>
      <c r="K1929" s="39"/>
      <c r="L1929" s="39"/>
      <c r="M1929" s="15">
        <f t="shared" si="566"/>
        <v>0</v>
      </c>
      <c r="N1929" s="15"/>
      <c r="O1929" s="39"/>
      <c r="P1929" s="36"/>
      <c r="Q1929" s="16">
        <f t="shared" si="567"/>
        <v>0</v>
      </c>
      <c r="R1929" s="34"/>
      <c r="S1929" s="34"/>
      <c r="T1929" s="36"/>
      <c r="U1929" s="36"/>
      <c r="V1929" s="36"/>
      <c r="W1929" s="36"/>
      <c r="X1929" s="36"/>
      <c r="Y1929" s="145">
        <f t="shared" si="568"/>
        <v>0</v>
      </c>
      <c r="Z1929" s="567"/>
      <c r="AA1929" s="12">
        <f t="shared" si="569"/>
        <v>0</v>
      </c>
      <c r="AB1929" s="12">
        <f t="shared" si="570"/>
        <v>0</v>
      </c>
      <c r="AC1929" s="12">
        <f t="shared" si="571"/>
        <v>0</v>
      </c>
      <c r="AD1929" s="34"/>
    </row>
    <row r="1930" spans="3:30" ht="16" x14ac:dyDescent="0.2">
      <c r="C1930" s="10">
        <f t="shared" si="565"/>
        <v>1927</v>
      </c>
      <c r="D1930" s="454"/>
      <c r="E1930" s="37"/>
      <c r="F1930" s="65"/>
      <c r="G1930" s="11" t="str">
        <f ca="1">IF(AND(E1930&lt;&gt;"",E1930&lt;TODAY()),"Disponible",IFERROR(INDEX(Vehiculos[Estado Vehiculo],MATCH(F1930,Vehiculos[Placa Vehiculo],0)),""))</f>
        <v/>
      </c>
      <c r="H1930" s="34"/>
      <c r="I1930" s="34"/>
      <c r="J1930" s="34"/>
      <c r="K1930" s="39"/>
      <c r="L1930" s="39"/>
      <c r="M1930" s="15">
        <f t="shared" si="566"/>
        <v>0</v>
      </c>
      <c r="N1930" s="15"/>
      <c r="O1930" s="39"/>
      <c r="P1930" s="36"/>
      <c r="Q1930" s="16">
        <f t="shared" si="567"/>
        <v>0</v>
      </c>
      <c r="R1930" s="34"/>
      <c r="S1930" s="34"/>
      <c r="T1930" s="36"/>
      <c r="U1930" s="36"/>
      <c r="V1930" s="36"/>
      <c r="W1930" s="36"/>
      <c r="X1930" s="36"/>
      <c r="Y1930" s="145">
        <f t="shared" si="568"/>
        <v>0</v>
      </c>
      <c r="Z1930" s="567"/>
      <c r="AA1930" s="12">
        <f t="shared" si="569"/>
        <v>0</v>
      </c>
      <c r="AB1930" s="12">
        <f t="shared" si="570"/>
        <v>0</v>
      </c>
      <c r="AC1930" s="12">
        <f t="shared" si="571"/>
        <v>0</v>
      </c>
      <c r="AD1930" s="34"/>
    </row>
    <row r="1931" spans="3:30" ht="16" x14ac:dyDescent="0.2">
      <c r="C1931" s="10">
        <f t="shared" si="565"/>
        <v>1928</v>
      </c>
      <c r="D1931" s="454"/>
      <c r="E1931" s="37"/>
      <c r="F1931" s="65"/>
      <c r="G1931" s="11" t="str">
        <f ca="1">IF(AND(E1931&lt;&gt;"",E1931&lt;TODAY()),"Disponible",IFERROR(INDEX(Vehiculos[Estado Vehiculo],MATCH(F1931,Vehiculos[Placa Vehiculo],0)),""))</f>
        <v/>
      </c>
      <c r="H1931" s="34"/>
      <c r="I1931" s="34"/>
      <c r="J1931" s="34"/>
      <c r="K1931" s="39"/>
      <c r="L1931" s="39"/>
      <c r="M1931" s="15">
        <f t="shared" si="566"/>
        <v>0</v>
      </c>
      <c r="N1931" s="15"/>
      <c r="O1931" s="39"/>
      <c r="P1931" s="36"/>
      <c r="Q1931" s="16">
        <f t="shared" si="567"/>
        <v>0</v>
      </c>
      <c r="R1931" s="34"/>
      <c r="S1931" s="34"/>
      <c r="T1931" s="36"/>
      <c r="U1931" s="36"/>
      <c r="V1931" s="36"/>
      <c r="W1931" s="36"/>
      <c r="X1931" s="36"/>
      <c r="Y1931" s="145">
        <f t="shared" si="568"/>
        <v>0</v>
      </c>
      <c r="Z1931" s="567"/>
      <c r="AA1931" s="12">
        <f t="shared" si="569"/>
        <v>0</v>
      </c>
      <c r="AB1931" s="12">
        <f t="shared" si="570"/>
        <v>0</v>
      </c>
      <c r="AC1931" s="12">
        <f t="shared" si="571"/>
        <v>0</v>
      </c>
      <c r="AD1931" s="34"/>
    </row>
    <row r="1932" spans="3:30" ht="16" x14ac:dyDescent="0.2">
      <c r="C1932" s="10">
        <f t="shared" si="565"/>
        <v>1929</v>
      </c>
      <c r="D1932" s="454"/>
      <c r="E1932" s="37"/>
      <c r="F1932" s="65"/>
      <c r="G1932" s="11" t="str">
        <f ca="1">IF(AND(E1932&lt;&gt;"",E1932&lt;TODAY()),"Disponible",IFERROR(INDEX(Vehiculos[Estado Vehiculo],MATCH(F1932,Vehiculos[Placa Vehiculo],0)),""))</f>
        <v/>
      </c>
      <c r="H1932" s="34"/>
      <c r="I1932" s="34"/>
      <c r="J1932" s="34"/>
      <c r="K1932" s="39"/>
      <c r="L1932" s="39"/>
      <c r="M1932" s="15">
        <f t="shared" si="566"/>
        <v>0</v>
      </c>
      <c r="N1932" s="15"/>
      <c r="O1932" s="39"/>
      <c r="P1932" s="36"/>
      <c r="Q1932" s="16">
        <f t="shared" si="567"/>
        <v>0</v>
      </c>
      <c r="R1932" s="34"/>
      <c r="S1932" s="34"/>
      <c r="T1932" s="36"/>
      <c r="U1932" s="36"/>
      <c r="V1932" s="36"/>
      <c r="W1932" s="36"/>
      <c r="X1932" s="36"/>
      <c r="Y1932" s="145">
        <f t="shared" si="568"/>
        <v>0</v>
      </c>
      <c r="Z1932" s="567"/>
      <c r="AA1932" s="12">
        <f t="shared" si="569"/>
        <v>0</v>
      </c>
      <c r="AB1932" s="12">
        <f t="shared" si="570"/>
        <v>0</v>
      </c>
      <c r="AC1932" s="12">
        <f t="shared" si="571"/>
        <v>0</v>
      </c>
      <c r="AD1932" s="34"/>
    </row>
    <row r="1933" spans="3:30" ht="16" x14ac:dyDescent="0.2">
      <c r="C1933" s="10">
        <f t="shared" si="565"/>
        <v>1930</v>
      </c>
      <c r="D1933" s="454"/>
      <c r="E1933" s="37"/>
      <c r="F1933" s="65"/>
      <c r="G1933" s="11" t="str">
        <f ca="1">IF(AND(E1933&lt;&gt;"",E1933&lt;TODAY()),"Disponible",IFERROR(INDEX(Vehiculos[Estado Vehiculo],MATCH(F1933,Vehiculos[Placa Vehiculo],0)),""))</f>
        <v/>
      </c>
      <c r="H1933" s="34"/>
      <c r="I1933" s="34"/>
      <c r="J1933" s="34"/>
      <c r="K1933" s="39"/>
      <c r="L1933" s="39"/>
      <c r="M1933" s="15">
        <f t="shared" si="566"/>
        <v>0</v>
      </c>
      <c r="N1933" s="15"/>
      <c r="O1933" s="39"/>
      <c r="P1933" s="36"/>
      <c r="Q1933" s="16">
        <f t="shared" si="567"/>
        <v>0</v>
      </c>
      <c r="R1933" s="34"/>
      <c r="S1933" s="34"/>
      <c r="T1933" s="36"/>
      <c r="U1933" s="36"/>
      <c r="V1933" s="36"/>
      <c r="W1933" s="36"/>
      <c r="X1933" s="36"/>
      <c r="Y1933" s="145">
        <f t="shared" si="568"/>
        <v>0</v>
      </c>
      <c r="Z1933" s="567"/>
      <c r="AA1933" s="12">
        <f t="shared" si="569"/>
        <v>0</v>
      </c>
      <c r="AB1933" s="12">
        <f t="shared" si="570"/>
        <v>0</v>
      </c>
      <c r="AC1933" s="12">
        <f t="shared" si="571"/>
        <v>0</v>
      </c>
      <c r="AD1933" s="34"/>
    </row>
    <row r="1934" spans="3:30" ht="16" x14ac:dyDescent="0.2">
      <c r="C1934" s="10">
        <f t="shared" si="565"/>
        <v>1931</v>
      </c>
      <c r="D1934" s="454"/>
      <c r="E1934" s="37"/>
      <c r="F1934" s="65"/>
      <c r="G1934" s="11" t="str">
        <f ca="1">IF(AND(E1934&lt;&gt;"",E1934&lt;TODAY()),"Disponible",IFERROR(INDEX(Vehiculos[Estado Vehiculo],MATCH(F1934,Vehiculos[Placa Vehiculo],0)),""))</f>
        <v/>
      </c>
      <c r="H1934" s="34"/>
      <c r="I1934" s="34"/>
      <c r="J1934" s="34"/>
      <c r="K1934" s="39"/>
      <c r="L1934" s="39"/>
      <c r="M1934" s="15">
        <f t="shared" si="566"/>
        <v>0</v>
      </c>
      <c r="N1934" s="15"/>
      <c r="O1934" s="39"/>
      <c r="P1934" s="36"/>
      <c r="Q1934" s="16">
        <f t="shared" si="567"/>
        <v>0</v>
      </c>
      <c r="R1934" s="34"/>
      <c r="S1934" s="34"/>
      <c r="T1934" s="36"/>
      <c r="U1934" s="36"/>
      <c r="V1934" s="36"/>
      <c r="W1934" s="36"/>
      <c r="X1934" s="36"/>
      <c r="Y1934" s="145">
        <f t="shared" si="568"/>
        <v>0</v>
      </c>
      <c r="Z1934" s="567"/>
      <c r="AA1934" s="12">
        <f t="shared" si="569"/>
        <v>0</v>
      </c>
      <c r="AB1934" s="12">
        <f t="shared" si="570"/>
        <v>0</v>
      </c>
      <c r="AC1934" s="12">
        <f t="shared" si="571"/>
        <v>0</v>
      </c>
      <c r="AD1934" s="34"/>
    </row>
    <row r="1935" spans="3:30" ht="16" x14ac:dyDescent="0.2">
      <c r="C1935" s="10">
        <f t="shared" si="565"/>
        <v>1932</v>
      </c>
      <c r="D1935" s="454"/>
      <c r="E1935" s="37"/>
      <c r="F1935" s="65"/>
      <c r="G1935" s="11" t="str">
        <f ca="1">IF(AND(E1935&lt;&gt;"",E1935&lt;TODAY()),"Disponible",IFERROR(INDEX(Vehiculos[Estado Vehiculo],MATCH(F1935,Vehiculos[Placa Vehiculo],0)),""))</f>
        <v/>
      </c>
      <c r="H1935" s="34"/>
      <c r="I1935" s="34"/>
      <c r="J1935" s="34"/>
      <c r="K1935" s="39"/>
      <c r="L1935" s="39"/>
      <c r="M1935" s="15">
        <f t="shared" si="566"/>
        <v>0</v>
      </c>
      <c r="N1935" s="15"/>
      <c r="O1935" s="39"/>
      <c r="P1935" s="36"/>
      <c r="Q1935" s="16">
        <f t="shared" si="567"/>
        <v>0</v>
      </c>
      <c r="R1935" s="34"/>
      <c r="S1935" s="34"/>
      <c r="T1935" s="36"/>
      <c r="U1935" s="36"/>
      <c r="V1935" s="36"/>
      <c r="W1935" s="36"/>
      <c r="X1935" s="36"/>
      <c r="Y1935" s="145">
        <f t="shared" si="568"/>
        <v>0</v>
      </c>
      <c r="Z1935" s="567"/>
      <c r="AA1935" s="12">
        <f t="shared" si="569"/>
        <v>0</v>
      </c>
      <c r="AB1935" s="12">
        <f t="shared" si="570"/>
        <v>0</v>
      </c>
      <c r="AC1935" s="12">
        <f t="shared" si="571"/>
        <v>0</v>
      </c>
      <c r="AD1935" s="34"/>
    </row>
    <row r="1936" spans="3:30" ht="16" x14ac:dyDescent="0.2">
      <c r="C1936" s="10">
        <f t="shared" si="565"/>
        <v>1933</v>
      </c>
      <c r="D1936" s="454"/>
      <c r="E1936" s="37"/>
      <c r="F1936" s="65"/>
      <c r="G1936" s="11" t="str">
        <f ca="1">IF(AND(E1936&lt;&gt;"",E1936&lt;TODAY()),"Disponible",IFERROR(INDEX(Vehiculos[Estado Vehiculo],MATCH(F1936,Vehiculos[Placa Vehiculo],0)),""))</f>
        <v/>
      </c>
      <c r="H1936" s="34"/>
      <c r="I1936" s="34"/>
      <c r="J1936" s="34"/>
      <c r="K1936" s="39"/>
      <c r="L1936" s="39"/>
      <c r="M1936" s="15">
        <f t="shared" si="566"/>
        <v>0</v>
      </c>
      <c r="N1936" s="15"/>
      <c r="O1936" s="39"/>
      <c r="P1936" s="36"/>
      <c r="Q1936" s="16">
        <f t="shared" si="567"/>
        <v>0</v>
      </c>
      <c r="R1936" s="34"/>
      <c r="S1936" s="34"/>
      <c r="T1936" s="36"/>
      <c r="U1936" s="36"/>
      <c r="V1936" s="36"/>
      <c r="W1936" s="36"/>
      <c r="X1936" s="36"/>
      <c r="Y1936" s="145">
        <f t="shared" si="568"/>
        <v>0</v>
      </c>
      <c r="Z1936" s="567"/>
      <c r="AA1936" s="12">
        <f t="shared" si="569"/>
        <v>0</v>
      </c>
      <c r="AB1936" s="12">
        <f t="shared" si="570"/>
        <v>0</v>
      </c>
      <c r="AC1936" s="12">
        <f t="shared" si="571"/>
        <v>0</v>
      </c>
      <c r="AD1936" s="34"/>
    </row>
    <row r="1937" spans="3:30" ht="16" x14ac:dyDescent="0.2">
      <c r="C1937" s="10">
        <f t="shared" si="565"/>
        <v>1934</v>
      </c>
      <c r="D1937" s="454"/>
      <c r="E1937" s="37"/>
      <c r="F1937" s="65"/>
      <c r="G1937" s="11" t="str">
        <f ca="1">IF(AND(E1937&lt;&gt;"",E1937&lt;TODAY()),"Disponible",IFERROR(INDEX(Vehiculos[Estado Vehiculo],MATCH(F1937,Vehiculos[Placa Vehiculo],0)),""))</f>
        <v/>
      </c>
      <c r="H1937" s="34"/>
      <c r="I1937" s="34"/>
      <c r="J1937" s="34"/>
      <c r="K1937" s="39"/>
      <c r="L1937" s="39"/>
      <c r="M1937" s="15">
        <f t="shared" si="566"/>
        <v>0</v>
      </c>
      <c r="N1937" s="15"/>
      <c r="O1937" s="39"/>
      <c r="P1937" s="36"/>
      <c r="Q1937" s="16">
        <f t="shared" si="567"/>
        <v>0</v>
      </c>
      <c r="R1937" s="34"/>
      <c r="S1937" s="34"/>
      <c r="T1937" s="36"/>
      <c r="U1937" s="36"/>
      <c r="V1937" s="36"/>
      <c r="W1937" s="36"/>
      <c r="X1937" s="36"/>
      <c r="Y1937" s="145">
        <f t="shared" si="568"/>
        <v>0</v>
      </c>
      <c r="Z1937" s="567"/>
      <c r="AA1937" s="12">
        <f t="shared" si="569"/>
        <v>0</v>
      </c>
      <c r="AB1937" s="12">
        <f t="shared" si="570"/>
        <v>0</v>
      </c>
      <c r="AC1937" s="12">
        <f t="shared" si="571"/>
        <v>0</v>
      </c>
      <c r="AD1937" s="34"/>
    </row>
    <row r="1938" spans="3:30" ht="16" x14ac:dyDescent="0.2">
      <c r="C1938" s="10">
        <f t="shared" si="565"/>
        <v>1935</v>
      </c>
      <c r="D1938" s="454"/>
      <c r="E1938" s="37"/>
      <c r="F1938" s="65"/>
      <c r="G1938" s="11" t="str">
        <f ca="1">IF(AND(E1938&lt;&gt;"",E1938&lt;TODAY()),"Disponible",IFERROR(INDEX(Vehiculos[Estado Vehiculo],MATCH(F1938,Vehiculos[Placa Vehiculo],0)),""))</f>
        <v/>
      </c>
      <c r="H1938" s="34"/>
      <c r="I1938" s="34"/>
      <c r="J1938" s="34"/>
      <c r="K1938" s="39"/>
      <c r="L1938" s="39"/>
      <c r="M1938" s="15">
        <f t="shared" si="566"/>
        <v>0</v>
      </c>
      <c r="N1938" s="15"/>
      <c r="O1938" s="39"/>
      <c r="P1938" s="36"/>
      <c r="Q1938" s="16">
        <f t="shared" si="567"/>
        <v>0</v>
      </c>
      <c r="R1938" s="34"/>
      <c r="S1938" s="34"/>
      <c r="T1938" s="36"/>
      <c r="U1938" s="36"/>
      <c r="V1938" s="36"/>
      <c r="W1938" s="36"/>
      <c r="X1938" s="36"/>
      <c r="Y1938" s="145">
        <f t="shared" si="568"/>
        <v>0</v>
      </c>
      <c r="Z1938" s="567"/>
      <c r="AA1938" s="12">
        <f t="shared" si="569"/>
        <v>0</v>
      </c>
      <c r="AB1938" s="12">
        <f t="shared" si="570"/>
        <v>0</v>
      </c>
      <c r="AC1938" s="12">
        <f t="shared" si="571"/>
        <v>0</v>
      </c>
      <c r="AD1938" s="34"/>
    </row>
    <row r="1939" spans="3:30" ht="16" x14ac:dyDescent="0.2">
      <c r="C1939" s="10">
        <f t="shared" si="565"/>
        <v>1936</v>
      </c>
      <c r="D1939" s="454"/>
      <c r="E1939" s="37"/>
      <c r="F1939" s="65"/>
      <c r="G1939" s="11" t="str">
        <f ca="1">IF(AND(E1939&lt;&gt;"",E1939&lt;TODAY()),"Disponible",IFERROR(INDEX(Vehiculos[Estado Vehiculo],MATCH(F1939,Vehiculos[Placa Vehiculo],0)),""))</f>
        <v/>
      </c>
      <c r="H1939" s="34"/>
      <c r="I1939" s="34"/>
      <c r="J1939" s="34"/>
      <c r="K1939" s="39"/>
      <c r="L1939" s="39"/>
      <c r="M1939" s="15">
        <f t="shared" si="566"/>
        <v>0</v>
      </c>
      <c r="N1939" s="15"/>
      <c r="O1939" s="39"/>
      <c r="P1939" s="36"/>
      <c r="Q1939" s="16">
        <f t="shared" si="567"/>
        <v>0</v>
      </c>
      <c r="R1939" s="34"/>
      <c r="S1939" s="34"/>
      <c r="T1939" s="36"/>
      <c r="U1939" s="36"/>
      <c r="V1939" s="36"/>
      <c r="W1939" s="36"/>
      <c r="X1939" s="36"/>
      <c r="Y1939" s="145">
        <f t="shared" si="568"/>
        <v>0</v>
      </c>
      <c r="Z1939" s="567"/>
      <c r="AA1939" s="12">
        <f t="shared" si="569"/>
        <v>0</v>
      </c>
      <c r="AB1939" s="12">
        <f t="shared" si="570"/>
        <v>0</v>
      </c>
      <c r="AC1939" s="12">
        <f t="shared" si="571"/>
        <v>0</v>
      </c>
      <c r="AD1939" s="34"/>
    </row>
    <row r="1940" spans="3:30" ht="16" x14ac:dyDescent="0.2">
      <c r="C1940" s="10">
        <f t="shared" si="565"/>
        <v>1937</v>
      </c>
      <c r="D1940" s="454"/>
      <c r="E1940" s="37"/>
      <c r="F1940" s="65"/>
      <c r="G1940" s="11" t="str">
        <f ca="1">IF(AND(E1940&lt;&gt;"",E1940&lt;TODAY()),"Disponible",IFERROR(INDEX(Vehiculos[Estado Vehiculo],MATCH(F1940,Vehiculos[Placa Vehiculo],0)),""))</f>
        <v/>
      </c>
      <c r="H1940" s="34"/>
      <c r="I1940" s="34"/>
      <c r="J1940" s="34"/>
      <c r="K1940" s="39"/>
      <c r="L1940" s="39"/>
      <c r="M1940" s="15">
        <f t="shared" si="566"/>
        <v>0</v>
      </c>
      <c r="N1940" s="15"/>
      <c r="O1940" s="39"/>
      <c r="P1940" s="36"/>
      <c r="Q1940" s="16">
        <f t="shared" si="567"/>
        <v>0</v>
      </c>
      <c r="R1940" s="34"/>
      <c r="S1940" s="34"/>
      <c r="T1940" s="36"/>
      <c r="U1940" s="36"/>
      <c r="V1940" s="36"/>
      <c r="W1940" s="36"/>
      <c r="X1940" s="36"/>
      <c r="Y1940" s="145">
        <f t="shared" si="568"/>
        <v>0</v>
      </c>
      <c r="Z1940" s="567"/>
      <c r="AA1940" s="12">
        <f t="shared" si="569"/>
        <v>0</v>
      </c>
      <c r="AB1940" s="12">
        <f t="shared" si="570"/>
        <v>0</v>
      </c>
      <c r="AC1940" s="12">
        <f t="shared" si="571"/>
        <v>0</v>
      </c>
      <c r="AD1940" s="34"/>
    </row>
    <row r="1941" spans="3:30" ht="16" x14ac:dyDescent="0.2">
      <c r="C1941" s="10">
        <f t="shared" si="565"/>
        <v>1938</v>
      </c>
      <c r="D1941" s="454"/>
      <c r="E1941" s="37"/>
      <c r="F1941" s="65"/>
      <c r="G1941" s="11" t="str">
        <f ca="1">IF(AND(E1941&lt;&gt;"",E1941&lt;TODAY()),"Disponible",IFERROR(INDEX(Vehiculos[Estado Vehiculo],MATCH(F1941,Vehiculos[Placa Vehiculo],0)),""))</f>
        <v/>
      </c>
      <c r="H1941" s="34"/>
      <c r="I1941" s="34"/>
      <c r="J1941" s="34"/>
      <c r="K1941" s="39"/>
      <c r="L1941" s="39"/>
      <c r="M1941" s="15">
        <f t="shared" si="566"/>
        <v>0</v>
      </c>
      <c r="N1941" s="15"/>
      <c r="O1941" s="39"/>
      <c r="P1941" s="36"/>
      <c r="Q1941" s="16">
        <f t="shared" si="567"/>
        <v>0</v>
      </c>
      <c r="R1941" s="34"/>
      <c r="S1941" s="34"/>
      <c r="T1941" s="36"/>
      <c r="U1941" s="36"/>
      <c r="V1941" s="36"/>
      <c r="W1941" s="36"/>
      <c r="X1941" s="36"/>
      <c r="Y1941" s="145">
        <f t="shared" si="568"/>
        <v>0</v>
      </c>
      <c r="Z1941" s="567"/>
      <c r="AA1941" s="12">
        <f t="shared" si="569"/>
        <v>0</v>
      </c>
      <c r="AB1941" s="12">
        <f t="shared" si="570"/>
        <v>0</v>
      </c>
      <c r="AC1941" s="12">
        <f t="shared" si="571"/>
        <v>0</v>
      </c>
      <c r="AD1941" s="34"/>
    </row>
    <row r="1942" spans="3:30" ht="16" x14ac:dyDescent="0.2">
      <c r="C1942" s="10">
        <f t="shared" si="565"/>
        <v>1939</v>
      </c>
      <c r="D1942" s="454"/>
      <c r="E1942" s="37"/>
      <c r="F1942" s="65"/>
      <c r="G1942" s="11" t="str">
        <f ca="1">IF(AND(E1942&lt;&gt;"",E1942&lt;TODAY()),"Disponible",IFERROR(INDEX(Vehiculos[Estado Vehiculo],MATCH(F1942,Vehiculos[Placa Vehiculo],0)),""))</f>
        <v/>
      </c>
      <c r="H1942" s="34"/>
      <c r="I1942" s="34"/>
      <c r="J1942" s="34"/>
      <c r="K1942" s="39"/>
      <c r="L1942" s="39"/>
      <c r="M1942" s="15">
        <f t="shared" si="566"/>
        <v>0</v>
      </c>
      <c r="N1942" s="15"/>
      <c r="O1942" s="39"/>
      <c r="P1942" s="36"/>
      <c r="Q1942" s="16">
        <f t="shared" si="567"/>
        <v>0</v>
      </c>
      <c r="R1942" s="34"/>
      <c r="S1942" s="34"/>
      <c r="T1942" s="36"/>
      <c r="U1942" s="36"/>
      <c r="V1942" s="36"/>
      <c r="W1942" s="36"/>
      <c r="X1942" s="36"/>
      <c r="Y1942" s="145">
        <f t="shared" si="568"/>
        <v>0</v>
      </c>
      <c r="Z1942" s="567"/>
      <c r="AA1942" s="12">
        <f t="shared" si="569"/>
        <v>0</v>
      </c>
      <c r="AB1942" s="12">
        <f t="shared" si="570"/>
        <v>0</v>
      </c>
      <c r="AC1942" s="12">
        <f t="shared" si="571"/>
        <v>0</v>
      </c>
      <c r="AD1942" s="34"/>
    </row>
    <row r="1943" spans="3:30" ht="16" x14ac:dyDescent="0.2">
      <c r="C1943" s="10">
        <f t="shared" si="565"/>
        <v>1940</v>
      </c>
      <c r="D1943" s="454"/>
      <c r="E1943" s="37"/>
      <c r="F1943" s="65"/>
      <c r="G1943" s="11" t="str">
        <f ca="1">IF(AND(E1943&lt;&gt;"",E1943&lt;TODAY()),"Disponible",IFERROR(INDEX(Vehiculos[Estado Vehiculo],MATCH(F1943,Vehiculos[Placa Vehiculo],0)),""))</f>
        <v/>
      </c>
      <c r="H1943" s="34"/>
      <c r="I1943" s="34"/>
      <c r="J1943" s="34"/>
      <c r="K1943" s="39"/>
      <c r="L1943" s="39"/>
      <c r="M1943" s="15">
        <f t="shared" si="566"/>
        <v>0</v>
      </c>
      <c r="N1943" s="15"/>
      <c r="O1943" s="39"/>
      <c r="P1943" s="36"/>
      <c r="Q1943" s="16">
        <f t="shared" si="567"/>
        <v>0</v>
      </c>
      <c r="R1943" s="34"/>
      <c r="S1943" s="34"/>
      <c r="T1943" s="36"/>
      <c r="U1943" s="36"/>
      <c r="V1943" s="36"/>
      <c r="W1943" s="36"/>
      <c r="X1943" s="36"/>
      <c r="Y1943" s="145">
        <f t="shared" si="568"/>
        <v>0</v>
      </c>
      <c r="Z1943" s="567"/>
      <c r="AA1943" s="12">
        <f t="shared" si="569"/>
        <v>0</v>
      </c>
      <c r="AB1943" s="12">
        <f t="shared" si="570"/>
        <v>0</v>
      </c>
      <c r="AC1943" s="12">
        <f t="shared" si="571"/>
        <v>0</v>
      </c>
      <c r="AD1943" s="34"/>
    </row>
    <row r="1944" spans="3:30" ht="16" x14ac:dyDescent="0.2">
      <c r="C1944" s="10">
        <f t="shared" si="565"/>
        <v>1941</v>
      </c>
      <c r="D1944" s="454"/>
      <c r="E1944" s="37"/>
      <c r="F1944" s="65"/>
      <c r="G1944" s="11" t="str">
        <f ca="1">IF(AND(E1944&lt;&gt;"",E1944&lt;TODAY()),"Disponible",IFERROR(INDEX(Vehiculos[Estado Vehiculo],MATCH(F1944,Vehiculos[Placa Vehiculo],0)),""))</f>
        <v/>
      </c>
      <c r="H1944" s="34"/>
      <c r="I1944" s="34"/>
      <c r="J1944" s="34"/>
      <c r="K1944" s="39"/>
      <c r="L1944" s="39"/>
      <c r="M1944" s="15">
        <f t="shared" si="566"/>
        <v>0</v>
      </c>
      <c r="N1944" s="15"/>
      <c r="O1944" s="39"/>
      <c r="P1944" s="36"/>
      <c r="Q1944" s="16">
        <f t="shared" si="567"/>
        <v>0</v>
      </c>
      <c r="R1944" s="34"/>
      <c r="S1944" s="34"/>
      <c r="T1944" s="36"/>
      <c r="U1944" s="36"/>
      <c r="V1944" s="36"/>
      <c r="W1944" s="36"/>
      <c r="X1944" s="36"/>
      <c r="Y1944" s="145">
        <f t="shared" si="568"/>
        <v>0</v>
      </c>
      <c r="Z1944" s="567"/>
      <c r="AA1944" s="12">
        <f t="shared" si="569"/>
        <v>0</v>
      </c>
      <c r="AB1944" s="12">
        <f t="shared" si="570"/>
        <v>0</v>
      </c>
      <c r="AC1944" s="12">
        <f t="shared" si="571"/>
        <v>0</v>
      </c>
      <c r="AD1944" s="34"/>
    </row>
    <row r="1945" spans="3:30" ht="16" x14ac:dyDescent="0.2">
      <c r="F1945" s="595"/>
    </row>
    <row r="1946" spans="3:30" ht="16" x14ac:dyDescent="0.2">
      <c r="F1946" s="595"/>
    </row>
    <row r="1947" spans="3:30" ht="16" x14ac:dyDescent="0.2">
      <c r="F1947" s="595"/>
    </row>
    <row r="1948" spans="3:30" ht="16" x14ac:dyDescent="0.2">
      <c r="F1948" s="595"/>
    </row>
    <row r="1949" spans="3:30" ht="16" x14ac:dyDescent="0.2">
      <c r="F1949" s="595"/>
    </row>
    <row r="1950" spans="3:30" ht="16" x14ac:dyDescent="0.2">
      <c r="F1950" s="595"/>
    </row>
    <row r="1951" spans="3:30" ht="16" x14ac:dyDescent="0.2">
      <c r="F1951" s="595"/>
    </row>
    <row r="1952" spans="3:30" ht="16" x14ac:dyDescent="0.2">
      <c r="F1952" s="595"/>
    </row>
    <row r="1953" spans="6:6" ht="16" x14ac:dyDescent="0.2">
      <c r="F1953" s="595"/>
    </row>
    <row r="1954" spans="6:6" ht="16" x14ac:dyDescent="0.2">
      <c r="F1954" s="595"/>
    </row>
    <row r="1955" spans="6:6" ht="16" x14ac:dyDescent="0.2">
      <c r="F1955" s="595"/>
    </row>
    <row r="1956" spans="6:6" ht="16" x14ac:dyDescent="0.2">
      <c r="F1956" s="595"/>
    </row>
    <row r="1957" spans="6:6" ht="16" x14ac:dyDescent="0.2">
      <c r="F1957" s="595"/>
    </row>
    <row r="1958" spans="6:6" ht="16" x14ac:dyDescent="0.2">
      <c r="F1958" s="595"/>
    </row>
    <row r="1959" spans="6:6" ht="16" x14ac:dyDescent="0.2">
      <c r="F1959" s="595"/>
    </row>
  </sheetData>
  <sheetProtection selectLockedCells="1"/>
  <mergeCells count="1">
    <mergeCell ref="B1:AD1"/>
  </mergeCells>
  <conditionalFormatting sqref="C4:AD4 D5:AD175 C5:C1816 O176:AD197 D176:N209 O198:R199 T198:AD199 O200:AD209 D210:AD385 D386:T468 V386:AD501 U386:U813 D469:M501 O469:T501 N503 U815:U816 U818:U1124 U1126:U1134 U1136:U1138 U1140:U1148 U1150:U1154 U1156:U1165 U1167:U1174 U1176:U1184 U1186:U1195 U1197:U1206 U1230:U1237 U1239:U1246 U1248:U1258 U1260:U1269 U1271:U1274 U1277:U1285 U1287:U1295 U1298:U1308">
    <cfRule type="expression" dxfId="6" priority="7">
      <formula>$G4="Mantenimiento"</formula>
    </cfRule>
  </conditionalFormatting>
  <conditionalFormatting sqref="N469:N501">
    <cfRule type="expression" dxfId="5" priority="5">
      <formula>$G469="Mantenimiento"</formula>
    </cfRule>
  </conditionalFormatting>
  <conditionalFormatting sqref="S199">
    <cfRule type="expression" dxfId="4" priority="13">
      <formula>$G198="Mantenimiento"</formula>
    </cfRule>
  </conditionalFormatting>
  <conditionalFormatting sqref="U1208:U1219">
    <cfRule type="expression" dxfId="3" priority="4">
      <formula>$G1208="Mantenimiento"</formula>
    </cfRule>
  </conditionalFormatting>
  <conditionalFormatting sqref="U1221:U1228">
    <cfRule type="expression" dxfId="2" priority="2">
      <formula>$G1221="Mantenimiento"</formula>
    </cfRule>
  </conditionalFormatting>
  <dataValidations count="4">
    <dataValidation type="list" allowBlank="1" showInputMessage="1" showErrorMessage="1" sqref="S4:S197 S199:S501" xr:uid="{948CA7B2-448B-4D49-97B7-945A65EB8915}">
      <formula1>Lista_Combustible</formula1>
    </dataValidation>
    <dataValidation type="list" allowBlank="1" showInputMessage="1" showErrorMessage="1" sqref="H4:H1944" xr:uid="{A8413C10-E8F7-4D4A-92A3-79429E1D0556}">
      <formula1>Lista_Conductores</formula1>
    </dataValidation>
    <dataValidation type="list" allowBlank="1" showInputMessage="1" showErrorMessage="1" sqref="F4:F1944" xr:uid="{60845017-CEC4-4A1C-95F4-8D6C063D857C}">
      <formula1>Lista_Placas</formula1>
    </dataValidation>
    <dataValidation type="list" allowBlank="1" showInputMessage="1" showErrorMessage="1" sqref="R4:R1944" xr:uid="{F1CDDF73-18E7-406E-91C2-84E011F87FF4}">
      <formula1>Lista_Estaciones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1F27-4E63-4332-B14F-20DC21FFE3BE}">
  <sheetPr codeName="Hoja8">
    <tabColor theme="5"/>
  </sheetPr>
  <dimension ref="A1:AT152"/>
  <sheetViews>
    <sheetView showGridLines="0" showRowColHeaders="0" zoomScale="90" zoomScaleNormal="90" workbookViewId="0">
      <selection activeCell="H4" sqref="H4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6.6640625" customWidth="1"/>
    <col min="4" max="4" width="12.33203125" customWidth="1"/>
    <col min="5" max="5" width="8.1640625" customWidth="1"/>
    <col min="6" max="6" width="11.6640625" customWidth="1"/>
    <col min="7" max="7" width="18.6640625" customWidth="1"/>
    <col min="8" max="8" width="21.1640625" customWidth="1"/>
    <col min="9" max="10" width="13.1640625" customWidth="1"/>
    <col min="11" max="11" width="11.6640625" customWidth="1"/>
    <col min="12" max="12" width="12.6640625" customWidth="1"/>
    <col min="13" max="13" width="21" customWidth="1"/>
  </cols>
  <sheetData>
    <row r="1" spans="1:46" s="3" customFormat="1" ht="37" thickBot="1" x14ac:dyDescent="0.25">
      <c r="A1" s="47"/>
      <c r="B1" s="666" t="s">
        <v>276</v>
      </c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</row>
    <row r="2" spans="1:46" ht="8" customHeight="1" thickBot="1" x14ac:dyDescent="0.25">
      <c r="A2" s="47"/>
    </row>
    <row r="3" spans="1:46" ht="39" thickBot="1" x14ac:dyDescent="0.25">
      <c r="A3" s="47"/>
      <c r="C3" s="100" t="s">
        <v>19</v>
      </c>
      <c r="D3" s="101" t="s">
        <v>23</v>
      </c>
      <c r="E3" s="100" t="s">
        <v>27</v>
      </c>
      <c r="F3" s="100" t="s">
        <v>132</v>
      </c>
      <c r="G3" s="101" t="s">
        <v>36</v>
      </c>
      <c r="H3" s="100" t="s">
        <v>22</v>
      </c>
      <c r="I3" s="101" t="s">
        <v>133</v>
      </c>
      <c r="J3" s="100" t="s">
        <v>134</v>
      </c>
      <c r="K3" s="101" t="s">
        <v>135</v>
      </c>
      <c r="L3" s="100" t="s">
        <v>29</v>
      </c>
      <c r="M3" s="100" t="s">
        <v>28</v>
      </c>
    </row>
    <row r="4" spans="1:46" x14ac:dyDescent="0.2">
      <c r="A4" s="47"/>
      <c r="C4" s="10">
        <f t="shared" ref="C4:C23" si="0">ROW(A1)</f>
        <v>1</v>
      </c>
      <c r="D4" s="43"/>
      <c r="E4" s="35"/>
      <c r="F4" s="10" t="str">
        <f>IFERROR(VLOOKUP($E4,Rutas[],4,FALSE),"")</f>
        <v/>
      </c>
      <c r="G4" s="11" t="str">
        <f>IFERROR(VLOOKUP($E4,Rutas[],6,FALSE),"")</f>
        <v/>
      </c>
      <c r="H4" s="34"/>
      <c r="I4" s="36"/>
      <c r="J4" s="36"/>
      <c r="K4" s="12">
        <f t="shared" ref="K4:K23" si="1">I4-J4</f>
        <v>0</v>
      </c>
      <c r="L4" s="11" t="str">
        <f t="shared" ref="L4:L23" si="2">IF(I4=0,"",IF(K4=0,"Abierto","Cerrado"))</f>
        <v/>
      </c>
      <c r="M4" s="34"/>
    </row>
    <row r="5" spans="1:46" x14ac:dyDescent="0.2">
      <c r="A5" s="47"/>
      <c r="C5" s="10">
        <f t="shared" si="0"/>
        <v>2</v>
      </c>
      <c r="D5" s="43"/>
      <c r="E5" s="35"/>
      <c r="F5" s="10" t="str">
        <f>IFERROR(VLOOKUP($E5,Rutas[],4,FALSE),"")</f>
        <v/>
      </c>
      <c r="G5" s="11" t="str">
        <f>IFERROR(VLOOKUP($E5,Rutas[],6,FALSE),"")</f>
        <v/>
      </c>
      <c r="H5" s="34"/>
      <c r="I5" s="36"/>
      <c r="J5" s="36"/>
      <c r="K5" s="12">
        <f t="shared" si="1"/>
        <v>0</v>
      </c>
      <c r="L5" s="11" t="str">
        <f t="shared" si="2"/>
        <v/>
      </c>
      <c r="M5" s="34"/>
    </row>
    <row r="6" spans="1:46" x14ac:dyDescent="0.2">
      <c r="A6" s="47"/>
      <c r="C6" s="10">
        <f t="shared" si="0"/>
        <v>3</v>
      </c>
      <c r="D6" s="43"/>
      <c r="E6" s="35"/>
      <c r="F6" s="10" t="str">
        <f>IFERROR(VLOOKUP($E6,Rutas[],4,FALSE),"")</f>
        <v/>
      </c>
      <c r="G6" s="11" t="str">
        <f>IFERROR(VLOOKUP($E6,Rutas[],6,FALSE),"")</f>
        <v/>
      </c>
      <c r="H6" s="34"/>
      <c r="I6" s="36"/>
      <c r="J6" s="36"/>
      <c r="K6" s="12">
        <f t="shared" si="1"/>
        <v>0</v>
      </c>
      <c r="L6" s="11" t="str">
        <f t="shared" si="2"/>
        <v/>
      </c>
      <c r="M6" s="34"/>
    </row>
    <row r="7" spans="1:46" x14ac:dyDescent="0.2">
      <c r="A7" s="47"/>
      <c r="C7" s="10">
        <f t="shared" si="0"/>
        <v>4</v>
      </c>
      <c r="D7" s="43"/>
      <c r="E7" s="35"/>
      <c r="F7" s="10" t="str">
        <f>IFERROR(VLOOKUP($E7,Rutas[],4,FALSE),"")</f>
        <v/>
      </c>
      <c r="G7" s="11" t="str">
        <f>IFERROR(VLOOKUP($E7,Rutas[],6,FALSE),"")</f>
        <v/>
      </c>
      <c r="H7" s="34"/>
      <c r="I7" s="36"/>
      <c r="J7" s="36"/>
      <c r="K7" s="12">
        <f t="shared" si="1"/>
        <v>0</v>
      </c>
      <c r="L7" s="11" t="str">
        <f t="shared" si="2"/>
        <v/>
      </c>
      <c r="M7" s="34"/>
    </row>
    <row r="8" spans="1:46" x14ac:dyDescent="0.2">
      <c r="A8" s="47"/>
      <c r="C8" s="10">
        <f t="shared" si="0"/>
        <v>5</v>
      </c>
      <c r="D8" s="43"/>
      <c r="E8" s="35"/>
      <c r="F8" s="10" t="str">
        <f>IFERROR(VLOOKUP($E8,Rutas[],4,FALSE),"")</f>
        <v/>
      </c>
      <c r="G8" s="11" t="str">
        <f>IFERROR(VLOOKUP($E8,Rutas[],6,FALSE),"")</f>
        <v/>
      </c>
      <c r="H8" s="34"/>
      <c r="I8" s="36"/>
      <c r="J8" s="36"/>
      <c r="K8" s="12">
        <f t="shared" si="1"/>
        <v>0</v>
      </c>
      <c r="L8" s="11" t="str">
        <f t="shared" si="2"/>
        <v/>
      </c>
      <c r="M8" s="34"/>
    </row>
    <row r="9" spans="1:46" x14ac:dyDescent="0.2">
      <c r="A9" s="47"/>
      <c r="C9" s="10">
        <f t="shared" si="0"/>
        <v>6</v>
      </c>
      <c r="D9" s="43"/>
      <c r="E9" s="35"/>
      <c r="F9" s="10" t="str">
        <f>IFERROR(VLOOKUP($E9,Rutas[],4,FALSE),"")</f>
        <v/>
      </c>
      <c r="G9" s="11" t="str">
        <f>IFERROR(VLOOKUP($E9,Rutas[],6,FALSE),"")</f>
        <v/>
      </c>
      <c r="H9" s="34"/>
      <c r="I9" s="36"/>
      <c r="J9" s="36"/>
      <c r="K9" s="12">
        <f t="shared" si="1"/>
        <v>0</v>
      </c>
      <c r="L9" s="11" t="str">
        <f t="shared" si="2"/>
        <v/>
      </c>
      <c r="M9" s="34"/>
    </row>
    <row r="10" spans="1:46" x14ac:dyDescent="0.2">
      <c r="A10" s="47"/>
      <c r="C10" s="10">
        <f t="shared" si="0"/>
        <v>7</v>
      </c>
      <c r="D10" s="43"/>
      <c r="E10" s="35"/>
      <c r="F10" s="10" t="str">
        <f>IFERROR(VLOOKUP($E10,Rutas[],4,FALSE),"")</f>
        <v/>
      </c>
      <c r="G10" s="11" t="str">
        <f>IFERROR(VLOOKUP($E10,Rutas[],6,FALSE),"")</f>
        <v/>
      </c>
      <c r="H10" s="34"/>
      <c r="I10" s="36"/>
      <c r="J10" s="36"/>
      <c r="K10" s="12">
        <f t="shared" si="1"/>
        <v>0</v>
      </c>
      <c r="L10" s="11" t="str">
        <f t="shared" si="2"/>
        <v/>
      </c>
      <c r="M10" s="34"/>
    </row>
    <row r="11" spans="1:46" x14ac:dyDescent="0.2">
      <c r="A11" s="47"/>
      <c r="C11" s="10">
        <f t="shared" si="0"/>
        <v>8</v>
      </c>
      <c r="D11" s="43"/>
      <c r="E11" s="35"/>
      <c r="F11" s="10" t="str">
        <f>IFERROR(VLOOKUP($E11,Rutas[],4,FALSE),"")</f>
        <v/>
      </c>
      <c r="G11" s="11" t="str">
        <f>IFERROR(VLOOKUP($E11,Rutas[],6,FALSE),"")</f>
        <v/>
      </c>
      <c r="H11" s="34"/>
      <c r="I11" s="36"/>
      <c r="J11" s="36"/>
      <c r="K11" s="12">
        <f t="shared" si="1"/>
        <v>0</v>
      </c>
      <c r="L11" s="11" t="str">
        <f t="shared" si="2"/>
        <v/>
      </c>
      <c r="M11" s="34"/>
    </row>
    <row r="12" spans="1:46" x14ac:dyDescent="0.2">
      <c r="A12" s="47"/>
      <c r="C12" s="10">
        <f t="shared" si="0"/>
        <v>9</v>
      </c>
      <c r="D12" s="43"/>
      <c r="E12" s="35"/>
      <c r="F12" s="10" t="str">
        <f>IFERROR(VLOOKUP($E12,Rutas[],4,FALSE),"")</f>
        <v/>
      </c>
      <c r="G12" s="11" t="str">
        <f>IFERROR(VLOOKUP($E12,Rutas[],6,FALSE),"")</f>
        <v/>
      </c>
      <c r="H12" s="34"/>
      <c r="I12" s="36"/>
      <c r="J12" s="36"/>
      <c r="K12" s="12">
        <f t="shared" si="1"/>
        <v>0</v>
      </c>
      <c r="L12" s="11" t="str">
        <f t="shared" si="2"/>
        <v/>
      </c>
      <c r="M12" s="34"/>
    </row>
    <row r="13" spans="1:46" x14ac:dyDescent="0.2">
      <c r="A13" s="47"/>
      <c r="C13" s="10">
        <f t="shared" si="0"/>
        <v>10</v>
      </c>
      <c r="D13" s="43"/>
      <c r="E13" s="35"/>
      <c r="F13" s="10" t="str">
        <f>IFERROR(VLOOKUP($E13,Rutas[],4,FALSE),"")</f>
        <v/>
      </c>
      <c r="G13" s="11" t="str">
        <f>IFERROR(VLOOKUP($E13,Rutas[],6,FALSE),"")</f>
        <v/>
      </c>
      <c r="H13" s="34"/>
      <c r="I13" s="36"/>
      <c r="J13" s="36"/>
      <c r="K13" s="12">
        <f t="shared" si="1"/>
        <v>0</v>
      </c>
      <c r="L13" s="11" t="str">
        <f t="shared" si="2"/>
        <v/>
      </c>
      <c r="M13" s="34"/>
    </row>
    <row r="14" spans="1:46" x14ac:dyDescent="0.2">
      <c r="A14" s="47"/>
      <c r="C14" s="10">
        <f t="shared" si="0"/>
        <v>11</v>
      </c>
      <c r="D14" s="43"/>
      <c r="E14" s="35"/>
      <c r="F14" s="10" t="str">
        <f>IFERROR(VLOOKUP($E14,Rutas[],4,FALSE),"")</f>
        <v/>
      </c>
      <c r="G14" s="11" t="str">
        <f>IFERROR(VLOOKUP($E14,Rutas[],6,FALSE),"")</f>
        <v/>
      </c>
      <c r="H14" s="34"/>
      <c r="I14" s="36"/>
      <c r="J14" s="36"/>
      <c r="K14" s="12">
        <f t="shared" si="1"/>
        <v>0</v>
      </c>
      <c r="L14" s="11" t="str">
        <f t="shared" si="2"/>
        <v/>
      </c>
      <c r="M14" s="34"/>
    </row>
    <row r="15" spans="1:46" x14ac:dyDescent="0.2">
      <c r="A15" s="47"/>
      <c r="C15" s="10">
        <f t="shared" si="0"/>
        <v>12</v>
      </c>
      <c r="D15" s="43"/>
      <c r="E15" s="35"/>
      <c r="F15" s="10" t="str">
        <f>IFERROR(VLOOKUP($E15,Rutas[],4,FALSE),"")</f>
        <v/>
      </c>
      <c r="G15" s="11" t="str">
        <f>IFERROR(VLOOKUP($E15,Rutas[],6,FALSE),"")</f>
        <v/>
      </c>
      <c r="H15" s="34"/>
      <c r="I15" s="36"/>
      <c r="J15" s="36"/>
      <c r="K15" s="12">
        <f t="shared" si="1"/>
        <v>0</v>
      </c>
      <c r="L15" s="11" t="str">
        <f t="shared" si="2"/>
        <v/>
      </c>
      <c r="M15" s="34"/>
    </row>
    <row r="16" spans="1:46" x14ac:dyDescent="0.2">
      <c r="A16" s="47"/>
      <c r="C16" s="10">
        <f t="shared" si="0"/>
        <v>13</v>
      </c>
      <c r="D16" s="43"/>
      <c r="E16" s="35"/>
      <c r="F16" s="10" t="str">
        <f>IFERROR(VLOOKUP($E16,Rutas[],4,FALSE),"")</f>
        <v/>
      </c>
      <c r="G16" s="11" t="str">
        <f>IFERROR(VLOOKUP($E16,Rutas[],6,FALSE),"")</f>
        <v/>
      </c>
      <c r="H16" s="34"/>
      <c r="I16" s="36"/>
      <c r="J16" s="36"/>
      <c r="K16" s="12">
        <f t="shared" si="1"/>
        <v>0</v>
      </c>
      <c r="L16" s="11" t="str">
        <f t="shared" si="2"/>
        <v/>
      </c>
      <c r="M16" s="34"/>
    </row>
    <row r="17" spans="1:13" x14ac:dyDescent="0.2">
      <c r="A17" s="47"/>
      <c r="C17" s="10">
        <f t="shared" si="0"/>
        <v>14</v>
      </c>
      <c r="D17" s="43"/>
      <c r="E17" s="35"/>
      <c r="F17" s="10" t="str">
        <f>IFERROR(VLOOKUP($E17,Rutas[],4,FALSE),"")</f>
        <v/>
      </c>
      <c r="G17" s="11" t="str">
        <f>IFERROR(VLOOKUP($E17,Rutas[],6,FALSE),"")</f>
        <v/>
      </c>
      <c r="H17" s="34"/>
      <c r="I17" s="36"/>
      <c r="J17" s="36"/>
      <c r="K17" s="12">
        <f t="shared" si="1"/>
        <v>0</v>
      </c>
      <c r="L17" s="11" t="str">
        <f t="shared" si="2"/>
        <v/>
      </c>
      <c r="M17" s="34"/>
    </row>
    <row r="18" spans="1:13" x14ac:dyDescent="0.2">
      <c r="A18" s="47"/>
      <c r="C18" s="10">
        <f t="shared" si="0"/>
        <v>15</v>
      </c>
      <c r="D18" s="43"/>
      <c r="E18" s="35"/>
      <c r="F18" s="10" t="str">
        <f>IFERROR(VLOOKUP($E18,Rutas[],4,FALSE),"")</f>
        <v/>
      </c>
      <c r="G18" s="11" t="str">
        <f>IFERROR(VLOOKUP($E18,Rutas[],6,FALSE),"")</f>
        <v/>
      </c>
      <c r="H18" s="34"/>
      <c r="I18" s="36"/>
      <c r="J18" s="36"/>
      <c r="K18" s="12">
        <f t="shared" si="1"/>
        <v>0</v>
      </c>
      <c r="L18" s="11" t="str">
        <f t="shared" si="2"/>
        <v/>
      </c>
      <c r="M18" s="34"/>
    </row>
    <row r="19" spans="1:13" x14ac:dyDescent="0.2">
      <c r="A19" s="47"/>
      <c r="C19" s="10">
        <f t="shared" si="0"/>
        <v>16</v>
      </c>
      <c r="D19" s="43"/>
      <c r="E19" s="35"/>
      <c r="F19" s="10" t="str">
        <f>IFERROR(VLOOKUP($E19,Rutas[],4,FALSE),"")</f>
        <v/>
      </c>
      <c r="G19" s="11" t="str">
        <f>IFERROR(VLOOKUP($E19,Rutas[],6,FALSE),"")</f>
        <v/>
      </c>
      <c r="H19" s="34"/>
      <c r="I19" s="36"/>
      <c r="J19" s="36"/>
      <c r="K19" s="12">
        <f t="shared" si="1"/>
        <v>0</v>
      </c>
      <c r="L19" s="11" t="str">
        <f t="shared" si="2"/>
        <v/>
      </c>
      <c r="M19" s="34"/>
    </row>
    <row r="20" spans="1:13" x14ac:dyDescent="0.2">
      <c r="A20" s="47"/>
      <c r="C20" s="10">
        <f t="shared" si="0"/>
        <v>17</v>
      </c>
      <c r="D20" s="43"/>
      <c r="E20" s="35"/>
      <c r="F20" s="10" t="str">
        <f>IFERROR(VLOOKUP($E20,Rutas[],4,FALSE),"")</f>
        <v/>
      </c>
      <c r="G20" s="11" t="str">
        <f>IFERROR(VLOOKUP($E20,Rutas[],6,FALSE),"")</f>
        <v/>
      </c>
      <c r="H20" s="34"/>
      <c r="I20" s="36"/>
      <c r="J20" s="36"/>
      <c r="K20" s="12">
        <f t="shared" si="1"/>
        <v>0</v>
      </c>
      <c r="L20" s="11" t="str">
        <f t="shared" si="2"/>
        <v/>
      </c>
      <c r="M20" s="34"/>
    </row>
    <row r="21" spans="1:13" x14ac:dyDescent="0.2">
      <c r="A21" s="47"/>
      <c r="C21" s="10">
        <f t="shared" si="0"/>
        <v>18</v>
      </c>
      <c r="D21" s="43"/>
      <c r="E21" s="35"/>
      <c r="F21" s="10" t="str">
        <f>IFERROR(VLOOKUP($E21,Rutas[],4,FALSE),"")</f>
        <v/>
      </c>
      <c r="G21" s="11" t="str">
        <f>IFERROR(VLOOKUP($E21,Rutas[],6,FALSE),"")</f>
        <v/>
      </c>
      <c r="H21" s="34"/>
      <c r="I21" s="36"/>
      <c r="J21" s="36"/>
      <c r="K21" s="12">
        <f t="shared" si="1"/>
        <v>0</v>
      </c>
      <c r="L21" s="11" t="str">
        <f t="shared" si="2"/>
        <v/>
      </c>
      <c r="M21" s="34"/>
    </row>
    <row r="22" spans="1:13" x14ac:dyDescent="0.2">
      <c r="A22" s="47"/>
      <c r="C22" s="10">
        <f t="shared" si="0"/>
        <v>19</v>
      </c>
      <c r="D22" s="43"/>
      <c r="E22" s="35"/>
      <c r="F22" s="10" t="str">
        <f>IFERROR(VLOOKUP($E22,Rutas[],4,FALSE),"")</f>
        <v/>
      </c>
      <c r="G22" s="11" t="str">
        <f>IFERROR(VLOOKUP($E22,Rutas[],6,FALSE),"")</f>
        <v/>
      </c>
      <c r="H22" s="34"/>
      <c r="I22" s="36"/>
      <c r="J22" s="36"/>
      <c r="K22" s="12">
        <f t="shared" si="1"/>
        <v>0</v>
      </c>
      <c r="L22" s="11" t="str">
        <f t="shared" si="2"/>
        <v/>
      </c>
      <c r="M22" s="34"/>
    </row>
    <row r="23" spans="1:13" x14ac:dyDescent="0.2">
      <c r="A23" s="47"/>
      <c r="C23" s="10">
        <f t="shared" si="0"/>
        <v>20</v>
      </c>
      <c r="D23" s="43"/>
      <c r="E23" s="35"/>
      <c r="F23" s="10" t="str">
        <f>IFERROR(VLOOKUP($E23,Rutas[],4,FALSE),"")</f>
        <v/>
      </c>
      <c r="G23" s="11" t="str">
        <f>IFERROR(VLOOKUP($E23,Rutas[],6,FALSE),"")</f>
        <v/>
      </c>
      <c r="H23" s="34"/>
      <c r="I23" s="36"/>
      <c r="J23" s="36"/>
      <c r="K23" s="12">
        <f t="shared" si="1"/>
        <v>0</v>
      </c>
      <c r="L23" s="11" t="str">
        <f t="shared" si="2"/>
        <v/>
      </c>
      <c r="M23" s="34"/>
    </row>
    <row r="24" spans="1:13" x14ac:dyDescent="0.2">
      <c r="A24" s="47"/>
    </row>
    <row r="25" spans="1:13" x14ac:dyDescent="0.2">
      <c r="A25" s="47"/>
    </row>
    <row r="26" spans="1:13" x14ac:dyDescent="0.2">
      <c r="A26" s="47"/>
    </row>
    <row r="27" spans="1:13" x14ac:dyDescent="0.2">
      <c r="A27" s="47"/>
    </row>
    <row r="28" spans="1:13" x14ac:dyDescent="0.2">
      <c r="A28" s="47"/>
    </row>
    <row r="29" spans="1:13" x14ac:dyDescent="0.2">
      <c r="A29" s="47"/>
    </row>
    <row r="30" spans="1:13" x14ac:dyDescent="0.2">
      <c r="A30" s="47"/>
    </row>
    <row r="31" spans="1:13" x14ac:dyDescent="0.2">
      <c r="A31" s="47"/>
    </row>
    <row r="32" spans="1:13" x14ac:dyDescent="0.2">
      <c r="A32" s="47"/>
    </row>
    <row r="33" spans="1:1" x14ac:dyDescent="0.2">
      <c r="A33" s="47"/>
    </row>
    <row r="34" spans="1:1" x14ac:dyDescent="0.2">
      <c r="A34" s="47"/>
    </row>
    <row r="35" spans="1:1" x14ac:dyDescent="0.2">
      <c r="A35" s="47"/>
    </row>
    <row r="36" spans="1:1" x14ac:dyDescent="0.2">
      <c r="A36" s="47"/>
    </row>
    <row r="37" spans="1:1" x14ac:dyDescent="0.2">
      <c r="A37" s="47"/>
    </row>
    <row r="38" spans="1:1" x14ac:dyDescent="0.2">
      <c r="A38" s="47"/>
    </row>
    <row r="39" spans="1:1" x14ac:dyDescent="0.2">
      <c r="A39" s="47"/>
    </row>
    <row r="40" spans="1:1" x14ac:dyDescent="0.2">
      <c r="A40" s="47"/>
    </row>
    <row r="41" spans="1:1" x14ac:dyDescent="0.2">
      <c r="A41" s="47"/>
    </row>
    <row r="42" spans="1:1" x14ac:dyDescent="0.2">
      <c r="A42" s="47"/>
    </row>
    <row r="43" spans="1:1" x14ac:dyDescent="0.2">
      <c r="A43" s="47"/>
    </row>
    <row r="44" spans="1:1" x14ac:dyDescent="0.2">
      <c r="A44" s="47"/>
    </row>
    <row r="45" spans="1:1" x14ac:dyDescent="0.2">
      <c r="A45" s="47"/>
    </row>
    <row r="46" spans="1:1" x14ac:dyDescent="0.2">
      <c r="A46" s="47"/>
    </row>
    <row r="47" spans="1:1" x14ac:dyDescent="0.2">
      <c r="A47" s="47"/>
    </row>
    <row r="48" spans="1:1" x14ac:dyDescent="0.2">
      <c r="A48" s="47"/>
    </row>
    <row r="49" spans="1:1" x14ac:dyDescent="0.2">
      <c r="A49" s="47"/>
    </row>
    <row r="50" spans="1:1" x14ac:dyDescent="0.2">
      <c r="A50" s="47"/>
    </row>
    <row r="51" spans="1:1" x14ac:dyDescent="0.2">
      <c r="A51" s="47"/>
    </row>
    <row r="52" spans="1:1" x14ac:dyDescent="0.2">
      <c r="A52" s="47"/>
    </row>
    <row r="53" spans="1:1" x14ac:dyDescent="0.2">
      <c r="A53" s="47"/>
    </row>
    <row r="54" spans="1:1" x14ac:dyDescent="0.2">
      <c r="A54" s="47"/>
    </row>
    <row r="55" spans="1:1" x14ac:dyDescent="0.2">
      <c r="A55" s="47"/>
    </row>
    <row r="56" spans="1:1" x14ac:dyDescent="0.2">
      <c r="A56" s="47"/>
    </row>
    <row r="57" spans="1:1" x14ac:dyDescent="0.2">
      <c r="A57" s="47"/>
    </row>
    <row r="58" spans="1:1" x14ac:dyDescent="0.2">
      <c r="A58" s="47"/>
    </row>
    <row r="59" spans="1:1" x14ac:dyDescent="0.2">
      <c r="A59" s="47"/>
    </row>
    <row r="60" spans="1:1" x14ac:dyDescent="0.2">
      <c r="A60" s="47"/>
    </row>
    <row r="61" spans="1:1" x14ac:dyDescent="0.2">
      <c r="A61" s="47"/>
    </row>
    <row r="62" spans="1:1" x14ac:dyDescent="0.2">
      <c r="A62" s="47"/>
    </row>
    <row r="63" spans="1:1" x14ac:dyDescent="0.2">
      <c r="A63" s="47"/>
    </row>
    <row r="64" spans="1:1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  <row r="69" spans="1:1" x14ac:dyDescent="0.2">
      <c r="A69" s="47"/>
    </row>
    <row r="70" spans="1:1" x14ac:dyDescent="0.2">
      <c r="A70" s="47"/>
    </row>
    <row r="71" spans="1:1" x14ac:dyDescent="0.2">
      <c r="A71" s="47"/>
    </row>
    <row r="72" spans="1:1" x14ac:dyDescent="0.2">
      <c r="A72" s="47"/>
    </row>
    <row r="73" spans="1:1" x14ac:dyDescent="0.2">
      <c r="A73" s="47"/>
    </row>
    <row r="74" spans="1:1" x14ac:dyDescent="0.2">
      <c r="A74" s="47"/>
    </row>
    <row r="75" spans="1:1" x14ac:dyDescent="0.2">
      <c r="A75" s="47"/>
    </row>
    <row r="76" spans="1:1" x14ac:dyDescent="0.2">
      <c r="A76" s="47"/>
    </row>
    <row r="77" spans="1:1" x14ac:dyDescent="0.2">
      <c r="A77" s="47"/>
    </row>
    <row r="78" spans="1:1" x14ac:dyDescent="0.2">
      <c r="A78" s="47"/>
    </row>
    <row r="79" spans="1:1" x14ac:dyDescent="0.2">
      <c r="A79" s="47"/>
    </row>
    <row r="80" spans="1:1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  <row r="103" spans="1:1" x14ac:dyDescent="0.2">
      <c r="A103" s="47"/>
    </row>
    <row r="104" spans="1:1" x14ac:dyDescent="0.2">
      <c r="A104" s="47"/>
    </row>
    <row r="105" spans="1:1" x14ac:dyDescent="0.2">
      <c r="A105" s="47"/>
    </row>
    <row r="106" spans="1:1" x14ac:dyDescent="0.2">
      <c r="A106" s="47"/>
    </row>
    <row r="107" spans="1:1" x14ac:dyDescent="0.2">
      <c r="A107" s="47"/>
    </row>
    <row r="108" spans="1:1" x14ac:dyDescent="0.2">
      <c r="A108" s="47"/>
    </row>
    <row r="109" spans="1:1" x14ac:dyDescent="0.2">
      <c r="A109" s="47"/>
    </row>
    <row r="110" spans="1:1" x14ac:dyDescent="0.2">
      <c r="A110" s="47"/>
    </row>
    <row r="111" spans="1:1" x14ac:dyDescent="0.2">
      <c r="A111" s="47"/>
    </row>
    <row r="112" spans="1:1" x14ac:dyDescent="0.2">
      <c r="A112" s="47"/>
    </row>
    <row r="113" spans="1:1" x14ac:dyDescent="0.2">
      <c r="A113" s="47"/>
    </row>
    <row r="114" spans="1:1" x14ac:dyDescent="0.2">
      <c r="A114" s="47"/>
    </row>
    <row r="115" spans="1:1" x14ac:dyDescent="0.2">
      <c r="A115" s="47"/>
    </row>
    <row r="116" spans="1:1" x14ac:dyDescent="0.2">
      <c r="A116" s="47"/>
    </row>
    <row r="117" spans="1:1" x14ac:dyDescent="0.2">
      <c r="A117" s="47"/>
    </row>
    <row r="118" spans="1:1" x14ac:dyDescent="0.2">
      <c r="A118" s="47"/>
    </row>
    <row r="119" spans="1:1" x14ac:dyDescent="0.2">
      <c r="A119" s="47"/>
    </row>
    <row r="120" spans="1:1" x14ac:dyDescent="0.2">
      <c r="A120" s="47"/>
    </row>
    <row r="121" spans="1:1" x14ac:dyDescent="0.2">
      <c r="A121" s="47"/>
    </row>
    <row r="122" spans="1:1" x14ac:dyDescent="0.2">
      <c r="A122" s="47"/>
    </row>
    <row r="123" spans="1:1" x14ac:dyDescent="0.2">
      <c r="A123" s="47"/>
    </row>
    <row r="124" spans="1:1" x14ac:dyDescent="0.2">
      <c r="A124" s="47"/>
    </row>
    <row r="125" spans="1:1" x14ac:dyDescent="0.2">
      <c r="A125" s="47"/>
    </row>
    <row r="126" spans="1:1" x14ac:dyDescent="0.2">
      <c r="A126" s="47"/>
    </row>
    <row r="127" spans="1:1" x14ac:dyDescent="0.2">
      <c r="A127" s="47"/>
    </row>
    <row r="128" spans="1:1" x14ac:dyDescent="0.2">
      <c r="A128" s="47"/>
    </row>
    <row r="129" spans="1:1" x14ac:dyDescent="0.2">
      <c r="A129" s="47"/>
    </row>
    <row r="130" spans="1:1" x14ac:dyDescent="0.2">
      <c r="A130" s="47"/>
    </row>
    <row r="131" spans="1:1" x14ac:dyDescent="0.2">
      <c r="A131" s="47"/>
    </row>
    <row r="132" spans="1:1" x14ac:dyDescent="0.2">
      <c r="A132" s="47"/>
    </row>
    <row r="133" spans="1:1" x14ac:dyDescent="0.2">
      <c r="A133" s="47"/>
    </row>
    <row r="134" spans="1:1" x14ac:dyDescent="0.2">
      <c r="A134" s="47"/>
    </row>
    <row r="135" spans="1:1" x14ac:dyDescent="0.2">
      <c r="A135" s="47"/>
    </row>
    <row r="136" spans="1:1" x14ac:dyDescent="0.2">
      <c r="A136" s="47"/>
    </row>
    <row r="137" spans="1:1" x14ac:dyDescent="0.2">
      <c r="A137" s="47"/>
    </row>
    <row r="138" spans="1:1" x14ac:dyDescent="0.2">
      <c r="A138" s="47"/>
    </row>
    <row r="139" spans="1:1" x14ac:dyDescent="0.2">
      <c r="A139" s="47"/>
    </row>
    <row r="140" spans="1:1" x14ac:dyDescent="0.2">
      <c r="A140" s="47"/>
    </row>
    <row r="141" spans="1:1" x14ac:dyDescent="0.2">
      <c r="A141" s="47"/>
    </row>
    <row r="142" spans="1:1" x14ac:dyDescent="0.2">
      <c r="A142" s="47"/>
    </row>
    <row r="143" spans="1:1" x14ac:dyDescent="0.2">
      <c r="A143" s="47"/>
    </row>
    <row r="144" spans="1:1" x14ac:dyDescent="0.2">
      <c r="A144" s="47"/>
    </row>
    <row r="145" spans="1:1" x14ac:dyDescent="0.2">
      <c r="A145" s="47"/>
    </row>
    <row r="146" spans="1:1" x14ac:dyDescent="0.2">
      <c r="A146" s="47"/>
    </row>
    <row r="147" spans="1:1" x14ac:dyDescent="0.2">
      <c r="A147" s="47"/>
    </row>
    <row r="148" spans="1:1" x14ac:dyDescent="0.2">
      <c r="A148" s="47"/>
    </row>
    <row r="149" spans="1:1" x14ac:dyDescent="0.2">
      <c r="A149" s="47"/>
    </row>
    <row r="150" spans="1:1" x14ac:dyDescent="0.2">
      <c r="A150" s="47"/>
    </row>
    <row r="151" spans="1:1" x14ac:dyDescent="0.2">
      <c r="A151" s="47"/>
    </row>
    <row r="152" spans="1:1" x14ac:dyDescent="0.2">
      <c r="A152" s="47"/>
    </row>
  </sheetData>
  <sheetProtection selectLockedCells="1"/>
  <mergeCells count="1">
    <mergeCell ref="B1:M1"/>
  </mergeCells>
  <phoneticPr fontId="4" type="noConversion"/>
  <dataValidations count="1">
    <dataValidation type="list" allowBlank="1" showInputMessage="1" showErrorMessage="1" sqref="H4:H23" xr:uid="{1CDEA35A-E36A-4A32-A06F-52C9AB702A01}">
      <formula1>Lista_infraccion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14E9-DFB5-4CC9-B6F6-BD48196CF095}">
  <sheetPr codeName="Hoja9">
    <tabColor theme="5"/>
  </sheetPr>
  <dimension ref="A1:AP474"/>
  <sheetViews>
    <sheetView showGridLines="0" tabSelected="1" view="pageBreakPreview" zoomScale="98" zoomScaleNormal="70" zoomScaleSheetLayoutView="98" workbookViewId="0">
      <pane xSplit="8" ySplit="3" topLeftCell="I203" activePane="bottomRight" state="frozen"/>
      <selection pane="topRight" activeCell="I1" sqref="I1"/>
      <selection pane="bottomLeft" activeCell="A4" sqref="A4"/>
      <selection pane="bottomRight" activeCell="O230" sqref="O230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6.6640625" customWidth="1"/>
    <col min="4" max="4" width="15.33203125" customWidth="1"/>
    <col min="5" max="5" width="22.5" customWidth="1"/>
    <col min="6" max="7" width="13.1640625" customWidth="1"/>
    <col min="8" max="8" width="12.1640625" customWidth="1"/>
    <col min="9" max="9" width="15.1640625" customWidth="1"/>
    <col min="10" max="10" width="10.33203125" customWidth="1"/>
    <col min="11" max="11" width="8.1640625" customWidth="1"/>
    <col min="12" max="12" width="8.33203125" customWidth="1"/>
    <col min="13" max="13" width="16.6640625" customWidth="1"/>
    <col min="14" max="14" width="12.1640625" customWidth="1"/>
    <col min="15" max="15" width="70.6640625" customWidth="1"/>
    <col min="16" max="16" width="12.6640625" customWidth="1"/>
    <col min="17" max="17" width="12.1640625" customWidth="1"/>
    <col min="18" max="18" width="31.1640625" customWidth="1"/>
  </cols>
  <sheetData>
    <row r="1" spans="1:42" s="3" customFormat="1" ht="36.75" customHeight="1" thickBot="1" x14ac:dyDescent="0.25">
      <c r="A1" s="47"/>
      <c r="B1" s="53"/>
      <c r="C1" s="54" t="s">
        <v>316</v>
      </c>
      <c r="D1" s="55"/>
      <c r="E1" s="55"/>
      <c r="F1" s="56"/>
      <c r="G1" s="56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</row>
    <row r="2" spans="1:42" ht="8" customHeight="1" thickBot="1" x14ac:dyDescent="0.25">
      <c r="A2" s="47"/>
    </row>
    <row r="3" spans="1:42" ht="56.25" customHeight="1" thickBot="1" x14ac:dyDescent="0.25">
      <c r="A3" s="47"/>
      <c r="C3" s="99" t="s">
        <v>19</v>
      </c>
      <c r="D3" s="100" t="s">
        <v>24</v>
      </c>
      <c r="E3" s="101" t="s">
        <v>43</v>
      </c>
      <c r="F3" s="100" t="s">
        <v>34</v>
      </c>
      <c r="G3" s="100" t="s">
        <v>33</v>
      </c>
      <c r="H3" s="101" t="s">
        <v>0</v>
      </c>
      <c r="I3" s="100" t="s">
        <v>182</v>
      </c>
      <c r="J3" s="100" t="s">
        <v>502</v>
      </c>
      <c r="K3" s="579" t="s">
        <v>483</v>
      </c>
      <c r="L3" s="579" t="s">
        <v>420</v>
      </c>
      <c r="M3" s="100" t="s">
        <v>172</v>
      </c>
      <c r="N3" s="101" t="s">
        <v>459</v>
      </c>
      <c r="O3" s="100" t="s">
        <v>32</v>
      </c>
      <c r="P3" s="100" t="s">
        <v>42</v>
      </c>
      <c r="Q3" s="101" t="s">
        <v>142</v>
      </c>
      <c r="R3" s="100" t="s">
        <v>28</v>
      </c>
    </row>
    <row r="4" spans="1:42" ht="16" x14ac:dyDescent="0.2">
      <c r="A4" s="47"/>
      <c r="C4" s="10">
        <f>ROW(A1)</f>
        <v>1</v>
      </c>
      <c r="D4" s="199" t="s">
        <v>204</v>
      </c>
      <c r="E4" s="200" t="s">
        <v>219</v>
      </c>
      <c r="F4" s="201">
        <v>45592</v>
      </c>
      <c r="G4" s="201">
        <v>45592</v>
      </c>
      <c r="H4" s="200" t="s">
        <v>30</v>
      </c>
      <c r="I4" s="202">
        <v>6507</v>
      </c>
      <c r="J4" s="202"/>
      <c r="K4" s="202"/>
      <c r="L4" s="202"/>
      <c r="M4" s="200" t="s">
        <v>173</v>
      </c>
      <c r="N4" s="200"/>
      <c r="O4" s="200" t="s">
        <v>464</v>
      </c>
      <c r="P4" s="203"/>
      <c r="Q4" s="201"/>
      <c r="R4" s="200"/>
    </row>
    <row r="5" spans="1:42" ht="16" x14ac:dyDescent="0.2">
      <c r="A5" s="47"/>
      <c r="C5" s="10">
        <f t="shared" ref="C5:C81" si="0">ROW(A2)</f>
        <v>2</v>
      </c>
      <c r="D5" s="204" t="s">
        <v>204</v>
      </c>
      <c r="E5" s="205" t="s">
        <v>219</v>
      </c>
      <c r="F5" s="206">
        <v>45669</v>
      </c>
      <c r="G5" s="206">
        <v>45669</v>
      </c>
      <c r="H5" s="205" t="s">
        <v>30</v>
      </c>
      <c r="I5" s="207">
        <v>14546</v>
      </c>
      <c r="J5" s="207">
        <f>Mantenimiento[[#This Row],[Kilometraje del Odómetro]]-I4</f>
        <v>8039</v>
      </c>
      <c r="K5" s="207"/>
      <c r="L5" s="207">
        <v>2</v>
      </c>
      <c r="M5" s="205" t="s">
        <v>173</v>
      </c>
      <c r="N5" s="205"/>
      <c r="O5" s="205" t="s">
        <v>464</v>
      </c>
      <c r="P5" s="208"/>
      <c r="Q5" s="206"/>
      <c r="R5" s="205"/>
    </row>
    <row r="6" spans="1:42" ht="16" x14ac:dyDescent="0.2">
      <c r="A6" s="47"/>
      <c r="C6" s="10">
        <f t="shared" si="0"/>
        <v>3</v>
      </c>
      <c r="D6" s="204" t="s">
        <v>204</v>
      </c>
      <c r="E6" s="205" t="s">
        <v>219</v>
      </c>
      <c r="F6" s="206">
        <v>45707</v>
      </c>
      <c r="G6" s="206">
        <v>45707</v>
      </c>
      <c r="H6" s="205" t="s">
        <v>30</v>
      </c>
      <c r="I6" s="207">
        <v>22382</v>
      </c>
      <c r="J6" s="207">
        <f>Mantenimiento[[#This Row],[Kilometraje del Odómetro]]-I5</f>
        <v>7836</v>
      </c>
      <c r="K6" s="207"/>
      <c r="L6" s="207">
        <v>2</v>
      </c>
      <c r="M6" s="205" t="s">
        <v>173</v>
      </c>
      <c r="N6" s="205"/>
      <c r="O6" s="205" t="s">
        <v>464</v>
      </c>
      <c r="P6" s="208"/>
      <c r="Q6" s="206"/>
      <c r="R6" s="205"/>
    </row>
    <row r="7" spans="1:42" ht="16" x14ac:dyDescent="0.2">
      <c r="A7" s="47"/>
      <c r="C7" s="10">
        <f t="shared" si="0"/>
        <v>4</v>
      </c>
      <c r="D7" s="204" t="s">
        <v>204</v>
      </c>
      <c r="E7" s="205" t="s">
        <v>219</v>
      </c>
      <c r="F7" s="206">
        <v>45821</v>
      </c>
      <c r="G7" s="206">
        <v>45821</v>
      </c>
      <c r="H7" s="205" t="s">
        <v>30</v>
      </c>
      <c r="I7" s="207">
        <v>30382</v>
      </c>
      <c r="J7" s="207">
        <f>Mantenimiento[[#This Row],[Kilometraje del Odómetro]]-I6</f>
        <v>8000</v>
      </c>
      <c r="K7" s="207"/>
      <c r="L7" s="207">
        <v>2</v>
      </c>
      <c r="M7" s="205" t="s">
        <v>173</v>
      </c>
      <c r="N7" s="205">
        <v>2025060020</v>
      </c>
      <c r="O7" s="205" t="s">
        <v>464</v>
      </c>
      <c r="P7" s="208"/>
      <c r="Q7" s="258"/>
      <c r="R7" s="205"/>
    </row>
    <row r="8" spans="1:42" ht="16" x14ac:dyDescent="0.2">
      <c r="A8" s="47"/>
      <c r="C8" s="10">
        <f t="shared" si="0"/>
        <v>5</v>
      </c>
      <c r="D8" s="204" t="s">
        <v>204</v>
      </c>
      <c r="E8" s="205" t="s">
        <v>219</v>
      </c>
      <c r="F8" s="206">
        <v>45925</v>
      </c>
      <c r="G8" s="206">
        <v>45925</v>
      </c>
      <c r="H8" s="205" t="s">
        <v>30</v>
      </c>
      <c r="I8" s="207">
        <v>38310</v>
      </c>
      <c r="J8" s="207">
        <f>Mantenimiento[[#This Row],[Kilometraje del Odómetro]]-I7</f>
        <v>7928</v>
      </c>
      <c r="K8" s="207"/>
      <c r="L8" s="207">
        <v>2</v>
      </c>
      <c r="M8" s="205" t="s">
        <v>173</v>
      </c>
      <c r="N8" s="205">
        <v>2025090041</v>
      </c>
      <c r="O8" s="205" t="s">
        <v>464</v>
      </c>
      <c r="P8" s="208"/>
      <c r="Q8" s="258"/>
      <c r="R8" s="205"/>
    </row>
    <row r="9" spans="1:42" ht="16" x14ac:dyDescent="0.2">
      <c r="A9" s="47"/>
      <c r="C9" s="10">
        <f>ROW(A6)</f>
        <v>6</v>
      </c>
      <c r="D9" s="204" t="s">
        <v>204</v>
      </c>
      <c r="E9" s="205" t="s">
        <v>219</v>
      </c>
      <c r="F9" s="206">
        <v>46008</v>
      </c>
      <c r="G9" s="206">
        <v>46008</v>
      </c>
      <c r="H9" s="205" t="s">
        <v>31</v>
      </c>
      <c r="I9" s="207">
        <v>43982</v>
      </c>
      <c r="J9" s="207"/>
      <c r="K9" s="207">
        <v>2</v>
      </c>
      <c r="L9" s="207"/>
      <c r="M9" s="205" t="s">
        <v>190</v>
      </c>
      <c r="N9" s="205">
        <v>2025121328</v>
      </c>
      <c r="O9" s="205" t="s">
        <v>518</v>
      </c>
      <c r="P9" s="208"/>
      <c r="Q9" s="258"/>
      <c r="R9" s="205"/>
    </row>
    <row r="10" spans="1:42" ht="16" x14ac:dyDescent="0.2">
      <c r="A10" s="47"/>
      <c r="C10" s="10">
        <f>ROW(A6)</f>
        <v>6</v>
      </c>
      <c r="D10" s="204" t="s">
        <v>204</v>
      </c>
      <c r="E10" s="205" t="s">
        <v>219</v>
      </c>
      <c r="F10" s="206">
        <v>46008</v>
      </c>
      <c r="G10" s="206">
        <v>46008</v>
      </c>
      <c r="H10" s="205" t="s">
        <v>31</v>
      </c>
      <c r="I10" s="207">
        <v>43982</v>
      </c>
      <c r="J10" s="207"/>
      <c r="K10" s="207">
        <v>3</v>
      </c>
      <c r="L10" s="207"/>
      <c r="M10" s="205" t="s">
        <v>189</v>
      </c>
      <c r="N10" s="205">
        <v>2025121328</v>
      </c>
      <c r="O10" s="205" t="s">
        <v>519</v>
      </c>
      <c r="P10" s="208"/>
      <c r="Q10" s="258"/>
      <c r="R10" s="205"/>
    </row>
    <row r="11" spans="1:42" ht="16" x14ac:dyDescent="0.2">
      <c r="A11" s="47"/>
      <c r="C11" s="10">
        <f>ROW(A6)</f>
        <v>6</v>
      </c>
      <c r="D11" s="204" t="s">
        <v>204</v>
      </c>
      <c r="E11" s="205" t="s">
        <v>219</v>
      </c>
      <c r="F11" s="206">
        <v>46009</v>
      </c>
      <c r="G11" s="206">
        <v>46009</v>
      </c>
      <c r="H11" s="205" t="s">
        <v>31</v>
      </c>
      <c r="I11" s="207">
        <v>43982</v>
      </c>
      <c r="J11" s="207"/>
      <c r="K11" s="207">
        <v>2</v>
      </c>
      <c r="L11" s="207"/>
      <c r="M11" s="205" t="s">
        <v>189</v>
      </c>
      <c r="N11" s="205">
        <v>2025121329</v>
      </c>
      <c r="O11" s="205" t="s">
        <v>520</v>
      </c>
      <c r="P11" s="208"/>
      <c r="Q11" s="258"/>
      <c r="R11" s="205"/>
    </row>
    <row r="12" spans="1:42" ht="16" x14ac:dyDescent="0.2">
      <c r="A12" s="47"/>
      <c r="C12" s="10">
        <f>ROW(A6)</f>
        <v>6</v>
      </c>
      <c r="D12" s="204"/>
      <c r="E12" s="205"/>
      <c r="F12" s="206"/>
      <c r="G12" s="206"/>
      <c r="H12" s="205"/>
      <c r="I12" s="207"/>
      <c r="J12" s="207"/>
      <c r="K12" s="207"/>
      <c r="L12" s="207"/>
      <c r="M12" s="205"/>
      <c r="N12" s="205"/>
      <c r="O12" s="205"/>
      <c r="P12" s="208"/>
      <c r="Q12" s="258"/>
      <c r="R12" s="205"/>
    </row>
    <row r="13" spans="1:42" ht="16" x14ac:dyDescent="0.2">
      <c r="A13" s="47"/>
      <c r="C13" s="10">
        <f>ROW(A6)</f>
        <v>6</v>
      </c>
      <c r="D13" s="204"/>
      <c r="E13" s="205"/>
      <c r="F13" s="206"/>
      <c r="G13" s="206"/>
      <c r="H13" s="205"/>
      <c r="I13" s="207"/>
      <c r="J13" s="207"/>
      <c r="K13" s="207"/>
      <c r="L13" s="207"/>
      <c r="M13" s="205"/>
      <c r="N13" s="205"/>
      <c r="O13" s="205"/>
      <c r="P13" s="208"/>
      <c r="Q13" s="258"/>
      <c r="R13" s="205"/>
    </row>
    <row r="14" spans="1:42" ht="17" thickBot="1" x14ac:dyDescent="0.25">
      <c r="A14" s="47"/>
      <c r="C14" s="10">
        <f>ROW(A7)</f>
        <v>7</v>
      </c>
      <c r="D14" s="209"/>
      <c r="E14" s="210"/>
      <c r="F14" s="211"/>
      <c r="G14" s="211"/>
      <c r="H14" s="210"/>
      <c r="I14" s="212"/>
      <c r="J14" s="212"/>
      <c r="K14" s="212"/>
      <c r="L14" s="212"/>
      <c r="M14" s="210"/>
      <c r="N14" s="210"/>
      <c r="O14" s="210"/>
      <c r="P14" s="213"/>
      <c r="Q14" s="295"/>
      <c r="R14" s="210"/>
    </row>
    <row r="15" spans="1:42" ht="17" thickTop="1" x14ac:dyDescent="0.2">
      <c r="A15" s="47"/>
      <c r="C15" s="10">
        <f>ROW(A8)</f>
        <v>8</v>
      </c>
      <c r="D15" s="168"/>
      <c r="E15" s="169"/>
      <c r="F15" s="146"/>
      <c r="G15" s="146"/>
      <c r="H15" s="169"/>
      <c r="I15" s="292"/>
      <c r="J15" s="292">
        <f>Mantenimiento[[#This Row],[Kilometraje del Odómetro]]-I14</f>
        <v>0</v>
      </c>
      <c r="K15" s="292"/>
      <c r="L15" s="292"/>
      <c r="M15" s="169"/>
      <c r="N15" s="169"/>
      <c r="O15" s="169"/>
      <c r="P15" s="293"/>
      <c r="Q15" s="294"/>
      <c r="R15" s="169"/>
    </row>
    <row r="16" spans="1:42" ht="16" x14ac:dyDescent="0.2">
      <c r="A16" s="47"/>
      <c r="C16" s="10">
        <f t="shared" si="0"/>
        <v>13</v>
      </c>
      <c r="D16" s="67" t="s">
        <v>207</v>
      </c>
      <c r="E16" s="93" t="s">
        <v>219</v>
      </c>
      <c r="F16" s="94">
        <v>45573</v>
      </c>
      <c r="G16" s="94">
        <v>45573</v>
      </c>
      <c r="H16" s="93" t="s">
        <v>30</v>
      </c>
      <c r="I16" s="95">
        <v>9993</v>
      </c>
      <c r="J16" s="95">
        <f>Mantenimiento[[#This Row],[Kilometraje del Odómetro]]-I15</f>
        <v>9993</v>
      </c>
      <c r="K16" s="95"/>
      <c r="L16" s="95"/>
      <c r="M16" s="93" t="s">
        <v>173</v>
      </c>
      <c r="N16" s="93"/>
      <c r="O16" s="93" t="s">
        <v>464</v>
      </c>
      <c r="P16" s="96"/>
      <c r="Q16" s="94"/>
      <c r="R16" s="93"/>
    </row>
    <row r="17" spans="1:18" ht="16" x14ac:dyDescent="0.2">
      <c r="A17" s="47"/>
      <c r="C17" s="10">
        <f t="shared" si="0"/>
        <v>14</v>
      </c>
      <c r="D17" s="67" t="s">
        <v>207</v>
      </c>
      <c r="E17" s="93" t="s">
        <v>219</v>
      </c>
      <c r="F17" s="94">
        <v>45621</v>
      </c>
      <c r="G17" s="94">
        <v>45621</v>
      </c>
      <c r="H17" s="93" t="s">
        <v>30</v>
      </c>
      <c r="I17" s="95">
        <v>18280</v>
      </c>
      <c r="J17" s="95">
        <f>Mantenimiento[[#This Row],[Kilometraje del Odómetro]]-I16</f>
        <v>8287</v>
      </c>
      <c r="K17" s="95"/>
      <c r="L17" s="95"/>
      <c r="M17" s="93" t="s">
        <v>173</v>
      </c>
      <c r="N17" s="93"/>
      <c r="O17" s="93" t="s">
        <v>464</v>
      </c>
      <c r="P17" s="96"/>
      <c r="Q17" s="94"/>
      <c r="R17" s="93"/>
    </row>
    <row r="18" spans="1:18" ht="16" x14ac:dyDescent="0.2">
      <c r="A18" s="47"/>
      <c r="C18" s="10">
        <f t="shared" si="0"/>
        <v>15</v>
      </c>
      <c r="D18" s="67" t="s">
        <v>207</v>
      </c>
      <c r="E18" s="93" t="s">
        <v>219</v>
      </c>
      <c r="F18" s="94">
        <v>45651</v>
      </c>
      <c r="G18" s="94">
        <v>45651</v>
      </c>
      <c r="H18" s="93" t="s">
        <v>30</v>
      </c>
      <c r="I18" s="95">
        <v>27744</v>
      </c>
      <c r="J18" s="95">
        <f>Mantenimiento[[#This Row],[Kilometraje del Odómetro]]-I17</f>
        <v>9464</v>
      </c>
      <c r="K18" s="95"/>
      <c r="L18" s="95"/>
      <c r="M18" s="93" t="s">
        <v>173</v>
      </c>
      <c r="N18" s="93"/>
      <c r="O18" s="93" t="s">
        <v>464</v>
      </c>
      <c r="P18" s="96"/>
      <c r="Q18" s="94"/>
      <c r="R18" s="93"/>
    </row>
    <row r="19" spans="1:18" ht="16" x14ac:dyDescent="0.2">
      <c r="A19" s="47"/>
      <c r="C19" s="10">
        <f t="shared" si="0"/>
        <v>16</v>
      </c>
      <c r="D19" s="67" t="s">
        <v>207</v>
      </c>
      <c r="E19" s="93" t="s">
        <v>219</v>
      </c>
      <c r="F19" s="94">
        <v>45679</v>
      </c>
      <c r="G19" s="94">
        <v>45679</v>
      </c>
      <c r="H19" s="93" t="s">
        <v>30</v>
      </c>
      <c r="I19" s="262">
        <v>36300</v>
      </c>
      <c r="J19" s="262">
        <f>Mantenimiento[[#This Row],[Kilometraje del Odómetro]]-I18</f>
        <v>8556</v>
      </c>
      <c r="K19" s="262"/>
      <c r="L19" s="262"/>
      <c r="M19" s="93" t="s">
        <v>173</v>
      </c>
      <c r="N19" s="93"/>
      <c r="O19" s="93" t="s">
        <v>464</v>
      </c>
      <c r="P19" s="263"/>
      <c r="Q19" s="94"/>
      <c r="R19" s="93"/>
    </row>
    <row r="20" spans="1:18" ht="16" x14ac:dyDescent="0.2">
      <c r="A20" s="47"/>
      <c r="C20" s="10">
        <f t="shared" si="0"/>
        <v>17</v>
      </c>
      <c r="D20" s="67" t="s">
        <v>207</v>
      </c>
      <c r="E20" s="93" t="s">
        <v>219</v>
      </c>
      <c r="F20" s="94">
        <v>45758</v>
      </c>
      <c r="G20" s="94">
        <v>45758</v>
      </c>
      <c r="H20" s="93" t="s">
        <v>30</v>
      </c>
      <c r="I20" s="262">
        <v>44200</v>
      </c>
      <c r="J20" s="262">
        <f>Mantenimiento[[#This Row],[Kilometraje del Odómetro]]-I19</f>
        <v>7900</v>
      </c>
      <c r="K20" s="262"/>
      <c r="L20" s="262">
        <v>2</v>
      </c>
      <c r="M20" s="93" t="s">
        <v>174</v>
      </c>
      <c r="N20" s="93">
        <v>2025040015</v>
      </c>
      <c r="O20" s="93" t="s">
        <v>464</v>
      </c>
      <c r="P20" s="263"/>
      <c r="Q20" s="264"/>
      <c r="R20" s="93"/>
    </row>
    <row r="21" spans="1:18" ht="16" x14ac:dyDescent="0.2">
      <c r="A21" s="47"/>
      <c r="C21" s="10">
        <f t="shared" si="0"/>
        <v>18</v>
      </c>
      <c r="D21" s="67" t="s">
        <v>207</v>
      </c>
      <c r="E21" s="93" t="s">
        <v>219</v>
      </c>
      <c r="F21" s="94">
        <v>45817</v>
      </c>
      <c r="G21" s="94">
        <v>45817</v>
      </c>
      <c r="H21" s="93" t="s">
        <v>30</v>
      </c>
      <c r="I21" s="262">
        <v>52969</v>
      </c>
      <c r="J21" s="262">
        <f>Mantenimiento[[#This Row],[Kilometraje del Odómetro]]-I20</f>
        <v>8769</v>
      </c>
      <c r="K21" s="262"/>
      <c r="L21" s="262">
        <v>2</v>
      </c>
      <c r="M21" s="93" t="s">
        <v>174</v>
      </c>
      <c r="N21" s="93">
        <v>2025060021</v>
      </c>
      <c r="O21" s="93" t="s">
        <v>464</v>
      </c>
      <c r="P21" s="263"/>
      <c r="Q21" s="264"/>
      <c r="R21" s="93"/>
    </row>
    <row r="22" spans="1:18" ht="16" x14ac:dyDescent="0.2">
      <c r="A22" s="47"/>
      <c r="C22" s="10">
        <f t="shared" si="0"/>
        <v>19</v>
      </c>
      <c r="D22" s="67"/>
      <c r="E22" s="93"/>
      <c r="F22" s="94"/>
      <c r="G22" s="94"/>
      <c r="H22" s="93"/>
      <c r="I22" s="262"/>
      <c r="J22" s="262"/>
      <c r="K22" s="262"/>
      <c r="L22" s="262"/>
      <c r="M22" s="93"/>
      <c r="N22" s="93"/>
      <c r="O22" s="93"/>
      <c r="P22" s="263"/>
      <c r="Q22" s="264"/>
      <c r="R22" s="93"/>
    </row>
    <row r="23" spans="1:18" ht="16" x14ac:dyDescent="0.2">
      <c r="A23" s="47"/>
      <c r="C23" s="10">
        <f t="shared" si="0"/>
        <v>20</v>
      </c>
      <c r="D23" s="67"/>
      <c r="E23" s="93"/>
      <c r="F23" s="94"/>
      <c r="G23" s="94"/>
      <c r="H23" s="93"/>
      <c r="I23" s="262"/>
      <c r="J23" s="262"/>
      <c r="K23" s="262"/>
      <c r="L23" s="262"/>
      <c r="M23" s="93"/>
      <c r="N23" s="93"/>
      <c r="O23" s="93"/>
      <c r="P23" s="263"/>
      <c r="Q23" s="264"/>
      <c r="R23" s="93"/>
    </row>
    <row r="24" spans="1:18" ht="16" x14ac:dyDescent="0.2">
      <c r="A24" s="47"/>
      <c r="C24" s="10">
        <f t="shared" si="0"/>
        <v>21</v>
      </c>
      <c r="D24" s="67"/>
      <c r="E24" s="93"/>
      <c r="F24" s="94"/>
      <c r="G24" s="94"/>
      <c r="H24" s="93"/>
      <c r="I24" s="262"/>
      <c r="J24" s="262"/>
      <c r="K24" s="262"/>
      <c r="L24" s="262"/>
      <c r="M24" s="93"/>
      <c r="N24" s="93"/>
      <c r="O24" s="93"/>
      <c r="P24" s="263"/>
      <c r="Q24" s="264"/>
      <c r="R24" s="93"/>
    </row>
    <row r="25" spans="1:18" ht="16" x14ac:dyDescent="0.2">
      <c r="A25" s="47"/>
      <c r="C25" s="10">
        <f t="shared" si="0"/>
        <v>22</v>
      </c>
      <c r="D25" s="67"/>
      <c r="E25" s="93"/>
      <c r="F25" s="94"/>
      <c r="G25" s="94"/>
      <c r="H25" s="93"/>
      <c r="I25" s="262"/>
      <c r="J25" s="262"/>
      <c r="K25" s="262"/>
      <c r="L25" s="262"/>
      <c r="M25" s="93"/>
      <c r="N25" s="93"/>
      <c r="O25" s="93"/>
      <c r="P25" s="263"/>
      <c r="Q25" s="264"/>
      <c r="R25" s="93"/>
    </row>
    <row r="26" spans="1:18" ht="17" thickBot="1" x14ac:dyDescent="0.25">
      <c r="A26" s="47"/>
      <c r="C26" s="10">
        <f t="shared" si="0"/>
        <v>23</v>
      </c>
      <c r="D26" s="214"/>
      <c r="E26" s="215"/>
      <c r="F26" s="216"/>
      <c r="G26" s="216"/>
      <c r="H26" s="215"/>
      <c r="I26" s="217"/>
      <c r="J26" s="217"/>
      <c r="K26" s="217"/>
      <c r="L26" s="217"/>
      <c r="M26" s="215"/>
      <c r="N26" s="215"/>
      <c r="O26" s="215"/>
      <c r="P26" s="218"/>
      <c r="Q26" s="296"/>
      <c r="R26" s="215"/>
    </row>
    <row r="27" spans="1:18" ht="17" thickTop="1" x14ac:dyDescent="0.2">
      <c r="A27" s="47"/>
      <c r="C27" s="10">
        <f t="shared" si="0"/>
        <v>24</v>
      </c>
      <c r="D27" s="168"/>
      <c r="E27" s="169"/>
      <c r="F27" s="146"/>
      <c r="G27" s="146"/>
      <c r="H27" s="169"/>
      <c r="I27" s="292"/>
      <c r="J27" s="292">
        <f>Mantenimiento[[#This Row],[Kilometraje del Odómetro]]-I26</f>
        <v>0</v>
      </c>
      <c r="K27" s="292"/>
      <c r="L27" s="292"/>
      <c r="M27" s="169"/>
      <c r="N27" s="169"/>
      <c r="O27" s="169"/>
      <c r="P27" s="293"/>
      <c r="Q27" s="294"/>
      <c r="R27" s="169"/>
    </row>
    <row r="28" spans="1:18" ht="16" x14ac:dyDescent="0.2">
      <c r="A28" s="47"/>
      <c r="C28" s="10">
        <f t="shared" si="0"/>
        <v>25</v>
      </c>
      <c r="D28" s="68" t="s">
        <v>208</v>
      </c>
      <c r="E28" s="89" t="s">
        <v>219</v>
      </c>
      <c r="F28" s="90">
        <v>45123</v>
      </c>
      <c r="G28" s="90">
        <v>45123</v>
      </c>
      <c r="H28" s="89" t="s">
        <v>30</v>
      </c>
      <c r="I28" s="91">
        <v>5708</v>
      </c>
      <c r="J28" s="91">
        <f>Mantenimiento[[#This Row],[Kilometraje del Odómetro]]-I27</f>
        <v>5708</v>
      </c>
      <c r="K28" s="91"/>
      <c r="L28" s="91"/>
      <c r="M28" s="89" t="s">
        <v>173</v>
      </c>
      <c r="N28" s="89"/>
      <c r="O28" s="89" t="s">
        <v>464</v>
      </c>
      <c r="P28" s="92"/>
      <c r="Q28" s="90"/>
      <c r="R28" s="89"/>
    </row>
    <row r="29" spans="1:18" ht="16" x14ac:dyDescent="0.2">
      <c r="A29" s="47"/>
      <c r="C29" s="10">
        <f t="shared" si="0"/>
        <v>26</v>
      </c>
      <c r="D29" s="68" t="s">
        <v>208</v>
      </c>
      <c r="E29" s="89" t="s">
        <v>219</v>
      </c>
      <c r="F29" s="90">
        <v>45227</v>
      </c>
      <c r="G29" s="90">
        <v>45227</v>
      </c>
      <c r="H29" s="89" t="s">
        <v>30</v>
      </c>
      <c r="I29" s="91">
        <v>11715</v>
      </c>
      <c r="J29" s="91">
        <f>Mantenimiento[[#This Row],[Kilometraje del Odómetro]]-I28</f>
        <v>6007</v>
      </c>
      <c r="K29" s="91"/>
      <c r="L29" s="91"/>
      <c r="M29" s="89" t="s">
        <v>173</v>
      </c>
      <c r="N29" s="89"/>
      <c r="O29" s="89" t="s">
        <v>464</v>
      </c>
      <c r="P29" s="92"/>
      <c r="Q29" s="90"/>
      <c r="R29" s="89"/>
    </row>
    <row r="30" spans="1:18" ht="16" x14ac:dyDescent="0.2">
      <c r="A30" s="47"/>
      <c r="C30" s="10">
        <f t="shared" si="0"/>
        <v>27</v>
      </c>
      <c r="D30" s="68" t="s">
        <v>208</v>
      </c>
      <c r="E30" s="89" t="s">
        <v>219</v>
      </c>
      <c r="F30" s="90">
        <v>45321</v>
      </c>
      <c r="G30" s="90">
        <v>45321</v>
      </c>
      <c r="H30" s="89" t="s">
        <v>30</v>
      </c>
      <c r="I30" s="91">
        <v>18827</v>
      </c>
      <c r="J30" s="91">
        <f>Mantenimiento[[#This Row],[Kilometraje del Odómetro]]-I29</f>
        <v>7112</v>
      </c>
      <c r="K30" s="91"/>
      <c r="L30" s="91"/>
      <c r="M30" s="89" t="s">
        <v>173</v>
      </c>
      <c r="N30" s="89"/>
      <c r="O30" s="89" t="s">
        <v>464</v>
      </c>
      <c r="P30" s="92"/>
      <c r="Q30" s="90"/>
      <c r="R30" s="89"/>
    </row>
    <row r="31" spans="1:18" ht="16" x14ac:dyDescent="0.2">
      <c r="A31" s="47"/>
      <c r="C31" s="10">
        <f t="shared" si="0"/>
        <v>28</v>
      </c>
      <c r="D31" s="68" t="s">
        <v>208</v>
      </c>
      <c r="E31" s="89" t="s">
        <v>219</v>
      </c>
      <c r="F31" s="90">
        <v>45407</v>
      </c>
      <c r="G31" s="90">
        <v>45407</v>
      </c>
      <c r="H31" s="89" t="s">
        <v>30</v>
      </c>
      <c r="I31" s="91">
        <v>25265</v>
      </c>
      <c r="J31" s="91">
        <f>Mantenimiento[[#This Row],[Kilometraje del Odómetro]]-I30</f>
        <v>6438</v>
      </c>
      <c r="K31" s="91"/>
      <c r="L31" s="91"/>
      <c r="M31" s="89" t="s">
        <v>173</v>
      </c>
      <c r="N31" s="89"/>
      <c r="O31" s="89" t="s">
        <v>464</v>
      </c>
      <c r="P31" s="92"/>
      <c r="Q31" s="90"/>
      <c r="R31" s="89"/>
    </row>
    <row r="32" spans="1:18" ht="16" x14ac:dyDescent="0.2">
      <c r="A32" s="47"/>
      <c r="C32" s="10">
        <f t="shared" si="0"/>
        <v>29</v>
      </c>
      <c r="D32" s="68" t="s">
        <v>208</v>
      </c>
      <c r="E32" s="89" t="s">
        <v>219</v>
      </c>
      <c r="F32" s="90">
        <v>45452</v>
      </c>
      <c r="G32" s="90">
        <f>Mantenimiento[[#This Row],[Fecha Entrada]]</f>
        <v>45452</v>
      </c>
      <c r="H32" s="89" t="s">
        <v>30</v>
      </c>
      <c r="I32" s="91">
        <v>34449</v>
      </c>
      <c r="J32" s="91">
        <f>Mantenimiento[[#This Row],[Kilometraje del Odómetro]]-I31</f>
        <v>9184</v>
      </c>
      <c r="K32" s="91"/>
      <c r="L32" s="91"/>
      <c r="M32" s="89" t="s">
        <v>174</v>
      </c>
      <c r="N32" s="89"/>
      <c r="O32" s="89" t="s">
        <v>464</v>
      </c>
      <c r="P32" s="92"/>
      <c r="Q32" s="90"/>
      <c r="R32" s="89"/>
    </row>
    <row r="33" spans="1:18" ht="16" x14ac:dyDescent="0.2">
      <c r="A33" s="47"/>
      <c r="C33" s="10">
        <f t="shared" si="0"/>
        <v>30</v>
      </c>
      <c r="D33" s="68" t="s">
        <v>208</v>
      </c>
      <c r="E33" s="89" t="s">
        <v>219</v>
      </c>
      <c r="F33" s="90">
        <v>45490</v>
      </c>
      <c r="G33" s="90">
        <f>Mantenimiento[[#This Row],[Fecha Entrada]]</f>
        <v>45490</v>
      </c>
      <c r="H33" s="89" t="s">
        <v>30</v>
      </c>
      <c r="I33" s="91">
        <v>43951</v>
      </c>
      <c r="J33" s="91">
        <f>Mantenimiento[[#This Row],[Kilometraje del Odómetro]]-I32</f>
        <v>9502</v>
      </c>
      <c r="K33" s="91"/>
      <c r="L33" s="91"/>
      <c r="M33" s="89" t="s">
        <v>174</v>
      </c>
      <c r="N33" s="89"/>
      <c r="O33" s="89" t="s">
        <v>464</v>
      </c>
      <c r="P33" s="92"/>
      <c r="Q33" s="90"/>
      <c r="R33" s="89"/>
    </row>
    <row r="34" spans="1:18" ht="16" x14ac:dyDescent="0.2">
      <c r="A34" s="47"/>
      <c r="C34" s="10">
        <f t="shared" si="0"/>
        <v>31</v>
      </c>
      <c r="D34" s="68" t="s">
        <v>208</v>
      </c>
      <c r="E34" s="89" t="s">
        <v>219</v>
      </c>
      <c r="F34" s="90">
        <v>45536</v>
      </c>
      <c r="G34" s="90">
        <f>Mantenimiento[[#This Row],[Fecha Entrada]]</f>
        <v>45536</v>
      </c>
      <c r="H34" s="89" t="s">
        <v>30</v>
      </c>
      <c r="I34" s="91">
        <v>51987</v>
      </c>
      <c r="J34" s="91">
        <f>Mantenimiento[[#This Row],[Kilometraje del Odómetro]]-I33</f>
        <v>8036</v>
      </c>
      <c r="K34" s="91"/>
      <c r="L34" s="91"/>
      <c r="M34" s="89" t="s">
        <v>174</v>
      </c>
      <c r="N34" s="89"/>
      <c r="O34" s="89" t="s">
        <v>464</v>
      </c>
      <c r="P34" s="92"/>
      <c r="Q34" s="90"/>
      <c r="R34" s="89"/>
    </row>
    <row r="35" spans="1:18" ht="16" x14ac:dyDescent="0.2">
      <c r="A35" s="47"/>
      <c r="C35" s="10">
        <f t="shared" si="0"/>
        <v>32</v>
      </c>
      <c r="D35" s="68" t="s">
        <v>208</v>
      </c>
      <c r="E35" s="89" t="s">
        <v>219</v>
      </c>
      <c r="F35" s="90">
        <v>45572</v>
      </c>
      <c r="G35" s="90">
        <f>Mantenimiento[[#This Row],[Fecha Entrada]]</f>
        <v>45572</v>
      </c>
      <c r="H35" s="89" t="s">
        <v>30</v>
      </c>
      <c r="I35" s="91">
        <v>59918</v>
      </c>
      <c r="J35" s="91">
        <f>Mantenimiento[[#This Row],[Kilometraje del Odómetro]]-I34</f>
        <v>7931</v>
      </c>
      <c r="K35" s="91"/>
      <c r="L35" s="91"/>
      <c r="M35" s="89" t="s">
        <v>174</v>
      </c>
      <c r="N35" s="89"/>
      <c r="O35" s="89" t="s">
        <v>464</v>
      </c>
      <c r="P35" s="92"/>
      <c r="Q35" s="90"/>
      <c r="R35" s="89"/>
    </row>
    <row r="36" spans="1:18" ht="16" x14ac:dyDescent="0.2">
      <c r="A36" s="47"/>
      <c r="C36" s="10">
        <f t="shared" si="0"/>
        <v>33</v>
      </c>
      <c r="D36" s="68" t="s">
        <v>208</v>
      </c>
      <c r="E36" s="89" t="s">
        <v>219</v>
      </c>
      <c r="F36" s="90">
        <v>45634</v>
      </c>
      <c r="G36" s="90">
        <f>Mantenimiento[[#This Row],[Fecha Entrada]]</f>
        <v>45634</v>
      </c>
      <c r="H36" s="89" t="s">
        <v>30</v>
      </c>
      <c r="I36" s="91">
        <v>68206</v>
      </c>
      <c r="J36" s="91">
        <f>Mantenimiento[[#This Row],[Kilometraje del Odómetro]]-I35</f>
        <v>8288</v>
      </c>
      <c r="K36" s="91"/>
      <c r="L36" s="91"/>
      <c r="M36" s="89" t="s">
        <v>175</v>
      </c>
      <c r="N36" s="89"/>
      <c r="O36" s="89" t="s">
        <v>464</v>
      </c>
      <c r="P36" s="92"/>
      <c r="Q36" s="90"/>
      <c r="R36" s="89"/>
    </row>
    <row r="37" spans="1:18" ht="16" x14ac:dyDescent="0.2">
      <c r="A37" s="47"/>
      <c r="C37" s="10">
        <f t="shared" si="0"/>
        <v>34</v>
      </c>
      <c r="D37" s="68" t="s">
        <v>208</v>
      </c>
      <c r="E37" s="89" t="s">
        <v>219</v>
      </c>
      <c r="F37" s="90">
        <v>45693</v>
      </c>
      <c r="G37" s="90">
        <f>Mantenimiento[[#This Row],[Fecha Entrada]]</f>
        <v>45693</v>
      </c>
      <c r="H37" s="89" t="s">
        <v>30</v>
      </c>
      <c r="I37" s="265">
        <v>76604</v>
      </c>
      <c r="J37" s="265">
        <f>Mantenimiento[[#This Row],[Kilometraje del Odómetro]]-I36</f>
        <v>8398</v>
      </c>
      <c r="K37" s="265"/>
      <c r="L37" s="265">
        <v>2</v>
      </c>
      <c r="M37" s="89" t="s">
        <v>175</v>
      </c>
      <c r="N37" s="89"/>
      <c r="O37" s="89" t="s">
        <v>464</v>
      </c>
      <c r="P37" s="266"/>
      <c r="Q37" s="90"/>
      <c r="R37" s="89"/>
    </row>
    <row r="38" spans="1:18" ht="16" x14ac:dyDescent="0.2">
      <c r="A38" s="47"/>
      <c r="C38" s="10">
        <f t="shared" si="0"/>
        <v>35</v>
      </c>
      <c r="D38" s="68" t="s">
        <v>208</v>
      </c>
      <c r="E38" s="89" t="s">
        <v>219</v>
      </c>
      <c r="F38" s="90">
        <v>45749</v>
      </c>
      <c r="G38" s="90">
        <v>45749</v>
      </c>
      <c r="H38" s="89" t="s">
        <v>30</v>
      </c>
      <c r="I38" s="265">
        <v>84825</v>
      </c>
      <c r="J38" s="265">
        <f>Mantenimiento[[#This Row],[Kilometraje del Odómetro]]-I37</f>
        <v>8221</v>
      </c>
      <c r="K38" s="265"/>
      <c r="L38" s="265">
        <v>2</v>
      </c>
      <c r="M38" s="89" t="s">
        <v>175</v>
      </c>
      <c r="N38" s="89">
        <v>2025030025</v>
      </c>
      <c r="O38" s="89" t="s">
        <v>464</v>
      </c>
      <c r="P38" s="266"/>
      <c r="Q38" s="267"/>
      <c r="R38" s="89"/>
    </row>
    <row r="39" spans="1:18" ht="16" x14ac:dyDescent="0.2">
      <c r="A39" s="47"/>
      <c r="C39" s="10">
        <f t="shared" si="0"/>
        <v>36</v>
      </c>
      <c r="D39" s="68" t="s">
        <v>208</v>
      </c>
      <c r="E39" s="89" t="s">
        <v>219</v>
      </c>
      <c r="F39" s="90">
        <v>45732</v>
      </c>
      <c r="G39" s="90">
        <v>45732</v>
      </c>
      <c r="H39" s="89" t="s">
        <v>322</v>
      </c>
      <c r="I39" s="265">
        <v>82764</v>
      </c>
      <c r="J39" s="265"/>
      <c r="K39" s="265"/>
      <c r="L39" s="265"/>
      <c r="M39" s="89" t="s">
        <v>330</v>
      </c>
      <c r="N39" s="89"/>
      <c r="O39" s="89" t="s">
        <v>465</v>
      </c>
      <c r="P39" s="266"/>
      <c r="Q39" s="267"/>
      <c r="R39" s="89"/>
    </row>
    <row r="40" spans="1:18" ht="16" x14ac:dyDescent="0.2">
      <c r="A40" s="47"/>
      <c r="C40" s="10">
        <f t="shared" si="0"/>
        <v>37</v>
      </c>
      <c r="D40" s="68" t="s">
        <v>208</v>
      </c>
      <c r="E40" s="89" t="s">
        <v>219</v>
      </c>
      <c r="F40" s="90">
        <v>45780</v>
      </c>
      <c r="G40" s="90">
        <v>45780</v>
      </c>
      <c r="H40" s="89" t="s">
        <v>30</v>
      </c>
      <c r="I40" s="265">
        <v>91515</v>
      </c>
      <c r="J40" s="265">
        <f>Mantenimiento[[#This Row],[Kilometraje del Odómetro]]-I38</f>
        <v>6690</v>
      </c>
      <c r="K40" s="265"/>
      <c r="L40" s="265">
        <v>2</v>
      </c>
      <c r="M40" s="89" t="s">
        <v>175</v>
      </c>
      <c r="N40" s="89">
        <v>2025050012</v>
      </c>
      <c r="O40" s="89" t="s">
        <v>464</v>
      </c>
      <c r="P40" s="266"/>
      <c r="Q40" s="267"/>
      <c r="R40" s="89"/>
    </row>
    <row r="41" spans="1:18" ht="16" x14ac:dyDescent="0.2">
      <c r="A41" s="47"/>
      <c r="C41" s="10">
        <f t="shared" si="0"/>
        <v>38</v>
      </c>
      <c r="D41" s="68" t="s">
        <v>208</v>
      </c>
      <c r="E41" s="89" t="s">
        <v>219</v>
      </c>
      <c r="F41" s="90">
        <v>45811</v>
      </c>
      <c r="G41" s="90">
        <v>45811</v>
      </c>
      <c r="H41" s="89" t="s">
        <v>30</v>
      </c>
      <c r="I41" s="265">
        <v>99982</v>
      </c>
      <c r="J41" s="265">
        <f>Mantenimiento[[#This Row],[Kilometraje del Odómetro]]-I40</f>
        <v>8467</v>
      </c>
      <c r="K41" s="265"/>
      <c r="L41" s="265">
        <v>2</v>
      </c>
      <c r="M41" s="89" t="s">
        <v>176</v>
      </c>
      <c r="N41" s="89">
        <v>2025060012</v>
      </c>
      <c r="O41" s="89" t="s">
        <v>464</v>
      </c>
      <c r="P41" s="266"/>
      <c r="Q41" s="267"/>
      <c r="R41" s="89"/>
    </row>
    <row r="42" spans="1:18" ht="16" x14ac:dyDescent="0.2">
      <c r="A42" s="47"/>
      <c r="C42" s="10">
        <f t="shared" si="0"/>
        <v>39</v>
      </c>
      <c r="D42" s="68" t="s">
        <v>208</v>
      </c>
      <c r="E42" s="89" t="s">
        <v>219</v>
      </c>
      <c r="F42" s="90">
        <v>45885</v>
      </c>
      <c r="G42" s="90">
        <v>45885</v>
      </c>
      <c r="H42" s="89" t="s">
        <v>30</v>
      </c>
      <c r="I42" s="265">
        <v>108492</v>
      </c>
      <c r="J42" s="265">
        <f>Mantenimiento[[#This Row],[Kilometraje del Odómetro]]-I41</f>
        <v>8510</v>
      </c>
      <c r="K42" s="265"/>
      <c r="L42" s="265">
        <v>2</v>
      </c>
      <c r="M42" s="89" t="s">
        <v>176</v>
      </c>
      <c r="N42" s="89">
        <v>2025080026</v>
      </c>
      <c r="O42" s="89" t="s">
        <v>464</v>
      </c>
      <c r="P42" s="266"/>
      <c r="Q42" s="267"/>
      <c r="R42" s="89"/>
    </row>
    <row r="43" spans="1:18" ht="16" x14ac:dyDescent="0.2">
      <c r="A43" s="47"/>
      <c r="C43" s="10">
        <f t="shared" si="0"/>
        <v>40</v>
      </c>
      <c r="D43" s="68" t="s">
        <v>208</v>
      </c>
      <c r="E43" s="89" t="s">
        <v>219</v>
      </c>
      <c r="F43" s="90">
        <v>45928</v>
      </c>
      <c r="G43" s="90">
        <v>45928</v>
      </c>
      <c r="H43" s="89" t="s">
        <v>31</v>
      </c>
      <c r="I43" s="265">
        <v>115400</v>
      </c>
      <c r="J43" s="265"/>
      <c r="K43" s="265">
        <v>1</v>
      </c>
      <c r="L43" s="265"/>
      <c r="M43" s="89" t="s">
        <v>190</v>
      </c>
      <c r="N43" s="89">
        <v>2025091211</v>
      </c>
      <c r="O43" s="89" t="s">
        <v>462</v>
      </c>
      <c r="P43" s="266"/>
      <c r="Q43" s="267"/>
      <c r="R43" s="89"/>
    </row>
    <row r="44" spans="1:18" ht="16" x14ac:dyDescent="0.2">
      <c r="A44" s="47"/>
      <c r="C44" s="10">
        <f t="shared" si="0"/>
        <v>41</v>
      </c>
      <c r="D44" s="68" t="s">
        <v>208</v>
      </c>
      <c r="E44" s="89" t="s">
        <v>219</v>
      </c>
      <c r="F44" s="90">
        <v>45933</v>
      </c>
      <c r="G44" s="90">
        <v>45933</v>
      </c>
      <c r="H44" s="89" t="s">
        <v>30</v>
      </c>
      <c r="I44" s="265">
        <v>116582</v>
      </c>
      <c r="J44" s="265">
        <f>Mantenimiento[[#This Row],[Kilometraje del Odómetro]]-I42</f>
        <v>8090</v>
      </c>
      <c r="K44" s="265"/>
      <c r="L44" s="265">
        <v>2</v>
      </c>
      <c r="M44" s="89" t="s">
        <v>173</v>
      </c>
      <c r="N44" s="89">
        <v>2025100006</v>
      </c>
      <c r="O44" s="89" t="s">
        <v>464</v>
      </c>
      <c r="P44" s="266"/>
      <c r="Q44" s="267"/>
      <c r="R44" s="89"/>
    </row>
    <row r="45" spans="1:18" ht="16" x14ac:dyDescent="0.2">
      <c r="A45" s="47"/>
      <c r="C45" s="10">
        <f>ROW(A42)</f>
        <v>42</v>
      </c>
      <c r="D45" s="68" t="s">
        <v>208</v>
      </c>
      <c r="E45" s="89" t="s">
        <v>219</v>
      </c>
      <c r="F45" s="90">
        <v>45979</v>
      </c>
      <c r="G45" s="90">
        <v>45979</v>
      </c>
      <c r="H45" s="89" t="s">
        <v>30</v>
      </c>
      <c r="I45" s="265">
        <v>124870</v>
      </c>
      <c r="J45" s="265">
        <f>Mantenimiento[[#This Row],[Kilometraje del Odómetro]]-I44</f>
        <v>8288</v>
      </c>
      <c r="K45" s="265"/>
      <c r="L45" s="265">
        <v>2</v>
      </c>
      <c r="M45" s="89" t="s">
        <v>173</v>
      </c>
      <c r="N45" s="89">
        <v>2025110024</v>
      </c>
      <c r="O45" s="89" t="s">
        <v>464</v>
      </c>
      <c r="P45" s="266"/>
      <c r="Q45" s="267"/>
      <c r="R45" s="89"/>
    </row>
    <row r="46" spans="1:18" ht="16" x14ac:dyDescent="0.2">
      <c r="A46" s="47"/>
      <c r="C46" s="10">
        <f>ROW(A43)</f>
        <v>43</v>
      </c>
      <c r="D46" s="68" t="s">
        <v>208</v>
      </c>
      <c r="E46" s="89" t="s">
        <v>219</v>
      </c>
      <c r="F46" s="90">
        <v>46000</v>
      </c>
      <c r="G46" s="90">
        <v>46000</v>
      </c>
      <c r="H46" s="89" t="s">
        <v>31</v>
      </c>
      <c r="I46" s="265">
        <v>127361</v>
      </c>
      <c r="J46" s="265"/>
      <c r="K46" s="265">
        <v>3</v>
      </c>
      <c r="L46" s="265"/>
      <c r="M46" s="89" t="s">
        <v>190</v>
      </c>
      <c r="N46" s="89">
        <v>2025121325</v>
      </c>
      <c r="O46" s="89" t="s">
        <v>514</v>
      </c>
      <c r="P46" s="266"/>
      <c r="Q46" s="267"/>
      <c r="R46" s="89"/>
    </row>
    <row r="47" spans="1:18" ht="16" x14ac:dyDescent="0.2">
      <c r="A47" s="47"/>
      <c r="C47" s="10">
        <f>ROW(A44)</f>
        <v>44</v>
      </c>
      <c r="D47" s="68"/>
      <c r="E47" s="89"/>
      <c r="F47" s="90"/>
      <c r="G47" s="90"/>
      <c r="H47" s="89"/>
      <c r="I47" s="265"/>
      <c r="J47" s="265"/>
      <c r="K47" s="265"/>
      <c r="L47" s="265"/>
      <c r="M47" s="89"/>
      <c r="N47" s="89"/>
      <c r="O47" s="89"/>
      <c r="P47" s="266"/>
      <c r="Q47" s="267"/>
      <c r="R47" s="89"/>
    </row>
    <row r="48" spans="1:18" ht="16" x14ac:dyDescent="0.2">
      <c r="A48" s="47"/>
      <c r="C48" s="10">
        <f t="shared" si="0"/>
        <v>45</v>
      </c>
      <c r="D48" s="68"/>
      <c r="E48" s="89"/>
      <c r="F48" s="90"/>
      <c r="G48" s="90"/>
      <c r="H48" s="89"/>
      <c r="I48" s="265"/>
      <c r="J48" s="265"/>
      <c r="K48" s="265"/>
      <c r="L48" s="265"/>
      <c r="M48" s="89"/>
      <c r="N48" s="89"/>
      <c r="O48" s="89"/>
      <c r="P48" s="266"/>
      <c r="Q48" s="267"/>
      <c r="R48" s="89"/>
    </row>
    <row r="49" spans="1:18" ht="17" thickBot="1" x14ac:dyDescent="0.25">
      <c r="A49" s="47"/>
      <c r="C49" s="10">
        <f t="shared" si="0"/>
        <v>46</v>
      </c>
      <c r="D49" s="219"/>
      <c r="E49" s="220"/>
      <c r="F49" s="221"/>
      <c r="G49" s="221"/>
      <c r="H49" s="220"/>
      <c r="I49" s="222"/>
      <c r="J49" s="222"/>
      <c r="K49" s="222"/>
      <c r="L49" s="222"/>
      <c r="M49" s="220"/>
      <c r="N49" s="220"/>
      <c r="O49" s="220"/>
      <c r="P49" s="223"/>
      <c r="Q49" s="251"/>
      <c r="R49" s="220"/>
    </row>
    <row r="50" spans="1:18" ht="17" thickTop="1" x14ac:dyDescent="0.2">
      <c r="A50" s="47"/>
      <c r="C50" s="10">
        <f t="shared" si="0"/>
        <v>47</v>
      </c>
      <c r="D50" s="168"/>
      <c r="E50" s="169"/>
      <c r="F50" s="146"/>
      <c r="G50" s="146"/>
      <c r="H50" s="169"/>
      <c r="I50" s="292"/>
      <c r="J50" s="292">
        <f>Mantenimiento[[#This Row],[Kilometraje del Odómetro]]-I49</f>
        <v>0</v>
      </c>
      <c r="K50" s="292"/>
      <c r="L50" s="292"/>
      <c r="M50" s="169"/>
      <c r="N50" s="169"/>
      <c r="O50" s="169"/>
      <c r="P50" s="293"/>
      <c r="Q50" s="294"/>
      <c r="R50" s="169"/>
    </row>
    <row r="51" spans="1:18" ht="16" x14ac:dyDescent="0.2">
      <c r="A51" s="47"/>
      <c r="C51" s="10">
        <f t="shared" si="0"/>
        <v>48</v>
      </c>
      <c r="D51" s="69" t="s">
        <v>209</v>
      </c>
      <c r="E51" s="85" t="s">
        <v>219</v>
      </c>
      <c r="F51" s="86">
        <v>45113</v>
      </c>
      <c r="G51" s="86">
        <f>Mantenimiento[[#This Row],[Fecha Entrada]]</f>
        <v>45113</v>
      </c>
      <c r="H51" s="85" t="s">
        <v>30</v>
      </c>
      <c r="I51" s="87">
        <v>5974</v>
      </c>
      <c r="J51" s="87">
        <f>Mantenimiento[[#This Row],[Kilometraje del Odómetro]]-I50</f>
        <v>5974</v>
      </c>
      <c r="K51" s="87"/>
      <c r="L51" s="87"/>
      <c r="M51" s="85" t="s">
        <v>173</v>
      </c>
      <c r="N51" s="85"/>
      <c r="O51" s="85" t="s">
        <v>464</v>
      </c>
      <c r="P51" s="88"/>
      <c r="Q51" s="86"/>
      <c r="R51" s="85"/>
    </row>
    <row r="52" spans="1:18" ht="16" x14ac:dyDescent="0.2">
      <c r="A52" s="47"/>
      <c r="C52" s="10">
        <f t="shared" si="0"/>
        <v>49</v>
      </c>
      <c r="D52" s="69" t="s">
        <v>209</v>
      </c>
      <c r="E52" s="85" t="s">
        <v>219</v>
      </c>
      <c r="F52" s="86">
        <v>45224</v>
      </c>
      <c r="G52" s="86">
        <f>Mantenimiento[[#This Row],[Fecha Entrada]]</f>
        <v>45224</v>
      </c>
      <c r="H52" s="85" t="s">
        <v>30</v>
      </c>
      <c r="I52" s="87">
        <v>11798</v>
      </c>
      <c r="J52" s="87">
        <f>Mantenimiento[[#This Row],[Kilometraje del Odómetro]]-I51</f>
        <v>5824</v>
      </c>
      <c r="K52" s="87"/>
      <c r="L52" s="87"/>
      <c r="M52" s="85" t="s">
        <v>173</v>
      </c>
      <c r="N52" s="85"/>
      <c r="O52" s="85" t="s">
        <v>464</v>
      </c>
      <c r="P52" s="88"/>
      <c r="Q52" s="86"/>
      <c r="R52" s="85"/>
    </row>
    <row r="53" spans="1:18" ht="16" x14ac:dyDescent="0.2">
      <c r="A53" s="47"/>
      <c r="C53" s="10">
        <f t="shared" si="0"/>
        <v>50</v>
      </c>
      <c r="D53" s="69" t="s">
        <v>209</v>
      </c>
      <c r="E53" s="85" t="s">
        <v>219</v>
      </c>
      <c r="F53" s="86">
        <v>45321</v>
      </c>
      <c r="G53" s="86">
        <f>Mantenimiento[[#This Row],[Fecha Entrada]]</f>
        <v>45321</v>
      </c>
      <c r="H53" s="85" t="s">
        <v>30</v>
      </c>
      <c r="I53" s="87">
        <v>19271</v>
      </c>
      <c r="J53" s="87">
        <f>Mantenimiento[[#This Row],[Kilometraje del Odómetro]]-I52</f>
        <v>7473</v>
      </c>
      <c r="K53" s="87"/>
      <c r="L53" s="87"/>
      <c r="M53" s="85" t="s">
        <v>173</v>
      </c>
      <c r="N53" s="85"/>
      <c r="O53" s="85" t="s">
        <v>464</v>
      </c>
      <c r="P53" s="88"/>
      <c r="Q53" s="86"/>
      <c r="R53" s="85"/>
    </row>
    <row r="54" spans="1:18" ht="16" x14ac:dyDescent="0.2">
      <c r="A54" s="47"/>
      <c r="C54" s="10">
        <f t="shared" si="0"/>
        <v>51</v>
      </c>
      <c r="D54" s="69" t="s">
        <v>209</v>
      </c>
      <c r="E54" s="85" t="s">
        <v>219</v>
      </c>
      <c r="F54" s="86">
        <v>45406</v>
      </c>
      <c r="G54" s="86">
        <f>Mantenimiento[[#This Row],[Fecha Entrada]]</f>
        <v>45406</v>
      </c>
      <c r="H54" s="85" t="s">
        <v>30</v>
      </c>
      <c r="I54" s="87">
        <v>25353</v>
      </c>
      <c r="J54" s="87">
        <f>Mantenimiento[[#This Row],[Kilometraje del Odómetro]]-I53</f>
        <v>6082</v>
      </c>
      <c r="K54" s="87"/>
      <c r="L54" s="87"/>
      <c r="M54" s="85" t="s">
        <v>173</v>
      </c>
      <c r="N54" s="85"/>
      <c r="O54" s="85" t="s">
        <v>464</v>
      </c>
      <c r="P54" s="88"/>
      <c r="Q54" s="86"/>
      <c r="R54" s="85"/>
    </row>
    <row r="55" spans="1:18" ht="16" x14ac:dyDescent="0.2">
      <c r="A55" s="47"/>
      <c r="C55" s="10">
        <f t="shared" si="0"/>
        <v>52</v>
      </c>
      <c r="D55" s="69" t="s">
        <v>209</v>
      </c>
      <c r="E55" s="85" t="s">
        <v>219</v>
      </c>
      <c r="F55" s="86">
        <v>45493</v>
      </c>
      <c r="G55" s="86">
        <f>Mantenimiento[[#This Row],[Fecha Entrada]]</f>
        <v>45493</v>
      </c>
      <c r="H55" s="85" t="s">
        <v>30</v>
      </c>
      <c r="I55" s="87">
        <v>33506</v>
      </c>
      <c r="J55" s="87">
        <f>Mantenimiento[[#This Row],[Kilometraje del Odómetro]]-I54</f>
        <v>8153</v>
      </c>
      <c r="K55" s="87"/>
      <c r="L55" s="87"/>
      <c r="M55" s="85" t="s">
        <v>174</v>
      </c>
      <c r="N55" s="85"/>
      <c r="O55" s="85" t="s">
        <v>464</v>
      </c>
      <c r="P55" s="88"/>
      <c r="Q55" s="86"/>
      <c r="R55" s="85"/>
    </row>
    <row r="56" spans="1:18" ht="16" x14ac:dyDescent="0.2">
      <c r="A56" s="47"/>
      <c r="C56" s="10">
        <f t="shared" si="0"/>
        <v>53</v>
      </c>
      <c r="D56" s="69" t="s">
        <v>209</v>
      </c>
      <c r="E56" s="85" t="s">
        <v>219</v>
      </c>
      <c r="F56" s="86">
        <v>45547</v>
      </c>
      <c r="G56" s="86">
        <f>Mantenimiento[[#This Row],[Fecha Entrada]]</f>
        <v>45547</v>
      </c>
      <c r="H56" s="85" t="s">
        <v>30</v>
      </c>
      <c r="I56" s="87">
        <v>42830</v>
      </c>
      <c r="J56" s="87">
        <f>Mantenimiento[[#This Row],[Kilometraje del Odómetro]]-I55</f>
        <v>9324</v>
      </c>
      <c r="K56" s="87"/>
      <c r="L56" s="87"/>
      <c r="M56" s="85" t="s">
        <v>174</v>
      </c>
      <c r="N56" s="85"/>
      <c r="O56" s="85" t="s">
        <v>464</v>
      </c>
      <c r="P56" s="88"/>
      <c r="Q56" s="86"/>
      <c r="R56" s="85"/>
    </row>
    <row r="57" spans="1:18" ht="16" x14ac:dyDescent="0.2">
      <c r="A57" s="47"/>
      <c r="C57" s="10">
        <f t="shared" si="0"/>
        <v>54</v>
      </c>
      <c r="D57" s="69" t="s">
        <v>209</v>
      </c>
      <c r="E57" s="85" t="s">
        <v>219</v>
      </c>
      <c r="F57" s="86">
        <v>45612</v>
      </c>
      <c r="G57" s="86">
        <f>Mantenimiento[[#This Row],[Fecha Entrada]]</f>
        <v>45612</v>
      </c>
      <c r="H57" s="85" t="s">
        <v>30</v>
      </c>
      <c r="I57" s="87">
        <v>60051</v>
      </c>
      <c r="J57" s="87">
        <f>Mantenimiento[[#This Row],[Kilometraje del Odómetro]]-I56</f>
        <v>17221</v>
      </c>
      <c r="K57" s="87"/>
      <c r="L57" s="87"/>
      <c r="M57" s="85" t="s">
        <v>174</v>
      </c>
      <c r="N57" s="85"/>
      <c r="O57" s="85" t="s">
        <v>464</v>
      </c>
      <c r="P57" s="88"/>
      <c r="Q57" s="86"/>
      <c r="R57" s="85"/>
    </row>
    <row r="58" spans="1:18" ht="16" x14ac:dyDescent="0.2">
      <c r="A58" s="47"/>
      <c r="C58" s="10">
        <f t="shared" si="0"/>
        <v>55</v>
      </c>
      <c r="D58" s="69" t="s">
        <v>209</v>
      </c>
      <c r="E58" s="85" t="s">
        <v>219</v>
      </c>
      <c r="F58" s="86">
        <v>45656</v>
      </c>
      <c r="G58" s="86">
        <f>Mantenimiento[[#This Row],[Fecha Entrada]]</f>
        <v>45656</v>
      </c>
      <c r="H58" s="85" t="s">
        <v>30</v>
      </c>
      <c r="I58" s="87">
        <v>68467</v>
      </c>
      <c r="J58" s="87">
        <f>Mantenimiento[[#This Row],[Kilometraje del Odómetro]]-I57</f>
        <v>8416</v>
      </c>
      <c r="K58" s="87"/>
      <c r="L58" s="87"/>
      <c r="M58" s="85" t="s">
        <v>174</v>
      </c>
      <c r="N58" s="85"/>
      <c r="O58" s="85" t="s">
        <v>464</v>
      </c>
      <c r="P58" s="88"/>
      <c r="Q58" s="86"/>
      <c r="R58" s="85"/>
    </row>
    <row r="59" spans="1:18" ht="16" x14ac:dyDescent="0.2">
      <c r="A59" s="47"/>
      <c r="C59" s="10">
        <f t="shared" si="0"/>
        <v>56</v>
      </c>
      <c r="D59" s="69" t="s">
        <v>209</v>
      </c>
      <c r="E59" s="85" t="s">
        <v>219</v>
      </c>
      <c r="F59" s="86">
        <v>45697</v>
      </c>
      <c r="G59" s="86">
        <f>Mantenimiento[[#This Row],[Fecha Entrada]]</f>
        <v>45697</v>
      </c>
      <c r="H59" s="85" t="s">
        <v>30</v>
      </c>
      <c r="I59" s="268">
        <v>76712</v>
      </c>
      <c r="J59" s="268">
        <f>Mantenimiento[[#This Row],[Kilometraje del Odómetro]]-I58</f>
        <v>8245</v>
      </c>
      <c r="K59" s="268"/>
      <c r="L59" s="268">
        <v>2</v>
      </c>
      <c r="M59" s="85" t="s">
        <v>175</v>
      </c>
      <c r="N59" s="85"/>
      <c r="O59" s="85" t="s">
        <v>464</v>
      </c>
      <c r="P59" s="269"/>
      <c r="Q59" s="86"/>
      <c r="R59" s="85"/>
    </row>
    <row r="60" spans="1:18" ht="16" x14ac:dyDescent="0.2">
      <c r="A60" s="47"/>
      <c r="C60" s="10">
        <f t="shared" si="0"/>
        <v>57</v>
      </c>
      <c r="D60" s="69" t="s">
        <v>209</v>
      </c>
      <c r="E60" s="85" t="s">
        <v>219</v>
      </c>
      <c r="F60" s="86">
        <v>45749</v>
      </c>
      <c r="G60" s="86">
        <v>45749</v>
      </c>
      <c r="H60" s="85" t="s">
        <v>30</v>
      </c>
      <c r="I60" s="268">
        <v>85206</v>
      </c>
      <c r="J60" s="268">
        <f>Mantenimiento[[#This Row],[Kilometraje del Odómetro]]-I59</f>
        <v>8494</v>
      </c>
      <c r="K60" s="268"/>
      <c r="L60" s="268">
        <v>2</v>
      </c>
      <c r="M60" s="85" t="s">
        <v>175</v>
      </c>
      <c r="N60" s="85">
        <v>2025030026</v>
      </c>
      <c r="O60" s="85" t="s">
        <v>464</v>
      </c>
      <c r="P60" s="269"/>
      <c r="Q60" s="270"/>
      <c r="R60" s="85"/>
    </row>
    <row r="61" spans="1:18" ht="16" x14ac:dyDescent="0.2">
      <c r="A61" s="47"/>
      <c r="C61" s="10">
        <f t="shared" si="0"/>
        <v>58</v>
      </c>
      <c r="D61" s="69" t="s">
        <v>209</v>
      </c>
      <c r="E61" s="85" t="s">
        <v>219</v>
      </c>
      <c r="F61" s="86">
        <v>45730</v>
      </c>
      <c r="G61" s="86">
        <v>45730</v>
      </c>
      <c r="H61" s="85" t="s">
        <v>322</v>
      </c>
      <c r="I61" s="268">
        <v>82494</v>
      </c>
      <c r="J61" s="268"/>
      <c r="K61" s="268"/>
      <c r="L61" s="268"/>
      <c r="M61" s="85" t="s">
        <v>330</v>
      </c>
      <c r="N61" s="85"/>
      <c r="O61" s="85" t="s">
        <v>465</v>
      </c>
      <c r="P61" s="269"/>
      <c r="Q61" s="270"/>
      <c r="R61" s="85"/>
    </row>
    <row r="62" spans="1:18" ht="16" x14ac:dyDescent="0.2">
      <c r="A62" s="47"/>
      <c r="C62" s="10">
        <f t="shared" si="0"/>
        <v>59</v>
      </c>
      <c r="D62" s="69" t="s">
        <v>209</v>
      </c>
      <c r="E62" s="85" t="s">
        <v>219</v>
      </c>
      <c r="F62" s="86">
        <v>45789</v>
      </c>
      <c r="G62" s="86">
        <v>45789</v>
      </c>
      <c r="H62" s="85" t="s">
        <v>30</v>
      </c>
      <c r="I62" s="268">
        <v>94887</v>
      </c>
      <c r="J62" s="268">
        <f>Mantenimiento[[#This Row],[Kilometraje del Odómetro]]-I60</f>
        <v>9681</v>
      </c>
      <c r="K62" s="268"/>
      <c r="L62" s="268">
        <v>2</v>
      </c>
      <c r="M62" s="85" t="s">
        <v>175</v>
      </c>
      <c r="N62" s="85">
        <v>2025050011</v>
      </c>
      <c r="O62" s="85" t="s">
        <v>464</v>
      </c>
      <c r="P62" s="269"/>
      <c r="Q62" s="270"/>
      <c r="R62" s="85"/>
    </row>
    <row r="63" spans="1:18" ht="16" x14ac:dyDescent="0.2">
      <c r="A63" s="47"/>
      <c r="C63" s="10">
        <f t="shared" si="0"/>
        <v>60</v>
      </c>
      <c r="D63" s="69" t="s">
        <v>209</v>
      </c>
      <c r="E63" s="85" t="s">
        <v>219</v>
      </c>
      <c r="F63" s="86">
        <v>45814</v>
      </c>
      <c r="G63" s="86">
        <v>45814</v>
      </c>
      <c r="H63" s="85" t="s">
        <v>30</v>
      </c>
      <c r="I63" s="268">
        <v>102761</v>
      </c>
      <c r="J63" s="268">
        <f>Mantenimiento[[#This Row],[Kilometraje del Odómetro]]-I62</f>
        <v>7874</v>
      </c>
      <c r="K63" s="268"/>
      <c r="L63" s="268">
        <v>2</v>
      </c>
      <c r="M63" s="85" t="s">
        <v>175</v>
      </c>
      <c r="N63" s="85">
        <v>2025060014</v>
      </c>
      <c r="O63" s="85" t="s">
        <v>464</v>
      </c>
      <c r="P63" s="269"/>
      <c r="Q63" s="270"/>
      <c r="R63" s="85"/>
    </row>
    <row r="64" spans="1:18" ht="16" x14ac:dyDescent="0.2">
      <c r="A64" s="47"/>
      <c r="C64" s="10">
        <f t="shared" si="0"/>
        <v>61</v>
      </c>
      <c r="D64" s="69" t="s">
        <v>209</v>
      </c>
      <c r="E64" s="85" t="s">
        <v>219</v>
      </c>
      <c r="F64" s="86">
        <v>45891</v>
      </c>
      <c r="G64" s="86">
        <v>45891</v>
      </c>
      <c r="H64" s="85" t="s">
        <v>30</v>
      </c>
      <c r="I64" s="268">
        <v>110916</v>
      </c>
      <c r="J64" s="268">
        <f>Mantenimiento[[#This Row],[Kilometraje del Odómetro]]-I63</f>
        <v>8155</v>
      </c>
      <c r="K64" s="268"/>
      <c r="L64" s="268">
        <v>2</v>
      </c>
      <c r="M64" s="85" t="s">
        <v>176</v>
      </c>
      <c r="N64" s="85">
        <v>2025080034</v>
      </c>
      <c r="O64" s="85" t="s">
        <v>464</v>
      </c>
      <c r="P64" s="269"/>
      <c r="Q64" s="270"/>
      <c r="R64" s="85"/>
    </row>
    <row r="65" spans="1:18" ht="16" x14ac:dyDescent="0.2">
      <c r="A65" s="47"/>
      <c r="C65" s="10">
        <f t="shared" si="0"/>
        <v>62</v>
      </c>
      <c r="D65" s="69" t="s">
        <v>209</v>
      </c>
      <c r="E65" s="85" t="s">
        <v>219</v>
      </c>
      <c r="F65" s="86">
        <v>45920</v>
      </c>
      <c r="G65" s="86">
        <v>45920</v>
      </c>
      <c r="H65" s="85" t="s">
        <v>31</v>
      </c>
      <c r="I65" s="268">
        <v>115915</v>
      </c>
      <c r="J65" s="268"/>
      <c r="K65" s="555">
        <v>0.5</v>
      </c>
      <c r="L65" s="268"/>
      <c r="M65" s="85" t="s">
        <v>190</v>
      </c>
      <c r="N65" s="85">
        <v>2025091187</v>
      </c>
      <c r="O65" s="85" t="s">
        <v>453</v>
      </c>
      <c r="P65" s="269"/>
      <c r="Q65" s="270"/>
      <c r="R65" s="85"/>
    </row>
    <row r="66" spans="1:18" ht="16" x14ac:dyDescent="0.2">
      <c r="A66" s="47"/>
      <c r="C66" s="10">
        <f t="shared" si="0"/>
        <v>63</v>
      </c>
      <c r="D66" s="69" t="s">
        <v>209</v>
      </c>
      <c r="E66" s="85" t="s">
        <v>219</v>
      </c>
      <c r="F66" s="86">
        <v>45925</v>
      </c>
      <c r="G66" s="86">
        <v>45925</v>
      </c>
      <c r="H66" s="85" t="s">
        <v>31</v>
      </c>
      <c r="I66" s="268">
        <v>116432</v>
      </c>
      <c r="J66" s="268"/>
      <c r="K66" s="561">
        <v>0.75</v>
      </c>
      <c r="L66" s="268"/>
      <c r="M66" s="85" t="s">
        <v>190</v>
      </c>
      <c r="N66" s="85">
        <v>2025091200</v>
      </c>
      <c r="O66" s="85" t="s">
        <v>462</v>
      </c>
      <c r="P66" s="269"/>
      <c r="Q66" s="270"/>
      <c r="R66" s="85"/>
    </row>
    <row r="67" spans="1:18" ht="16" x14ac:dyDescent="0.2">
      <c r="A67" s="47"/>
      <c r="C67" s="10">
        <f t="shared" si="0"/>
        <v>64</v>
      </c>
      <c r="D67" s="69" t="s">
        <v>209</v>
      </c>
      <c r="E67" s="85" t="s">
        <v>219</v>
      </c>
      <c r="F67" s="86">
        <v>45941</v>
      </c>
      <c r="G67" s="86">
        <v>45941</v>
      </c>
      <c r="H67" s="85" t="s">
        <v>30</v>
      </c>
      <c r="I67" s="268">
        <v>119430</v>
      </c>
      <c r="J67" s="268">
        <f>Mantenimiento[[#This Row],[Kilometraje del Odómetro]]-I64</f>
        <v>8514</v>
      </c>
      <c r="K67" s="268"/>
      <c r="L67" s="268">
        <v>2</v>
      </c>
      <c r="M67" s="85" t="s">
        <v>173</v>
      </c>
      <c r="N67" s="85">
        <v>2025101230</v>
      </c>
      <c r="O67" s="85" t="s">
        <v>464</v>
      </c>
      <c r="P67" s="269"/>
      <c r="Q67" s="270"/>
      <c r="R67" s="85"/>
    </row>
    <row r="68" spans="1:18" ht="16" x14ac:dyDescent="0.2">
      <c r="A68" s="47"/>
      <c r="C68" s="10">
        <f t="shared" si="0"/>
        <v>65</v>
      </c>
      <c r="D68" s="69" t="s">
        <v>209</v>
      </c>
      <c r="E68" s="85" t="s">
        <v>219</v>
      </c>
      <c r="F68" s="86">
        <v>45948</v>
      </c>
      <c r="G68" s="86">
        <v>45948</v>
      </c>
      <c r="H68" s="85" t="s">
        <v>31</v>
      </c>
      <c r="I68" s="268">
        <v>120390</v>
      </c>
      <c r="J68" s="268"/>
      <c r="K68" s="561">
        <v>0.75</v>
      </c>
      <c r="L68" s="268"/>
      <c r="M68" s="85" t="s">
        <v>190</v>
      </c>
      <c r="N68" s="85">
        <v>2025101256</v>
      </c>
      <c r="O68" s="85" t="s">
        <v>488</v>
      </c>
      <c r="P68" s="269"/>
      <c r="Q68" s="270"/>
      <c r="R68" s="85"/>
    </row>
    <row r="69" spans="1:18" ht="16" x14ac:dyDescent="0.2">
      <c r="A69" s="47"/>
      <c r="C69" s="10">
        <f t="shared" si="0"/>
        <v>66</v>
      </c>
      <c r="D69" s="69" t="s">
        <v>209</v>
      </c>
      <c r="E69" s="85" t="s">
        <v>219</v>
      </c>
      <c r="F69" s="86">
        <v>45954</v>
      </c>
      <c r="G69" s="86">
        <v>45954</v>
      </c>
      <c r="H69" s="85" t="s">
        <v>31</v>
      </c>
      <c r="I69" s="268">
        <v>121490</v>
      </c>
      <c r="J69" s="268"/>
      <c r="K69" s="268">
        <v>2</v>
      </c>
      <c r="L69" s="268"/>
      <c r="M69" s="85" t="s">
        <v>191</v>
      </c>
      <c r="N69" s="85">
        <v>2025101250</v>
      </c>
      <c r="O69" s="85" t="s">
        <v>487</v>
      </c>
      <c r="P69" s="269"/>
      <c r="Q69" s="270"/>
      <c r="R69" s="85"/>
    </row>
    <row r="70" spans="1:18" ht="16" x14ac:dyDescent="0.2">
      <c r="A70" s="47"/>
      <c r="C70" s="10">
        <f t="shared" si="0"/>
        <v>67</v>
      </c>
      <c r="D70" s="69" t="s">
        <v>209</v>
      </c>
      <c r="E70" s="85" t="s">
        <v>219</v>
      </c>
      <c r="F70" s="86">
        <v>45956</v>
      </c>
      <c r="G70" s="86">
        <v>45956</v>
      </c>
      <c r="H70" s="85" t="s">
        <v>31</v>
      </c>
      <c r="I70" s="268">
        <v>121512</v>
      </c>
      <c r="J70" s="268"/>
      <c r="K70" s="268">
        <v>1</v>
      </c>
      <c r="L70" s="268"/>
      <c r="M70" s="85" t="s">
        <v>189</v>
      </c>
      <c r="N70" s="85">
        <v>2025101253</v>
      </c>
      <c r="O70" s="85" t="s">
        <v>479</v>
      </c>
      <c r="P70" s="269"/>
      <c r="Q70" s="270"/>
      <c r="R70" s="85"/>
    </row>
    <row r="71" spans="1:18" ht="16" x14ac:dyDescent="0.2">
      <c r="A71" s="47"/>
      <c r="C71" s="10">
        <f t="shared" si="0"/>
        <v>68</v>
      </c>
      <c r="D71" s="69" t="s">
        <v>209</v>
      </c>
      <c r="E71" s="85" t="s">
        <v>219</v>
      </c>
      <c r="F71" s="86">
        <v>45991</v>
      </c>
      <c r="G71" s="86">
        <v>45991</v>
      </c>
      <c r="H71" s="85" t="s">
        <v>30</v>
      </c>
      <c r="I71" s="268">
        <v>127486</v>
      </c>
      <c r="J71" s="268">
        <f>Mantenimiento[[#This Row],[Kilometraje del Odómetro]]-I67</f>
        <v>8056</v>
      </c>
      <c r="K71" s="268"/>
      <c r="L71" s="268">
        <v>2</v>
      </c>
      <c r="M71" s="85" t="s">
        <v>173</v>
      </c>
      <c r="N71" s="85">
        <v>2025110042</v>
      </c>
      <c r="O71" s="85" t="s">
        <v>507</v>
      </c>
      <c r="P71" s="269"/>
      <c r="Q71" s="270"/>
      <c r="R71" s="85"/>
    </row>
    <row r="72" spans="1:18" ht="16" x14ac:dyDescent="0.2">
      <c r="A72" s="47"/>
      <c r="C72" s="10">
        <f t="shared" si="0"/>
        <v>69</v>
      </c>
      <c r="D72" s="69"/>
      <c r="E72" s="85"/>
      <c r="F72" s="86"/>
      <c r="G72" s="86"/>
      <c r="H72" s="85"/>
      <c r="I72" s="268"/>
      <c r="J72" s="268"/>
      <c r="K72" s="268"/>
      <c r="L72" s="268"/>
      <c r="M72" s="85"/>
      <c r="N72" s="85"/>
      <c r="O72" s="85"/>
      <c r="P72" s="269"/>
      <c r="Q72" s="270"/>
      <c r="R72" s="85"/>
    </row>
    <row r="73" spans="1:18" ht="16" x14ac:dyDescent="0.2">
      <c r="A73" s="47"/>
      <c r="C73" s="10">
        <f t="shared" si="0"/>
        <v>70</v>
      </c>
      <c r="D73" s="69"/>
      <c r="E73" s="85"/>
      <c r="F73" s="86"/>
      <c r="G73" s="86"/>
      <c r="H73" s="85"/>
      <c r="I73" s="268"/>
      <c r="J73" s="268"/>
      <c r="K73" s="268"/>
      <c r="L73" s="268"/>
      <c r="M73" s="85"/>
      <c r="N73" s="85"/>
      <c r="O73" s="85"/>
      <c r="P73" s="269"/>
      <c r="Q73" s="270"/>
      <c r="R73" s="85"/>
    </row>
    <row r="74" spans="1:18" ht="16" x14ac:dyDescent="0.2">
      <c r="A74" s="47"/>
      <c r="C74" s="10">
        <f t="shared" si="0"/>
        <v>71</v>
      </c>
      <c r="D74" s="69"/>
      <c r="E74" s="85"/>
      <c r="F74" s="86"/>
      <c r="G74" s="86"/>
      <c r="H74" s="85"/>
      <c r="I74" s="268"/>
      <c r="J74" s="268"/>
      <c r="K74" s="268"/>
      <c r="L74" s="268"/>
      <c r="M74" s="85"/>
      <c r="N74" s="85"/>
      <c r="O74" s="85"/>
      <c r="P74" s="269"/>
      <c r="Q74" s="270"/>
      <c r="R74" s="85"/>
    </row>
    <row r="75" spans="1:18" ht="17" thickBot="1" x14ac:dyDescent="0.25">
      <c r="A75" s="47"/>
      <c r="C75" s="10">
        <f t="shared" si="0"/>
        <v>72</v>
      </c>
      <c r="D75" s="224"/>
      <c r="E75" s="225"/>
      <c r="F75" s="226"/>
      <c r="G75" s="226"/>
      <c r="H75" s="225"/>
      <c r="I75" s="227"/>
      <c r="J75" s="227"/>
      <c r="K75" s="227"/>
      <c r="L75" s="227"/>
      <c r="M75" s="225"/>
      <c r="N75" s="225"/>
      <c r="O75" s="225"/>
      <c r="P75" s="228"/>
      <c r="Q75" s="297"/>
      <c r="R75" s="225"/>
    </row>
    <row r="76" spans="1:18" ht="17" thickTop="1" x14ac:dyDescent="0.2">
      <c r="A76" s="47"/>
      <c r="C76" s="10">
        <f t="shared" si="0"/>
        <v>73</v>
      </c>
      <c r="D76" s="168"/>
      <c r="E76" s="169"/>
      <c r="F76" s="146"/>
      <c r="G76" s="146"/>
      <c r="H76" s="169"/>
      <c r="I76" s="292"/>
      <c r="J76" s="292">
        <f>Mantenimiento[[#This Row],[Kilometraje del Odómetro]]-I75</f>
        <v>0</v>
      </c>
      <c r="K76" s="292"/>
      <c r="L76" s="292"/>
      <c r="M76" s="169"/>
      <c r="N76" s="169"/>
      <c r="O76" s="169"/>
      <c r="P76" s="293"/>
      <c r="Q76" s="294"/>
      <c r="R76" s="169"/>
    </row>
    <row r="77" spans="1:18" ht="16" x14ac:dyDescent="0.2">
      <c r="A77" s="47"/>
      <c r="C77" s="10">
        <f t="shared" si="0"/>
        <v>74</v>
      </c>
      <c r="D77" s="70" t="s">
        <v>210</v>
      </c>
      <c r="E77" s="81" t="s">
        <v>219</v>
      </c>
      <c r="F77" s="82">
        <v>45113</v>
      </c>
      <c r="G77" s="82">
        <f>Mantenimiento[[#This Row],[Fecha Entrada]]</f>
        <v>45113</v>
      </c>
      <c r="H77" s="81" t="s">
        <v>30</v>
      </c>
      <c r="I77" s="83">
        <v>5663</v>
      </c>
      <c r="J77" s="83">
        <f>Mantenimiento[[#This Row],[Kilometraje del Odómetro]]-I76</f>
        <v>5663</v>
      </c>
      <c r="K77" s="83"/>
      <c r="L77" s="83"/>
      <c r="M77" s="81" t="s">
        <v>173</v>
      </c>
      <c r="N77" s="81"/>
      <c r="O77" s="81" t="s">
        <v>464</v>
      </c>
      <c r="P77" s="84"/>
      <c r="Q77" s="82"/>
      <c r="R77" s="81"/>
    </row>
    <row r="78" spans="1:18" ht="16" x14ac:dyDescent="0.2">
      <c r="A78" s="47"/>
      <c r="C78" s="10">
        <f t="shared" si="0"/>
        <v>75</v>
      </c>
      <c r="D78" s="70" t="s">
        <v>210</v>
      </c>
      <c r="E78" s="81" t="s">
        <v>219</v>
      </c>
      <c r="F78" s="82">
        <v>45227</v>
      </c>
      <c r="G78" s="82">
        <f>Mantenimiento[[#This Row],[Fecha Entrada]]</f>
        <v>45227</v>
      </c>
      <c r="H78" s="81" t="s">
        <v>30</v>
      </c>
      <c r="I78" s="83">
        <v>12046</v>
      </c>
      <c r="J78" s="83">
        <f>Mantenimiento[[#This Row],[Kilometraje del Odómetro]]-I77</f>
        <v>6383</v>
      </c>
      <c r="K78" s="83"/>
      <c r="L78" s="83"/>
      <c r="M78" s="81" t="s">
        <v>173</v>
      </c>
      <c r="N78" s="81"/>
      <c r="O78" s="81" t="s">
        <v>464</v>
      </c>
      <c r="P78" s="84"/>
      <c r="Q78" s="82"/>
      <c r="R78" s="81"/>
    </row>
    <row r="79" spans="1:18" ht="16" x14ac:dyDescent="0.2">
      <c r="A79" s="47"/>
      <c r="C79" s="10">
        <f t="shared" si="0"/>
        <v>76</v>
      </c>
      <c r="D79" s="70" t="s">
        <v>210</v>
      </c>
      <c r="E79" s="81" t="s">
        <v>219</v>
      </c>
      <c r="F79" s="82">
        <v>45311</v>
      </c>
      <c r="G79" s="82">
        <f>Mantenimiento[[#This Row],[Fecha Entrada]]</f>
        <v>45311</v>
      </c>
      <c r="H79" s="81" t="s">
        <v>30</v>
      </c>
      <c r="I79" s="83">
        <v>18216</v>
      </c>
      <c r="J79" s="83">
        <f>Mantenimiento[[#This Row],[Kilometraje del Odómetro]]-I78</f>
        <v>6170</v>
      </c>
      <c r="K79" s="83"/>
      <c r="L79" s="83"/>
      <c r="M79" s="81" t="s">
        <v>173</v>
      </c>
      <c r="N79" s="81"/>
      <c r="O79" s="81" t="s">
        <v>464</v>
      </c>
      <c r="P79" s="84"/>
      <c r="Q79" s="82"/>
      <c r="R79" s="81"/>
    </row>
    <row r="80" spans="1:18" ht="16" x14ac:dyDescent="0.2">
      <c r="A80" s="47"/>
      <c r="C80" s="10">
        <f t="shared" si="0"/>
        <v>77</v>
      </c>
      <c r="D80" s="70" t="s">
        <v>210</v>
      </c>
      <c r="E80" s="81" t="s">
        <v>219</v>
      </c>
      <c r="F80" s="82">
        <v>45424</v>
      </c>
      <c r="G80" s="82">
        <f>Mantenimiento[[#This Row],[Fecha Entrada]]</f>
        <v>45424</v>
      </c>
      <c r="H80" s="81" t="s">
        <v>30</v>
      </c>
      <c r="I80" s="83">
        <v>29886</v>
      </c>
      <c r="J80" s="83">
        <f>Mantenimiento[[#This Row],[Kilometraje del Odómetro]]-I79</f>
        <v>11670</v>
      </c>
      <c r="K80" s="83"/>
      <c r="L80" s="83"/>
      <c r="M80" s="81" t="s">
        <v>173</v>
      </c>
      <c r="N80" s="81"/>
      <c r="O80" s="81" t="s">
        <v>464</v>
      </c>
      <c r="P80" s="84"/>
      <c r="Q80" s="82"/>
      <c r="R80" s="81"/>
    </row>
    <row r="81" spans="1:18" ht="16" x14ac:dyDescent="0.2">
      <c r="A81" s="47"/>
      <c r="C81" s="10">
        <f t="shared" si="0"/>
        <v>78</v>
      </c>
      <c r="D81" s="70" t="s">
        <v>210</v>
      </c>
      <c r="E81" s="81" t="s">
        <v>219</v>
      </c>
      <c r="F81" s="82">
        <v>45471</v>
      </c>
      <c r="G81" s="82">
        <f>Mantenimiento[[#This Row],[Fecha Entrada]]</f>
        <v>45471</v>
      </c>
      <c r="H81" s="81" t="s">
        <v>30</v>
      </c>
      <c r="I81" s="83">
        <v>38240</v>
      </c>
      <c r="J81" s="83">
        <f>Mantenimiento[[#This Row],[Kilometraje del Odómetro]]-I80</f>
        <v>8354</v>
      </c>
      <c r="K81" s="83"/>
      <c r="L81" s="83"/>
      <c r="M81" s="81" t="s">
        <v>174</v>
      </c>
      <c r="N81" s="81"/>
      <c r="O81" s="81" t="s">
        <v>464</v>
      </c>
      <c r="P81" s="84"/>
      <c r="Q81" s="82"/>
      <c r="R81" s="81"/>
    </row>
    <row r="82" spans="1:18" ht="16" x14ac:dyDescent="0.2">
      <c r="A82" s="47"/>
      <c r="C82" s="10">
        <f t="shared" ref="C82:C147" si="1">ROW(A79)</f>
        <v>79</v>
      </c>
      <c r="D82" s="70" t="s">
        <v>210</v>
      </c>
      <c r="E82" s="81" t="s">
        <v>219</v>
      </c>
      <c r="F82" s="82">
        <v>45554</v>
      </c>
      <c r="G82" s="82">
        <f>Mantenimiento[[#This Row],[Fecha Entrada]]</f>
        <v>45554</v>
      </c>
      <c r="H82" s="81" t="s">
        <v>30</v>
      </c>
      <c r="I82" s="83">
        <v>46743</v>
      </c>
      <c r="J82" s="83">
        <f>Mantenimiento[[#This Row],[Kilometraje del Odómetro]]-I81</f>
        <v>8503</v>
      </c>
      <c r="K82" s="83"/>
      <c r="L82" s="83"/>
      <c r="M82" s="81" t="s">
        <v>174</v>
      </c>
      <c r="N82" s="81"/>
      <c r="O82" s="81" t="s">
        <v>464</v>
      </c>
      <c r="P82" s="84"/>
      <c r="Q82" s="82"/>
      <c r="R82" s="81"/>
    </row>
    <row r="83" spans="1:18" ht="16" x14ac:dyDescent="0.2">
      <c r="A83" s="47"/>
      <c r="C83" s="10">
        <f t="shared" si="1"/>
        <v>80</v>
      </c>
      <c r="D83" s="70" t="s">
        <v>210</v>
      </c>
      <c r="E83" s="81" t="s">
        <v>219</v>
      </c>
      <c r="F83" s="82">
        <v>45638</v>
      </c>
      <c r="G83" s="82">
        <f>Mantenimiento[[#This Row],[Fecha Entrada]]</f>
        <v>45638</v>
      </c>
      <c r="H83" s="81" t="s">
        <v>30</v>
      </c>
      <c r="I83" s="83">
        <v>54704</v>
      </c>
      <c r="J83" s="83">
        <f>Mantenimiento[[#This Row],[Kilometraje del Odómetro]]-I82</f>
        <v>7961</v>
      </c>
      <c r="K83" s="83"/>
      <c r="L83" s="83"/>
      <c r="M83" s="81" t="s">
        <v>174</v>
      </c>
      <c r="N83" s="81"/>
      <c r="O83" s="81" t="s">
        <v>464</v>
      </c>
      <c r="P83" s="84"/>
      <c r="Q83" s="82"/>
      <c r="R83" s="81"/>
    </row>
    <row r="84" spans="1:18" ht="16" x14ac:dyDescent="0.2">
      <c r="A84" s="47"/>
      <c r="C84" s="10">
        <f t="shared" si="1"/>
        <v>81</v>
      </c>
      <c r="D84" s="70" t="s">
        <v>210</v>
      </c>
      <c r="E84" s="81" t="s">
        <v>219</v>
      </c>
      <c r="F84" s="82">
        <v>45702</v>
      </c>
      <c r="G84" s="82">
        <f>Mantenimiento[[#This Row],[Fecha Entrada]]</f>
        <v>45702</v>
      </c>
      <c r="H84" s="81" t="s">
        <v>30</v>
      </c>
      <c r="I84" s="271">
        <v>62417</v>
      </c>
      <c r="J84" s="271">
        <f>Mantenimiento[[#This Row],[Kilometraje del Odómetro]]-I83</f>
        <v>7713</v>
      </c>
      <c r="K84" s="271"/>
      <c r="L84" s="271">
        <v>2</v>
      </c>
      <c r="M84" s="81" t="s">
        <v>175</v>
      </c>
      <c r="N84" s="81"/>
      <c r="O84" s="81" t="s">
        <v>464</v>
      </c>
      <c r="P84" s="272"/>
      <c r="Q84" s="82"/>
      <c r="R84" s="81"/>
    </row>
    <row r="85" spans="1:18" ht="16" x14ac:dyDescent="0.2">
      <c r="A85" s="47"/>
      <c r="C85" s="10">
        <f t="shared" si="1"/>
        <v>82</v>
      </c>
      <c r="D85" s="70" t="s">
        <v>210</v>
      </c>
      <c r="E85" s="81" t="s">
        <v>219</v>
      </c>
      <c r="F85" s="82">
        <v>45754</v>
      </c>
      <c r="G85" s="82">
        <v>45754</v>
      </c>
      <c r="H85" s="81" t="s">
        <v>30</v>
      </c>
      <c r="I85" s="271">
        <v>71131</v>
      </c>
      <c r="J85" s="271">
        <f>Mantenimiento[[#This Row],[Kilometraje del Odómetro]]-I84</f>
        <v>8714</v>
      </c>
      <c r="K85" s="271"/>
      <c r="L85" s="271">
        <v>2</v>
      </c>
      <c r="M85" s="81" t="s">
        <v>175</v>
      </c>
      <c r="N85" s="81">
        <v>2025040009</v>
      </c>
      <c r="O85" s="81" t="s">
        <v>464</v>
      </c>
      <c r="P85" s="272"/>
      <c r="Q85" s="273"/>
      <c r="R85" s="81"/>
    </row>
    <row r="86" spans="1:18" ht="16" x14ac:dyDescent="0.2">
      <c r="A86" s="47"/>
      <c r="C86" s="10">
        <f t="shared" si="1"/>
        <v>83</v>
      </c>
      <c r="D86" s="70" t="s">
        <v>210</v>
      </c>
      <c r="E86" s="81" t="s">
        <v>219</v>
      </c>
      <c r="F86" s="82">
        <v>45791</v>
      </c>
      <c r="G86" s="82">
        <v>45791</v>
      </c>
      <c r="H86" s="81" t="s">
        <v>30</v>
      </c>
      <c r="I86" s="271">
        <v>79638</v>
      </c>
      <c r="J86" s="271">
        <f>Mantenimiento[[#This Row],[Kilometraje del Odómetro]]-I85</f>
        <v>8507</v>
      </c>
      <c r="K86" s="271"/>
      <c r="L86" s="271">
        <v>2</v>
      </c>
      <c r="M86" s="81" t="s">
        <v>175</v>
      </c>
      <c r="N86" s="81">
        <v>2025050014</v>
      </c>
      <c r="O86" s="81" t="s">
        <v>464</v>
      </c>
      <c r="P86" s="272"/>
      <c r="Q86" s="273"/>
      <c r="R86" s="81"/>
    </row>
    <row r="87" spans="1:18" ht="16" x14ac:dyDescent="0.2">
      <c r="A87" s="47"/>
      <c r="C87" s="10">
        <f t="shared" si="1"/>
        <v>84</v>
      </c>
      <c r="D87" s="70" t="s">
        <v>210</v>
      </c>
      <c r="E87" s="81" t="s">
        <v>219</v>
      </c>
      <c r="F87" s="82">
        <v>45820</v>
      </c>
      <c r="G87" s="82">
        <v>45820</v>
      </c>
      <c r="H87" s="81" t="s">
        <v>30</v>
      </c>
      <c r="I87" s="271">
        <v>88310</v>
      </c>
      <c r="J87" s="271">
        <f>Mantenimiento[[#This Row],[Kilometraje del Odómetro]]-I86</f>
        <v>8672</v>
      </c>
      <c r="K87" s="271"/>
      <c r="L87" s="271">
        <v>2</v>
      </c>
      <c r="M87" s="81" t="s">
        <v>175</v>
      </c>
      <c r="N87" s="81">
        <v>2025060030</v>
      </c>
      <c r="O87" s="81" t="s">
        <v>464</v>
      </c>
      <c r="P87" s="272"/>
      <c r="Q87" s="273"/>
      <c r="R87" s="81"/>
    </row>
    <row r="88" spans="1:18" ht="16" x14ac:dyDescent="0.2">
      <c r="A88" s="47"/>
      <c r="C88" s="10">
        <f t="shared" si="1"/>
        <v>85</v>
      </c>
      <c r="D88" s="70" t="s">
        <v>210</v>
      </c>
      <c r="E88" s="81" t="s">
        <v>219</v>
      </c>
      <c r="F88" s="82">
        <v>45842</v>
      </c>
      <c r="G88" s="82">
        <v>45842</v>
      </c>
      <c r="H88" s="81" t="s">
        <v>322</v>
      </c>
      <c r="I88" s="271">
        <v>91080</v>
      </c>
      <c r="J88" s="271"/>
      <c r="K88" s="271"/>
      <c r="L88" s="271">
        <v>2</v>
      </c>
      <c r="M88" s="81" t="s">
        <v>330</v>
      </c>
      <c r="N88" s="81"/>
      <c r="O88" s="81" t="s">
        <v>465</v>
      </c>
      <c r="P88" s="272"/>
      <c r="Q88" s="273"/>
      <c r="R88" s="81"/>
    </row>
    <row r="89" spans="1:18" ht="16" x14ac:dyDescent="0.2">
      <c r="A89" s="47"/>
      <c r="C89" s="10">
        <f t="shared" si="1"/>
        <v>86</v>
      </c>
      <c r="D89" s="70" t="s">
        <v>210</v>
      </c>
      <c r="E89" s="81" t="s">
        <v>219</v>
      </c>
      <c r="F89" s="82">
        <v>45891</v>
      </c>
      <c r="G89" s="82">
        <v>45891</v>
      </c>
      <c r="H89" s="81" t="s">
        <v>30</v>
      </c>
      <c r="I89" s="271">
        <v>96460</v>
      </c>
      <c r="J89" s="271">
        <f>Mantenimiento[[#This Row],[Kilometraje del Odómetro]]-I87</f>
        <v>8150</v>
      </c>
      <c r="K89" s="271"/>
      <c r="L89" s="271">
        <v>2</v>
      </c>
      <c r="M89" s="81" t="s">
        <v>176</v>
      </c>
      <c r="N89" s="81">
        <v>2025080035</v>
      </c>
      <c r="O89" s="81" t="s">
        <v>464</v>
      </c>
      <c r="P89" s="272"/>
      <c r="Q89" s="273"/>
      <c r="R89" s="81"/>
    </row>
    <row r="90" spans="1:18" ht="16" x14ac:dyDescent="0.2">
      <c r="A90" s="47"/>
      <c r="C90" s="10">
        <f t="shared" si="1"/>
        <v>87</v>
      </c>
      <c r="D90" s="70" t="s">
        <v>210</v>
      </c>
      <c r="E90" s="81" t="s">
        <v>219</v>
      </c>
      <c r="F90" s="82">
        <v>45922</v>
      </c>
      <c r="G90" s="82">
        <v>45922</v>
      </c>
      <c r="H90" s="81" t="s">
        <v>31</v>
      </c>
      <c r="I90" s="271">
        <v>101393</v>
      </c>
      <c r="J90" s="271"/>
      <c r="K90" s="271">
        <v>1</v>
      </c>
      <c r="L90" s="271"/>
      <c r="M90" s="81" t="s">
        <v>189</v>
      </c>
      <c r="N90" s="81">
        <v>2025091195</v>
      </c>
      <c r="O90" s="81" t="s">
        <v>448</v>
      </c>
      <c r="P90" s="272"/>
      <c r="Q90" s="273"/>
      <c r="R90" s="81"/>
    </row>
    <row r="91" spans="1:18" ht="16" x14ac:dyDescent="0.2">
      <c r="A91" s="47"/>
      <c r="C91" s="10">
        <f t="shared" si="1"/>
        <v>88</v>
      </c>
      <c r="D91" s="70" t="s">
        <v>210</v>
      </c>
      <c r="E91" s="81" t="s">
        <v>219</v>
      </c>
      <c r="F91" s="82">
        <v>45938</v>
      </c>
      <c r="G91" s="82">
        <v>45938</v>
      </c>
      <c r="H91" s="81" t="s">
        <v>30</v>
      </c>
      <c r="I91" s="271">
        <v>104335</v>
      </c>
      <c r="J91" s="271">
        <f>Mantenimiento[[#This Row],[Kilometraje del Odómetro]]-I89</f>
        <v>7875</v>
      </c>
      <c r="K91" s="271"/>
      <c r="L91" s="271">
        <v>2</v>
      </c>
      <c r="M91" s="81" t="s">
        <v>174</v>
      </c>
      <c r="N91" s="81">
        <v>2025101222</v>
      </c>
      <c r="O91" s="81" t="s">
        <v>464</v>
      </c>
      <c r="P91" s="272"/>
      <c r="Q91" s="273"/>
      <c r="R91" s="81"/>
    </row>
    <row r="92" spans="1:18" ht="16" x14ac:dyDescent="0.2">
      <c r="A92" s="47"/>
      <c r="C92" s="10">
        <f t="shared" si="1"/>
        <v>89</v>
      </c>
      <c r="D92" s="70" t="s">
        <v>210</v>
      </c>
      <c r="E92" s="81" t="s">
        <v>219</v>
      </c>
      <c r="F92" s="82">
        <v>45940</v>
      </c>
      <c r="G92" s="82">
        <v>45940</v>
      </c>
      <c r="H92" s="81" t="s">
        <v>31</v>
      </c>
      <c r="I92" s="271">
        <v>104897</v>
      </c>
      <c r="J92" s="271"/>
      <c r="K92" s="271">
        <v>2</v>
      </c>
      <c r="L92" s="271"/>
      <c r="M92" s="81" t="s">
        <v>191</v>
      </c>
      <c r="N92" s="81">
        <v>2025101227</v>
      </c>
      <c r="O92" s="81" t="s">
        <v>484</v>
      </c>
      <c r="P92" s="272"/>
      <c r="Q92" s="273"/>
      <c r="R92" s="81"/>
    </row>
    <row r="93" spans="1:18" ht="16" x14ac:dyDescent="0.2">
      <c r="A93" s="47"/>
      <c r="C93" s="10">
        <f t="shared" si="1"/>
        <v>90</v>
      </c>
      <c r="D93" s="70" t="s">
        <v>210</v>
      </c>
      <c r="E93" s="81" t="s">
        <v>219</v>
      </c>
      <c r="F93" s="82">
        <v>45985</v>
      </c>
      <c r="G93" s="82">
        <v>45985</v>
      </c>
      <c r="H93" s="81" t="s">
        <v>30</v>
      </c>
      <c r="I93" s="271">
        <v>112441</v>
      </c>
      <c r="J93" s="271">
        <f>Mantenimiento[[#This Row],[Kilometraje del Odómetro]]-I91</f>
        <v>8106</v>
      </c>
      <c r="K93" s="271"/>
      <c r="L93" s="271">
        <v>2</v>
      </c>
      <c r="M93" s="81" t="s">
        <v>174</v>
      </c>
      <c r="N93" s="81">
        <v>2025110034</v>
      </c>
      <c r="O93" s="81" t="s">
        <v>464</v>
      </c>
      <c r="P93" s="272"/>
      <c r="Q93" s="273"/>
      <c r="R93" s="81"/>
    </row>
    <row r="94" spans="1:18" ht="16" x14ac:dyDescent="0.2">
      <c r="A94" s="47"/>
      <c r="C94" s="10">
        <f>ROW(A91)</f>
        <v>91</v>
      </c>
      <c r="D94" s="70" t="s">
        <v>210</v>
      </c>
      <c r="E94" s="81" t="s">
        <v>219</v>
      </c>
      <c r="F94" s="82">
        <v>46001</v>
      </c>
      <c r="G94" s="82">
        <v>46001</v>
      </c>
      <c r="H94" s="81" t="s">
        <v>31</v>
      </c>
      <c r="I94" s="271">
        <v>115206</v>
      </c>
      <c r="J94" s="271"/>
      <c r="K94" s="271">
        <v>5</v>
      </c>
      <c r="L94" s="271"/>
      <c r="M94" s="81" t="s">
        <v>190</v>
      </c>
      <c r="N94" s="81">
        <v>2025121326</v>
      </c>
      <c r="O94" s="81" t="s">
        <v>516</v>
      </c>
      <c r="P94" s="272"/>
      <c r="Q94" s="273"/>
      <c r="R94" s="81"/>
    </row>
    <row r="95" spans="1:18" ht="16" x14ac:dyDescent="0.2">
      <c r="A95" s="47"/>
      <c r="C95" s="10">
        <f>ROW(A91)</f>
        <v>91</v>
      </c>
      <c r="D95" s="70"/>
      <c r="E95" s="81"/>
      <c r="F95" s="82"/>
      <c r="G95" s="82"/>
      <c r="H95" s="81"/>
      <c r="I95" s="271"/>
      <c r="J95" s="271"/>
      <c r="K95" s="271"/>
      <c r="L95" s="271"/>
      <c r="M95" s="81"/>
      <c r="N95" s="81"/>
      <c r="O95" s="81"/>
      <c r="P95" s="272"/>
      <c r="Q95" s="273"/>
      <c r="R95" s="81"/>
    </row>
    <row r="96" spans="1:18" ht="16" x14ac:dyDescent="0.2">
      <c r="A96" s="47"/>
      <c r="C96" s="10">
        <f>ROW(A91)</f>
        <v>91</v>
      </c>
      <c r="D96" s="70"/>
      <c r="E96" s="81"/>
      <c r="F96" s="82"/>
      <c r="G96" s="82"/>
      <c r="H96" s="81"/>
      <c r="I96" s="271"/>
      <c r="J96" s="271"/>
      <c r="K96" s="271"/>
      <c r="L96" s="271"/>
      <c r="M96" s="81"/>
      <c r="N96" s="81"/>
      <c r="O96" s="81"/>
      <c r="P96" s="272"/>
      <c r="Q96" s="273"/>
      <c r="R96" s="81"/>
    </row>
    <row r="97" spans="1:18" ht="17" thickBot="1" x14ac:dyDescent="0.25">
      <c r="A97" s="47"/>
      <c r="C97" s="10">
        <f>ROW(A92)</f>
        <v>92</v>
      </c>
      <c r="D97" s="229"/>
      <c r="E97" s="230"/>
      <c r="F97" s="231"/>
      <c r="G97" s="231"/>
      <c r="H97" s="230"/>
      <c r="I97" s="232"/>
      <c r="J97" s="232"/>
      <c r="K97" s="232"/>
      <c r="L97" s="232"/>
      <c r="M97" s="230"/>
      <c r="N97" s="230"/>
      <c r="O97" s="230"/>
      <c r="P97" s="233"/>
      <c r="Q97" s="298"/>
      <c r="R97" s="230"/>
    </row>
    <row r="98" spans="1:18" ht="17" thickTop="1" x14ac:dyDescent="0.2">
      <c r="A98" s="47"/>
      <c r="C98" s="10">
        <f>ROW(A93)</f>
        <v>93</v>
      </c>
      <c r="D98" s="168"/>
      <c r="E98" s="169"/>
      <c r="F98" s="146"/>
      <c r="G98" s="146"/>
      <c r="H98" s="169"/>
      <c r="I98" s="292"/>
      <c r="J98" s="292">
        <f>Mantenimiento[[#This Row],[Kilometraje del Odómetro]]-I97</f>
        <v>0</v>
      </c>
      <c r="K98" s="292"/>
      <c r="L98" s="292"/>
      <c r="M98" s="169"/>
      <c r="N98" s="169"/>
      <c r="O98" s="169"/>
      <c r="P98" s="293"/>
      <c r="Q98" s="294"/>
      <c r="R98" s="169"/>
    </row>
    <row r="99" spans="1:18" ht="16" x14ac:dyDescent="0.2">
      <c r="A99" s="47"/>
      <c r="C99" s="10">
        <f t="shared" si="1"/>
        <v>96</v>
      </c>
      <c r="D99" s="71" t="s">
        <v>211</v>
      </c>
      <c r="E99" s="77" t="s">
        <v>219</v>
      </c>
      <c r="F99" s="78">
        <v>45594</v>
      </c>
      <c r="G99" s="78">
        <f>Mantenimiento[[#This Row],[Fecha Entrada]]</f>
        <v>45594</v>
      </c>
      <c r="H99" s="77" t="s">
        <v>30</v>
      </c>
      <c r="I99" s="79">
        <v>5943</v>
      </c>
      <c r="J99" s="79">
        <f>Mantenimiento[[#This Row],[Kilometraje del Odómetro]]-I98</f>
        <v>5943</v>
      </c>
      <c r="K99" s="79"/>
      <c r="L99" s="79"/>
      <c r="M99" s="77" t="s">
        <v>173</v>
      </c>
      <c r="N99" s="77"/>
      <c r="O99" s="77" t="s">
        <v>464</v>
      </c>
      <c r="P99" s="80"/>
      <c r="Q99" s="78"/>
      <c r="R99" s="77"/>
    </row>
    <row r="100" spans="1:18" ht="16" x14ac:dyDescent="0.2">
      <c r="A100" s="47"/>
      <c r="C100" s="10">
        <f t="shared" si="1"/>
        <v>97</v>
      </c>
      <c r="D100" s="71" t="s">
        <v>211</v>
      </c>
      <c r="E100" s="77" t="s">
        <v>219</v>
      </c>
      <c r="F100" s="78">
        <v>45623</v>
      </c>
      <c r="G100" s="78">
        <f>Mantenimiento[[#This Row],[Fecha Entrada]]</f>
        <v>45623</v>
      </c>
      <c r="H100" s="77" t="s">
        <v>30</v>
      </c>
      <c r="I100" s="79">
        <v>15273</v>
      </c>
      <c r="J100" s="79">
        <f>Mantenimiento[[#This Row],[Kilometraje del Odómetro]]-I99</f>
        <v>9330</v>
      </c>
      <c r="K100" s="79"/>
      <c r="L100" s="79"/>
      <c r="M100" s="77" t="s">
        <v>173</v>
      </c>
      <c r="N100" s="77"/>
      <c r="O100" s="77" t="s">
        <v>464</v>
      </c>
      <c r="P100" s="80"/>
      <c r="Q100" s="78"/>
      <c r="R100" s="77"/>
    </row>
    <row r="101" spans="1:18" ht="16" x14ac:dyDescent="0.2">
      <c r="A101" s="47"/>
      <c r="C101" s="10">
        <f t="shared" si="1"/>
        <v>98</v>
      </c>
      <c r="D101" s="71" t="s">
        <v>211</v>
      </c>
      <c r="E101" s="77" t="s">
        <v>219</v>
      </c>
      <c r="F101" s="78">
        <v>45673</v>
      </c>
      <c r="G101" s="78">
        <f>Mantenimiento[[#This Row],[Fecha Entrada]]</f>
        <v>45673</v>
      </c>
      <c r="H101" s="77" t="s">
        <v>30</v>
      </c>
      <c r="I101" s="79">
        <v>23308</v>
      </c>
      <c r="J101" s="79">
        <f>Mantenimiento[[#This Row],[Kilometraje del Odómetro]]-I100</f>
        <v>8035</v>
      </c>
      <c r="K101" s="79"/>
      <c r="L101" s="79">
        <v>2</v>
      </c>
      <c r="M101" s="77" t="s">
        <v>173</v>
      </c>
      <c r="N101" s="77"/>
      <c r="O101" s="77" t="s">
        <v>464</v>
      </c>
      <c r="P101" s="80"/>
      <c r="Q101" s="78"/>
      <c r="R101" s="77"/>
    </row>
    <row r="102" spans="1:18" ht="16" x14ac:dyDescent="0.2">
      <c r="A102" s="47"/>
      <c r="C102" s="10">
        <f t="shared" si="1"/>
        <v>99</v>
      </c>
      <c r="D102" s="71" t="s">
        <v>211</v>
      </c>
      <c r="E102" s="77" t="s">
        <v>219</v>
      </c>
      <c r="F102" s="78">
        <v>45729</v>
      </c>
      <c r="G102" s="78">
        <f>Mantenimiento[[#This Row],[Fecha Entrada]]</f>
        <v>45729</v>
      </c>
      <c r="H102" s="77" t="s">
        <v>30</v>
      </c>
      <c r="I102" s="274">
        <v>31621</v>
      </c>
      <c r="J102" s="274">
        <f>Mantenimiento[[#This Row],[Kilometraje del Odómetro]]-I101</f>
        <v>8313</v>
      </c>
      <c r="K102" s="274"/>
      <c r="L102" s="274">
        <v>2</v>
      </c>
      <c r="M102" s="77" t="s">
        <v>173</v>
      </c>
      <c r="N102" s="77">
        <v>2025030004</v>
      </c>
      <c r="O102" s="77" t="s">
        <v>464</v>
      </c>
      <c r="P102" s="275"/>
      <c r="Q102" s="78"/>
      <c r="R102" s="77"/>
    </row>
    <row r="103" spans="1:18" ht="16" x14ac:dyDescent="0.2">
      <c r="A103" s="47"/>
      <c r="C103" s="10">
        <f t="shared" si="1"/>
        <v>100</v>
      </c>
      <c r="D103" s="71" t="s">
        <v>211</v>
      </c>
      <c r="E103" s="77" t="s">
        <v>219</v>
      </c>
      <c r="F103" s="78">
        <v>45797</v>
      </c>
      <c r="G103" s="78">
        <v>45797</v>
      </c>
      <c r="H103" s="77" t="s">
        <v>30</v>
      </c>
      <c r="I103" s="274">
        <v>39231</v>
      </c>
      <c r="J103" s="274">
        <f>Mantenimiento[[#This Row],[Kilometraje del Odómetro]]-I102</f>
        <v>7610</v>
      </c>
      <c r="K103" s="274"/>
      <c r="L103" s="274">
        <v>2</v>
      </c>
      <c r="M103" s="77" t="s">
        <v>173</v>
      </c>
      <c r="N103" s="77">
        <v>2025050028</v>
      </c>
      <c r="O103" s="77" t="s">
        <v>464</v>
      </c>
      <c r="P103" s="275"/>
      <c r="Q103" s="276"/>
      <c r="R103" s="77"/>
    </row>
    <row r="104" spans="1:18" ht="16" x14ac:dyDescent="0.2">
      <c r="A104" s="47"/>
      <c r="C104" s="10">
        <f t="shared" si="1"/>
        <v>101</v>
      </c>
      <c r="D104" s="71" t="s">
        <v>211</v>
      </c>
      <c r="E104" s="77" t="s">
        <v>219</v>
      </c>
      <c r="F104" s="78">
        <v>45887</v>
      </c>
      <c r="G104" s="78">
        <v>45887</v>
      </c>
      <c r="H104" s="77" t="s">
        <v>30</v>
      </c>
      <c r="I104" s="274">
        <v>47525</v>
      </c>
      <c r="J104" s="274">
        <f>Mantenimiento[[#This Row],[Kilometraje del Odómetro]]-I103</f>
        <v>8294</v>
      </c>
      <c r="K104" s="274"/>
      <c r="L104" s="274">
        <v>2</v>
      </c>
      <c r="M104" s="77" t="s">
        <v>173</v>
      </c>
      <c r="N104" s="77">
        <v>2025080027</v>
      </c>
      <c r="O104" s="77" t="s">
        <v>464</v>
      </c>
      <c r="P104" s="275"/>
      <c r="Q104" s="276"/>
      <c r="R104" s="77"/>
    </row>
    <row r="105" spans="1:18" ht="16" x14ac:dyDescent="0.2">
      <c r="A105" s="47"/>
      <c r="C105" s="10">
        <f t="shared" si="1"/>
        <v>102</v>
      </c>
      <c r="D105" s="71" t="s">
        <v>211</v>
      </c>
      <c r="E105" s="77" t="s">
        <v>219</v>
      </c>
      <c r="F105" s="78">
        <v>45916</v>
      </c>
      <c r="G105" s="78">
        <v>45916</v>
      </c>
      <c r="H105" s="77" t="s">
        <v>31</v>
      </c>
      <c r="I105" s="274">
        <v>51699</v>
      </c>
      <c r="J105" s="274"/>
      <c r="K105" s="544">
        <v>0.5</v>
      </c>
      <c r="L105" s="274"/>
      <c r="M105" s="77" t="s">
        <v>190</v>
      </c>
      <c r="N105" s="77"/>
      <c r="O105" s="77" t="s">
        <v>432</v>
      </c>
      <c r="P105" s="275"/>
      <c r="Q105" s="276"/>
      <c r="R105" s="77"/>
    </row>
    <row r="106" spans="1:18" ht="16" x14ac:dyDescent="0.2">
      <c r="A106" s="47"/>
      <c r="C106" s="10">
        <f t="shared" si="1"/>
        <v>103</v>
      </c>
      <c r="D106" s="71" t="s">
        <v>211</v>
      </c>
      <c r="E106" s="77" t="s">
        <v>219</v>
      </c>
      <c r="F106" s="78">
        <v>45921</v>
      </c>
      <c r="G106" s="78">
        <v>45921</v>
      </c>
      <c r="H106" s="77" t="s">
        <v>31</v>
      </c>
      <c r="I106" s="274">
        <v>52865</v>
      </c>
      <c r="J106" s="274"/>
      <c r="K106" s="553">
        <v>0.75</v>
      </c>
      <c r="L106" s="274"/>
      <c r="M106" s="77" t="s">
        <v>190</v>
      </c>
      <c r="N106" s="77">
        <v>2025091190</v>
      </c>
      <c r="O106" s="77" t="s">
        <v>447</v>
      </c>
      <c r="P106" s="275"/>
      <c r="Q106" s="276"/>
      <c r="R106" s="77"/>
    </row>
    <row r="107" spans="1:18" ht="16" x14ac:dyDescent="0.2">
      <c r="A107" s="47"/>
      <c r="C107" s="10">
        <f t="shared" si="1"/>
        <v>104</v>
      </c>
      <c r="D107" s="71" t="s">
        <v>211</v>
      </c>
      <c r="E107" s="77" t="s">
        <v>219</v>
      </c>
      <c r="F107" s="78">
        <v>45924</v>
      </c>
      <c r="G107" s="78">
        <v>45924</v>
      </c>
      <c r="H107" s="77" t="s">
        <v>31</v>
      </c>
      <c r="I107" s="274">
        <v>53519</v>
      </c>
      <c r="J107" s="274"/>
      <c r="K107" s="274">
        <v>1</v>
      </c>
      <c r="L107" s="274"/>
      <c r="M107" s="77" t="s">
        <v>190</v>
      </c>
      <c r="N107" s="77">
        <v>2025091198</v>
      </c>
      <c r="O107" s="77" t="s">
        <v>463</v>
      </c>
      <c r="P107" s="275"/>
      <c r="Q107" s="276"/>
      <c r="R107" s="77"/>
    </row>
    <row r="108" spans="1:18" ht="16" x14ac:dyDescent="0.2">
      <c r="A108" s="47"/>
      <c r="C108" s="10">
        <f t="shared" si="1"/>
        <v>105</v>
      </c>
      <c r="D108" s="71" t="s">
        <v>211</v>
      </c>
      <c r="E108" s="77" t="s">
        <v>219</v>
      </c>
      <c r="F108" s="78">
        <v>45947</v>
      </c>
      <c r="G108" s="78">
        <v>45947</v>
      </c>
      <c r="H108" s="77" t="s">
        <v>30</v>
      </c>
      <c r="I108" s="274">
        <v>55996</v>
      </c>
      <c r="J108" s="274">
        <f>Mantenimiento[[#This Row],[Kilometraje del Odómetro]]-I104</f>
        <v>8471</v>
      </c>
      <c r="K108" s="274"/>
      <c r="L108" s="274">
        <v>2</v>
      </c>
      <c r="M108" s="77" t="s">
        <v>174</v>
      </c>
      <c r="N108" s="77">
        <v>2025100027</v>
      </c>
      <c r="O108" s="77" t="s">
        <v>464</v>
      </c>
      <c r="P108" s="275"/>
      <c r="Q108" s="276"/>
      <c r="R108" s="77"/>
    </row>
    <row r="109" spans="1:18" ht="16" x14ac:dyDescent="0.2">
      <c r="A109" s="47"/>
      <c r="C109" s="10">
        <f t="shared" si="1"/>
        <v>106</v>
      </c>
      <c r="D109" s="71" t="s">
        <v>211</v>
      </c>
      <c r="E109" s="77" t="s">
        <v>219</v>
      </c>
      <c r="F109" s="78">
        <v>45957</v>
      </c>
      <c r="G109" s="78">
        <v>45957</v>
      </c>
      <c r="H109" s="77" t="s">
        <v>31</v>
      </c>
      <c r="I109" s="274">
        <v>57606</v>
      </c>
      <c r="J109" s="274"/>
      <c r="K109" s="274"/>
      <c r="L109" s="274"/>
      <c r="M109" s="77" t="s">
        <v>189</v>
      </c>
      <c r="N109" s="77">
        <v>2025101254</v>
      </c>
      <c r="O109" s="77" t="s">
        <v>501</v>
      </c>
      <c r="P109" s="275"/>
      <c r="Q109" s="276"/>
      <c r="R109" s="77"/>
    </row>
    <row r="110" spans="1:18" ht="16" x14ac:dyDescent="0.2">
      <c r="A110" s="47"/>
      <c r="C110" s="10">
        <f t="shared" si="1"/>
        <v>107</v>
      </c>
      <c r="D110" s="71" t="s">
        <v>211</v>
      </c>
      <c r="E110" s="77" t="s">
        <v>219</v>
      </c>
      <c r="F110" s="78">
        <v>45995</v>
      </c>
      <c r="G110" s="78">
        <v>45995</v>
      </c>
      <c r="H110" s="77" t="s">
        <v>30</v>
      </c>
      <c r="I110" s="274">
        <v>63543</v>
      </c>
      <c r="J110" s="274">
        <f>Mantenimiento[[#This Row],[Kilometraje del Odómetro]]-I108</f>
        <v>7547</v>
      </c>
      <c r="K110" s="274"/>
      <c r="L110" s="274">
        <v>2</v>
      </c>
      <c r="M110" s="77" t="s">
        <v>174</v>
      </c>
      <c r="N110" s="77">
        <v>2025120007</v>
      </c>
      <c r="O110" s="77" t="s">
        <v>464</v>
      </c>
      <c r="P110" s="275"/>
      <c r="Q110" s="276"/>
      <c r="R110" s="77"/>
    </row>
    <row r="111" spans="1:18" ht="16" x14ac:dyDescent="0.2">
      <c r="A111" s="47"/>
      <c r="C111" s="10">
        <f t="shared" si="1"/>
        <v>108</v>
      </c>
      <c r="D111" s="71" t="s">
        <v>211</v>
      </c>
      <c r="E111" s="77" t="s">
        <v>219</v>
      </c>
      <c r="F111" s="78">
        <v>45995</v>
      </c>
      <c r="G111" s="78">
        <v>45995</v>
      </c>
      <c r="H111" s="77" t="s">
        <v>322</v>
      </c>
      <c r="I111" s="274">
        <v>63543</v>
      </c>
      <c r="J111" s="274"/>
      <c r="K111" s="274"/>
      <c r="L111" s="274">
        <v>2</v>
      </c>
      <c r="M111" s="77" t="s">
        <v>330</v>
      </c>
      <c r="N111" s="77">
        <v>2025120007</v>
      </c>
      <c r="O111" s="77" t="s">
        <v>512</v>
      </c>
      <c r="P111" s="275"/>
      <c r="Q111" s="276"/>
      <c r="R111" s="77"/>
    </row>
    <row r="112" spans="1:18" ht="17" thickBot="1" x14ac:dyDescent="0.25">
      <c r="A112" s="47"/>
      <c r="C112" s="10">
        <f t="shared" si="1"/>
        <v>109</v>
      </c>
      <c r="D112" s="234"/>
      <c r="E112" s="235"/>
      <c r="F112" s="236"/>
      <c r="G112" s="236"/>
      <c r="H112" s="235"/>
      <c r="I112" s="237"/>
      <c r="J112" s="237"/>
      <c r="K112" s="237"/>
      <c r="L112" s="237"/>
      <c r="M112" s="235"/>
      <c r="N112" s="235"/>
      <c r="O112" s="235"/>
      <c r="P112" s="238"/>
      <c r="Q112" s="299"/>
      <c r="R112" s="235"/>
    </row>
    <row r="113" spans="1:18" ht="17" thickTop="1" x14ac:dyDescent="0.2">
      <c r="A113" s="47"/>
      <c r="C113" s="10">
        <f t="shared" si="1"/>
        <v>110</v>
      </c>
      <c r="D113" s="168"/>
      <c r="E113" s="169"/>
      <c r="F113" s="146"/>
      <c r="G113" s="146"/>
      <c r="H113" s="169"/>
      <c r="I113" s="292"/>
      <c r="J113" s="292">
        <f>Mantenimiento[[#This Row],[Kilometraje del Odómetro]]-I112</f>
        <v>0</v>
      </c>
      <c r="K113" s="292"/>
      <c r="L113" s="292"/>
      <c r="M113" s="169"/>
      <c r="N113" s="169"/>
      <c r="O113" s="169"/>
      <c r="P113" s="293"/>
      <c r="Q113" s="294"/>
      <c r="R113" s="169"/>
    </row>
    <row r="114" spans="1:18" ht="16" x14ac:dyDescent="0.2">
      <c r="A114" s="47"/>
      <c r="C114" s="10">
        <f t="shared" si="1"/>
        <v>111</v>
      </c>
      <c r="D114" s="72" t="s">
        <v>212</v>
      </c>
      <c r="E114" s="73" t="s">
        <v>219</v>
      </c>
      <c r="F114" s="74">
        <v>45198</v>
      </c>
      <c r="G114" s="74">
        <f>Mantenimiento[[#This Row],[Fecha Entrada]]</f>
        <v>45198</v>
      </c>
      <c r="H114" s="73" t="s">
        <v>30</v>
      </c>
      <c r="I114" s="75">
        <v>190579</v>
      </c>
      <c r="J114" s="75">
        <f>Mantenimiento[[#This Row],[Kilometraje del Odómetro]]-I113</f>
        <v>190579</v>
      </c>
      <c r="K114" s="75"/>
      <c r="L114" s="75"/>
      <c r="M114" s="73" t="s">
        <v>173</v>
      </c>
      <c r="N114" s="73"/>
      <c r="O114" s="73" t="s">
        <v>464</v>
      </c>
      <c r="P114" s="76"/>
      <c r="Q114" s="74"/>
      <c r="R114" s="73"/>
    </row>
    <row r="115" spans="1:18" ht="16" x14ac:dyDescent="0.2">
      <c r="A115" s="47"/>
      <c r="C115" s="10">
        <f t="shared" si="1"/>
        <v>112</v>
      </c>
      <c r="D115" s="72" t="s">
        <v>212</v>
      </c>
      <c r="E115" s="73" t="s">
        <v>219</v>
      </c>
      <c r="F115" s="74">
        <v>45228</v>
      </c>
      <c r="G115" s="74">
        <f>Mantenimiento[[#This Row],[Fecha Entrada]]</f>
        <v>45228</v>
      </c>
      <c r="H115" s="73" t="s">
        <v>30</v>
      </c>
      <c r="I115" s="75">
        <v>196071</v>
      </c>
      <c r="J115" s="75">
        <f>Mantenimiento[[#This Row],[Kilometraje del Odómetro]]-I114</f>
        <v>5492</v>
      </c>
      <c r="K115" s="75"/>
      <c r="L115" s="75"/>
      <c r="M115" s="73" t="s">
        <v>173</v>
      </c>
      <c r="N115" s="73"/>
      <c r="O115" s="73" t="s">
        <v>464</v>
      </c>
      <c r="P115" s="76"/>
      <c r="Q115" s="74"/>
      <c r="R115" s="73"/>
    </row>
    <row r="116" spans="1:18" ht="16" x14ac:dyDescent="0.2">
      <c r="A116" s="47"/>
      <c r="C116" s="10">
        <f t="shared" si="1"/>
        <v>113</v>
      </c>
      <c r="D116" s="72" t="s">
        <v>212</v>
      </c>
      <c r="E116" s="73" t="s">
        <v>219</v>
      </c>
      <c r="F116" s="74">
        <v>45277</v>
      </c>
      <c r="G116" s="74">
        <f>Mantenimiento[[#This Row],[Fecha Entrada]]</f>
        <v>45277</v>
      </c>
      <c r="H116" s="73" t="s">
        <v>30</v>
      </c>
      <c r="I116" s="75">
        <v>205480</v>
      </c>
      <c r="J116" s="75">
        <f>Mantenimiento[[#This Row],[Kilometraje del Odómetro]]-I115</f>
        <v>9409</v>
      </c>
      <c r="K116" s="75"/>
      <c r="L116" s="75"/>
      <c r="M116" s="73" t="s">
        <v>173</v>
      </c>
      <c r="N116" s="73"/>
      <c r="O116" s="73" t="s">
        <v>464</v>
      </c>
      <c r="P116" s="76"/>
      <c r="Q116" s="74"/>
      <c r="R116" s="73"/>
    </row>
    <row r="117" spans="1:18" ht="16" x14ac:dyDescent="0.2">
      <c r="A117" s="47"/>
      <c r="C117" s="10">
        <f t="shared" si="1"/>
        <v>114</v>
      </c>
      <c r="D117" s="72" t="s">
        <v>212</v>
      </c>
      <c r="E117" s="73" t="s">
        <v>219</v>
      </c>
      <c r="F117" s="74">
        <v>45406</v>
      </c>
      <c r="G117" s="74">
        <f>Mantenimiento[[#This Row],[Fecha Entrada]]</f>
        <v>45406</v>
      </c>
      <c r="H117" s="73" t="s">
        <v>30</v>
      </c>
      <c r="I117" s="75">
        <v>213032</v>
      </c>
      <c r="J117" s="75">
        <f>Mantenimiento[[#This Row],[Kilometraje del Odómetro]]-I116</f>
        <v>7552</v>
      </c>
      <c r="K117" s="75"/>
      <c r="L117" s="75"/>
      <c r="M117" s="73" t="s">
        <v>173</v>
      </c>
      <c r="N117" s="73"/>
      <c r="O117" s="73" t="s">
        <v>464</v>
      </c>
      <c r="P117" s="76"/>
      <c r="Q117" s="74"/>
      <c r="R117" s="73"/>
    </row>
    <row r="118" spans="1:18" ht="16" x14ac:dyDescent="0.2">
      <c r="A118" s="47"/>
      <c r="C118" s="10">
        <f t="shared" si="1"/>
        <v>115</v>
      </c>
      <c r="D118" s="72" t="s">
        <v>212</v>
      </c>
      <c r="E118" s="73" t="s">
        <v>219</v>
      </c>
      <c r="F118" s="74">
        <v>45432</v>
      </c>
      <c r="G118" s="74">
        <f>Mantenimiento[[#This Row],[Fecha Entrada]]</f>
        <v>45432</v>
      </c>
      <c r="H118" s="73" t="s">
        <v>30</v>
      </c>
      <c r="I118" s="75">
        <v>219460</v>
      </c>
      <c r="J118" s="75">
        <f>Mantenimiento[[#This Row],[Kilometraje del Odómetro]]-I117</f>
        <v>6428</v>
      </c>
      <c r="K118" s="75"/>
      <c r="L118" s="75"/>
      <c r="M118" s="73" t="s">
        <v>174</v>
      </c>
      <c r="N118" s="73"/>
      <c r="O118" s="73" t="s">
        <v>464</v>
      </c>
      <c r="P118" s="76"/>
      <c r="Q118" s="74"/>
      <c r="R118" s="73"/>
    </row>
    <row r="119" spans="1:18" ht="16" x14ac:dyDescent="0.2">
      <c r="A119" s="47"/>
      <c r="C119" s="10">
        <f t="shared" si="1"/>
        <v>116</v>
      </c>
      <c r="D119" s="72" t="s">
        <v>212</v>
      </c>
      <c r="E119" s="73" t="s">
        <v>219</v>
      </c>
      <c r="F119" s="74">
        <v>45471</v>
      </c>
      <c r="G119" s="74">
        <f>Mantenimiento[[#This Row],[Fecha Entrada]]</f>
        <v>45471</v>
      </c>
      <c r="H119" s="73" t="s">
        <v>30</v>
      </c>
      <c r="I119" s="75">
        <v>226235</v>
      </c>
      <c r="J119" s="75">
        <f>Mantenimiento[[#This Row],[Kilometraje del Odómetro]]-I118</f>
        <v>6775</v>
      </c>
      <c r="K119" s="75"/>
      <c r="L119" s="75"/>
      <c r="M119" s="73" t="s">
        <v>174</v>
      </c>
      <c r="N119" s="73"/>
      <c r="O119" s="73" t="s">
        <v>464</v>
      </c>
      <c r="P119" s="76"/>
      <c r="Q119" s="74"/>
      <c r="R119" s="73"/>
    </row>
    <row r="120" spans="1:18" ht="16" x14ac:dyDescent="0.2">
      <c r="A120" s="47"/>
      <c r="C120" s="10">
        <f t="shared" si="1"/>
        <v>117</v>
      </c>
      <c r="D120" s="72" t="s">
        <v>212</v>
      </c>
      <c r="E120" s="73" t="s">
        <v>219</v>
      </c>
      <c r="F120" s="74">
        <v>45524</v>
      </c>
      <c r="G120" s="74">
        <f>Mantenimiento[[#This Row],[Fecha Entrada]]</f>
        <v>45524</v>
      </c>
      <c r="H120" s="73" t="s">
        <v>30</v>
      </c>
      <c r="I120" s="75">
        <v>232552</v>
      </c>
      <c r="J120" s="75">
        <f>Mantenimiento[[#This Row],[Kilometraje del Odómetro]]-I119</f>
        <v>6317</v>
      </c>
      <c r="K120" s="75"/>
      <c r="L120" s="75"/>
      <c r="M120" s="73" t="s">
        <v>174</v>
      </c>
      <c r="N120" s="73"/>
      <c r="O120" s="73" t="s">
        <v>464</v>
      </c>
      <c r="P120" s="76"/>
      <c r="Q120" s="74"/>
      <c r="R120" s="73"/>
    </row>
    <row r="121" spans="1:18" ht="16" x14ac:dyDescent="0.2">
      <c r="A121" s="47"/>
      <c r="C121" s="10">
        <f t="shared" si="1"/>
        <v>118</v>
      </c>
      <c r="D121" s="72" t="s">
        <v>212</v>
      </c>
      <c r="E121" s="73" t="s">
        <v>219</v>
      </c>
      <c r="F121" s="74">
        <v>45591</v>
      </c>
      <c r="G121" s="74">
        <f>Mantenimiento[[#This Row],[Fecha Entrada]]</f>
        <v>45591</v>
      </c>
      <c r="H121" s="73" t="s">
        <v>30</v>
      </c>
      <c r="I121" s="75">
        <v>238879</v>
      </c>
      <c r="J121" s="75">
        <f>Mantenimiento[[#This Row],[Kilometraje del Odómetro]]-I120</f>
        <v>6327</v>
      </c>
      <c r="K121" s="75"/>
      <c r="L121" s="75"/>
      <c r="M121" s="73" t="s">
        <v>174</v>
      </c>
      <c r="N121" s="73"/>
      <c r="O121" s="73" t="s">
        <v>464</v>
      </c>
      <c r="P121" s="76"/>
      <c r="Q121" s="74"/>
      <c r="R121" s="73"/>
    </row>
    <row r="122" spans="1:18" ht="16" x14ac:dyDescent="0.2">
      <c r="A122" s="47"/>
      <c r="C122" s="10">
        <f t="shared" si="1"/>
        <v>119</v>
      </c>
      <c r="D122" s="72" t="s">
        <v>212</v>
      </c>
      <c r="E122" s="73" t="s">
        <v>219</v>
      </c>
      <c r="F122" s="74">
        <v>45651</v>
      </c>
      <c r="G122" s="74">
        <f>Mantenimiento[[#This Row],[Fecha Entrada]]</f>
        <v>45651</v>
      </c>
      <c r="H122" s="73" t="s">
        <v>30</v>
      </c>
      <c r="I122" s="75">
        <v>244496</v>
      </c>
      <c r="J122" s="75">
        <f>Mantenimiento[[#This Row],[Kilometraje del Odómetro]]-I121</f>
        <v>5617</v>
      </c>
      <c r="K122" s="75"/>
      <c r="L122" s="75"/>
      <c r="M122" s="73" t="s">
        <v>175</v>
      </c>
      <c r="N122" s="73"/>
      <c r="O122" s="73" t="s">
        <v>222</v>
      </c>
      <c r="P122" s="76"/>
      <c r="Q122" s="74"/>
      <c r="R122" s="73"/>
    </row>
    <row r="123" spans="1:18" ht="16" x14ac:dyDescent="0.2">
      <c r="A123" s="47"/>
      <c r="C123" s="10">
        <f t="shared" si="1"/>
        <v>120</v>
      </c>
      <c r="D123" s="72" t="s">
        <v>212</v>
      </c>
      <c r="E123" s="73" t="s">
        <v>219</v>
      </c>
      <c r="F123" s="74">
        <v>45701</v>
      </c>
      <c r="G123" s="74">
        <f>Mantenimiento[[#This Row],[Fecha Entrada]]</f>
        <v>45701</v>
      </c>
      <c r="H123" s="73" t="s">
        <v>30</v>
      </c>
      <c r="I123" s="239">
        <v>251020</v>
      </c>
      <c r="J123" s="239">
        <f>Mantenimiento[[#This Row],[Kilometraje del Odómetro]]-I122</f>
        <v>6524</v>
      </c>
      <c r="K123" s="239"/>
      <c r="L123" s="239">
        <v>2</v>
      </c>
      <c r="M123" s="73" t="s">
        <v>175</v>
      </c>
      <c r="N123" s="73"/>
      <c r="O123" s="73" t="s">
        <v>222</v>
      </c>
      <c r="P123" s="240"/>
      <c r="Q123" s="74"/>
      <c r="R123" s="73"/>
    </row>
    <row r="124" spans="1:18" ht="16" x14ac:dyDescent="0.2">
      <c r="A124" s="47"/>
      <c r="C124" s="10">
        <f t="shared" si="1"/>
        <v>121</v>
      </c>
      <c r="D124" s="72" t="s">
        <v>212</v>
      </c>
      <c r="E124" s="73" t="s">
        <v>219</v>
      </c>
      <c r="F124" s="74">
        <v>45758</v>
      </c>
      <c r="G124" s="74">
        <v>45758</v>
      </c>
      <c r="H124" s="73" t="s">
        <v>30</v>
      </c>
      <c r="I124" s="239">
        <v>256690</v>
      </c>
      <c r="J124" s="239">
        <f>Mantenimiento[[#This Row],[Kilometraje del Odómetro]]-I123</f>
        <v>5670</v>
      </c>
      <c r="K124" s="239"/>
      <c r="L124" s="239">
        <v>2</v>
      </c>
      <c r="M124" s="73" t="s">
        <v>175</v>
      </c>
      <c r="N124" s="73">
        <v>2025040014</v>
      </c>
      <c r="O124" s="73" t="s">
        <v>222</v>
      </c>
      <c r="P124" s="240"/>
      <c r="Q124" s="277"/>
      <c r="R124" s="73"/>
    </row>
    <row r="125" spans="1:18" ht="16" x14ac:dyDescent="0.2">
      <c r="A125" s="47"/>
      <c r="C125" s="10">
        <f t="shared" si="1"/>
        <v>122</v>
      </c>
      <c r="D125" s="72" t="s">
        <v>212</v>
      </c>
      <c r="E125" s="73" t="s">
        <v>219</v>
      </c>
      <c r="F125" s="74">
        <v>43836</v>
      </c>
      <c r="G125" s="74">
        <v>43836</v>
      </c>
      <c r="H125" s="73" t="s">
        <v>322</v>
      </c>
      <c r="I125" s="239">
        <v>69381</v>
      </c>
      <c r="J125" s="239"/>
      <c r="K125" s="239"/>
      <c r="L125" s="239"/>
      <c r="M125" s="73" t="s">
        <v>330</v>
      </c>
      <c r="N125" s="73"/>
      <c r="O125" s="73" t="s">
        <v>222</v>
      </c>
      <c r="P125" s="240"/>
      <c r="Q125" s="277"/>
      <c r="R125" s="73"/>
    </row>
    <row r="126" spans="1:18" ht="16" x14ac:dyDescent="0.2">
      <c r="A126" s="47"/>
      <c r="C126" s="10">
        <f t="shared" si="1"/>
        <v>123</v>
      </c>
      <c r="D126" s="72" t="s">
        <v>212</v>
      </c>
      <c r="E126" s="73" t="s">
        <v>219</v>
      </c>
      <c r="F126" s="74">
        <v>45018</v>
      </c>
      <c r="G126" s="74">
        <v>45018</v>
      </c>
      <c r="H126" s="73" t="s">
        <v>322</v>
      </c>
      <c r="I126" s="239">
        <v>145516</v>
      </c>
      <c r="J126" s="239"/>
      <c r="K126" s="239"/>
      <c r="L126" s="239"/>
      <c r="M126" s="73" t="s">
        <v>331</v>
      </c>
      <c r="N126" s="73"/>
      <c r="O126" s="73" t="s">
        <v>222</v>
      </c>
      <c r="P126" s="240"/>
      <c r="Q126" s="277"/>
      <c r="R126" s="73"/>
    </row>
    <row r="127" spans="1:18" ht="16" x14ac:dyDescent="0.2">
      <c r="A127" s="47"/>
      <c r="C127" s="10">
        <f t="shared" si="1"/>
        <v>124</v>
      </c>
      <c r="D127" s="72" t="s">
        <v>212</v>
      </c>
      <c r="E127" s="73" t="s">
        <v>219</v>
      </c>
      <c r="F127" s="74">
        <v>45277</v>
      </c>
      <c r="G127" s="74">
        <v>45277</v>
      </c>
      <c r="H127" s="73" t="s">
        <v>322</v>
      </c>
      <c r="I127" s="239">
        <v>205480</v>
      </c>
      <c r="J127" s="239"/>
      <c r="K127" s="239"/>
      <c r="L127" s="239"/>
      <c r="M127" s="73" t="s">
        <v>332</v>
      </c>
      <c r="N127" s="73"/>
      <c r="O127" s="73" t="s">
        <v>222</v>
      </c>
      <c r="P127" s="240"/>
      <c r="Q127" s="277"/>
      <c r="R127" s="73"/>
    </row>
    <row r="128" spans="1:18" ht="16" x14ac:dyDescent="0.2">
      <c r="A128" s="47"/>
      <c r="C128" s="10">
        <f t="shared" si="1"/>
        <v>125</v>
      </c>
      <c r="D128" s="72" t="s">
        <v>212</v>
      </c>
      <c r="E128" s="73" t="s">
        <v>219</v>
      </c>
      <c r="F128" s="74">
        <v>45796</v>
      </c>
      <c r="G128" s="74">
        <v>45796</v>
      </c>
      <c r="H128" s="73" t="s">
        <v>30</v>
      </c>
      <c r="I128" s="239">
        <v>262858</v>
      </c>
      <c r="J128" s="239">
        <f>Mantenimiento[[#This Row],[Kilometraje del Odómetro]]-I124</f>
        <v>6168</v>
      </c>
      <c r="K128" s="239"/>
      <c r="L128" s="239">
        <v>2</v>
      </c>
      <c r="M128" s="73" t="s">
        <v>175</v>
      </c>
      <c r="N128" s="73">
        <v>2025050021</v>
      </c>
      <c r="O128" s="73" t="s">
        <v>222</v>
      </c>
      <c r="P128" s="240"/>
      <c r="Q128" s="277"/>
      <c r="R128" s="73"/>
    </row>
    <row r="129" spans="1:18" ht="16" x14ac:dyDescent="0.2">
      <c r="A129" s="47"/>
      <c r="C129" s="10">
        <f t="shared" si="1"/>
        <v>126</v>
      </c>
      <c r="D129" s="72" t="s">
        <v>212</v>
      </c>
      <c r="E129" s="73" t="s">
        <v>219</v>
      </c>
      <c r="F129" s="74">
        <v>45833</v>
      </c>
      <c r="G129" s="74">
        <v>45833</v>
      </c>
      <c r="H129" s="73" t="s">
        <v>30</v>
      </c>
      <c r="I129" s="239">
        <v>268934</v>
      </c>
      <c r="J129" s="239">
        <f>Mantenimiento[[#This Row],[Kilometraje del Odómetro]]-I128</f>
        <v>6076</v>
      </c>
      <c r="K129" s="239"/>
      <c r="L129" s="239">
        <v>3</v>
      </c>
      <c r="M129" s="73" t="s">
        <v>176</v>
      </c>
      <c r="N129" s="73">
        <v>2025060053</v>
      </c>
      <c r="O129" s="73" t="s">
        <v>222</v>
      </c>
      <c r="P129" s="240"/>
      <c r="Q129" s="277"/>
      <c r="R129" s="73"/>
    </row>
    <row r="130" spans="1:18" ht="16" x14ac:dyDescent="0.2">
      <c r="A130" s="47"/>
      <c r="C130" s="10">
        <f t="shared" si="1"/>
        <v>127</v>
      </c>
      <c r="D130" s="72" t="s">
        <v>212</v>
      </c>
      <c r="E130" s="73" t="s">
        <v>219</v>
      </c>
      <c r="F130" s="74">
        <v>45833</v>
      </c>
      <c r="G130" s="74">
        <v>45833</v>
      </c>
      <c r="H130" s="73" t="s">
        <v>322</v>
      </c>
      <c r="I130" s="239">
        <v>268934</v>
      </c>
      <c r="J130" s="239"/>
      <c r="K130" s="239"/>
      <c r="L130" s="239"/>
      <c r="M130" s="73" t="s">
        <v>333</v>
      </c>
      <c r="N130" s="73"/>
      <c r="O130" s="73" t="s">
        <v>222</v>
      </c>
      <c r="P130" s="240"/>
      <c r="Q130" s="277"/>
      <c r="R130" s="73"/>
    </row>
    <row r="131" spans="1:18" ht="16" x14ac:dyDescent="0.2">
      <c r="A131" s="47"/>
      <c r="C131" s="10">
        <f t="shared" si="1"/>
        <v>128</v>
      </c>
      <c r="D131" s="72" t="s">
        <v>212</v>
      </c>
      <c r="E131" s="73" t="s">
        <v>219</v>
      </c>
      <c r="F131" s="74">
        <v>45897</v>
      </c>
      <c r="G131" s="74">
        <v>45897</v>
      </c>
      <c r="H131" s="73" t="s">
        <v>30</v>
      </c>
      <c r="I131" s="239">
        <v>275504</v>
      </c>
      <c r="J131" s="239">
        <f>Mantenimiento[[#This Row],[Kilometraje del Odómetro]]-I130</f>
        <v>6570</v>
      </c>
      <c r="K131" s="239"/>
      <c r="L131" s="239">
        <v>2</v>
      </c>
      <c r="M131" s="73" t="s">
        <v>175</v>
      </c>
      <c r="N131" s="73">
        <v>2025090005</v>
      </c>
      <c r="O131" s="73" t="s">
        <v>222</v>
      </c>
      <c r="P131" s="240"/>
      <c r="Q131" s="277"/>
      <c r="R131" s="73"/>
    </row>
    <row r="132" spans="1:18" ht="16" x14ac:dyDescent="0.2">
      <c r="A132" s="47"/>
      <c r="C132" s="10">
        <f t="shared" si="1"/>
        <v>129</v>
      </c>
      <c r="D132" s="72"/>
      <c r="E132" s="73"/>
      <c r="F132" s="74"/>
      <c r="G132" s="74"/>
      <c r="H132" s="73"/>
      <c r="I132" s="239"/>
      <c r="J132" s="239"/>
      <c r="K132" s="239"/>
      <c r="L132" s="239"/>
      <c r="M132" s="73"/>
      <c r="N132" s="73"/>
      <c r="O132" s="73"/>
      <c r="P132" s="240"/>
      <c r="Q132" s="277"/>
      <c r="R132" s="73"/>
    </row>
    <row r="133" spans="1:18" ht="16" x14ac:dyDescent="0.2">
      <c r="A133" s="47"/>
      <c r="C133" s="10">
        <f t="shared" si="1"/>
        <v>130</v>
      </c>
      <c r="D133" s="72"/>
      <c r="E133" s="73"/>
      <c r="F133" s="74"/>
      <c r="G133" s="74"/>
      <c r="H133" s="73"/>
      <c r="I133" s="239"/>
      <c r="J133" s="239"/>
      <c r="K133" s="239"/>
      <c r="L133" s="239"/>
      <c r="M133" s="73"/>
      <c r="N133" s="73"/>
      <c r="O133" s="73"/>
      <c r="P133" s="240"/>
      <c r="Q133" s="277"/>
      <c r="R133" s="73"/>
    </row>
    <row r="134" spans="1:18" ht="17" thickBot="1" x14ac:dyDescent="0.25">
      <c r="A134" s="47"/>
      <c r="C134" s="10">
        <f t="shared" si="1"/>
        <v>131</v>
      </c>
      <c r="D134" s="241"/>
      <c r="E134" s="242"/>
      <c r="F134" s="243"/>
      <c r="G134" s="243"/>
      <c r="H134" s="242"/>
      <c r="I134" s="244"/>
      <c r="J134" s="244"/>
      <c r="K134" s="244"/>
      <c r="L134" s="244"/>
      <c r="M134" s="242"/>
      <c r="N134" s="242"/>
      <c r="O134" s="242"/>
      <c r="P134" s="245"/>
      <c r="Q134" s="300"/>
      <c r="R134" s="242"/>
    </row>
    <row r="135" spans="1:18" ht="17" thickTop="1" x14ac:dyDescent="0.2">
      <c r="A135" s="47"/>
      <c r="C135" s="10">
        <f t="shared" si="1"/>
        <v>132</v>
      </c>
      <c r="D135" s="168"/>
      <c r="E135" s="169"/>
      <c r="F135" s="146"/>
      <c r="G135" s="146"/>
      <c r="H135" s="169"/>
      <c r="I135" s="292"/>
      <c r="J135" s="292"/>
      <c r="K135" s="292"/>
      <c r="L135" s="292"/>
      <c r="M135" s="169"/>
      <c r="N135" s="169"/>
      <c r="O135" s="169"/>
      <c r="P135" s="293"/>
      <c r="Q135" s="294"/>
      <c r="R135" s="169"/>
    </row>
    <row r="136" spans="1:18" ht="16" x14ac:dyDescent="0.2">
      <c r="A136" s="47"/>
      <c r="C136" s="10">
        <f t="shared" si="1"/>
        <v>133</v>
      </c>
      <c r="D136" s="120" t="s">
        <v>213</v>
      </c>
      <c r="E136" s="121" t="s">
        <v>291</v>
      </c>
      <c r="F136" s="122">
        <v>45662</v>
      </c>
      <c r="G136" s="122">
        <f>Mantenimiento[[#This Row],[Fecha Entrada]]</f>
        <v>45662</v>
      </c>
      <c r="H136" s="121" t="s">
        <v>30</v>
      </c>
      <c r="I136" s="123">
        <v>390194</v>
      </c>
      <c r="J136" s="123"/>
      <c r="K136" s="123"/>
      <c r="L136" s="123"/>
      <c r="M136" s="121" t="s">
        <v>175</v>
      </c>
      <c r="N136" s="121"/>
      <c r="O136" s="121" t="s">
        <v>491</v>
      </c>
      <c r="P136" s="124"/>
      <c r="Q136" s="122"/>
      <c r="R136" s="121"/>
    </row>
    <row r="137" spans="1:18" ht="16" x14ac:dyDescent="0.2">
      <c r="A137" s="47"/>
      <c r="C137" s="10">
        <f t="shared" si="1"/>
        <v>134</v>
      </c>
      <c r="D137" s="120" t="s">
        <v>213</v>
      </c>
      <c r="E137" s="121" t="s">
        <v>291</v>
      </c>
      <c r="F137" s="122">
        <v>45707</v>
      </c>
      <c r="G137" s="122">
        <f>Mantenimiento[[#This Row],[Fecha Entrada]]</f>
        <v>45707</v>
      </c>
      <c r="H137" s="121" t="s">
        <v>30</v>
      </c>
      <c r="I137" s="278">
        <v>396194</v>
      </c>
      <c r="J137" s="278">
        <f>Mantenimiento[[#This Row],[Kilometraje del Odómetro]]-I136</f>
        <v>6000</v>
      </c>
      <c r="K137" s="278"/>
      <c r="L137" s="278"/>
      <c r="M137" s="121" t="s">
        <v>175</v>
      </c>
      <c r="N137" s="121"/>
      <c r="O137" s="121" t="s">
        <v>491</v>
      </c>
      <c r="P137" s="279"/>
      <c r="Q137" s="122"/>
      <c r="R137" s="121"/>
    </row>
    <row r="138" spans="1:18" ht="16" x14ac:dyDescent="0.2">
      <c r="A138" s="47"/>
      <c r="C138" s="10">
        <f t="shared" si="1"/>
        <v>135</v>
      </c>
      <c r="D138" s="120" t="s">
        <v>213</v>
      </c>
      <c r="E138" s="121" t="s">
        <v>335</v>
      </c>
      <c r="F138" s="122">
        <v>45761</v>
      </c>
      <c r="G138" s="122">
        <v>45761</v>
      </c>
      <c r="H138" s="121" t="s">
        <v>30</v>
      </c>
      <c r="I138" s="278">
        <v>402043</v>
      </c>
      <c r="J138" s="278">
        <f>Mantenimiento[[#This Row],[Kilometraje del Odómetro]]-I137</f>
        <v>5849</v>
      </c>
      <c r="K138" s="278"/>
      <c r="L138" s="278">
        <v>2</v>
      </c>
      <c r="M138" s="121" t="s">
        <v>175</v>
      </c>
      <c r="N138" s="121"/>
      <c r="O138" s="121" t="s">
        <v>491</v>
      </c>
      <c r="P138" s="279"/>
      <c r="Q138" s="280"/>
      <c r="R138" s="121"/>
    </row>
    <row r="139" spans="1:18" ht="16" x14ac:dyDescent="0.2">
      <c r="A139" s="47"/>
      <c r="C139" s="10">
        <f t="shared" si="1"/>
        <v>136</v>
      </c>
      <c r="D139" s="120" t="s">
        <v>213</v>
      </c>
      <c r="E139" s="121" t="s">
        <v>335</v>
      </c>
      <c r="F139" s="122">
        <v>45761</v>
      </c>
      <c r="G139" s="122">
        <v>45761</v>
      </c>
      <c r="H139" s="121" t="s">
        <v>322</v>
      </c>
      <c r="I139" s="278">
        <v>402043</v>
      </c>
      <c r="J139" s="278">
        <f>Mantenimiento[[#This Row],[Kilometraje del Odómetro]]-I138</f>
        <v>0</v>
      </c>
      <c r="K139" s="278"/>
      <c r="L139" s="278"/>
      <c r="M139" s="121" t="s">
        <v>330</v>
      </c>
      <c r="N139" s="121"/>
      <c r="O139" s="121" t="s">
        <v>491</v>
      </c>
      <c r="P139" s="279"/>
      <c r="Q139" s="280"/>
      <c r="R139" s="121"/>
    </row>
    <row r="140" spans="1:18" ht="16" x14ac:dyDescent="0.2">
      <c r="A140" s="47"/>
      <c r="C140" s="10">
        <f t="shared" si="1"/>
        <v>137</v>
      </c>
      <c r="D140" s="120" t="s">
        <v>213</v>
      </c>
      <c r="E140" s="121" t="s">
        <v>335</v>
      </c>
      <c r="F140" s="122">
        <v>45811</v>
      </c>
      <c r="G140" s="122">
        <v>45811</v>
      </c>
      <c r="H140" s="121" t="s">
        <v>30</v>
      </c>
      <c r="I140" s="278">
        <v>407533</v>
      </c>
      <c r="J140" s="278">
        <f>Mantenimiento[[#This Row],[Kilometraje del Odómetro]]-I138</f>
        <v>5490</v>
      </c>
      <c r="K140" s="278"/>
      <c r="L140" s="278">
        <v>2</v>
      </c>
      <c r="M140" s="121" t="s">
        <v>175</v>
      </c>
      <c r="N140" s="121">
        <v>2025060017</v>
      </c>
      <c r="O140" s="121" t="s">
        <v>491</v>
      </c>
      <c r="P140" s="279"/>
      <c r="Q140" s="280"/>
      <c r="R140" s="121"/>
    </row>
    <row r="141" spans="1:18" ht="16" x14ac:dyDescent="0.2">
      <c r="A141" s="47"/>
      <c r="C141" s="10">
        <f t="shared" si="1"/>
        <v>138</v>
      </c>
      <c r="D141" s="120" t="s">
        <v>213</v>
      </c>
      <c r="E141" s="121" t="s">
        <v>291</v>
      </c>
      <c r="F141" s="122">
        <v>45839</v>
      </c>
      <c r="G141" s="122">
        <v>45839</v>
      </c>
      <c r="H141" s="121" t="s">
        <v>30</v>
      </c>
      <c r="I141" s="278">
        <v>410350</v>
      </c>
      <c r="J141" s="278">
        <f>Mantenimiento[[#This Row],[Kilometraje del Odómetro]]-I140</f>
        <v>2817</v>
      </c>
      <c r="K141" s="278"/>
      <c r="L141" s="278">
        <v>2</v>
      </c>
      <c r="M141" s="121" t="s">
        <v>175</v>
      </c>
      <c r="N141" s="121">
        <v>2025070010</v>
      </c>
      <c r="O141" s="121" t="s">
        <v>491</v>
      </c>
      <c r="P141" s="279"/>
      <c r="Q141" s="280"/>
      <c r="R141" s="121"/>
    </row>
    <row r="142" spans="1:18" ht="16" x14ac:dyDescent="0.2">
      <c r="A142" s="47"/>
      <c r="C142" s="10">
        <f t="shared" si="1"/>
        <v>139</v>
      </c>
      <c r="D142" s="120" t="s">
        <v>213</v>
      </c>
      <c r="E142" s="121" t="s">
        <v>291</v>
      </c>
      <c r="F142" s="122">
        <v>45885</v>
      </c>
      <c r="G142" s="122">
        <v>45885</v>
      </c>
      <c r="H142" s="121" t="s">
        <v>30</v>
      </c>
      <c r="I142" s="278">
        <v>415319</v>
      </c>
      <c r="J142" s="278">
        <f>Mantenimiento[[#This Row],[Kilometraje del Odómetro]]-I141</f>
        <v>4969</v>
      </c>
      <c r="K142" s="278"/>
      <c r="L142" s="278">
        <v>2</v>
      </c>
      <c r="M142" s="121" t="s">
        <v>175</v>
      </c>
      <c r="N142" s="121">
        <v>2025080024</v>
      </c>
      <c r="O142" s="121" t="s">
        <v>491</v>
      </c>
      <c r="P142" s="279"/>
      <c r="Q142" s="280"/>
      <c r="R142" s="121"/>
    </row>
    <row r="143" spans="1:18" ht="16" x14ac:dyDescent="0.2">
      <c r="A143" s="47"/>
      <c r="C143" s="10">
        <f t="shared" si="1"/>
        <v>140</v>
      </c>
      <c r="D143" s="120" t="s">
        <v>213</v>
      </c>
      <c r="E143" s="121" t="s">
        <v>291</v>
      </c>
      <c r="F143" s="122">
        <v>45929</v>
      </c>
      <c r="G143" s="122">
        <v>45929</v>
      </c>
      <c r="H143" s="121" t="s">
        <v>30</v>
      </c>
      <c r="I143" s="278">
        <v>420327</v>
      </c>
      <c r="J143" s="278">
        <f>Mantenimiento[[#This Row],[Kilometraje del Odómetro]]-I142</f>
        <v>5008</v>
      </c>
      <c r="K143" s="278"/>
      <c r="L143" s="278">
        <v>2</v>
      </c>
      <c r="M143" s="121" t="s">
        <v>176</v>
      </c>
      <c r="N143" s="121">
        <v>2025090053</v>
      </c>
      <c r="O143" s="121" t="s">
        <v>491</v>
      </c>
      <c r="P143" s="279"/>
      <c r="Q143" s="280"/>
      <c r="R143" s="121"/>
    </row>
    <row r="144" spans="1:18" ht="16" x14ac:dyDescent="0.2">
      <c r="A144" s="47"/>
      <c r="C144" s="10">
        <f t="shared" si="1"/>
        <v>141</v>
      </c>
      <c r="D144" s="120" t="s">
        <v>213</v>
      </c>
      <c r="E144" s="121" t="s">
        <v>291</v>
      </c>
      <c r="F144" s="122">
        <v>45971</v>
      </c>
      <c r="G144" s="122">
        <v>45971</v>
      </c>
      <c r="H144" s="121" t="s">
        <v>30</v>
      </c>
      <c r="I144" s="278">
        <v>425349</v>
      </c>
      <c r="J144" s="278">
        <f>Mantenimiento[[#This Row],[Kilometraje del Odómetro]]-I143</f>
        <v>5022</v>
      </c>
      <c r="K144" s="278"/>
      <c r="L144" s="278">
        <v>2</v>
      </c>
      <c r="M144" s="121" t="s">
        <v>176</v>
      </c>
      <c r="N144" s="121">
        <v>2025110013</v>
      </c>
      <c r="O144" s="121" t="s">
        <v>491</v>
      </c>
      <c r="P144" s="279"/>
      <c r="Q144" s="280"/>
      <c r="R144" s="121"/>
    </row>
    <row r="145" spans="1:18" ht="16" x14ac:dyDescent="0.2">
      <c r="A145" s="47"/>
      <c r="C145" s="10">
        <f t="shared" si="1"/>
        <v>142</v>
      </c>
      <c r="D145" s="120" t="s">
        <v>213</v>
      </c>
      <c r="E145" s="121" t="s">
        <v>528</v>
      </c>
      <c r="F145" s="122">
        <v>46009</v>
      </c>
      <c r="G145" s="122">
        <v>46009</v>
      </c>
      <c r="H145" s="121" t="s">
        <v>30</v>
      </c>
      <c r="I145" s="278">
        <v>430325</v>
      </c>
      <c r="J145" s="278"/>
      <c r="K145" s="278"/>
      <c r="L145" s="278">
        <v>2</v>
      </c>
      <c r="M145" s="121" t="s">
        <v>176</v>
      </c>
      <c r="N145" s="121">
        <v>2025120038</v>
      </c>
      <c r="O145" s="121" t="s">
        <v>491</v>
      </c>
      <c r="P145" s="279"/>
      <c r="Q145" s="280"/>
      <c r="R145" s="121"/>
    </row>
    <row r="146" spans="1:18" ht="16" x14ac:dyDescent="0.2">
      <c r="A146" s="47"/>
      <c r="C146" s="10">
        <f t="shared" si="1"/>
        <v>143</v>
      </c>
      <c r="D146" s="120"/>
      <c r="E146" s="121"/>
      <c r="F146" s="122"/>
      <c r="G146" s="122"/>
      <c r="H146" s="121"/>
      <c r="I146" s="278"/>
      <c r="J146" s="278"/>
      <c r="K146" s="278"/>
      <c r="L146" s="278"/>
      <c r="M146" s="121"/>
      <c r="N146" s="121"/>
      <c r="O146" s="121"/>
      <c r="P146" s="279"/>
      <c r="Q146" s="280"/>
      <c r="R146" s="121"/>
    </row>
    <row r="147" spans="1:18" ht="17" thickBot="1" x14ac:dyDescent="0.25">
      <c r="A147" s="47"/>
      <c r="C147" s="10">
        <f t="shared" si="1"/>
        <v>144</v>
      </c>
      <c r="D147" s="246"/>
      <c r="E147" s="247"/>
      <c r="F147" s="248"/>
      <c r="G147" s="248"/>
      <c r="H147" s="247"/>
      <c r="I147" s="249"/>
      <c r="J147" s="249"/>
      <c r="K147" s="249"/>
      <c r="L147" s="249"/>
      <c r="M147" s="247"/>
      <c r="N147" s="247"/>
      <c r="O147" s="247"/>
      <c r="P147" s="250"/>
      <c r="Q147" s="291"/>
      <c r="R147" s="247"/>
    </row>
    <row r="148" spans="1:18" ht="17" thickTop="1" x14ac:dyDescent="0.2">
      <c r="A148" s="47"/>
      <c r="C148" s="10">
        <f t="shared" ref="C148:C211" si="2">ROW(A145)</f>
        <v>145</v>
      </c>
      <c r="D148" s="168"/>
      <c r="E148" s="169"/>
      <c r="F148" s="146"/>
      <c r="G148" s="146"/>
      <c r="H148" s="169"/>
      <c r="I148" s="292"/>
      <c r="J148" s="292">
        <f>Mantenimiento[[#This Row],[Kilometraje del Odómetro]]-I147</f>
        <v>0</v>
      </c>
      <c r="K148" s="292"/>
      <c r="L148" s="292"/>
      <c r="M148" s="169"/>
      <c r="N148" s="169"/>
      <c r="O148" s="169"/>
      <c r="P148" s="293"/>
      <c r="Q148" s="294"/>
      <c r="R148" s="169"/>
    </row>
    <row r="149" spans="1:18" ht="16" x14ac:dyDescent="0.2">
      <c r="A149" s="47"/>
      <c r="C149" s="10">
        <f t="shared" si="2"/>
        <v>146</v>
      </c>
      <c r="D149" s="68" t="s">
        <v>365</v>
      </c>
      <c r="E149" s="89" t="s">
        <v>223</v>
      </c>
      <c r="F149" s="90">
        <v>45663</v>
      </c>
      <c r="G149" s="90">
        <f>Mantenimiento[[#This Row],[Fecha Entrada]]</f>
        <v>45663</v>
      </c>
      <c r="H149" s="89" t="s">
        <v>30</v>
      </c>
      <c r="I149" s="91">
        <v>344460</v>
      </c>
      <c r="J149" s="91"/>
      <c r="K149" s="91"/>
      <c r="L149" s="91"/>
      <c r="M149" s="89" t="s">
        <v>175</v>
      </c>
      <c r="N149" s="89"/>
      <c r="O149" s="89" t="s">
        <v>490</v>
      </c>
      <c r="P149" s="92"/>
      <c r="Q149" s="125"/>
      <c r="R149" s="89"/>
    </row>
    <row r="150" spans="1:18" ht="16" x14ac:dyDescent="0.2">
      <c r="A150" s="47"/>
      <c r="C150" s="10">
        <f t="shared" si="2"/>
        <v>147</v>
      </c>
      <c r="D150" s="68" t="s">
        <v>365</v>
      </c>
      <c r="E150" s="89" t="s">
        <v>223</v>
      </c>
      <c r="F150" s="90">
        <v>45712</v>
      </c>
      <c r="G150" s="90">
        <f>Mantenimiento[[#This Row],[Fecha Entrada]]</f>
        <v>45712</v>
      </c>
      <c r="H150" s="89" t="s">
        <v>30</v>
      </c>
      <c r="I150" s="265">
        <v>350460</v>
      </c>
      <c r="J150" s="265">
        <f>Mantenimiento[[#This Row],[Kilometraje del Odómetro]]-I149</f>
        <v>6000</v>
      </c>
      <c r="K150" s="265"/>
      <c r="L150" s="265">
        <v>2</v>
      </c>
      <c r="M150" s="89" t="s">
        <v>175</v>
      </c>
      <c r="N150" s="89"/>
      <c r="O150" s="89" t="s">
        <v>490</v>
      </c>
      <c r="P150" s="266"/>
      <c r="Q150" s="267"/>
      <c r="R150" s="89"/>
    </row>
    <row r="151" spans="1:18" ht="16" x14ac:dyDescent="0.2">
      <c r="A151" s="47"/>
      <c r="C151" s="10">
        <f t="shared" si="2"/>
        <v>148</v>
      </c>
      <c r="D151" s="68" t="s">
        <v>365</v>
      </c>
      <c r="E151" s="89" t="s">
        <v>223</v>
      </c>
      <c r="F151" s="90">
        <v>45611</v>
      </c>
      <c r="G151" s="90">
        <v>45611</v>
      </c>
      <c r="H151" s="89" t="s">
        <v>322</v>
      </c>
      <c r="I151" s="265">
        <v>314390</v>
      </c>
      <c r="J151" s="265"/>
      <c r="K151" s="265"/>
      <c r="L151" s="265"/>
      <c r="M151" s="89" t="s">
        <v>333</v>
      </c>
      <c r="N151" s="89"/>
      <c r="O151" s="89" t="s">
        <v>490</v>
      </c>
      <c r="P151" s="266"/>
      <c r="Q151" s="267"/>
      <c r="R151" s="89"/>
    </row>
    <row r="152" spans="1:18" ht="16" x14ac:dyDescent="0.2">
      <c r="A152" s="47"/>
      <c r="C152" s="10">
        <f t="shared" si="2"/>
        <v>149</v>
      </c>
      <c r="D152" s="68" t="s">
        <v>365</v>
      </c>
      <c r="E152" s="89" t="s">
        <v>223</v>
      </c>
      <c r="F152" s="90">
        <v>45826</v>
      </c>
      <c r="G152" s="90">
        <v>45826</v>
      </c>
      <c r="H152" s="89" t="s">
        <v>30</v>
      </c>
      <c r="I152" s="265">
        <v>358316</v>
      </c>
      <c r="J152" s="265">
        <f>Mantenimiento[[#This Row],[Kilometraje del Odómetro]]-I150</f>
        <v>7856</v>
      </c>
      <c r="K152" s="265"/>
      <c r="L152" s="265">
        <v>3</v>
      </c>
      <c r="M152" s="89" t="s">
        <v>173</v>
      </c>
      <c r="N152" s="89">
        <v>2025060043</v>
      </c>
      <c r="O152" s="89" t="s">
        <v>490</v>
      </c>
      <c r="P152" s="266"/>
      <c r="Q152" s="267"/>
      <c r="R152" s="89"/>
    </row>
    <row r="153" spans="1:18" ht="16" x14ac:dyDescent="0.2">
      <c r="A153" s="47"/>
      <c r="C153" s="10">
        <f t="shared" si="2"/>
        <v>150</v>
      </c>
      <c r="D153" s="68" t="s">
        <v>365</v>
      </c>
      <c r="E153" s="89" t="s">
        <v>223</v>
      </c>
      <c r="F153" s="90">
        <v>45826</v>
      </c>
      <c r="G153" s="90">
        <v>45826</v>
      </c>
      <c r="H153" s="89" t="s">
        <v>322</v>
      </c>
      <c r="I153" s="265">
        <v>358316</v>
      </c>
      <c r="J153" s="265"/>
      <c r="K153" s="265"/>
      <c r="L153" s="265"/>
      <c r="M153" s="89" t="s">
        <v>333</v>
      </c>
      <c r="N153" s="89"/>
      <c r="O153" s="89" t="s">
        <v>490</v>
      </c>
      <c r="P153" s="266"/>
      <c r="Q153" s="267"/>
      <c r="R153" s="89"/>
    </row>
    <row r="154" spans="1:18" ht="16" x14ac:dyDescent="0.2">
      <c r="A154" s="47"/>
      <c r="C154" s="10">
        <f t="shared" si="2"/>
        <v>151</v>
      </c>
      <c r="D154" s="68" t="s">
        <v>365</v>
      </c>
      <c r="E154" s="89" t="s">
        <v>223</v>
      </c>
      <c r="F154" s="90">
        <v>45953</v>
      </c>
      <c r="G154" s="90">
        <v>45953</v>
      </c>
      <c r="H154" s="89" t="s">
        <v>30</v>
      </c>
      <c r="I154" s="265">
        <v>365806</v>
      </c>
      <c r="J154" s="265">
        <f>Mantenimiento[[#This Row],[Kilometraje del Odómetro]]-I152</f>
        <v>7490</v>
      </c>
      <c r="K154" s="265"/>
      <c r="L154" s="265">
        <v>2</v>
      </c>
      <c r="M154" s="89" t="s">
        <v>175</v>
      </c>
      <c r="N154" s="89">
        <v>2025100040</v>
      </c>
      <c r="O154" s="89" t="s">
        <v>490</v>
      </c>
      <c r="P154" s="266"/>
      <c r="Q154" s="267"/>
      <c r="R154" s="89"/>
    </row>
    <row r="155" spans="1:18" ht="16" x14ac:dyDescent="0.2">
      <c r="A155" s="47"/>
      <c r="C155" s="10">
        <f t="shared" si="2"/>
        <v>152</v>
      </c>
      <c r="D155" s="68"/>
      <c r="E155" s="89"/>
      <c r="F155" s="90"/>
      <c r="G155" s="90"/>
      <c r="H155" s="89"/>
      <c r="I155" s="265"/>
      <c r="J155" s="265"/>
      <c r="K155" s="265"/>
      <c r="L155" s="265"/>
      <c r="M155" s="89"/>
      <c r="N155" s="89"/>
      <c r="O155" s="89"/>
      <c r="P155" s="266"/>
      <c r="Q155" s="267"/>
      <c r="R155" s="89"/>
    </row>
    <row r="156" spans="1:18" ht="16" x14ac:dyDescent="0.2">
      <c r="A156" s="47"/>
      <c r="C156" s="10">
        <f t="shared" si="2"/>
        <v>153</v>
      </c>
      <c r="D156" s="68"/>
      <c r="E156" s="89"/>
      <c r="F156" s="90"/>
      <c r="G156" s="90"/>
      <c r="H156" s="89"/>
      <c r="I156" s="265"/>
      <c r="J156" s="265"/>
      <c r="K156" s="265"/>
      <c r="L156" s="265"/>
      <c r="M156" s="89"/>
      <c r="N156" s="89"/>
      <c r="O156" s="89"/>
      <c r="P156" s="266"/>
      <c r="Q156" s="267"/>
      <c r="R156" s="89"/>
    </row>
    <row r="157" spans="1:18" ht="17" thickBot="1" x14ac:dyDescent="0.25">
      <c r="A157" s="47"/>
      <c r="C157" s="10">
        <f t="shared" si="2"/>
        <v>154</v>
      </c>
      <c r="D157" s="219"/>
      <c r="E157" s="220"/>
      <c r="F157" s="221"/>
      <c r="G157" s="221"/>
      <c r="H157" s="220"/>
      <c r="I157" s="222"/>
      <c r="J157" s="222"/>
      <c r="K157" s="222"/>
      <c r="L157" s="222"/>
      <c r="M157" s="220"/>
      <c r="N157" s="220"/>
      <c r="O157" s="220"/>
      <c r="P157" s="223"/>
      <c r="Q157" s="251"/>
      <c r="R157" s="220"/>
    </row>
    <row r="158" spans="1:18" ht="17" thickTop="1" x14ac:dyDescent="0.2">
      <c r="A158" s="47"/>
      <c r="C158" s="10">
        <f t="shared" si="2"/>
        <v>155</v>
      </c>
      <c r="D158" s="168"/>
      <c r="E158" s="169"/>
      <c r="F158" s="146"/>
      <c r="G158" s="146"/>
      <c r="H158" s="169"/>
      <c r="I158" s="292"/>
      <c r="J158" s="292">
        <f>Mantenimiento[[#This Row],[Kilometraje del Odómetro]]-I157</f>
        <v>0</v>
      </c>
      <c r="K158" s="292"/>
      <c r="L158" s="292"/>
      <c r="M158" s="169"/>
      <c r="N158" s="169"/>
      <c r="O158" s="169"/>
      <c r="P158" s="293"/>
      <c r="Q158" s="294"/>
      <c r="R158" s="169"/>
    </row>
    <row r="159" spans="1:18" ht="16" x14ac:dyDescent="0.2">
      <c r="A159" s="47"/>
      <c r="C159" s="10">
        <f t="shared" si="2"/>
        <v>156</v>
      </c>
      <c r="D159" s="187" t="s">
        <v>280</v>
      </c>
      <c r="E159" s="188" t="s">
        <v>219</v>
      </c>
      <c r="F159" s="189">
        <v>45615</v>
      </c>
      <c r="G159" s="189">
        <v>45615</v>
      </c>
      <c r="H159" s="188" t="s">
        <v>30</v>
      </c>
      <c r="I159" s="190">
        <v>5793</v>
      </c>
      <c r="J159" s="190">
        <f>Mantenimiento[[#This Row],[Kilometraje del Odómetro]]-I158</f>
        <v>5793</v>
      </c>
      <c r="K159" s="190"/>
      <c r="L159" s="190"/>
      <c r="M159" s="188" t="s">
        <v>173</v>
      </c>
      <c r="N159" s="188"/>
      <c r="O159" s="188" t="s">
        <v>222</v>
      </c>
      <c r="P159" s="191"/>
      <c r="Q159" s="192"/>
      <c r="R159" s="188"/>
    </row>
    <row r="160" spans="1:18" ht="16" x14ac:dyDescent="0.2">
      <c r="A160" s="47"/>
      <c r="C160" s="10">
        <f t="shared" si="2"/>
        <v>157</v>
      </c>
      <c r="D160" s="187" t="s">
        <v>280</v>
      </c>
      <c r="E160" s="188" t="s">
        <v>219</v>
      </c>
      <c r="F160" s="189">
        <v>45655</v>
      </c>
      <c r="G160" s="189">
        <v>45655</v>
      </c>
      <c r="H160" s="188" t="s">
        <v>30</v>
      </c>
      <c r="I160" s="190">
        <v>13985</v>
      </c>
      <c r="J160" s="190">
        <f>Mantenimiento[[#This Row],[Kilometraje del Odómetro]]-I159</f>
        <v>8192</v>
      </c>
      <c r="K160" s="190"/>
      <c r="L160" s="190"/>
      <c r="M160" s="188" t="s">
        <v>173</v>
      </c>
      <c r="N160" s="188"/>
      <c r="O160" s="188" t="s">
        <v>222</v>
      </c>
      <c r="P160" s="191"/>
      <c r="Q160" s="192"/>
      <c r="R160" s="188"/>
    </row>
    <row r="161" spans="1:18" ht="16" x14ac:dyDescent="0.2">
      <c r="A161" s="47"/>
      <c r="C161" s="10">
        <f t="shared" si="2"/>
        <v>158</v>
      </c>
      <c r="D161" s="187" t="s">
        <v>280</v>
      </c>
      <c r="E161" s="188" t="s">
        <v>219</v>
      </c>
      <c r="F161" s="189">
        <v>45681</v>
      </c>
      <c r="G161" s="189">
        <v>45681</v>
      </c>
      <c r="H161" s="188" t="s">
        <v>30</v>
      </c>
      <c r="I161" s="281">
        <v>18278</v>
      </c>
      <c r="J161" s="281">
        <f>Mantenimiento[[#This Row],[Kilometraje del Odómetro]]-I160</f>
        <v>4293</v>
      </c>
      <c r="K161" s="281"/>
      <c r="L161" s="281">
        <v>2</v>
      </c>
      <c r="M161" s="188" t="s">
        <v>173</v>
      </c>
      <c r="N161" s="188"/>
      <c r="O161" s="188" t="s">
        <v>222</v>
      </c>
      <c r="P161" s="282"/>
      <c r="Q161" s="283"/>
      <c r="R161" s="188"/>
    </row>
    <row r="162" spans="1:18" ht="16" x14ac:dyDescent="0.2">
      <c r="A162" s="47"/>
      <c r="C162" s="10">
        <f t="shared" si="2"/>
        <v>159</v>
      </c>
      <c r="D162" s="187"/>
      <c r="E162" s="188"/>
      <c r="F162" s="189"/>
      <c r="G162" s="189"/>
      <c r="H162" s="188"/>
      <c r="I162" s="281"/>
      <c r="J162" s="281"/>
      <c r="K162" s="281"/>
      <c r="L162" s="281"/>
      <c r="M162" s="188"/>
      <c r="N162" s="188"/>
      <c r="O162" s="188"/>
      <c r="P162" s="282"/>
      <c r="Q162" s="283"/>
      <c r="R162" s="188"/>
    </row>
    <row r="163" spans="1:18" ht="16" x14ac:dyDescent="0.2">
      <c r="A163" s="47"/>
      <c r="C163" s="10">
        <f t="shared" si="2"/>
        <v>160</v>
      </c>
      <c r="D163" s="187"/>
      <c r="E163" s="188"/>
      <c r="F163" s="189"/>
      <c r="G163" s="189"/>
      <c r="H163" s="188"/>
      <c r="I163" s="281"/>
      <c r="J163" s="281"/>
      <c r="K163" s="281"/>
      <c r="L163" s="281"/>
      <c r="M163" s="188"/>
      <c r="N163" s="188"/>
      <c r="O163" s="188"/>
      <c r="P163" s="282"/>
      <c r="Q163" s="283"/>
      <c r="R163" s="188"/>
    </row>
    <row r="164" spans="1:18" ht="17" thickBot="1" x14ac:dyDescent="0.25">
      <c r="A164" s="47"/>
      <c r="C164" s="10">
        <f t="shared" si="2"/>
        <v>161</v>
      </c>
      <c r="D164" s="285"/>
      <c r="E164" s="286"/>
      <c r="F164" s="287"/>
      <c r="G164" s="287"/>
      <c r="H164" s="286"/>
      <c r="I164" s="288"/>
      <c r="J164" s="288">
        <f>Mantenimiento[[#This Row],[Kilometraje del Odómetro]]-I163</f>
        <v>0</v>
      </c>
      <c r="K164" s="288"/>
      <c r="L164" s="288"/>
      <c r="M164" s="286"/>
      <c r="N164" s="286"/>
      <c r="O164" s="286"/>
      <c r="P164" s="289"/>
      <c r="Q164" s="290"/>
      <c r="R164" s="286"/>
    </row>
    <row r="165" spans="1:18" ht="17" thickTop="1" x14ac:dyDescent="0.2">
      <c r="A165" s="47"/>
      <c r="C165" s="10">
        <f t="shared" si="2"/>
        <v>162</v>
      </c>
      <c r="D165" s="168"/>
      <c r="E165" s="169"/>
      <c r="F165" s="146"/>
      <c r="G165" s="146"/>
      <c r="H165" s="169"/>
      <c r="I165" s="292"/>
      <c r="J165" s="292">
        <f>Mantenimiento[[#This Row],[Kilometraje del Odómetro]]-I164</f>
        <v>0</v>
      </c>
      <c r="K165" s="292"/>
      <c r="L165" s="292"/>
      <c r="M165" s="169"/>
      <c r="N165" s="169"/>
      <c r="O165" s="169"/>
      <c r="P165" s="293"/>
      <c r="Q165" s="294"/>
      <c r="R165" s="169"/>
    </row>
    <row r="166" spans="1:18" ht="16" x14ac:dyDescent="0.2">
      <c r="A166" s="47"/>
      <c r="C166" s="10">
        <f t="shared" si="2"/>
        <v>163</v>
      </c>
      <c r="D166" s="67" t="s">
        <v>350</v>
      </c>
      <c r="E166" s="93" t="s">
        <v>219</v>
      </c>
      <c r="F166" s="94">
        <v>45796</v>
      </c>
      <c r="G166" s="94">
        <v>45796</v>
      </c>
      <c r="H166" s="93" t="s">
        <v>30</v>
      </c>
      <c r="I166" s="262">
        <v>11320</v>
      </c>
      <c r="J166" s="262">
        <f>Mantenimiento[[#This Row],[Kilometraje del Odómetro]]-I165</f>
        <v>11320</v>
      </c>
      <c r="K166" s="262"/>
      <c r="L166" s="262">
        <v>2</v>
      </c>
      <c r="M166" s="93" t="s">
        <v>173</v>
      </c>
      <c r="N166" s="93">
        <v>2025050021</v>
      </c>
      <c r="O166" s="93" t="s">
        <v>478</v>
      </c>
      <c r="P166" s="263"/>
      <c r="Q166" s="264"/>
      <c r="R166" s="93"/>
    </row>
    <row r="167" spans="1:18" ht="16" x14ac:dyDescent="0.2">
      <c r="A167" s="47"/>
      <c r="C167" s="10">
        <f t="shared" si="2"/>
        <v>164</v>
      </c>
      <c r="D167" s="67" t="s">
        <v>350</v>
      </c>
      <c r="E167" s="93" t="s">
        <v>219</v>
      </c>
      <c r="F167" s="94">
        <v>45820</v>
      </c>
      <c r="G167" s="94">
        <v>45820</v>
      </c>
      <c r="H167" s="93" t="s">
        <v>30</v>
      </c>
      <c r="I167" s="262">
        <v>18936</v>
      </c>
      <c r="J167" s="262">
        <f>Mantenimiento[[#This Row],[Kilometraje del Odómetro]]-I166</f>
        <v>7616</v>
      </c>
      <c r="K167" s="262"/>
      <c r="L167" s="262">
        <v>2</v>
      </c>
      <c r="M167" s="93" t="s">
        <v>173</v>
      </c>
      <c r="N167" s="93">
        <v>2025060032</v>
      </c>
      <c r="O167" s="93" t="s">
        <v>478</v>
      </c>
      <c r="P167" s="263"/>
      <c r="Q167" s="264"/>
      <c r="R167" s="93"/>
    </row>
    <row r="168" spans="1:18" ht="16" x14ac:dyDescent="0.2">
      <c r="A168" s="47"/>
      <c r="C168" s="10">
        <f t="shared" si="2"/>
        <v>165</v>
      </c>
      <c r="D168" s="67" t="s">
        <v>350</v>
      </c>
      <c r="E168" s="93" t="s">
        <v>219</v>
      </c>
      <c r="F168" s="94">
        <v>45842</v>
      </c>
      <c r="G168" s="94">
        <v>45842</v>
      </c>
      <c r="H168" s="93" t="s">
        <v>30</v>
      </c>
      <c r="I168" s="262">
        <v>27437</v>
      </c>
      <c r="J168" s="262">
        <f>Mantenimiento[[#This Row],[Kilometraje del Odómetro]]-I167</f>
        <v>8501</v>
      </c>
      <c r="K168" s="262"/>
      <c r="L168" s="262">
        <v>2</v>
      </c>
      <c r="M168" s="93" t="s">
        <v>173</v>
      </c>
      <c r="N168" s="93">
        <v>2025070005</v>
      </c>
      <c r="O168" s="93" t="s">
        <v>478</v>
      </c>
      <c r="P168" s="263"/>
      <c r="Q168" s="264"/>
      <c r="R168" s="93"/>
    </row>
    <row r="169" spans="1:18" ht="16" x14ac:dyDescent="0.2">
      <c r="A169" s="47"/>
      <c r="C169" s="10">
        <f t="shared" si="2"/>
        <v>166</v>
      </c>
      <c r="D169" s="67" t="s">
        <v>350</v>
      </c>
      <c r="E169" s="93" t="s">
        <v>219</v>
      </c>
      <c r="F169" s="94">
        <v>45884</v>
      </c>
      <c r="G169" s="94">
        <v>45884</v>
      </c>
      <c r="H169" s="93" t="s">
        <v>30</v>
      </c>
      <c r="I169" s="262">
        <v>36821</v>
      </c>
      <c r="J169" s="262">
        <f>Mantenimiento[[#This Row],[Kilometraje del Odómetro]]-I168</f>
        <v>9384</v>
      </c>
      <c r="K169" s="262"/>
      <c r="L169" s="262">
        <v>2</v>
      </c>
      <c r="M169" s="93" t="s">
        <v>173</v>
      </c>
      <c r="N169" s="93">
        <v>2025080022</v>
      </c>
      <c r="O169" s="93" t="s">
        <v>478</v>
      </c>
      <c r="P169" s="263"/>
      <c r="Q169" s="264"/>
      <c r="R169" s="93"/>
    </row>
    <row r="170" spans="1:18" ht="16" x14ac:dyDescent="0.2">
      <c r="A170" s="47"/>
      <c r="C170" s="10">
        <f t="shared" si="2"/>
        <v>167</v>
      </c>
      <c r="D170" s="67" t="s">
        <v>350</v>
      </c>
      <c r="E170" s="93" t="s">
        <v>219</v>
      </c>
      <c r="F170" s="94">
        <v>45945</v>
      </c>
      <c r="G170" s="94">
        <v>45945</v>
      </c>
      <c r="H170" s="93" t="s">
        <v>30</v>
      </c>
      <c r="I170" s="262">
        <v>46220</v>
      </c>
      <c r="J170" s="262">
        <f>Mantenimiento[[#This Row],[Kilometraje del Odómetro]]-I169</f>
        <v>9399</v>
      </c>
      <c r="K170" s="262"/>
      <c r="L170" s="262">
        <v>2</v>
      </c>
      <c r="M170" s="93" t="s">
        <v>174</v>
      </c>
      <c r="N170" s="93">
        <v>2025100022</v>
      </c>
      <c r="O170" s="93" t="s">
        <v>478</v>
      </c>
      <c r="P170" s="263"/>
      <c r="Q170" s="264"/>
      <c r="R170" s="93"/>
    </row>
    <row r="171" spans="1:18" ht="16" x14ac:dyDescent="0.2">
      <c r="A171" s="47"/>
      <c r="C171" s="10">
        <f t="shared" si="2"/>
        <v>168</v>
      </c>
      <c r="D171" s="67" t="s">
        <v>350</v>
      </c>
      <c r="E171" s="93" t="s">
        <v>219</v>
      </c>
      <c r="F171" s="94">
        <v>45963</v>
      </c>
      <c r="G171" s="94">
        <v>45963</v>
      </c>
      <c r="H171" s="93" t="s">
        <v>31</v>
      </c>
      <c r="I171" s="262">
        <v>49213</v>
      </c>
      <c r="J171" s="262"/>
      <c r="K171" s="262">
        <v>1</v>
      </c>
      <c r="L171" s="262"/>
      <c r="M171" s="93" t="s">
        <v>190</v>
      </c>
      <c r="N171" s="93">
        <v>2025111263</v>
      </c>
      <c r="O171" s="93" t="s">
        <v>494</v>
      </c>
      <c r="P171" s="263"/>
      <c r="Q171" s="264"/>
      <c r="R171" s="93"/>
    </row>
    <row r="172" spans="1:18" ht="16" x14ac:dyDescent="0.2">
      <c r="A172" s="47"/>
      <c r="C172" s="10">
        <f t="shared" si="2"/>
        <v>169</v>
      </c>
      <c r="D172" s="67" t="s">
        <v>350</v>
      </c>
      <c r="E172" s="93" t="s">
        <v>219</v>
      </c>
      <c r="F172" s="94">
        <v>45970</v>
      </c>
      <c r="G172" s="94">
        <v>45970</v>
      </c>
      <c r="H172" s="93" t="s">
        <v>31</v>
      </c>
      <c r="I172" s="262">
        <v>49817</v>
      </c>
      <c r="J172" s="262"/>
      <c r="K172" s="586">
        <v>0.75</v>
      </c>
      <c r="L172" s="262"/>
      <c r="M172" s="93" t="s">
        <v>190</v>
      </c>
      <c r="N172" s="93">
        <v>2025111277</v>
      </c>
      <c r="O172" s="93" t="s">
        <v>496</v>
      </c>
      <c r="P172" s="263"/>
      <c r="Q172" s="264"/>
      <c r="R172" s="93"/>
    </row>
    <row r="173" spans="1:18" ht="16" x14ac:dyDescent="0.2">
      <c r="A173" s="47"/>
      <c r="C173" s="10">
        <f t="shared" si="2"/>
        <v>170</v>
      </c>
      <c r="D173" s="67" t="s">
        <v>350</v>
      </c>
      <c r="E173" s="93" t="s">
        <v>219</v>
      </c>
      <c r="F173" s="94">
        <v>45996</v>
      </c>
      <c r="G173" s="94">
        <v>45996</v>
      </c>
      <c r="H173" s="93" t="s">
        <v>30</v>
      </c>
      <c r="I173" s="262">
        <v>54068</v>
      </c>
      <c r="J173" s="262"/>
      <c r="K173" s="262"/>
      <c r="L173" s="262">
        <v>2</v>
      </c>
      <c r="M173" s="93" t="s">
        <v>173</v>
      </c>
      <c r="N173" s="93">
        <v>2025120012</v>
      </c>
      <c r="O173" s="93" t="s">
        <v>478</v>
      </c>
      <c r="P173" s="263"/>
      <c r="Q173" s="264"/>
      <c r="R173" s="93"/>
    </row>
    <row r="174" spans="1:18" ht="16" x14ac:dyDescent="0.2">
      <c r="A174" s="47"/>
      <c r="C174" s="10">
        <f t="shared" si="2"/>
        <v>171</v>
      </c>
      <c r="D174" s="67"/>
      <c r="E174" s="93"/>
      <c r="F174" s="94"/>
      <c r="G174" s="94"/>
      <c r="H174" s="93"/>
      <c r="I174" s="262"/>
      <c r="J174" s="262"/>
      <c r="K174" s="262"/>
      <c r="L174" s="262"/>
      <c r="M174" s="93"/>
      <c r="N174" s="93"/>
      <c r="O174" s="93"/>
      <c r="P174" s="263"/>
      <c r="Q174" s="264"/>
      <c r="R174" s="93"/>
    </row>
    <row r="175" spans="1:18" ht="16" x14ac:dyDescent="0.2">
      <c r="A175" s="47"/>
      <c r="C175" s="10">
        <f t="shared" si="2"/>
        <v>172</v>
      </c>
      <c r="D175" s="67"/>
      <c r="E175" s="93"/>
      <c r="F175" s="94"/>
      <c r="G175" s="94"/>
      <c r="H175" s="93"/>
      <c r="I175" s="262"/>
      <c r="J175" s="262">
        <f>Mantenimiento[[#This Row],[Kilometraje del Odómetro]]-I174</f>
        <v>0</v>
      </c>
      <c r="K175" s="262"/>
      <c r="L175" s="262"/>
      <c r="M175" s="93"/>
      <c r="N175" s="93"/>
      <c r="O175" s="93"/>
      <c r="P175" s="263"/>
      <c r="Q175" s="264"/>
      <c r="R175" s="93"/>
    </row>
    <row r="176" spans="1:18" ht="17" thickBot="1" x14ac:dyDescent="0.25">
      <c r="A176" s="47"/>
      <c r="C176" s="10">
        <f t="shared" si="2"/>
        <v>173</v>
      </c>
      <c r="D176" s="424"/>
      <c r="E176" s="425"/>
      <c r="F176" s="156"/>
      <c r="G176" s="156"/>
      <c r="H176" s="425"/>
      <c r="I176" s="426"/>
      <c r="J176" s="426">
        <f>Mantenimiento[[#This Row],[Kilometraje del Odómetro]]-I175</f>
        <v>0</v>
      </c>
      <c r="K176" s="426"/>
      <c r="L176" s="426"/>
      <c r="M176" s="425"/>
      <c r="N176" s="425"/>
      <c r="O176" s="425"/>
      <c r="P176" s="407"/>
      <c r="Q176" s="427"/>
      <c r="R176" s="425"/>
    </row>
    <row r="177" spans="1:18" ht="17" thickTop="1" x14ac:dyDescent="0.2">
      <c r="A177" s="47"/>
      <c r="C177" s="10">
        <f t="shared" si="2"/>
        <v>174</v>
      </c>
      <c r="D177" s="168"/>
      <c r="E177" s="169"/>
      <c r="F177" s="146"/>
      <c r="G177" s="146"/>
      <c r="H177" s="169"/>
      <c r="I177" s="292"/>
      <c r="J177" s="292">
        <f>Mantenimiento[[#This Row],[Kilometraje del Odómetro]]-I176</f>
        <v>0</v>
      </c>
      <c r="K177" s="292"/>
      <c r="L177" s="292"/>
      <c r="M177" s="169"/>
      <c r="N177" s="169"/>
      <c r="O177" s="169"/>
      <c r="P177" s="293"/>
      <c r="Q177" s="294"/>
      <c r="R177" s="169"/>
    </row>
    <row r="178" spans="1:18" ht="16" x14ac:dyDescent="0.2">
      <c r="A178" s="47"/>
      <c r="C178" s="10">
        <f t="shared" si="2"/>
        <v>175</v>
      </c>
      <c r="D178" s="526" t="s">
        <v>376</v>
      </c>
      <c r="E178" s="527" t="s">
        <v>219</v>
      </c>
      <c r="F178" s="528">
        <v>45482</v>
      </c>
      <c r="G178" s="528">
        <f>Mantenimiento[[#This Row],[Fecha Entrada]]</f>
        <v>45482</v>
      </c>
      <c r="H178" s="527" t="s">
        <v>30</v>
      </c>
      <c r="I178" s="529">
        <v>191781</v>
      </c>
      <c r="J178" s="529"/>
      <c r="K178" s="529"/>
      <c r="L178" s="529"/>
      <c r="M178" s="527" t="s">
        <v>173</v>
      </c>
      <c r="N178" s="527"/>
      <c r="O178" s="527" t="s">
        <v>222</v>
      </c>
      <c r="P178" s="530"/>
      <c r="Q178" s="531"/>
      <c r="R178" s="527"/>
    </row>
    <row r="179" spans="1:18" ht="16" x14ac:dyDescent="0.2">
      <c r="A179" s="47"/>
      <c r="C179" s="10">
        <f t="shared" si="2"/>
        <v>176</v>
      </c>
      <c r="D179" s="526" t="s">
        <v>376</v>
      </c>
      <c r="E179" s="527" t="s">
        <v>219</v>
      </c>
      <c r="F179" s="528">
        <v>45516</v>
      </c>
      <c r="G179" s="528">
        <f>Mantenimiento[[#This Row],[Fecha Entrada]]</f>
        <v>45516</v>
      </c>
      <c r="H179" s="527" t="s">
        <v>30</v>
      </c>
      <c r="I179" s="529">
        <v>197277</v>
      </c>
      <c r="J179" s="529">
        <f>Mantenimiento[[#This Row],[Kilometraje del Odómetro]]-I178</f>
        <v>5496</v>
      </c>
      <c r="K179" s="529"/>
      <c r="L179" s="529"/>
      <c r="M179" s="527" t="s">
        <v>173</v>
      </c>
      <c r="N179" s="527"/>
      <c r="O179" s="527" t="s">
        <v>222</v>
      </c>
      <c r="P179" s="530"/>
      <c r="Q179" s="531"/>
      <c r="R179" s="527"/>
    </row>
    <row r="180" spans="1:18" ht="16" x14ac:dyDescent="0.2">
      <c r="A180" s="47"/>
      <c r="C180" s="10">
        <f t="shared" si="2"/>
        <v>177</v>
      </c>
      <c r="D180" s="526" t="s">
        <v>376</v>
      </c>
      <c r="E180" s="527" t="s">
        <v>219</v>
      </c>
      <c r="F180" s="528">
        <v>45548</v>
      </c>
      <c r="G180" s="528">
        <f>Mantenimiento[[#This Row],[Fecha Entrada]]</f>
        <v>45548</v>
      </c>
      <c r="H180" s="527" t="s">
        <v>30</v>
      </c>
      <c r="I180" s="529">
        <v>203550</v>
      </c>
      <c r="J180" s="529">
        <f>Mantenimiento[[#This Row],[Kilometraje del Odómetro]]-I179</f>
        <v>6273</v>
      </c>
      <c r="K180" s="529"/>
      <c r="L180" s="529"/>
      <c r="M180" s="527" t="s">
        <v>173</v>
      </c>
      <c r="N180" s="527"/>
      <c r="O180" s="527" t="s">
        <v>222</v>
      </c>
      <c r="P180" s="530"/>
      <c r="Q180" s="531"/>
      <c r="R180" s="527"/>
    </row>
    <row r="181" spans="1:18" ht="16" x14ac:dyDescent="0.2">
      <c r="A181" s="47"/>
      <c r="C181" s="10">
        <f t="shared" si="2"/>
        <v>178</v>
      </c>
      <c r="D181" s="526" t="s">
        <v>376</v>
      </c>
      <c r="E181" s="527" t="s">
        <v>219</v>
      </c>
      <c r="F181" s="528">
        <v>45593</v>
      </c>
      <c r="G181" s="528">
        <f>Mantenimiento[[#This Row],[Fecha Entrada]]</f>
        <v>45593</v>
      </c>
      <c r="H181" s="527" t="s">
        <v>30</v>
      </c>
      <c r="I181" s="529">
        <v>211554</v>
      </c>
      <c r="J181" s="529">
        <f>Mantenimiento[[#This Row],[Kilometraje del Odómetro]]-I180</f>
        <v>8004</v>
      </c>
      <c r="K181" s="529"/>
      <c r="L181" s="529"/>
      <c r="M181" s="527" t="s">
        <v>173</v>
      </c>
      <c r="N181" s="527"/>
      <c r="O181" s="527" t="s">
        <v>222</v>
      </c>
      <c r="P181" s="530"/>
      <c r="Q181" s="531"/>
      <c r="R181" s="527"/>
    </row>
    <row r="182" spans="1:18" ht="16" x14ac:dyDescent="0.2">
      <c r="A182" s="47"/>
      <c r="C182" s="10">
        <f t="shared" si="2"/>
        <v>179</v>
      </c>
      <c r="D182" s="526" t="s">
        <v>376</v>
      </c>
      <c r="E182" s="527" t="s">
        <v>219</v>
      </c>
      <c r="F182" s="528">
        <v>45632</v>
      </c>
      <c r="G182" s="528">
        <f>Mantenimiento[[#This Row],[Fecha Entrada]]</f>
        <v>45632</v>
      </c>
      <c r="H182" s="527" t="s">
        <v>30</v>
      </c>
      <c r="I182" s="529">
        <v>218604</v>
      </c>
      <c r="J182" s="529">
        <f>Mantenimiento[[#This Row],[Kilometraje del Odómetro]]-I181</f>
        <v>7050</v>
      </c>
      <c r="K182" s="529"/>
      <c r="L182" s="529"/>
      <c r="M182" s="527" t="s">
        <v>174</v>
      </c>
      <c r="N182" s="527"/>
      <c r="O182" s="527" t="s">
        <v>222</v>
      </c>
      <c r="P182" s="530"/>
      <c r="Q182" s="531"/>
      <c r="R182" s="527"/>
    </row>
    <row r="183" spans="1:18" ht="16" x14ac:dyDescent="0.2">
      <c r="A183" s="47"/>
      <c r="C183" s="10">
        <f t="shared" si="2"/>
        <v>180</v>
      </c>
      <c r="D183" s="526" t="s">
        <v>376</v>
      </c>
      <c r="E183" s="527" t="s">
        <v>219</v>
      </c>
      <c r="F183" s="528">
        <v>45670</v>
      </c>
      <c r="G183" s="528">
        <f>Mantenimiento[[#This Row],[Fecha Entrada]]</f>
        <v>45670</v>
      </c>
      <c r="H183" s="527" t="s">
        <v>30</v>
      </c>
      <c r="I183" s="529">
        <v>222993</v>
      </c>
      <c r="J183" s="529">
        <f>Mantenimiento[[#This Row],[Kilometraje del Odómetro]]-I182</f>
        <v>4389</v>
      </c>
      <c r="K183" s="529"/>
      <c r="L183" s="529">
        <v>2</v>
      </c>
      <c r="M183" s="527" t="s">
        <v>174</v>
      </c>
      <c r="N183" s="527"/>
      <c r="O183" s="527" t="s">
        <v>222</v>
      </c>
      <c r="P183" s="530"/>
      <c r="Q183" s="531"/>
      <c r="R183" s="527"/>
    </row>
    <row r="184" spans="1:18" ht="16" x14ac:dyDescent="0.2">
      <c r="A184" s="47"/>
      <c r="C184" s="10">
        <f t="shared" si="2"/>
        <v>181</v>
      </c>
      <c r="D184" s="526" t="s">
        <v>376</v>
      </c>
      <c r="E184" s="527" t="s">
        <v>219</v>
      </c>
      <c r="F184" s="528">
        <v>45748</v>
      </c>
      <c r="G184" s="528">
        <f>Mantenimiento[[#This Row],[Fecha Entrada]]</f>
        <v>45748</v>
      </c>
      <c r="H184" s="527" t="s">
        <v>30</v>
      </c>
      <c r="I184" s="529">
        <v>228659</v>
      </c>
      <c r="J184" s="529">
        <f>Mantenimiento[[#This Row],[Kilometraje del Odómetro]]-I183</f>
        <v>5666</v>
      </c>
      <c r="K184" s="529"/>
      <c r="L184" s="529">
        <v>2</v>
      </c>
      <c r="M184" s="527" t="s">
        <v>174</v>
      </c>
      <c r="N184" s="527">
        <v>2025040008</v>
      </c>
      <c r="O184" s="527" t="s">
        <v>222</v>
      </c>
      <c r="P184" s="530"/>
      <c r="Q184" s="531"/>
      <c r="R184" s="527"/>
    </row>
    <row r="185" spans="1:18" ht="16" x14ac:dyDescent="0.2">
      <c r="A185" s="47"/>
      <c r="C185" s="10">
        <f t="shared" si="2"/>
        <v>182</v>
      </c>
      <c r="D185" s="526" t="s">
        <v>376</v>
      </c>
      <c r="E185" s="527" t="s">
        <v>219</v>
      </c>
      <c r="F185" s="528">
        <v>45549</v>
      </c>
      <c r="G185" s="528">
        <v>45549</v>
      </c>
      <c r="H185" s="527" t="s">
        <v>322</v>
      </c>
      <c r="I185" s="529">
        <v>203550</v>
      </c>
      <c r="J185" s="529"/>
      <c r="K185" s="529"/>
      <c r="L185" s="529"/>
      <c r="M185" s="527" t="s">
        <v>331</v>
      </c>
      <c r="N185" s="527"/>
      <c r="O185" s="527" t="s">
        <v>222</v>
      </c>
      <c r="P185" s="530"/>
      <c r="Q185" s="531"/>
      <c r="R185" s="527"/>
    </row>
    <row r="186" spans="1:18" ht="16" x14ac:dyDescent="0.2">
      <c r="A186" s="47"/>
      <c r="C186" s="10">
        <f t="shared" si="2"/>
        <v>183</v>
      </c>
      <c r="D186" s="526"/>
      <c r="E186" s="527"/>
      <c r="F186" s="528"/>
      <c r="G186" s="528"/>
      <c r="H186" s="527"/>
      <c r="I186" s="529"/>
      <c r="J186" s="529"/>
      <c r="K186" s="529"/>
      <c r="L186" s="529"/>
      <c r="M186" s="527"/>
      <c r="N186" s="527"/>
      <c r="O186" s="527"/>
      <c r="P186" s="530"/>
      <c r="Q186" s="531"/>
      <c r="R186" s="527"/>
    </row>
    <row r="187" spans="1:18" ht="16" x14ac:dyDescent="0.2">
      <c r="A187" s="47"/>
      <c r="C187" s="10">
        <f t="shared" si="2"/>
        <v>184</v>
      </c>
      <c r="D187" s="526"/>
      <c r="E187" s="527"/>
      <c r="F187" s="528"/>
      <c r="G187" s="528"/>
      <c r="H187" s="527"/>
      <c r="I187" s="529"/>
      <c r="J187" s="529"/>
      <c r="K187" s="529"/>
      <c r="L187" s="529"/>
      <c r="M187" s="527"/>
      <c r="N187" s="527"/>
      <c r="O187" s="527"/>
      <c r="P187" s="530"/>
      <c r="Q187" s="531"/>
      <c r="R187" s="527"/>
    </row>
    <row r="188" spans="1:18" ht="16" x14ac:dyDescent="0.2">
      <c r="A188" s="47"/>
      <c r="C188" s="10">
        <f t="shared" si="2"/>
        <v>185</v>
      </c>
      <c r="D188" s="526"/>
      <c r="E188" s="527"/>
      <c r="F188" s="528"/>
      <c r="G188" s="528"/>
      <c r="H188" s="527"/>
      <c r="I188" s="529"/>
      <c r="J188" s="529"/>
      <c r="K188" s="529"/>
      <c r="L188" s="529"/>
      <c r="M188" s="527"/>
      <c r="N188" s="527"/>
      <c r="O188" s="527"/>
      <c r="P188" s="530"/>
      <c r="Q188" s="531"/>
      <c r="R188" s="527"/>
    </row>
    <row r="189" spans="1:18" ht="17" thickBot="1" x14ac:dyDescent="0.25">
      <c r="A189" s="47"/>
      <c r="C189" s="10">
        <f t="shared" si="2"/>
        <v>186</v>
      </c>
      <c r="D189" s="424"/>
      <c r="E189" s="425"/>
      <c r="F189" s="156"/>
      <c r="G189" s="156"/>
      <c r="H189" s="425"/>
      <c r="I189" s="426"/>
      <c r="J189" s="426">
        <f>Mantenimiento[[#This Row],[Kilometraje del Odómetro]]-I164</f>
        <v>0</v>
      </c>
      <c r="K189" s="426"/>
      <c r="L189" s="426"/>
      <c r="M189" s="425"/>
      <c r="N189" s="425"/>
      <c r="O189" s="425"/>
      <c r="P189" s="407"/>
      <c r="Q189" s="427"/>
      <c r="R189" s="425"/>
    </row>
    <row r="190" spans="1:18" ht="17" thickTop="1" x14ac:dyDescent="0.2">
      <c r="A190" s="47"/>
      <c r="C190" s="10">
        <f t="shared" si="2"/>
        <v>187</v>
      </c>
      <c r="D190" s="168" t="s">
        <v>403</v>
      </c>
      <c r="E190" s="169" t="s">
        <v>223</v>
      </c>
      <c r="F190" s="146">
        <v>45756</v>
      </c>
      <c r="G190" s="146">
        <v>45756</v>
      </c>
      <c r="H190" s="169" t="s">
        <v>30</v>
      </c>
      <c r="I190" s="292">
        <v>172260</v>
      </c>
      <c r="J190" s="292"/>
      <c r="K190" s="292"/>
      <c r="L190" s="292">
        <v>2</v>
      </c>
      <c r="M190" s="169" t="s">
        <v>176</v>
      </c>
      <c r="N190" s="169">
        <v>2025050031</v>
      </c>
      <c r="O190" s="169" t="s">
        <v>511</v>
      </c>
      <c r="P190" s="293"/>
      <c r="Q190" s="294"/>
      <c r="R190" s="169"/>
    </row>
    <row r="191" spans="1:18" ht="16" x14ac:dyDescent="0.2">
      <c r="A191" s="47"/>
      <c r="C191" s="10">
        <f t="shared" si="2"/>
        <v>188</v>
      </c>
      <c r="D191" s="168" t="s">
        <v>403</v>
      </c>
      <c r="E191" s="169" t="s">
        <v>223</v>
      </c>
      <c r="F191" s="146">
        <v>45825</v>
      </c>
      <c r="G191" s="146">
        <v>45825</v>
      </c>
      <c r="H191" s="169" t="s">
        <v>30</v>
      </c>
      <c r="I191" s="292">
        <v>181408</v>
      </c>
      <c r="J191" s="292">
        <f>Mantenimiento[[#This Row],[Kilometraje del Odómetro]]-I190</f>
        <v>9148</v>
      </c>
      <c r="K191" s="292"/>
      <c r="L191" s="292">
        <v>2</v>
      </c>
      <c r="M191" s="169" t="s">
        <v>176</v>
      </c>
      <c r="N191" s="169">
        <v>2025060041</v>
      </c>
      <c r="O191" s="169" t="s">
        <v>511</v>
      </c>
      <c r="P191" s="293"/>
      <c r="Q191" s="294"/>
      <c r="R191" s="169"/>
    </row>
    <row r="192" spans="1:18" ht="16" x14ac:dyDescent="0.2">
      <c r="A192" s="47"/>
      <c r="C192" s="10">
        <f t="shared" si="2"/>
        <v>189</v>
      </c>
      <c r="D192" s="168" t="s">
        <v>403</v>
      </c>
      <c r="E192" s="169" t="s">
        <v>223</v>
      </c>
      <c r="F192" s="146">
        <v>45611</v>
      </c>
      <c r="G192" s="146">
        <v>45611</v>
      </c>
      <c r="H192" s="169" t="s">
        <v>322</v>
      </c>
      <c r="I192" s="292">
        <v>125000</v>
      </c>
      <c r="J192" s="292"/>
      <c r="K192" s="292"/>
      <c r="L192" s="292"/>
      <c r="M192" s="169" t="s">
        <v>331</v>
      </c>
      <c r="N192" s="169"/>
      <c r="O192" s="169" t="s">
        <v>511</v>
      </c>
      <c r="P192" s="293"/>
      <c r="Q192" s="294"/>
      <c r="R192" s="169"/>
    </row>
    <row r="193" spans="1:18" ht="16" x14ac:dyDescent="0.2">
      <c r="A193" s="47"/>
      <c r="C193" s="10">
        <f t="shared" si="2"/>
        <v>190</v>
      </c>
      <c r="D193" s="168" t="s">
        <v>403</v>
      </c>
      <c r="E193" s="169" t="s">
        <v>223</v>
      </c>
      <c r="F193" s="146">
        <v>45863</v>
      </c>
      <c r="G193" s="146">
        <v>45863</v>
      </c>
      <c r="H193" s="169" t="s">
        <v>322</v>
      </c>
      <c r="I193" s="292">
        <v>191408</v>
      </c>
      <c r="J193" s="292"/>
      <c r="K193" s="292"/>
      <c r="L193" s="292"/>
      <c r="M193" s="169" t="s">
        <v>332</v>
      </c>
      <c r="N193" s="169">
        <v>2025080010</v>
      </c>
      <c r="O193" s="169" t="s">
        <v>511</v>
      </c>
      <c r="P193" s="293"/>
      <c r="Q193" s="294"/>
      <c r="R193" s="169"/>
    </row>
    <row r="194" spans="1:18" ht="16" x14ac:dyDescent="0.2">
      <c r="A194" s="47"/>
      <c r="C194" s="10">
        <f t="shared" si="2"/>
        <v>191</v>
      </c>
      <c r="D194" s="168" t="s">
        <v>403</v>
      </c>
      <c r="E194" s="169" t="s">
        <v>223</v>
      </c>
      <c r="F194" s="146">
        <v>45863</v>
      </c>
      <c r="G194" s="146">
        <v>45863</v>
      </c>
      <c r="H194" s="169" t="s">
        <v>30</v>
      </c>
      <c r="I194" s="292">
        <v>191408</v>
      </c>
      <c r="J194" s="292">
        <f>Mantenimiento[[#This Row],[Kilometraje del Odómetro]]-I191</f>
        <v>10000</v>
      </c>
      <c r="K194" s="292"/>
      <c r="L194" s="292">
        <v>3</v>
      </c>
      <c r="M194" s="169" t="s">
        <v>176</v>
      </c>
      <c r="N194" s="169">
        <v>2025080010</v>
      </c>
      <c r="O194" s="169" t="s">
        <v>511</v>
      </c>
      <c r="P194" s="293"/>
      <c r="Q194" s="294"/>
      <c r="R194" s="169"/>
    </row>
    <row r="195" spans="1:18" ht="16" x14ac:dyDescent="0.2">
      <c r="A195" s="47"/>
      <c r="C195" s="10">
        <f t="shared" si="2"/>
        <v>192</v>
      </c>
      <c r="D195" s="168" t="s">
        <v>403</v>
      </c>
      <c r="E195" s="169" t="s">
        <v>223</v>
      </c>
      <c r="F195" s="146">
        <v>45930</v>
      </c>
      <c r="G195" s="146">
        <v>45930</v>
      </c>
      <c r="H195" s="169" t="s">
        <v>30</v>
      </c>
      <c r="I195" s="292">
        <v>200065</v>
      </c>
      <c r="J195" s="292">
        <f>Mantenimiento[[#This Row],[Kilometraje del Odómetro]]-I194</f>
        <v>8657</v>
      </c>
      <c r="K195" s="292"/>
      <c r="L195" s="292">
        <v>2</v>
      </c>
      <c r="M195" s="169" t="s">
        <v>176</v>
      </c>
      <c r="N195" s="169">
        <v>2025090054</v>
      </c>
      <c r="O195" s="169" t="s">
        <v>511</v>
      </c>
      <c r="P195" s="293"/>
      <c r="Q195" s="294"/>
      <c r="R195" s="169"/>
    </row>
    <row r="196" spans="1:18" ht="16" x14ac:dyDescent="0.2">
      <c r="A196" s="47"/>
      <c r="C196" s="10">
        <f t="shared" si="2"/>
        <v>193</v>
      </c>
      <c r="D196" s="168" t="s">
        <v>403</v>
      </c>
      <c r="E196" s="169" t="s">
        <v>223</v>
      </c>
      <c r="F196" s="146">
        <v>45995</v>
      </c>
      <c r="G196" s="146">
        <v>45995</v>
      </c>
      <c r="H196" s="169" t="s">
        <v>30</v>
      </c>
      <c r="I196" s="292">
        <v>210065</v>
      </c>
      <c r="J196" s="292">
        <f>Mantenimiento[[#This Row],[Kilometraje del Odómetro]]-I195</f>
        <v>10000</v>
      </c>
      <c r="K196" s="292"/>
      <c r="L196" s="292">
        <v>2</v>
      </c>
      <c r="M196" s="169" t="s">
        <v>175</v>
      </c>
      <c r="N196" s="169">
        <v>2025120008</v>
      </c>
      <c r="O196" s="169" t="s">
        <v>511</v>
      </c>
      <c r="P196" s="293"/>
      <c r="Q196" s="294"/>
      <c r="R196" s="169"/>
    </row>
    <row r="197" spans="1:18" ht="16" x14ac:dyDescent="0.2">
      <c r="A197" s="47"/>
      <c r="C197" s="10">
        <f t="shared" si="2"/>
        <v>194</v>
      </c>
      <c r="D197" s="168"/>
      <c r="E197" s="169"/>
      <c r="F197" s="146"/>
      <c r="G197" s="146"/>
      <c r="H197" s="169"/>
      <c r="I197" s="292"/>
      <c r="J197" s="292">
        <f>Mantenimiento[[#This Row],[Kilometraje del Odómetro]]-I189</f>
        <v>0</v>
      </c>
      <c r="K197" s="292"/>
      <c r="L197" s="292"/>
      <c r="M197" s="169"/>
      <c r="N197" s="169"/>
      <c r="O197" s="169"/>
      <c r="P197" s="293"/>
      <c r="Q197" s="294"/>
      <c r="R197" s="169"/>
    </row>
    <row r="198" spans="1:18" ht="16" x14ac:dyDescent="0.2">
      <c r="A198" s="47"/>
      <c r="C198" s="10">
        <f t="shared" si="2"/>
        <v>195</v>
      </c>
      <c r="D198" s="168"/>
      <c r="E198" s="169"/>
      <c r="F198" s="146"/>
      <c r="G198" s="146"/>
      <c r="H198" s="169"/>
      <c r="I198" s="292"/>
      <c r="J198" s="292">
        <f>Mantenimiento[[#This Row],[Kilometraje del Odómetro]]-I189</f>
        <v>0</v>
      </c>
      <c r="K198" s="292"/>
      <c r="L198" s="292"/>
      <c r="M198" s="169"/>
      <c r="N198" s="169"/>
      <c r="O198" s="169"/>
      <c r="P198" s="293"/>
      <c r="Q198" s="294"/>
      <c r="R198" s="169"/>
    </row>
    <row r="199" spans="1:18" ht="17" thickBot="1" x14ac:dyDescent="0.25">
      <c r="A199" s="47"/>
      <c r="C199" s="10">
        <f t="shared" si="2"/>
        <v>196</v>
      </c>
      <c r="D199" s="424"/>
      <c r="E199" s="425"/>
      <c r="F199" s="156"/>
      <c r="G199" s="156"/>
      <c r="H199" s="425"/>
      <c r="I199" s="426"/>
      <c r="J199" s="426">
        <f>Mantenimiento[[#This Row],[Kilometraje del Odómetro]]-I189</f>
        <v>0</v>
      </c>
      <c r="K199" s="426"/>
      <c r="L199" s="426"/>
      <c r="M199" s="425"/>
      <c r="N199" s="425"/>
      <c r="O199" s="425"/>
      <c r="P199" s="407"/>
      <c r="Q199" s="427"/>
      <c r="R199" s="425"/>
    </row>
    <row r="200" spans="1:18" ht="17" thickTop="1" x14ac:dyDescent="0.2">
      <c r="A200" s="47"/>
      <c r="C200" s="10">
        <f t="shared" si="2"/>
        <v>197</v>
      </c>
      <c r="D200" s="168"/>
      <c r="E200" s="169"/>
      <c r="F200" s="146"/>
      <c r="G200" s="146"/>
      <c r="H200" s="169"/>
      <c r="I200" s="292"/>
      <c r="J200" s="292">
        <f>Mantenimiento[[#This Row],[Kilometraje del Odómetro]]-I199</f>
        <v>0</v>
      </c>
      <c r="K200" s="292"/>
      <c r="L200" s="292"/>
      <c r="M200" s="169"/>
      <c r="N200" s="169"/>
      <c r="O200" s="169"/>
      <c r="P200" s="293"/>
      <c r="Q200" s="294"/>
      <c r="R200" s="169"/>
    </row>
    <row r="201" spans="1:18" ht="16" x14ac:dyDescent="0.2">
      <c r="A201" s="47"/>
      <c r="C201" s="10">
        <f t="shared" si="2"/>
        <v>198</v>
      </c>
      <c r="D201" s="580" t="s">
        <v>473</v>
      </c>
      <c r="E201" s="581" t="s">
        <v>219</v>
      </c>
      <c r="F201" s="582">
        <v>45821</v>
      </c>
      <c r="G201" s="582">
        <v>45821</v>
      </c>
      <c r="H201" s="581" t="s">
        <v>30</v>
      </c>
      <c r="I201" s="583">
        <v>5991</v>
      </c>
      <c r="J201" s="583"/>
      <c r="K201" s="583"/>
      <c r="L201" s="583">
        <v>2</v>
      </c>
      <c r="M201" s="581" t="s">
        <v>173</v>
      </c>
      <c r="N201" s="581"/>
      <c r="O201" s="581" t="s">
        <v>475</v>
      </c>
      <c r="P201" s="584"/>
      <c r="Q201" s="585"/>
      <c r="R201" s="581"/>
    </row>
    <row r="202" spans="1:18" ht="16" x14ac:dyDescent="0.2">
      <c r="A202" s="47"/>
      <c r="C202" s="10">
        <f t="shared" si="2"/>
        <v>199</v>
      </c>
      <c r="D202" s="580" t="s">
        <v>473</v>
      </c>
      <c r="E202" s="581" t="s">
        <v>219</v>
      </c>
      <c r="F202" s="582">
        <v>45876</v>
      </c>
      <c r="G202" s="582">
        <v>45876</v>
      </c>
      <c r="H202" s="581" t="s">
        <v>30</v>
      </c>
      <c r="I202" s="583">
        <v>12532</v>
      </c>
      <c r="J202" s="583">
        <f>Mantenimiento[[#This Row],[Kilometraje del Odómetro]]-I201</f>
        <v>6541</v>
      </c>
      <c r="K202" s="583"/>
      <c r="L202" s="583">
        <v>2</v>
      </c>
      <c r="M202" s="581" t="s">
        <v>173</v>
      </c>
      <c r="N202" s="581"/>
      <c r="O202" s="581" t="s">
        <v>475</v>
      </c>
      <c r="P202" s="584"/>
      <c r="Q202" s="585"/>
      <c r="R202" s="581"/>
    </row>
    <row r="203" spans="1:18" ht="16" x14ac:dyDescent="0.2">
      <c r="A203" s="47"/>
      <c r="C203" s="10">
        <f t="shared" si="2"/>
        <v>200</v>
      </c>
      <c r="D203" s="580" t="s">
        <v>473</v>
      </c>
      <c r="E203" s="581" t="s">
        <v>219</v>
      </c>
      <c r="F203" s="582">
        <v>45937</v>
      </c>
      <c r="G203" s="582">
        <v>45937</v>
      </c>
      <c r="H203" s="581" t="s">
        <v>31</v>
      </c>
      <c r="I203" s="583">
        <v>19130</v>
      </c>
      <c r="J203" s="583"/>
      <c r="K203" s="583">
        <v>1</v>
      </c>
      <c r="L203" s="583"/>
      <c r="M203" s="581" t="s">
        <v>189</v>
      </c>
      <c r="N203" s="581">
        <v>2025101220</v>
      </c>
      <c r="O203" s="581" t="s">
        <v>476</v>
      </c>
      <c r="P203" s="584"/>
      <c r="Q203" s="585"/>
      <c r="R203" s="581"/>
    </row>
    <row r="204" spans="1:18" ht="16" x14ac:dyDescent="0.2">
      <c r="A204" s="47"/>
      <c r="C204" s="10">
        <f t="shared" si="2"/>
        <v>201</v>
      </c>
      <c r="D204" s="580" t="s">
        <v>473</v>
      </c>
      <c r="E204" s="581" t="s">
        <v>219</v>
      </c>
      <c r="F204" s="582">
        <v>45941</v>
      </c>
      <c r="G204" s="582">
        <v>45941</v>
      </c>
      <c r="H204" s="581" t="s">
        <v>30</v>
      </c>
      <c r="I204" s="583">
        <v>20662</v>
      </c>
      <c r="J204" s="583">
        <f>Mantenimiento[[#This Row],[Kilometraje del Odómetro]]-I202</f>
        <v>8130</v>
      </c>
      <c r="K204" s="583"/>
      <c r="L204" s="583">
        <v>2</v>
      </c>
      <c r="M204" s="581" t="s">
        <v>173</v>
      </c>
      <c r="N204" s="581">
        <v>2025101231</v>
      </c>
      <c r="O204" s="581" t="s">
        <v>475</v>
      </c>
      <c r="P204" s="584"/>
      <c r="Q204" s="585"/>
      <c r="R204" s="581"/>
    </row>
    <row r="205" spans="1:18" ht="16" x14ac:dyDescent="0.2">
      <c r="A205" s="47"/>
      <c r="C205" s="10">
        <f t="shared" si="2"/>
        <v>202</v>
      </c>
      <c r="D205" s="580" t="s">
        <v>473</v>
      </c>
      <c r="E205" s="581" t="s">
        <v>219</v>
      </c>
      <c r="F205" s="582">
        <v>45965</v>
      </c>
      <c r="G205" s="582">
        <v>45965</v>
      </c>
      <c r="H205" s="581" t="s">
        <v>31</v>
      </c>
      <c r="I205" s="583">
        <v>26474</v>
      </c>
      <c r="J205" s="583"/>
      <c r="K205" s="583">
        <v>2</v>
      </c>
      <c r="L205" s="583"/>
      <c r="M205" s="581" t="s">
        <v>191</v>
      </c>
      <c r="N205" s="581">
        <v>2025111259</v>
      </c>
      <c r="O205" s="581" t="s">
        <v>489</v>
      </c>
      <c r="P205" s="584"/>
      <c r="Q205" s="585"/>
      <c r="R205" s="581"/>
    </row>
    <row r="206" spans="1:18" ht="16" x14ac:dyDescent="0.2">
      <c r="A206" s="47"/>
      <c r="C206" s="10">
        <f t="shared" si="2"/>
        <v>203</v>
      </c>
      <c r="D206" s="580" t="s">
        <v>473</v>
      </c>
      <c r="E206" s="581" t="s">
        <v>219</v>
      </c>
      <c r="F206" s="582">
        <v>45989</v>
      </c>
      <c r="G206" s="582">
        <v>45989</v>
      </c>
      <c r="H206" s="581" t="s">
        <v>30</v>
      </c>
      <c r="I206" s="583">
        <v>28686</v>
      </c>
      <c r="J206" s="583">
        <f>Mantenimiento[[#This Row],[Kilometraje del Odómetro]]-I204</f>
        <v>8024</v>
      </c>
      <c r="K206" s="583"/>
      <c r="L206" s="583">
        <v>2</v>
      </c>
      <c r="M206" s="581" t="s">
        <v>173</v>
      </c>
      <c r="N206" s="581">
        <v>2025110041</v>
      </c>
      <c r="O206" s="581" t="s">
        <v>508</v>
      </c>
      <c r="P206" s="584"/>
      <c r="Q206" s="585"/>
      <c r="R206" s="581"/>
    </row>
    <row r="207" spans="1:18" ht="16" x14ac:dyDescent="0.2">
      <c r="A207" s="47"/>
      <c r="C207" s="10">
        <f t="shared" si="2"/>
        <v>204</v>
      </c>
      <c r="D207" s="580"/>
      <c r="E207" s="581"/>
      <c r="F207" s="582"/>
      <c r="G207" s="582"/>
      <c r="H207" s="581"/>
      <c r="I207" s="583"/>
      <c r="J207" s="583"/>
      <c r="K207" s="583"/>
      <c r="L207" s="583"/>
      <c r="M207" s="581"/>
      <c r="N207" s="581"/>
      <c r="O207" s="581"/>
      <c r="P207" s="584"/>
      <c r="Q207" s="585"/>
      <c r="R207" s="581"/>
    </row>
    <row r="208" spans="1:18" ht="16" x14ac:dyDescent="0.2">
      <c r="A208" s="47"/>
      <c r="C208" s="10">
        <f t="shared" si="2"/>
        <v>205</v>
      </c>
      <c r="D208" s="580"/>
      <c r="E208" s="581"/>
      <c r="F208" s="582"/>
      <c r="G208" s="582"/>
      <c r="H208" s="581"/>
      <c r="I208" s="583"/>
      <c r="J208" s="583">
        <f>Mantenimiento[[#This Row],[Kilometraje del Odómetro]]-I199</f>
        <v>0</v>
      </c>
      <c r="K208" s="583"/>
      <c r="L208" s="583"/>
      <c r="M208" s="581"/>
      <c r="N208" s="581"/>
      <c r="O208" s="581"/>
      <c r="P208" s="584"/>
      <c r="Q208" s="585"/>
      <c r="R208" s="581"/>
    </row>
    <row r="209" spans="1:18" ht="17" thickBot="1" x14ac:dyDescent="0.25">
      <c r="A209" s="47"/>
      <c r="C209" s="10">
        <f t="shared" si="2"/>
        <v>206</v>
      </c>
      <c r="D209" s="424"/>
      <c r="E209" s="425"/>
      <c r="F209" s="156"/>
      <c r="G209" s="156"/>
      <c r="H209" s="425"/>
      <c r="I209" s="426"/>
      <c r="J209" s="426">
        <f>Mantenimiento[[#This Row],[Kilometraje del Odómetro]]-I199</f>
        <v>0</v>
      </c>
      <c r="K209" s="426"/>
      <c r="L209" s="426"/>
      <c r="M209" s="425"/>
      <c r="N209" s="425"/>
      <c r="O209" s="425"/>
      <c r="P209" s="407"/>
      <c r="Q209" s="427"/>
      <c r="R209" s="425"/>
    </row>
    <row r="210" spans="1:18" ht="17" thickTop="1" x14ac:dyDescent="0.2">
      <c r="A210" s="47"/>
      <c r="C210" s="10">
        <f t="shared" si="2"/>
        <v>207</v>
      </c>
      <c r="D210" s="168"/>
      <c r="E210" s="169"/>
      <c r="F210" s="146"/>
      <c r="G210" s="146"/>
      <c r="H210" s="169"/>
      <c r="I210" s="292"/>
      <c r="J210" s="292">
        <f>Mantenimiento[[#This Row],[Kilometraje del Odómetro]]-I189</f>
        <v>0</v>
      </c>
      <c r="K210" s="292"/>
      <c r="L210" s="292"/>
      <c r="M210" s="169"/>
      <c r="N210" s="169"/>
      <c r="O210" s="169"/>
      <c r="P210" s="293"/>
      <c r="Q210" s="294"/>
      <c r="R210" s="169"/>
    </row>
    <row r="211" spans="1:18" ht="16" x14ac:dyDescent="0.2">
      <c r="A211" s="47"/>
      <c r="C211" s="10">
        <f t="shared" si="2"/>
        <v>208</v>
      </c>
      <c r="D211" s="193" t="s">
        <v>286</v>
      </c>
      <c r="E211" s="194" t="s">
        <v>219</v>
      </c>
      <c r="F211" s="195">
        <v>45197</v>
      </c>
      <c r="G211" s="195">
        <v>45197</v>
      </c>
      <c r="H211" s="194" t="s">
        <v>30</v>
      </c>
      <c r="I211" s="196">
        <v>6100</v>
      </c>
      <c r="J211" s="196">
        <f>Mantenimiento[[#This Row],[Kilometraje del Odómetro]]-I189</f>
        <v>6100</v>
      </c>
      <c r="K211" s="196"/>
      <c r="L211" s="196"/>
      <c r="M211" s="194" t="s">
        <v>173</v>
      </c>
      <c r="N211" s="194"/>
      <c r="O211" s="194" t="s">
        <v>477</v>
      </c>
      <c r="P211" s="197"/>
      <c r="Q211" s="198"/>
      <c r="R211" s="194"/>
    </row>
    <row r="212" spans="1:18" ht="16" x14ac:dyDescent="0.2">
      <c r="A212" s="47"/>
      <c r="C212" s="10">
        <f t="shared" ref="C212:C275" si="3">ROW(A209)</f>
        <v>209</v>
      </c>
      <c r="D212" s="193" t="s">
        <v>286</v>
      </c>
      <c r="E212" s="194" t="s">
        <v>219</v>
      </c>
      <c r="F212" s="195">
        <v>45258</v>
      </c>
      <c r="G212" s="195">
        <f>Mantenimiento[[#This Row],[Fecha Entrada]]</f>
        <v>45258</v>
      </c>
      <c r="H212" s="194" t="s">
        <v>30</v>
      </c>
      <c r="I212" s="196">
        <v>12110</v>
      </c>
      <c r="J212" s="196">
        <f>Mantenimiento[[#This Row],[Kilometraje del Odómetro]]-I211</f>
        <v>6010</v>
      </c>
      <c r="K212" s="196"/>
      <c r="L212" s="196"/>
      <c r="M212" s="194" t="s">
        <v>173</v>
      </c>
      <c r="N212" s="194"/>
      <c r="O212" s="194" t="s">
        <v>477</v>
      </c>
      <c r="P212" s="197"/>
      <c r="Q212" s="198"/>
      <c r="R212" s="194"/>
    </row>
    <row r="213" spans="1:18" ht="16" x14ac:dyDescent="0.2">
      <c r="A213" s="47"/>
      <c r="C213" s="10">
        <f t="shared" si="3"/>
        <v>210</v>
      </c>
      <c r="D213" s="193" t="s">
        <v>286</v>
      </c>
      <c r="E213" s="194" t="s">
        <v>219</v>
      </c>
      <c r="F213" s="195">
        <v>45300</v>
      </c>
      <c r="G213" s="195">
        <f>Mantenimiento[[#This Row],[Fecha Entrada]]</f>
        <v>45300</v>
      </c>
      <c r="H213" s="194" t="s">
        <v>30</v>
      </c>
      <c r="I213" s="196">
        <v>20270</v>
      </c>
      <c r="J213" s="196">
        <f>Mantenimiento[[#This Row],[Kilometraje del Odómetro]]-I212</f>
        <v>8160</v>
      </c>
      <c r="K213" s="196"/>
      <c r="L213" s="196"/>
      <c r="M213" s="194" t="s">
        <v>173</v>
      </c>
      <c r="N213" s="194"/>
      <c r="O213" s="194" t="s">
        <v>477</v>
      </c>
      <c r="P213" s="197"/>
      <c r="Q213" s="198"/>
      <c r="R213" s="194"/>
    </row>
    <row r="214" spans="1:18" ht="16" x14ac:dyDescent="0.2">
      <c r="A214" s="47"/>
      <c r="C214" s="10">
        <f t="shared" si="3"/>
        <v>211</v>
      </c>
      <c r="D214" s="193" t="s">
        <v>286</v>
      </c>
      <c r="E214" s="194" t="s">
        <v>219</v>
      </c>
      <c r="F214" s="195">
        <v>45336</v>
      </c>
      <c r="G214" s="195">
        <f>Mantenimiento[[#This Row],[Fecha Entrada]]</f>
        <v>45336</v>
      </c>
      <c r="H214" s="194" t="s">
        <v>30</v>
      </c>
      <c r="I214" s="196">
        <v>26391</v>
      </c>
      <c r="J214" s="196">
        <f>Mantenimiento[[#This Row],[Kilometraje del Odómetro]]-I213</f>
        <v>6121</v>
      </c>
      <c r="K214" s="196"/>
      <c r="L214" s="196"/>
      <c r="M214" s="194" t="s">
        <v>173</v>
      </c>
      <c r="N214" s="194"/>
      <c r="O214" s="194" t="s">
        <v>477</v>
      </c>
      <c r="P214" s="197"/>
      <c r="Q214" s="198"/>
      <c r="R214" s="194"/>
    </row>
    <row r="215" spans="1:18" ht="16" x14ac:dyDescent="0.2">
      <c r="A215" s="47"/>
      <c r="C215" s="10">
        <f t="shared" si="3"/>
        <v>212</v>
      </c>
      <c r="D215" s="193" t="s">
        <v>286</v>
      </c>
      <c r="E215" s="194" t="s">
        <v>219</v>
      </c>
      <c r="F215" s="195">
        <v>45372</v>
      </c>
      <c r="G215" s="195">
        <f>Mantenimiento[[#This Row],[Fecha Entrada]]</f>
        <v>45372</v>
      </c>
      <c r="H215" s="194" t="s">
        <v>30</v>
      </c>
      <c r="I215" s="196">
        <v>32547</v>
      </c>
      <c r="J215" s="196">
        <f>Mantenimiento[[#This Row],[Kilometraje del Odómetro]]-I214</f>
        <v>6156</v>
      </c>
      <c r="K215" s="196"/>
      <c r="L215" s="196"/>
      <c r="M215" s="194" t="s">
        <v>174</v>
      </c>
      <c r="N215" s="194"/>
      <c r="O215" s="194" t="s">
        <v>477</v>
      </c>
      <c r="P215" s="197"/>
      <c r="Q215" s="198"/>
      <c r="R215" s="194"/>
    </row>
    <row r="216" spans="1:18" ht="16" x14ac:dyDescent="0.2">
      <c r="A216" s="47"/>
      <c r="C216" s="10">
        <f t="shared" si="3"/>
        <v>213</v>
      </c>
      <c r="D216" s="193" t="s">
        <v>286</v>
      </c>
      <c r="E216" s="194" t="s">
        <v>219</v>
      </c>
      <c r="F216" s="195">
        <v>45403</v>
      </c>
      <c r="G216" s="195">
        <f>Mantenimiento[[#This Row],[Fecha Entrada]]</f>
        <v>45403</v>
      </c>
      <c r="H216" s="194" t="s">
        <v>30</v>
      </c>
      <c r="I216" s="196">
        <v>39357</v>
      </c>
      <c r="J216" s="196">
        <f>Mantenimiento[[#This Row],[Kilometraje del Odómetro]]-I215</f>
        <v>6810</v>
      </c>
      <c r="K216" s="196"/>
      <c r="L216" s="196"/>
      <c r="M216" s="194" t="s">
        <v>174</v>
      </c>
      <c r="N216" s="194"/>
      <c r="O216" s="194" t="s">
        <v>477</v>
      </c>
      <c r="P216" s="197"/>
      <c r="Q216" s="198"/>
      <c r="R216" s="194"/>
    </row>
    <row r="217" spans="1:18" ht="16" x14ac:dyDescent="0.2">
      <c r="A217" s="47"/>
      <c r="C217" s="10">
        <f t="shared" si="3"/>
        <v>214</v>
      </c>
      <c r="D217" s="193" t="s">
        <v>286</v>
      </c>
      <c r="E217" s="194" t="s">
        <v>219</v>
      </c>
      <c r="F217" s="195">
        <v>45470</v>
      </c>
      <c r="G217" s="195">
        <f>Mantenimiento[[#This Row],[Fecha Entrada]]</f>
        <v>45470</v>
      </c>
      <c r="H217" s="194" t="s">
        <v>30</v>
      </c>
      <c r="I217" s="196">
        <v>45985</v>
      </c>
      <c r="J217" s="196">
        <f>Mantenimiento[[#This Row],[Kilometraje del Odómetro]]-I216</f>
        <v>6628</v>
      </c>
      <c r="K217" s="196"/>
      <c r="L217" s="196"/>
      <c r="M217" s="194" t="s">
        <v>174</v>
      </c>
      <c r="N217" s="194"/>
      <c r="O217" s="194" t="s">
        <v>477</v>
      </c>
      <c r="P217" s="197"/>
      <c r="Q217" s="198"/>
      <c r="R217" s="194"/>
    </row>
    <row r="218" spans="1:18" ht="16" x14ac:dyDescent="0.2">
      <c r="A218" s="47"/>
      <c r="C218" s="10">
        <f t="shared" si="3"/>
        <v>215</v>
      </c>
      <c r="D218" s="193" t="s">
        <v>286</v>
      </c>
      <c r="E218" s="194" t="s">
        <v>219</v>
      </c>
      <c r="F218" s="195">
        <v>45526</v>
      </c>
      <c r="G218" s="195">
        <f>Mantenimiento[[#This Row],[Fecha Entrada]]</f>
        <v>45526</v>
      </c>
      <c r="H218" s="194" t="s">
        <v>30</v>
      </c>
      <c r="I218" s="196">
        <v>53970</v>
      </c>
      <c r="J218" s="196">
        <f>Mantenimiento[[#This Row],[Kilometraje del Odómetro]]-I217</f>
        <v>7985</v>
      </c>
      <c r="K218" s="196"/>
      <c r="L218" s="196"/>
      <c r="M218" s="194" t="s">
        <v>174</v>
      </c>
      <c r="N218" s="194"/>
      <c r="O218" s="194" t="s">
        <v>477</v>
      </c>
      <c r="P218" s="197"/>
      <c r="Q218" s="198"/>
      <c r="R218" s="194"/>
    </row>
    <row r="219" spans="1:18" ht="16" x14ac:dyDescent="0.2">
      <c r="A219" s="47"/>
      <c r="C219" s="10">
        <f t="shared" si="3"/>
        <v>216</v>
      </c>
      <c r="D219" s="193" t="s">
        <v>286</v>
      </c>
      <c r="E219" s="194" t="s">
        <v>219</v>
      </c>
      <c r="F219" s="195">
        <v>45605</v>
      </c>
      <c r="G219" s="195">
        <f>Mantenimiento[[#This Row],[Fecha Entrada]]</f>
        <v>45605</v>
      </c>
      <c r="H219" s="194" t="s">
        <v>30</v>
      </c>
      <c r="I219" s="196">
        <v>64998</v>
      </c>
      <c r="J219" s="196">
        <f>Mantenimiento[[#This Row],[Kilometraje del Odómetro]]-I218</f>
        <v>11028</v>
      </c>
      <c r="K219" s="196"/>
      <c r="L219" s="196"/>
      <c r="M219" s="194" t="s">
        <v>175</v>
      </c>
      <c r="N219" s="194"/>
      <c r="O219" s="194" t="s">
        <v>477</v>
      </c>
      <c r="P219" s="197"/>
      <c r="Q219" s="198"/>
      <c r="R219" s="194"/>
    </row>
    <row r="220" spans="1:18" ht="16" x14ac:dyDescent="0.2">
      <c r="A220" s="47"/>
      <c r="C220" s="10">
        <f t="shared" si="3"/>
        <v>217</v>
      </c>
      <c r="D220" s="193" t="s">
        <v>286</v>
      </c>
      <c r="E220" s="194" t="s">
        <v>219</v>
      </c>
      <c r="F220" s="195">
        <v>45659</v>
      </c>
      <c r="G220" s="195">
        <f>Mantenimiento[[#This Row],[Fecha Entrada]]</f>
        <v>45659</v>
      </c>
      <c r="H220" s="194" t="s">
        <v>30</v>
      </c>
      <c r="I220" s="196">
        <v>74003</v>
      </c>
      <c r="J220" s="196">
        <f>Mantenimiento[[#This Row],[Kilometraje del Odómetro]]-I219</f>
        <v>9005</v>
      </c>
      <c r="K220" s="196"/>
      <c r="L220" s="196">
        <v>2</v>
      </c>
      <c r="M220" s="194" t="s">
        <v>175</v>
      </c>
      <c r="N220" s="194"/>
      <c r="O220" s="194" t="s">
        <v>477</v>
      </c>
      <c r="P220" s="197"/>
      <c r="Q220" s="198"/>
      <c r="R220" s="194"/>
    </row>
    <row r="221" spans="1:18" ht="16" x14ac:dyDescent="0.2">
      <c r="A221" s="47"/>
      <c r="C221" s="10">
        <f t="shared" si="3"/>
        <v>218</v>
      </c>
      <c r="D221" s="193" t="s">
        <v>286</v>
      </c>
      <c r="E221" s="194" t="s">
        <v>219</v>
      </c>
      <c r="F221" s="195">
        <v>45704</v>
      </c>
      <c r="G221" s="195">
        <f>Mantenimiento[[#This Row],[Fecha Entrada]]</f>
        <v>45704</v>
      </c>
      <c r="H221" s="194" t="s">
        <v>30</v>
      </c>
      <c r="I221" s="259">
        <v>79910</v>
      </c>
      <c r="J221" s="259">
        <f>Mantenimiento[[#This Row],[Kilometraje del Odómetro]]-I220</f>
        <v>5907</v>
      </c>
      <c r="K221" s="259"/>
      <c r="L221" s="259">
        <v>2</v>
      </c>
      <c r="M221" s="194" t="s">
        <v>175</v>
      </c>
      <c r="N221" s="194"/>
      <c r="O221" s="194" t="s">
        <v>477</v>
      </c>
      <c r="P221" s="260"/>
      <c r="Q221" s="261"/>
      <c r="R221" s="194"/>
    </row>
    <row r="222" spans="1:18" ht="16" x14ac:dyDescent="0.2">
      <c r="A222" s="47"/>
      <c r="C222" s="10">
        <f t="shared" si="3"/>
        <v>219</v>
      </c>
      <c r="D222" s="193" t="s">
        <v>286</v>
      </c>
      <c r="E222" s="194" t="s">
        <v>219</v>
      </c>
      <c r="F222" s="195">
        <v>45413</v>
      </c>
      <c r="G222" s="195">
        <v>45413</v>
      </c>
      <c r="H222" s="194" t="s">
        <v>322</v>
      </c>
      <c r="I222" s="259">
        <v>39357</v>
      </c>
      <c r="J222" s="259"/>
      <c r="K222" s="259"/>
      <c r="L222" s="259"/>
      <c r="M222" s="194" t="s">
        <v>330</v>
      </c>
      <c r="N222" s="194"/>
      <c r="O222" s="194" t="s">
        <v>477</v>
      </c>
      <c r="P222" s="260"/>
      <c r="Q222" s="261"/>
      <c r="R222" s="194"/>
    </row>
    <row r="223" spans="1:18" ht="16" x14ac:dyDescent="0.2">
      <c r="A223" s="47"/>
      <c r="C223" s="10">
        <f t="shared" si="3"/>
        <v>220</v>
      </c>
      <c r="D223" s="193" t="s">
        <v>286</v>
      </c>
      <c r="E223" s="194" t="s">
        <v>219</v>
      </c>
      <c r="F223" s="195">
        <v>45764</v>
      </c>
      <c r="G223" s="195">
        <v>45764</v>
      </c>
      <c r="H223" s="194" t="s">
        <v>322</v>
      </c>
      <c r="I223" s="259">
        <v>85960</v>
      </c>
      <c r="J223" s="259"/>
      <c r="K223" s="259"/>
      <c r="L223" s="259"/>
      <c r="M223" s="194" t="s">
        <v>332</v>
      </c>
      <c r="N223" s="194"/>
      <c r="O223" s="194" t="s">
        <v>477</v>
      </c>
      <c r="P223" s="260"/>
      <c r="Q223" s="261"/>
      <c r="R223" s="194"/>
    </row>
    <row r="224" spans="1:18" ht="16" x14ac:dyDescent="0.2">
      <c r="A224" s="47"/>
      <c r="C224" s="10">
        <f t="shared" si="3"/>
        <v>221</v>
      </c>
      <c r="D224" s="193" t="s">
        <v>286</v>
      </c>
      <c r="E224" s="194" t="s">
        <v>219</v>
      </c>
      <c r="F224" s="195">
        <v>45764</v>
      </c>
      <c r="G224" s="195">
        <v>45764</v>
      </c>
      <c r="H224" s="194" t="s">
        <v>30</v>
      </c>
      <c r="I224" s="259">
        <v>85960</v>
      </c>
      <c r="J224" s="259">
        <f>Mantenimiento[[#This Row],[Kilometraje del Odómetro]]-I221</f>
        <v>6050</v>
      </c>
      <c r="K224" s="259"/>
      <c r="L224" s="259">
        <v>2</v>
      </c>
      <c r="M224" s="194" t="s">
        <v>175</v>
      </c>
      <c r="N224" s="194">
        <v>2025040020</v>
      </c>
      <c r="O224" s="194" t="s">
        <v>477</v>
      </c>
      <c r="P224" s="260"/>
      <c r="Q224" s="261"/>
      <c r="R224" s="194"/>
    </row>
    <row r="225" spans="1:18" ht="16" x14ac:dyDescent="0.2">
      <c r="A225" s="47"/>
      <c r="C225" s="10">
        <f t="shared" si="3"/>
        <v>222</v>
      </c>
      <c r="D225" s="193" t="s">
        <v>286</v>
      </c>
      <c r="E225" s="194" t="s">
        <v>219</v>
      </c>
      <c r="F225" s="195">
        <v>45821</v>
      </c>
      <c r="G225" s="195">
        <v>45821</v>
      </c>
      <c r="H225" s="194" t="s">
        <v>30</v>
      </c>
      <c r="I225" s="259">
        <v>91945</v>
      </c>
      <c r="J225" s="259">
        <f>Mantenimiento[[#This Row],[Kilometraje del Odómetro]]-I224</f>
        <v>5985</v>
      </c>
      <c r="K225" s="259"/>
      <c r="L225" s="259">
        <v>2</v>
      </c>
      <c r="M225" s="194" t="s">
        <v>175</v>
      </c>
      <c r="N225" s="194">
        <v>2025060038</v>
      </c>
      <c r="O225" s="194" t="s">
        <v>477</v>
      </c>
      <c r="P225" s="260"/>
      <c r="Q225" s="261"/>
      <c r="R225" s="194"/>
    </row>
    <row r="226" spans="1:18" ht="16" x14ac:dyDescent="0.2">
      <c r="A226" s="47"/>
      <c r="C226" s="10">
        <f t="shared" si="3"/>
        <v>223</v>
      </c>
      <c r="D226" s="193" t="s">
        <v>286</v>
      </c>
      <c r="E226" s="194" t="s">
        <v>219</v>
      </c>
      <c r="F226" s="195">
        <v>45882</v>
      </c>
      <c r="G226" s="195">
        <v>45882</v>
      </c>
      <c r="H226" s="194" t="s">
        <v>30</v>
      </c>
      <c r="I226" s="259">
        <v>98012</v>
      </c>
      <c r="J226" s="259">
        <f>Mantenimiento[[#This Row],[Kilometraje del Odómetro]]-I225</f>
        <v>6067</v>
      </c>
      <c r="K226" s="259"/>
      <c r="L226" s="259">
        <v>2</v>
      </c>
      <c r="M226" s="194" t="s">
        <v>175</v>
      </c>
      <c r="N226" s="194">
        <v>2025080017</v>
      </c>
      <c r="O226" s="194" t="s">
        <v>477</v>
      </c>
      <c r="P226" s="260"/>
      <c r="Q226" s="261"/>
      <c r="R226" s="194"/>
    </row>
    <row r="227" spans="1:18" ht="16" x14ac:dyDescent="0.2">
      <c r="A227" s="47"/>
      <c r="C227" s="10">
        <f t="shared" si="3"/>
        <v>224</v>
      </c>
      <c r="D227" s="193" t="s">
        <v>286</v>
      </c>
      <c r="E227" s="194" t="s">
        <v>219</v>
      </c>
      <c r="F227" s="195">
        <v>45936</v>
      </c>
      <c r="G227" s="195">
        <v>45936</v>
      </c>
      <c r="H227" s="194" t="s">
        <v>30</v>
      </c>
      <c r="I227" s="259">
        <v>104407</v>
      </c>
      <c r="J227" s="259">
        <f>Mantenimiento[[#This Row],[Kilometraje del Odómetro]]-I226</f>
        <v>6395</v>
      </c>
      <c r="K227" s="259"/>
      <c r="L227" s="259">
        <v>2</v>
      </c>
      <c r="M227" s="194" t="s">
        <v>175</v>
      </c>
      <c r="N227" s="194">
        <v>2025100639</v>
      </c>
      <c r="O227" s="194" t="s">
        <v>477</v>
      </c>
      <c r="P227" s="260"/>
      <c r="Q227" s="261"/>
      <c r="R227" s="194"/>
    </row>
    <row r="228" spans="1:18" ht="16" x14ac:dyDescent="0.2">
      <c r="A228" s="47"/>
      <c r="C228" s="10">
        <f t="shared" si="3"/>
        <v>225</v>
      </c>
      <c r="D228" s="193" t="s">
        <v>286</v>
      </c>
      <c r="E228" s="194" t="s">
        <v>219</v>
      </c>
      <c r="F228" s="195">
        <v>45945</v>
      </c>
      <c r="G228" s="195">
        <v>45945</v>
      </c>
      <c r="H228" s="194" t="s">
        <v>30</v>
      </c>
      <c r="I228" s="259">
        <v>104500</v>
      </c>
      <c r="J228" s="259"/>
      <c r="K228" s="259">
        <v>1</v>
      </c>
      <c r="L228" s="259"/>
      <c r="M228" s="194" t="s">
        <v>189</v>
      </c>
      <c r="N228" s="194">
        <v>2025100641</v>
      </c>
      <c r="O228" s="194" t="s">
        <v>500</v>
      </c>
      <c r="P228" s="260"/>
      <c r="Q228" s="261"/>
      <c r="R228" s="194"/>
    </row>
    <row r="229" spans="1:18" ht="16" x14ac:dyDescent="0.2">
      <c r="A229" s="47"/>
      <c r="C229" s="10">
        <f t="shared" si="3"/>
        <v>226</v>
      </c>
      <c r="D229" s="193" t="s">
        <v>286</v>
      </c>
      <c r="E229" s="194" t="s">
        <v>219</v>
      </c>
      <c r="F229" s="195">
        <v>45974</v>
      </c>
      <c r="G229" s="195">
        <v>45974</v>
      </c>
      <c r="H229" s="194" t="s">
        <v>30</v>
      </c>
      <c r="I229" s="259">
        <v>111097</v>
      </c>
      <c r="J229" s="259">
        <f>Mantenimiento[[#This Row],[Kilometraje del Odómetro]]-I227</f>
        <v>6690</v>
      </c>
      <c r="K229" s="259"/>
      <c r="L229" s="259">
        <v>2</v>
      </c>
      <c r="M229" s="194" t="s">
        <v>175</v>
      </c>
      <c r="N229" s="194">
        <v>2025110019</v>
      </c>
      <c r="O229" s="194" t="s">
        <v>477</v>
      </c>
      <c r="P229" s="260"/>
      <c r="Q229" s="261"/>
      <c r="R229" s="194"/>
    </row>
    <row r="230" spans="1:18" ht="16" x14ac:dyDescent="0.2">
      <c r="A230" s="47"/>
      <c r="C230" s="10">
        <f t="shared" si="3"/>
        <v>227</v>
      </c>
      <c r="D230" s="193" t="s">
        <v>286</v>
      </c>
      <c r="E230" s="194" t="s">
        <v>219</v>
      </c>
      <c r="F230" s="195">
        <v>45999</v>
      </c>
      <c r="G230" s="195">
        <v>45999</v>
      </c>
      <c r="H230" s="194" t="s">
        <v>31</v>
      </c>
      <c r="I230" s="259">
        <v>113075</v>
      </c>
      <c r="J230" s="259"/>
      <c r="K230" s="259">
        <v>30</v>
      </c>
      <c r="L230" s="259"/>
      <c r="M230" s="194" t="s">
        <v>189</v>
      </c>
      <c r="N230" s="194">
        <v>2025120652</v>
      </c>
      <c r="O230" s="194" t="s">
        <v>515</v>
      </c>
      <c r="P230" s="260"/>
      <c r="Q230" s="261"/>
      <c r="R230" s="194"/>
    </row>
    <row r="231" spans="1:18" ht="16" x14ac:dyDescent="0.2">
      <c r="A231" s="47"/>
      <c r="C231" s="10">
        <f t="shared" si="3"/>
        <v>228</v>
      </c>
      <c r="D231" s="193"/>
      <c r="E231" s="194"/>
      <c r="F231" s="195"/>
      <c r="G231" s="195"/>
      <c r="H231" s="194"/>
      <c r="I231" s="259"/>
      <c r="J231" s="259"/>
      <c r="K231" s="259"/>
      <c r="L231" s="259"/>
      <c r="M231" s="194"/>
      <c r="N231" s="194"/>
      <c r="O231" s="194"/>
      <c r="P231" s="260"/>
      <c r="Q231" s="261"/>
      <c r="R231" s="194"/>
    </row>
    <row r="232" spans="1:18" ht="16" x14ac:dyDescent="0.2">
      <c r="A232" s="47"/>
      <c r="C232" s="10">
        <f t="shared" si="3"/>
        <v>229</v>
      </c>
      <c r="D232" s="193"/>
      <c r="E232" s="194"/>
      <c r="F232" s="195"/>
      <c r="G232" s="195"/>
      <c r="H232" s="194"/>
      <c r="I232" s="259"/>
      <c r="J232" s="259"/>
      <c r="K232" s="259"/>
      <c r="L232" s="259"/>
      <c r="M232" s="194"/>
      <c r="N232" s="194"/>
      <c r="O232" s="194"/>
      <c r="P232" s="260"/>
      <c r="Q232" s="261"/>
      <c r="R232" s="194"/>
    </row>
    <row r="233" spans="1:18" ht="17" thickBot="1" x14ac:dyDescent="0.25">
      <c r="A233" s="47"/>
      <c r="C233" s="10">
        <f t="shared" si="3"/>
        <v>230</v>
      </c>
      <c r="D233" s="252"/>
      <c r="E233" s="253"/>
      <c r="F233" s="254"/>
      <c r="G233" s="254"/>
      <c r="H233" s="253"/>
      <c r="I233" s="255"/>
      <c r="J233" s="255"/>
      <c r="K233" s="255"/>
      <c r="L233" s="255"/>
      <c r="M233" s="253"/>
      <c r="N233" s="253"/>
      <c r="O233" s="253"/>
      <c r="P233" s="256"/>
      <c r="Q233" s="257"/>
      <c r="R233" s="253"/>
    </row>
    <row r="234" spans="1:18" ht="17" thickTop="1" x14ac:dyDescent="0.2">
      <c r="A234" s="47"/>
      <c r="C234" s="10">
        <f t="shared" si="3"/>
        <v>231</v>
      </c>
      <c r="D234" s="168"/>
      <c r="E234" s="169"/>
      <c r="F234" s="146"/>
      <c r="G234" s="146"/>
      <c r="H234" s="169"/>
      <c r="I234" s="170"/>
      <c r="J234" s="170">
        <f>Mantenimiento[[#This Row],[Kilometraje del Odómetro]]-I233</f>
        <v>0</v>
      </c>
      <c r="K234" s="170"/>
      <c r="L234" s="170"/>
      <c r="M234" s="169"/>
      <c r="N234" s="169"/>
      <c r="O234" s="169"/>
      <c r="P234" s="171"/>
      <c r="Q234" s="172"/>
      <c r="R234" s="169"/>
    </row>
    <row r="235" spans="1:18" ht="16" x14ac:dyDescent="0.2">
      <c r="A235" s="47"/>
      <c r="C235" s="10">
        <f t="shared" si="3"/>
        <v>232</v>
      </c>
      <c r="D235" s="71" t="s">
        <v>306</v>
      </c>
      <c r="E235" s="77" t="s">
        <v>219</v>
      </c>
      <c r="F235" s="78">
        <v>45242</v>
      </c>
      <c r="G235" s="78">
        <f>Mantenimiento[[#This Row],[Fecha Entrada]]</f>
        <v>45242</v>
      </c>
      <c r="H235" s="77" t="s">
        <v>30</v>
      </c>
      <c r="I235" s="79">
        <v>2</v>
      </c>
      <c r="J235" s="79">
        <f>Mantenimiento[[#This Row],[Kilometraje del Odómetro]]-I234</f>
        <v>2</v>
      </c>
      <c r="K235" s="79"/>
      <c r="L235" s="79"/>
      <c r="M235" s="77" t="s">
        <v>173</v>
      </c>
      <c r="N235" s="77"/>
      <c r="O235" s="77" t="s">
        <v>460</v>
      </c>
      <c r="P235" s="80"/>
      <c r="Q235" s="312"/>
      <c r="R235" s="77"/>
    </row>
    <row r="236" spans="1:18" ht="16" x14ac:dyDescent="0.2">
      <c r="A236" s="47"/>
      <c r="C236" s="10">
        <f t="shared" si="3"/>
        <v>233</v>
      </c>
      <c r="D236" s="71" t="s">
        <v>306</v>
      </c>
      <c r="E236" s="77" t="s">
        <v>219</v>
      </c>
      <c r="F236" s="78">
        <v>45401</v>
      </c>
      <c r="G236" s="78">
        <f>Mantenimiento[[#This Row],[Fecha Entrada]]</f>
        <v>45401</v>
      </c>
      <c r="H236" s="77" t="s">
        <v>30</v>
      </c>
      <c r="I236" s="79">
        <v>245</v>
      </c>
      <c r="J236" s="79">
        <f>Mantenimiento[[#This Row],[Kilometraje del Odómetro]]-I235</f>
        <v>243</v>
      </c>
      <c r="K236" s="79"/>
      <c r="L236" s="79"/>
      <c r="M236" s="77" t="s">
        <v>173</v>
      </c>
      <c r="N236" s="77"/>
      <c r="O236" s="77" t="s">
        <v>460</v>
      </c>
      <c r="P236" s="80"/>
      <c r="Q236" s="312"/>
      <c r="R236" s="77"/>
    </row>
    <row r="237" spans="1:18" ht="16" x14ac:dyDescent="0.2">
      <c r="A237" s="47"/>
      <c r="C237" s="10">
        <f t="shared" si="3"/>
        <v>234</v>
      </c>
      <c r="D237" s="71" t="s">
        <v>306</v>
      </c>
      <c r="E237" s="77" t="s">
        <v>219</v>
      </c>
      <c r="F237" s="78">
        <v>45475</v>
      </c>
      <c r="G237" s="78">
        <f>Mantenimiento[[#This Row],[Fecha Entrada]]</f>
        <v>45475</v>
      </c>
      <c r="H237" s="77" t="s">
        <v>30</v>
      </c>
      <c r="I237" s="79">
        <v>570</v>
      </c>
      <c r="J237" s="79">
        <f>Mantenimiento[[#This Row],[Kilometraje del Odómetro]]-I236</f>
        <v>325</v>
      </c>
      <c r="K237" s="79"/>
      <c r="L237" s="79"/>
      <c r="M237" s="77" t="s">
        <v>173</v>
      </c>
      <c r="N237" s="77"/>
      <c r="O237" s="77" t="s">
        <v>460</v>
      </c>
      <c r="P237" s="80"/>
      <c r="Q237" s="312"/>
      <c r="R237" s="77"/>
    </row>
    <row r="238" spans="1:18" ht="16" x14ac:dyDescent="0.2">
      <c r="A238" s="47"/>
      <c r="C238" s="10">
        <f t="shared" si="3"/>
        <v>235</v>
      </c>
      <c r="D238" s="71" t="s">
        <v>306</v>
      </c>
      <c r="E238" s="77" t="s">
        <v>219</v>
      </c>
      <c r="F238" s="78">
        <v>45507</v>
      </c>
      <c r="G238" s="78">
        <f>Mantenimiento[[#This Row],[Fecha Entrada]]</f>
        <v>45507</v>
      </c>
      <c r="H238" s="77" t="s">
        <v>30</v>
      </c>
      <c r="I238" s="79">
        <v>789</v>
      </c>
      <c r="J238" s="79">
        <f>Mantenimiento[[#This Row],[Kilometraje del Odómetro]]-I237</f>
        <v>219</v>
      </c>
      <c r="K238" s="79"/>
      <c r="L238" s="79"/>
      <c r="M238" s="77" t="s">
        <v>173</v>
      </c>
      <c r="N238" s="77"/>
      <c r="O238" s="77" t="s">
        <v>460</v>
      </c>
      <c r="P238" s="80"/>
      <c r="Q238" s="312"/>
      <c r="R238" s="77"/>
    </row>
    <row r="239" spans="1:18" ht="16" x14ac:dyDescent="0.2">
      <c r="A239" s="47"/>
      <c r="C239" s="10">
        <f t="shared" si="3"/>
        <v>236</v>
      </c>
      <c r="D239" s="71" t="s">
        <v>306</v>
      </c>
      <c r="E239" s="77" t="s">
        <v>219</v>
      </c>
      <c r="F239" s="78">
        <v>45571</v>
      </c>
      <c r="G239" s="78">
        <f>Mantenimiento[[#This Row],[Fecha Entrada]]</f>
        <v>45571</v>
      </c>
      <c r="H239" s="77" t="s">
        <v>30</v>
      </c>
      <c r="I239" s="79">
        <v>1004</v>
      </c>
      <c r="J239" s="79">
        <f>Mantenimiento[[#This Row],[Kilometraje del Odómetro]]-I238</f>
        <v>215</v>
      </c>
      <c r="K239" s="79"/>
      <c r="L239" s="79"/>
      <c r="M239" s="77" t="s">
        <v>173</v>
      </c>
      <c r="N239" s="77"/>
      <c r="O239" s="77" t="s">
        <v>460</v>
      </c>
      <c r="P239" s="80"/>
      <c r="Q239" s="312"/>
      <c r="R239" s="77"/>
    </row>
    <row r="240" spans="1:18" ht="16" x14ac:dyDescent="0.2">
      <c r="A240" s="47"/>
      <c r="C240" s="10">
        <f t="shared" si="3"/>
        <v>237</v>
      </c>
      <c r="D240" s="71" t="s">
        <v>306</v>
      </c>
      <c r="E240" s="77" t="s">
        <v>219</v>
      </c>
      <c r="F240" s="78">
        <v>45683</v>
      </c>
      <c r="G240" s="78">
        <f>Mantenimiento[[#This Row],[Fecha Entrada]]</f>
        <v>45683</v>
      </c>
      <c r="H240" s="77" t="s">
        <v>30</v>
      </c>
      <c r="I240" s="79">
        <v>1250</v>
      </c>
      <c r="J240" s="79">
        <f>Mantenimiento[[#This Row],[Kilometraje del Odómetro]]-I239</f>
        <v>246</v>
      </c>
      <c r="K240" s="79"/>
      <c r="L240" s="79">
        <v>1</v>
      </c>
      <c r="M240" s="77" t="s">
        <v>173</v>
      </c>
      <c r="N240" s="77"/>
      <c r="O240" s="77" t="s">
        <v>460</v>
      </c>
      <c r="P240" s="80"/>
      <c r="Q240" s="312"/>
      <c r="R240" s="77"/>
    </row>
    <row r="241" spans="1:18" ht="16" x14ac:dyDescent="0.2">
      <c r="A241" s="47"/>
      <c r="C241" s="10">
        <f t="shared" si="3"/>
        <v>238</v>
      </c>
      <c r="D241" s="71" t="s">
        <v>306</v>
      </c>
      <c r="E241" s="77" t="s">
        <v>219</v>
      </c>
      <c r="F241" s="78">
        <v>45737</v>
      </c>
      <c r="G241" s="78">
        <f>Mantenimiento[[#This Row],[Fecha Entrada]]</f>
        <v>45737</v>
      </c>
      <c r="H241" s="77" t="s">
        <v>30</v>
      </c>
      <c r="I241" s="79">
        <v>1479</v>
      </c>
      <c r="J241" s="79">
        <f>Mantenimiento[[#This Row],[Kilometraje del Odómetro]]-I240</f>
        <v>229</v>
      </c>
      <c r="K241" s="79"/>
      <c r="L241" s="79">
        <v>1</v>
      </c>
      <c r="M241" s="77" t="s">
        <v>173</v>
      </c>
      <c r="N241" s="77"/>
      <c r="O241" s="77" t="s">
        <v>460</v>
      </c>
      <c r="P241" s="80"/>
      <c r="Q241" s="312"/>
      <c r="R241" s="77"/>
    </row>
    <row r="242" spans="1:18" ht="16" x14ac:dyDescent="0.2">
      <c r="A242" s="47"/>
      <c r="C242" s="10">
        <f t="shared" si="3"/>
        <v>239</v>
      </c>
      <c r="D242" s="71" t="s">
        <v>306</v>
      </c>
      <c r="E242" s="77" t="s">
        <v>219</v>
      </c>
      <c r="F242" s="78">
        <v>45780</v>
      </c>
      <c r="G242" s="78">
        <v>45780</v>
      </c>
      <c r="H242" s="77" t="s">
        <v>30</v>
      </c>
      <c r="I242" s="79">
        <v>1732</v>
      </c>
      <c r="J242" s="79">
        <f>Mantenimiento[[#This Row],[Kilometraje del Odómetro]]-I241</f>
        <v>253</v>
      </c>
      <c r="K242" s="79"/>
      <c r="L242" s="79">
        <v>1</v>
      </c>
      <c r="M242" s="77" t="s">
        <v>173</v>
      </c>
      <c r="N242" s="77">
        <v>2025040047</v>
      </c>
      <c r="O242" s="77" t="s">
        <v>460</v>
      </c>
      <c r="P242" s="80"/>
      <c r="Q242" s="312"/>
      <c r="R242" s="77"/>
    </row>
    <row r="243" spans="1:18" ht="16" x14ac:dyDescent="0.2">
      <c r="A243" s="47"/>
      <c r="C243" s="10">
        <f t="shared" si="3"/>
        <v>240</v>
      </c>
      <c r="D243" s="71" t="s">
        <v>306</v>
      </c>
      <c r="E243" s="77" t="s">
        <v>219</v>
      </c>
      <c r="F243" s="78">
        <v>45821</v>
      </c>
      <c r="G243" s="78">
        <v>45821</v>
      </c>
      <c r="H243" s="77" t="s">
        <v>30</v>
      </c>
      <c r="I243" s="79">
        <v>2031</v>
      </c>
      <c r="J243" s="79">
        <f>Mantenimiento[[#This Row],[Kilometraje del Odómetro]]-I242</f>
        <v>299</v>
      </c>
      <c r="K243" s="79"/>
      <c r="L243" s="79">
        <v>1</v>
      </c>
      <c r="M243" s="77" t="s">
        <v>173</v>
      </c>
      <c r="N243" s="77">
        <v>2025060037</v>
      </c>
      <c r="O243" s="77" t="s">
        <v>460</v>
      </c>
      <c r="P243" s="80"/>
      <c r="Q243" s="312"/>
      <c r="R243" s="77"/>
    </row>
    <row r="244" spans="1:18" ht="16" x14ac:dyDescent="0.2">
      <c r="A244" s="47"/>
      <c r="C244" s="10">
        <f t="shared" si="3"/>
        <v>241</v>
      </c>
      <c r="D244" s="71" t="s">
        <v>306</v>
      </c>
      <c r="E244" s="77" t="s">
        <v>219</v>
      </c>
      <c r="F244" s="78">
        <v>45887</v>
      </c>
      <c r="G244" s="78">
        <v>45887</v>
      </c>
      <c r="H244" s="77" t="s">
        <v>30</v>
      </c>
      <c r="I244" s="79">
        <v>2165</v>
      </c>
      <c r="J244" s="79">
        <f>Mantenimiento[[#This Row],[Kilometraje del Odómetro]]-I243</f>
        <v>134</v>
      </c>
      <c r="K244" s="79"/>
      <c r="L244" s="79">
        <v>1</v>
      </c>
      <c r="M244" s="77" t="s">
        <v>173</v>
      </c>
      <c r="N244" s="77"/>
      <c r="O244" s="77" t="s">
        <v>460</v>
      </c>
      <c r="P244" s="80"/>
      <c r="Q244" s="312"/>
      <c r="R244" s="77"/>
    </row>
    <row r="245" spans="1:18" ht="16" x14ac:dyDescent="0.2">
      <c r="A245" s="47"/>
      <c r="C245" s="10">
        <f t="shared" si="3"/>
        <v>242</v>
      </c>
      <c r="D245" s="71"/>
      <c r="E245" s="77"/>
      <c r="F245" s="78"/>
      <c r="G245" s="78"/>
      <c r="H245" s="77"/>
      <c r="I245" s="79"/>
      <c r="J245" s="79"/>
      <c r="K245" s="79"/>
      <c r="L245" s="79"/>
      <c r="M245" s="77"/>
      <c r="N245" s="77"/>
      <c r="O245" s="77"/>
      <c r="P245" s="80"/>
      <c r="Q245" s="312"/>
      <c r="R245" s="77"/>
    </row>
    <row r="246" spans="1:18" ht="16" x14ac:dyDescent="0.2">
      <c r="A246" s="47"/>
      <c r="C246" s="10">
        <f t="shared" si="3"/>
        <v>243</v>
      </c>
      <c r="D246" s="71"/>
      <c r="E246" s="77"/>
      <c r="F246" s="78"/>
      <c r="G246" s="78"/>
      <c r="H246" s="77"/>
      <c r="I246" s="79"/>
      <c r="J246" s="79"/>
      <c r="K246" s="79"/>
      <c r="L246" s="79"/>
      <c r="M246" s="77"/>
      <c r="N246" s="77"/>
      <c r="O246" s="77"/>
      <c r="P246" s="80"/>
      <c r="Q246" s="312"/>
      <c r="R246" s="77"/>
    </row>
    <row r="247" spans="1:18" ht="17" thickBot="1" x14ac:dyDescent="0.25">
      <c r="A247" s="47"/>
      <c r="C247" s="10">
        <f t="shared" si="3"/>
        <v>244</v>
      </c>
      <c r="D247" s="234"/>
      <c r="E247" s="235"/>
      <c r="F247" s="236"/>
      <c r="G247" s="236"/>
      <c r="H247" s="235"/>
      <c r="I247" s="237"/>
      <c r="J247" s="237"/>
      <c r="K247" s="237"/>
      <c r="L247" s="237"/>
      <c r="M247" s="235"/>
      <c r="N247" s="235"/>
      <c r="O247" s="235"/>
      <c r="P247" s="238"/>
      <c r="Q247" s="299"/>
      <c r="R247" s="235"/>
    </row>
    <row r="248" spans="1:18" ht="17" thickTop="1" x14ac:dyDescent="0.2">
      <c r="A248" s="47"/>
      <c r="C248" s="10">
        <f t="shared" si="3"/>
        <v>245</v>
      </c>
      <c r="D248" s="168"/>
      <c r="E248" s="169"/>
      <c r="F248" s="146"/>
      <c r="G248" s="146"/>
      <c r="H248" s="169"/>
      <c r="I248" s="170"/>
      <c r="J248" s="170">
        <f>Mantenimiento[[#This Row],[Kilometraje del Odómetro]]-I247</f>
        <v>0</v>
      </c>
      <c r="K248" s="170"/>
      <c r="L248" s="170"/>
      <c r="M248" s="169"/>
      <c r="N248" s="169"/>
      <c r="O248" s="169"/>
      <c r="P248" s="171"/>
      <c r="Q248" s="172"/>
      <c r="R248" s="169"/>
    </row>
    <row r="249" spans="1:18" ht="16" x14ac:dyDescent="0.2">
      <c r="A249" s="47"/>
      <c r="C249" s="10">
        <f t="shared" si="3"/>
        <v>246</v>
      </c>
      <c r="D249" s="325" t="s">
        <v>307</v>
      </c>
      <c r="E249" s="326" t="s">
        <v>219</v>
      </c>
      <c r="F249" s="327">
        <v>43844</v>
      </c>
      <c r="G249" s="327">
        <f>Mantenimiento[[#This Row],[Fecha Entrada]]</f>
        <v>43844</v>
      </c>
      <c r="H249" s="326" t="s">
        <v>30</v>
      </c>
      <c r="I249" s="328">
        <v>1987</v>
      </c>
      <c r="J249" s="328"/>
      <c r="K249" s="328"/>
      <c r="L249" s="328"/>
      <c r="M249" s="326" t="s">
        <v>174</v>
      </c>
      <c r="N249" s="326"/>
      <c r="O249" s="326" t="s">
        <v>460</v>
      </c>
      <c r="P249" s="329"/>
      <c r="Q249" s="330"/>
      <c r="R249" s="326"/>
    </row>
    <row r="250" spans="1:18" ht="16" x14ac:dyDescent="0.2">
      <c r="A250" s="47"/>
      <c r="C250" s="10">
        <f t="shared" si="3"/>
        <v>247</v>
      </c>
      <c r="D250" s="325" t="s">
        <v>307</v>
      </c>
      <c r="E250" s="326" t="s">
        <v>219</v>
      </c>
      <c r="F250" s="327">
        <v>44550</v>
      </c>
      <c r="G250" s="327">
        <f>Mantenimiento[[#This Row],[Fecha Entrada]]</f>
        <v>44550</v>
      </c>
      <c r="H250" s="326" t="s">
        <v>30</v>
      </c>
      <c r="I250" s="328">
        <v>2199</v>
      </c>
      <c r="J250" s="328">
        <f>Mantenimiento[[#This Row],[Kilometraje del Odómetro]]-I249</f>
        <v>212</v>
      </c>
      <c r="K250" s="328"/>
      <c r="L250" s="328"/>
      <c r="M250" s="326" t="s">
        <v>174</v>
      </c>
      <c r="N250" s="326"/>
      <c r="O250" s="326" t="s">
        <v>460</v>
      </c>
      <c r="P250" s="329"/>
      <c r="Q250" s="330"/>
      <c r="R250" s="326"/>
    </row>
    <row r="251" spans="1:18" ht="16" x14ac:dyDescent="0.2">
      <c r="A251" s="47"/>
      <c r="C251" s="10">
        <f t="shared" si="3"/>
        <v>248</v>
      </c>
      <c r="D251" s="325" t="s">
        <v>307</v>
      </c>
      <c r="E251" s="326" t="s">
        <v>219</v>
      </c>
      <c r="F251" s="327">
        <v>44707</v>
      </c>
      <c r="G251" s="327">
        <f>Mantenimiento[[#This Row],[Fecha Entrada]]</f>
        <v>44707</v>
      </c>
      <c r="H251" s="326" t="s">
        <v>30</v>
      </c>
      <c r="I251" s="328">
        <v>2404</v>
      </c>
      <c r="J251" s="328">
        <f>Mantenimiento[[#This Row],[Kilometraje del Odómetro]]-I250</f>
        <v>205</v>
      </c>
      <c r="K251" s="328"/>
      <c r="L251" s="328"/>
      <c r="M251" s="326" t="s">
        <v>174</v>
      </c>
      <c r="N251" s="326"/>
      <c r="O251" s="326" t="s">
        <v>460</v>
      </c>
      <c r="P251" s="329"/>
      <c r="Q251" s="330"/>
      <c r="R251" s="326"/>
    </row>
    <row r="252" spans="1:18" ht="16" x14ac:dyDescent="0.2">
      <c r="A252" s="47"/>
      <c r="C252" s="10">
        <f t="shared" si="3"/>
        <v>249</v>
      </c>
      <c r="D252" s="325" t="s">
        <v>307</v>
      </c>
      <c r="E252" s="326" t="s">
        <v>219</v>
      </c>
      <c r="F252" s="327">
        <v>44858</v>
      </c>
      <c r="G252" s="327">
        <f>Mantenimiento[[#This Row],[Fecha Entrada]]</f>
        <v>44858</v>
      </c>
      <c r="H252" s="326" t="s">
        <v>30</v>
      </c>
      <c r="I252" s="328">
        <v>2674</v>
      </c>
      <c r="J252" s="328">
        <f>Mantenimiento[[#This Row],[Kilometraje del Odómetro]]-I251</f>
        <v>270</v>
      </c>
      <c r="K252" s="328"/>
      <c r="L252" s="328"/>
      <c r="M252" s="326" t="s">
        <v>174</v>
      </c>
      <c r="N252" s="326"/>
      <c r="O252" s="326" t="s">
        <v>460</v>
      </c>
      <c r="P252" s="329"/>
      <c r="Q252" s="330"/>
      <c r="R252" s="326"/>
    </row>
    <row r="253" spans="1:18" ht="16" x14ac:dyDescent="0.2">
      <c r="A253" s="47"/>
      <c r="C253" s="10">
        <f t="shared" si="3"/>
        <v>250</v>
      </c>
      <c r="D253" s="325" t="s">
        <v>307</v>
      </c>
      <c r="E253" s="326" t="s">
        <v>219</v>
      </c>
      <c r="F253" s="327">
        <v>44979</v>
      </c>
      <c r="G253" s="327">
        <f>Mantenimiento[[#This Row],[Fecha Entrada]]</f>
        <v>44979</v>
      </c>
      <c r="H253" s="326" t="s">
        <v>30</v>
      </c>
      <c r="I253" s="328">
        <v>2844</v>
      </c>
      <c r="J253" s="328">
        <f>Mantenimiento[[#This Row],[Kilometraje del Odómetro]]-I252</f>
        <v>170</v>
      </c>
      <c r="K253" s="328"/>
      <c r="L253" s="328"/>
      <c r="M253" s="326" t="s">
        <v>175</v>
      </c>
      <c r="N253" s="326"/>
      <c r="O253" s="326" t="s">
        <v>460</v>
      </c>
      <c r="P253" s="329"/>
      <c r="Q253" s="330"/>
      <c r="R253" s="326"/>
    </row>
    <row r="254" spans="1:18" ht="16" x14ac:dyDescent="0.2">
      <c r="A254" s="47"/>
      <c r="C254" s="10">
        <f t="shared" si="3"/>
        <v>251</v>
      </c>
      <c r="D254" s="325" t="s">
        <v>307</v>
      </c>
      <c r="E254" s="326" t="s">
        <v>219</v>
      </c>
      <c r="F254" s="327">
        <v>45383</v>
      </c>
      <c r="G254" s="327">
        <f>Mantenimiento[[#This Row],[Fecha Entrada]]</f>
        <v>45383</v>
      </c>
      <c r="H254" s="326" t="s">
        <v>30</v>
      </c>
      <c r="I254" s="328">
        <v>3099</v>
      </c>
      <c r="J254" s="328">
        <f>Mantenimiento[[#This Row],[Kilometraje del Odómetro]]-I253</f>
        <v>255</v>
      </c>
      <c r="K254" s="328"/>
      <c r="L254" s="328"/>
      <c r="M254" s="326" t="s">
        <v>175</v>
      </c>
      <c r="N254" s="326"/>
      <c r="O254" s="326" t="s">
        <v>460</v>
      </c>
      <c r="P254" s="329"/>
      <c r="Q254" s="330"/>
      <c r="R254" s="326"/>
    </row>
    <row r="255" spans="1:18" ht="16" x14ac:dyDescent="0.2">
      <c r="A255" s="47"/>
      <c r="C255" s="10">
        <f t="shared" si="3"/>
        <v>252</v>
      </c>
      <c r="D255" s="325" t="s">
        <v>307</v>
      </c>
      <c r="E255" s="326" t="s">
        <v>219</v>
      </c>
      <c r="F255" s="327">
        <v>45476</v>
      </c>
      <c r="G255" s="327">
        <f>Mantenimiento[[#This Row],[Fecha Entrada]]</f>
        <v>45476</v>
      </c>
      <c r="H255" s="326" t="s">
        <v>30</v>
      </c>
      <c r="I255" s="328">
        <v>3320</v>
      </c>
      <c r="J255" s="328">
        <f>Mantenimiento[[#This Row],[Kilometraje del Odómetro]]-I254</f>
        <v>221</v>
      </c>
      <c r="K255" s="328"/>
      <c r="L255" s="328"/>
      <c r="M255" s="326" t="s">
        <v>175</v>
      </c>
      <c r="N255" s="326"/>
      <c r="O255" s="326" t="s">
        <v>460</v>
      </c>
      <c r="P255" s="329"/>
      <c r="Q255" s="330"/>
      <c r="R255" s="326"/>
    </row>
    <row r="256" spans="1:18" ht="16" x14ac:dyDescent="0.2">
      <c r="A256" s="47"/>
      <c r="C256" s="10">
        <f t="shared" si="3"/>
        <v>253</v>
      </c>
      <c r="D256" s="325" t="s">
        <v>307</v>
      </c>
      <c r="E256" s="326" t="s">
        <v>219</v>
      </c>
      <c r="F256" s="327">
        <v>45554</v>
      </c>
      <c r="G256" s="327">
        <f>Mantenimiento[[#This Row],[Fecha Entrada]]</f>
        <v>45554</v>
      </c>
      <c r="H256" s="326" t="s">
        <v>30</v>
      </c>
      <c r="I256" s="328">
        <v>3598</v>
      </c>
      <c r="J256" s="328">
        <f>Mantenimiento[[#This Row],[Kilometraje del Odómetro]]-I255</f>
        <v>278</v>
      </c>
      <c r="K256" s="328"/>
      <c r="L256" s="328"/>
      <c r="M256" s="326" t="s">
        <v>175</v>
      </c>
      <c r="N256" s="326"/>
      <c r="O256" s="326" t="s">
        <v>460</v>
      </c>
      <c r="P256" s="329"/>
      <c r="Q256" s="330"/>
      <c r="R256" s="326"/>
    </row>
    <row r="257" spans="1:18" ht="16" x14ac:dyDescent="0.2">
      <c r="A257" s="47"/>
      <c r="C257" s="10">
        <f t="shared" si="3"/>
        <v>254</v>
      </c>
      <c r="D257" s="325" t="s">
        <v>307</v>
      </c>
      <c r="E257" s="326" t="s">
        <v>219</v>
      </c>
      <c r="F257" s="327">
        <v>45646</v>
      </c>
      <c r="G257" s="327">
        <f>Mantenimiento[[#This Row],[Fecha Entrada]]</f>
        <v>45646</v>
      </c>
      <c r="H257" s="326" t="s">
        <v>30</v>
      </c>
      <c r="I257" s="328">
        <v>3914</v>
      </c>
      <c r="J257" s="328">
        <f>Mantenimiento[[#This Row],[Kilometraje del Odómetro]]-I256</f>
        <v>316</v>
      </c>
      <c r="K257" s="328"/>
      <c r="L257" s="328"/>
      <c r="M257" s="326" t="s">
        <v>176</v>
      </c>
      <c r="N257" s="326"/>
      <c r="O257" s="326" t="s">
        <v>460</v>
      </c>
      <c r="P257" s="329"/>
      <c r="Q257" s="330"/>
      <c r="R257" s="326"/>
    </row>
    <row r="258" spans="1:18" ht="16" x14ac:dyDescent="0.2">
      <c r="A258" s="47"/>
      <c r="C258" s="10">
        <f t="shared" si="3"/>
        <v>255</v>
      </c>
      <c r="D258" s="325" t="s">
        <v>307</v>
      </c>
      <c r="E258" s="326" t="s">
        <v>219</v>
      </c>
      <c r="F258" s="327">
        <v>45707</v>
      </c>
      <c r="G258" s="327">
        <f>Mantenimiento[[#This Row],[Fecha Entrada]]</f>
        <v>45707</v>
      </c>
      <c r="H258" s="326" t="s">
        <v>30</v>
      </c>
      <c r="I258" s="328">
        <v>4142</v>
      </c>
      <c r="J258" s="328">
        <f>Mantenimiento[[#This Row],[Kilometraje del Odómetro]]-I257</f>
        <v>228</v>
      </c>
      <c r="K258" s="328"/>
      <c r="L258" s="328">
        <v>1</v>
      </c>
      <c r="M258" s="326" t="s">
        <v>176</v>
      </c>
      <c r="N258" s="326"/>
      <c r="O258" s="326" t="s">
        <v>460</v>
      </c>
      <c r="P258" s="329"/>
      <c r="Q258" s="330"/>
      <c r="R258" s="326"/>
    </row>
    <row r="259" spans="1:18" ht="16" x14ac:dyDescent="0.2">
      <c r="A259" s="47"/>
      <c r="C259" s="10">
        <f t="shared" si="3"/>
        <v>256</v>
      </c>
      <c r="D259" s="325" t="s">
        <v>307</v>
      </c>
      <c r="E259" s="326" t="s">
        <v>219</v>
      </c>
      <c r="F259" s="327">
        <v>45788</v>
      </c>
      <c r="G259" s="327">
        <v>45788</v>
      </c>
      <c r="H259" s="326" t="s">
        <v>30</v>
      </c>
      <c r="I259" s="328">
        <v>4393</v>
      </c>
      <c r="J259" s="328">
        <f>Mantenimiento[[#This Row],[Kilometraje del Odómetro]]-I258</f>
        <v>251</v>
      </c>
      <c r="K259" s="328"/>
      <c r="L259" s="328">
        <v>1</v>
      </c>
      <c r="M259" s="326" t="s">
        <v>176</v>
      </c>
      <c r="N259" s="326"/>
      <c r="O259" s="326" t="s">
        <v>460</v>
      </c>
      <c r="P259" s="329"/>
      <c r="Q259" s="330"/>
      <c r="R259" s="326"/>
    </row>
    <row r="260" spans="1:18" ht="16" x14ac:dyDescent="0.2">
      <c r="A260" s="47"/>
      <c r="C260" s="10">
        <f t="shared" si="3"/>
        <v>257</v>
      </c>
      <c r="D260" s="325" t="s">
        <v>307</v>
      </c>
      <c r="E260" s="326" t="s">
        <v>219</v>
      </c>
      <c r="F260" s="327">
        <v>45896</v>
      </c>
      <c r="G260" s="327">
        <v>45896</v>
      </c>
      <c r="H260" s="326" t="s">
        <v>30</v>
      </c>
      <c r="I260" s="328">
        <v>4640</v>
      </c>
      <c r="J260" s="328">
        <f>Mantenimiento[[#This Row],[Kilometraje del Odómetro]]-I259</f>
        <v>247</v>
      </c>
      <c r="K260" s="328"/>
      <c r="L260" s="328">
        <v>1</v>
      </c>
      <c r="M260" s="326" t="s">
        <v>176</v>
      </c>
      <c r="N260" s="326">
        <v>2025080048</v>
      </c>
      <c r="O260" s="326" t="s">
        <v>460</v>
      </c>
      <c r="P260" s="329"/>
      <c r="Q260" s="330"/>
      <c r="R260" s="326"/>
    </row>
    <row r="261" spans="1:18" ht="16" x14ac:dyDescent="0.2">
      <c r="A261" s="47"/>
      <c r="C261" s="10">
        <f t="shared" si="3"/>
        <v>258</v>
      </c>
      <c r="D261" s="325" t="s">
        <v>307</v>
      </c>
      <c r="E261" s="326" t="s">
        <v>219</v>
      </c>
      <c r="F261" s="327">
        <v>45986</v>
      </c>
      <c r="G261" s="327">
        <v>45986</v>
      </c>
      <c r="H261" s="326" t="s">
        <v>30</v>
      </c>
      <c r="I261" s="328">
        <v>4896</v>
      </c>
      <c r="J261" s="328">
        <f>Mantenimiento[[#This Row],[Kilometraje del Odómetro]]-I260</f>
        <v>256</v>
      </c>
      <c r="K261" s="328"/>
      <c r="L261" s="328">
        <v>1</v>
      </c>
      <c r="M261" s="326" t="s">
        <v>176</v>
      </c>
      <c r="N261" s="326">
        <v>2025110036</v>
      </c>
      <c r="O261" s="326" t="s">
        <v>504</v>
      </c>
      <c r="P261" s="329"/>
      <c r="Q261" s="330"/>
      <c r="R261" s="326"/>
    </row>
    <row r="262" spans="1:18" ht="16" x14ac:dyDescent="0.2">
      <c r="A262" s="47"/>
      <c r="C262" s="10">
        <f t="shared" si="3"/>
        <v>259</v>
      </c>
      <c r="D262" s="325"/>
      <c r="E262" s="326"/>
      <c r="F262" s="327"/>
      <c r="G262" s="327"/>
      <c r="H262" s="326"/>
      <c r="I262" s="328"/>
      <c r="J262" s="328"/>
      <c r="K262" s="328"/>
      <c r="L262" s="328"/>
      <c r="M262" s="326"/>
      <c r="N262" s="326"/>
      <c r="O262" s="326"/>
      <c r="P262" s="329"/>
      <c r="Q262" s="330"/>
      <c r="R262" s="326"/>
    </row>
    <row r="263" spans="1:18" ht="17" thickBot="1" x14ac:dyDescent="0.25">
      <c r="A263" s="47"/>
      <c r="C263" s="10">
        <f t="shared" si="3"/>
        <v>260</v>
      </c>
      <c r="D263" s="313"/>
      <c r="E263" s="314"/>
      <c r="F263" s="315"/>
      <c r="G263" s="315"/>
      <c r="H263" s="314"/>
      <c r="I263" s="316"/>
      <c r="J263" s="316"/>
      <c r="K263" s="316"/>
      <c r="L263" s="316"/>
      <c r="M263" s="314"/>
      <c r="N263" s="314"/>
      <c r="O263" s="314"/>
      <c r="P263" s="317"/>
      <c r="Q263" s="318"/>
      <c r="R263" s="314"/>
    </row>
    <row r="264" spans="1:18" ht="17" thickTop="1" x14ac:dyDescent="0.2">
      <c r="A264" s="47"/>
      <c r="C264" s="10">
        <f t="shared" si="3"/>
        <v>261</v>
      </c>
      <c r="D264" s="168"/>
      <c r="E264" s="169"/>
      <c r="F264" s="146"/>
      <c r="G264" s="146"/>
      <c r="H264" s="169"/>
      <c r="I264" s="170"/>
      <c r="J264" s="170">
        <f>Mantenimiento[[#This Row],[Kilometraje del Odómetro]]-I263</f>
        <v>0</v>
      </c>
      <c r="K264" s="170"/>
      <c r="L264" s="170"/>
      <c r="M264" s="169"/>
      <c r="N264" s="169"/>
      <c r="O264" s="169"/>
      <c r="P264" s="171"/>
      <c r="Q264" s="172"/>
      <c r="R264" s="169"/>
    </row>
    <row r="265" spans="1:18" ht="16" x14ac:dyDescent="0.2">
      <c r="A265" s="47"/>
      <c r="C265" s="10">
        <f t="shared" si="3"/>
        <v>262</v>
      </c>
      <c r="D265" s="319" t="s">
        <v>308</v>
      </c>
      <c r="E265" s="320" t="s">
        <v>219</v>
      </c>
      <c r="F265" s="321">
        <v>45621</v>
      </c>
      <c r="G265" s="321">
        <v>45621</v>
      </c>
      <c r="H265" s="320" t="s">
        <v>30</v>
      </c>
      <c r="I265" s="322">
        <v>1</v>
      </c>
      <c r="J265" s="322">
        <f>Mantenimiento[[#This Row],[Kilometraje del Odómetro]]-I264</f>
        <v>1</v>
      </c>
      <c r="K265" s="322"/>
      <c r="L265" s="322"/>
      <c r="M265" s="320" t="s">
        <v>173</v>
      </c>
      <c r="N265" s="320"/>
      <c r="O265" s="320" t="s">
        <v>460</v>
      </c>
      <c r="P265" s="323"/>
      <c r="Q265" s="324"/>
      <c r="R265" s="320"/>
    </row>
    <row r="266" spans="1:18" ht="16" x14ac:dyDescent="0.2">
      <c r="A266" s="47"/>
      <c r="C266" s="10">
        <f t="shared" si="3"/>
        <v>263</v>
      </c>
      <c r="D266" s="319" t="s">
        <v>308</v>
      </c>
      <c r="E266" s="320" t="s">
        <v>219</v>
      </c>
      <c r="F266" s="321">
        <v>45669</v>
      </c>
      <c r="G266" s="321">
        <v>45669</v>
      </c>
      <c r="H266" s="320" t="s">
        <v>30</v>
      </c>
      <c r="I266" s="322">
        <v>271</v>
      </c>
      <c r="J266" s="322">
        <f>Mantenimiento[[#This Row],[Kilometraje del Odómetro]]-I265</f>
        <v>270</v>
      </c>
      <c r="K266" s="322"/>
      <c r="L266" s="322">
        <v>1</v>
      </c>
      <c r="M266" s="320" t="s">
        <v>173</v>
      </c>
      <c r="N266" s="320"/>
      <c r="O266" s="320" t="s">
        <v>460</v>
      </c>
      <c r="P266" s="323"/>
      <c r="Q266" s="324"/>
      <c r="R266" s="320"/>
    </row>
    <row r="267" spans="1:18" ht="16" x14ac:dyDescent="0.2">
      <c r="A267" s="47"/>
      <c r="C267" s="10">
        <f t="shared" si="3"/>
        <v>264</v>
      </c>
      <c r="D267" s="319" t="s">
        <v>308</v>
      </c>
      <c r="E267" s="320" t="s">
        <v>219</v>
      </c>
      <c r="F267" s="321">
        <v>45786</v>
      </c>
      <c r="G267" s="321">
        <v>45786</v>
      </c>
      <c r="H267" s="320" t="s">
        <v>30</v>
      </c>
      <c r="I267" s="322">
        <v>483</v>
      </c>
      <c r="J267" s="322">
        <f>Mantenimiento[[#This Row],[Kilometraje del Odómetro]]-I266</f>
        <v>212</v>
      </c>
      <c r="K267" s="322"/>
      <c r="L267" s="322">
        <v>1</v>
      </c>
      <c r="M267" s="320" t="s">
        <v>173</v>
      </c>
      <c r="N267" s="320"/>
      <c r="O267" s="320" t="s">
        <v>460</v>
      </c>
      <c r="P267" s="323"/>
      <c r="Q267" s="324"/>
      <c r="R267" s="320"/>
    </row>
    <row r="268" spans="1:18" ht="16" x14ac:dyDescent="0.2">
      <c r="A268" s="47"/>
      <c r="C268" s="10">
        <f t="shared" si="3"/>
        <v>265</v>
      </c>
      <c r="D268" s="319" t="s">
        <v>308</v>
      </c>
      <c r="E268" s="320" t="s">
        <v>219</v>
      </c>
      <c r="F268" s="321">
        <v>45832</v>
      </c>
      <c r="G268" s="321">
        <v>45832</v>
      </c>
      <c r="H268" s="320" t="s">
        <v>30</v>
      </c>
      <c r="I268" s="322">
        <v>745</v>
      </c>
      <c r="J268" s="322">
        <f>Mantenimiento[[#This Row],[Kilometraje del Odómetro]]-I267</f>
        <v>262</v>
      </c>
      <c r="K268" s="322"/>
      <c r="L268" s="322">
        <v>1</v>
      </c>
      <c r="M268" s="320" t="s">
        <v>173</v>
      </c>
      <c r="N268" s="320"/>
      <c r="O268" s="320" t="s">
        <v>460</v>
      </c>
      <c r="P268" s="323"/>
      <c r="Q268" s="324"/>
      <c r="R268" s="320"/>
    </row>
    <row r="269" spans="1:18" ht="16" x14ac:dyDescent="0.2">
      <c r="A269" s="47"/>
      <c r="C269" s="10">
        <f t="shared" si="3"/>
        <v>266</v>
      </c>
      <c r="D269" s="319" t="s">
        <v>308</v>
      </c>
      <c r="E269" s="320" t="s">
        <v>219</v>
      </c>
      <c r="F269" s="321">
        <v>45884</v>
      </c>
      <c r="G269" s="321">
        <v>45884</v>
      </c>
      <c r="H269" s="320" t="s">
        <v>30</v>
      </c>
      <c r="I269" s="322">
        <v>969</v>
      </c>
      <c r="J269" s="322">
        <f>Mantenimiento[[#This Row],[Kilometraje del Odómetro]]-I268</f>
        <v>224</v>
      </c>
      <c r="K269" s="322"/>
      <c r="L269" s="322">
        <v>1</v>
      </c>
      <c r="M269" s="320" t="s">
        <v>173</v>
      </c>
      <c r="N269" s="320">
        <v>2025080020</v>
      </c>
      <c r="O269" s="320" t="s">
        <v>460</v>
      </c>
      <c r="P269" s="323"/>
      <c r="Q269" s="324"/>
      <c r="R269" s="320"/>
    </row>
    <row r="270" spans="1:18" ht="16" x14ac:dyDescent="0.2">
      <c r="A270" s="47"/>
      <c r="C270" s="10">
        <f t="shared" si="3"/>
        <v>267</v>
      </c>
      <c r="D270" s="319" t="s">
        <v>308</v>
      </c>
      <c r="E270" s="320" t="s">
        <v>219</v>
      </c>
      <c r="F270" s="321">
        <v>45911</v>
      </c>
      <c r="G270" s="321">
        <v>45911</v>
      </c>
      <c r="H270" s="320" t="s">
        <v>31</v>
      </c>
      <c r="I270" s="322">
        <v>1129</v>
      </c>
      <c r="J270" s="322"/>
      <c r="K270" s="322">
        <v>1</v>
      </c>
      <c r="L270" s="322"/>
      <c r="M270" s="320" t="s">
        <v>189</v>
      </c>
      <c r="N270" s="320"/>
      <c r="O270" s="320" t="s">
        <v>430</v>
      </c>
      <c r="P270" s="323"/>
      <c r="Q270" s="324"/>
      <c r="R270" s="320"/>
    </row>
    <row r="271" spans="1:18" ht="16" x14ac:dyDescent="0.2">
      <c r="A271" s="47"/>
      <c r="C271" s="10">
        <f t="shared" si="3"/>
        <v>268</v>
      </c>
      <c r="D271" s="319" t="s">
        <v>308</v>
      </c>
      <c r="E271" s="320" t="s">
        <v>219</v>
      </c>
      <c r="F271" s="321">
        <v>45916</v>
      </c>
      <c r="G271" s="321">
        <v>45916</v>
      </c>
      <c r="H271" s="320" t="s">
        <v>31</v>
      </c>
      <c r="I271" s="322">
        <v>1180</v>
      </c>
      <c r="J271" s="322"/>
      <c r="K271" s="322">
        <v>1</v>
      </c>
      <c r="L271" s="322"/>
      <c r="M271" s="320" t="s">
        <v>189</v>
      </c>
      <c r="N271" s="320"/>
      <c r="O271" s="320" t="s">
        <v>455</v>
      </c>
      <c r="P271" s="323"/>
      <c r="Q271" s="324"/>
      <c r="R271" s="320"/>
    </row>
    <row r="272" spans="1:18" ht="16" x14ac:dyDescent="0.2">
      <c r="A272" s="47"/>
      <c r="C272" s="10">
        <f t="shared" si="3"/>
        <v>269</v>
      </c>
      <c r="D272" s="319" t="s">
        <v>308</v>
      </c>
      <c r="E272" s="320" t="s">
        <v>219</v>
      </c>
      <c r="F272" s="321">
        <v>45918</v>
      </c>
      <c r="G272" s="321">
        <v>45918</v>
      </c>
      <c r="H272" s="320" t="s">
        <v>31</v>
      </c>
      <c r="I272" s="322">
        <v>1200</v>
      </c>
      <c r="J272" s="322"/>
      <c r="K272" s="545">
        <v>0.75</v>
      </c>
      <c r="L272" s="322"/>
      <c r="M272" s="320" t="s">
        <v>190</v>
      </c>
      <c r="N272" s="320"/>
      <c r="O272" s="320" t="s">
        <v>433</v>
      </c>
      <c r="P272" s="323"/>
      <c r="Q272" s="324"/>
      <c r="R272" s="320"/>
    </row>
    <row r="273" spans="1:18" ht="16" x14ac:dyDescent="0.2">
      <c r="A273" s="47"/>
      <c r="C273" s="10">
        <f t="shared" si="3"/>
        <v>270</v>
      </c>
      <c r="D273" s="319" t="s">
        <v>308</v>
      </c>
      <c r="E273" s="320" t="s">
        <v>219</v>
      </c>
      <c r="F273" s="321">
        <v>45922</v>
      </c>
      <c r="G273" s="321">
        <v>45922</v>
      </c>
      <c r="H273" s="320" t="s">
        <v>31</v>
      </c>
      <c r="I273" s="322">
        <v>1218</v>
      </c>
      <c r="J273" s="322"/>
      <c r="K273" s="545">
        <v>0.75</v>
      </c>
      <c r="L273" s="322"/>
      <c r="M273" s="320" t="s">
        <v>189</v>
      </c>
      <c r="N273" s="320">
        <v>2025091194</v>
      </c>
      <c r="O273" s="320" t="s">
        <v>450</v>
      </c>
      <c r="P273" s="323"/>
      <c r="Q273" s="324"/>
      <c r="R273" s="320"/>
    </row>
    <row r="274" spans="1:18" ht="16" x14ac:dyDescent="0.2">
      <c r="A274" s="47"/>
      <c r="C274" s="10">
        <f t="shared" si="3"/>
        <v>271</v>
      </c>
      <c r="D274" s="319" t="s">
        <v>308</v>
      </c>
      <c r="E274" s="320" t="s">
        <v>219</v>
      </c>
      <c r="F274" s="321">
        <v>45924</v>
      </c>
      <c r="G274" s="321">
        <v>45924</v>
      </c>
      <c r="H274" s="320" t="s">
        <v>30</v>
      </c>
      <c r="I274" s="322">
        <v>1224</v>
      </c>
      <c r="J274" s="322">
        <f>Mantenimiento[[#This Row],[Kilometraje del Odómetro]]-I269</f>
        <v>255</v>
      </c>
      <c r="K274" s="322"/>
      <c r="L274" s="322">
        <v>1</v>
      </c>
      <c r="M274" s="320" t="s">
        <v>173</v>
      </c>
      <c r="N274" s="320">
        <v>2025090040</v>
      </c>
      <c r="O274" s="320" t="s">
        <v>460</v>
      </c>
      <c r="P274" s="323"/>
      <c r="Q274" s="324"/>
      <c r="R274" s="320"/>
    </row>
    <row r="275" spans="1:18" ht="16" x14ac:dyDescent="0.2">
      <c r="A275" s="47"/>
      <c r="C275" s="10">
        <f t="shared" si="3"/>
        <v>272</v>
      </c>
      <c r="D275" s="319" t="s">
        <v>308</v>
      </c>
      <c r="E275" s="320" t="s">
        <v>219</v>
      </c>
      <c r="F275" s="321">
        <v>45929</v>
      </c>
      <c r="G275" s="321">
        <v>45929</v>
      </c>
      <c r="H275" s="320" t="s">
        <v>31</v>
      </c>
      <c r="I275" s="322">
        <v>1250</v>
      </c>
      <c r="J275" s="322"/>
      <c r="K275" s="545">
        <v>0.5</v>
      </c>
      <c r="L275" s="322"/>
      <c r="M275" s="320" t="s">
        <v>189</v>
      </c>
      <c r="N275" s="320">
        <v>2025091206</v>
      </c>
      <c r="O275" s="320" t="s">
        <v>450</v>
      </c>
      <c r="P275" s="323"/>
      <c r="Q275" s="324"/>
      <c r="R275" s="320"/>
    </row>
    <row r="276" spans="1:18" ht="16" x14ac:dyDescent="0.2">
      <c r="A276" s="47"/>
      <c r="C276" s="10">
        <f t="shared" ref="C276:C342" si="4">ROW(A273)</f>
        <v>273</v>
      </c>
      <c r="D276" s="319" t="s">
        <v>308</v>
      </c>
      <c r="E276" s="320" t="s">
        <v>219</v>
      </c>
      <c r="F276" s="321">
        <v>45952</v>
      </c>
      <c r="G276" s="321">
        <v>45952</v>
      </c>
      <c r="H276" s="320" t="s">
        <v>30</v>
      </c>
      <c r="I276" s="322">
        <v>1491</v>
      </c>
      <c r="J276" s="322">
        <f>Mantenimiento[[#This Row],[Kilometraje del Odómetro]]-I274</f>
        <v>267</v>
      </c>
      <c r="K276" s="322"/>
      <c r="L276" s="322">
        <v>1</v>
      </c>
      <c r="M276" s="320" t="s">
        <v>174</v>
      </c>
      <c r="N276" s="320">
        <v>2025100037</v>
      </c>
      <c r="O276" s="320" t="s">
        <v>460</v>
      </c>
      <c r="P276" s="323"/>
      <c r="Q276" s="324"/>
      <c r="R276" s="320"/>
    </row>
    <row r="277" spans="1:18" ht="16" x14ac:dyDescent="0.2">
      <c r="A277" s="47"/>
      <c r="C277" s="10">
        <f t="shared" si="4"/>
        <v>274</v>
      </c>
      <c r="D277" s="319" t="s">
        <v>308</v>
      </c>
      <c r="E277" s="320" t="s">
        <v>219</v>
      </c>
      <c r="F277" s="321">
        <v>45963</v>
      </c>
      <c r="G277" s="321">
        <v>45963</v>
      </c>
      <c r="H277" s="320" t="s">
        <v>31</v>
      </c>
      <c r="I277" s="322">
        <v>1588</v>
      </c>
      <c r="J277" s="322"/>
      <c r="K277" s="545">
        <v>0.5</v>
      </c>
      <c r="L277" s="322"/>
      <c r="M277" s="320" t="s">
        <v>190</v>
      </c>
      <c r="N277" s="320">
        <v>2025111264</v>
      </c>
      <c r="O277" s="320" t="s">
        <v>495</v>
      </c>
      <c r="P277" s="323"/>
      <c r="Q277" s="324"/>
      <c r="R277" s="320"/>
    </row>
    <row r="278" spans="1:18" ht="16" x14ac:dyDescent="0.2">
      <c r="A278" s="47"/>
      <c r="C278" s="10">
        <f t="shared" si="4"/>
        <v>275</v>
      </c>
      <c r="D278" s="319" t="s">
        <v>308</v>
      </c>
      <c r="E278" s="320" t="s">
        <v>219</v>
      </c>
      <c r="F278" s="321">
        <v>45973</v>
      </c>
      <c r="G278" s="321">
        <v>45973</v>
      </c>
      <c r="H278" s="320" t="s">
        <v>31</v>
      </c>
      <c r="I278" s="322">
        <v>1667</v>
      </c>
      <c r="J278" s="322"/>
      <c r="K278" s="322">
        <v>1</v>
      </c>
      <c r="L278" s="322"/>
      <c r="M278" s="320" t="s">
        <v>189</v>
      </c>
      <c r="N278" s="320">
        <v>2025111282</v>
      </c>
      <c r="O278" s="320" t="s">
        <v>498</v>
      </c>
      <c r="P278" s="323"/>
      <c r="Q278" s="324"/>
      <c r="R278" s="320"/>
    </row>
    <row r="279" spans="1:18" ht="16" x14ac:dyDescent="0.2">
      <c r="A279" s="47"/>
      <c r="C279" s="10">
        <f t="shared" si="4"/>
        <v>276</v>
      </c>
      <c r="D279" s="319" t="s">
        <v>308</v>
      </c>
      <c r="E279" s="320" t="s">
        <v>219</v>
      </c>
      <c r="F279" s="321">
        <v>45979</v>
      </c>
      <c r="G279" s="321">
        <v>45979</v>
      </c>
      <c r="H279" s="320" t="s">
        <v>30</v>
      </c>
      <c r="I279" s="322">
        <v>1744</v>
      </c>
      <c r="J279" s="322">
        <f>Mantenimiento[[#This Row],[Kilometraje del Odómetro]]-I276</f>
        <v>253</v>
      </c>
      <c r="K279" s="322"/>
      <c r="L279" s="322">
        <v>1</v>
      </c>
      <c r="M279" s="320" t="s">
        <v>173</v>
      </c>
      <c r="N279" s="320">
        <v>2025111291</v>
      </c>
      <c r="O279" s="320" t="s">
        <v>460</v>
      </c>
      <c r="P279" s="323"/>
      <c r="Q279" s="324"/>
      <c r="R279" s="320"/>
    </row>
    <row r="280" spans="1:18" ht="16" x14ac:dyDescent="0.2">
      <c r="A280" s="47"/>
      <c r="C280" s="10">
        <f t="shared" si="4"/>
        <v>277</v>
      </c>
      <c r="D280" s="319" t="s">
        <v>308</v>
      </c>
      <c r="E280" s="320" t="s">
        <v>219</v>
      </c>
      <c r="F280" s="321">
        <v>46008</v>
      </c>
      <c r="G280" s="321">
        <v>46008</v>
      </c>
      <c r="H280" s="320" t="s">
        <v>31</v>
      </c>
      <c r="I280" s="322">
        <v>2022</v>
      </c>
      <c r="J280" s="322"/>
      <c r="K280" s="322">
        <v>1</v>
      </c>
      <c r="L280" s="322"/>
      <c r="M280" s="320" t="s">
        <v>189</v>
      </c>
      <c r="N280" s="320">
        <v>2025121339</v>
      </c>
      <c r="O280" s="320" t="s">
        <v>521</v>
      </c>
      <c r="P280" s="323"/>
      <c r="Q280" s="324"/>
      <c r="R280" s="320"/>
    </row>
    <row r="281" spans="1:18" ht="16" x14ac:dyDescent="0.2">
      <c r="A281" s="47"/>
      <c r="C281" s="10">
        <f>ROW(A278)</f>
        <v>278</v>
      </c>
      <c r="D281" s="319" t="s">
        <v>308</v>
      </c>
      <c r="E281" s="320" t="s">
        <v>219</v>
      </c>
      <c r="F281" s="321">
        <v>46015</v>
      </c>
      <c r="G281" s="321">
        <v>46015</v>
      </c>
      <c r="H281" s="320" t="s">
        <v>30</v>
      </c>
      <c r="I281" s="322">
        <v>2060</v>
      </c>
      <c r="J281" s="322"/>
      <c r="K281" s="322"/>
      <c r="L281" s="322">
        <v>1</v>
      </c>
      <c r="M281" s="320" t="s">
        <v>173</v>
      </c>
      <c r="N281" s="320">
        <v>2025120044</v>
      </c>
      <c r="O281" s="320" t="s">
        <v>460</v>
      </c>
      <c r="P281" s="323"/>
      <c r="Q281" s="324"/>
      <c r="R281" s="320"/>
    </row>
    <row r="282" spans="1:18" ht="16" x14ac:dyDescent="0.2">
      <c r="A282" s="47"/>
      <c r="C282" s="10">
        <f>ROW(A278)</f>
        <v>278</v>
      </c>
      <c r="D282" s="319"/>
      <c r="E282" s="320"/>
      <c r="F282" s="321"/>
      <c r="G282" s="321"/>
      <c r="H282" s="320"/>
      <c r="I282" s="322"/>
      <c r="J282" s="322"/>
      <c r="K282" s="322"/>
      <c r="L282" s="322"/>
      <c r="M282" s="320"/>
      <c r="N282" s="320"/>
      <c r="O282" s="320"/>
      <c r="P282" s="323"/>
      <c r="Q282" s="324"/>
      <c r="R282" s="320"/>
    </row>
    <row r="283" spans="1:18" ht="16" x14ac:dyDescent="0.2">
      <c r="A283" s="47"/>
      <c r="C283" s="10">
        <f>ROW(A278)</f>
        <v>278</v>
      </c>
      <c r="D283" s="319"/>
      <c r="E283" s="320"/>
      <c r="F283" s="321"/>
      <c r="G283" s="321"/>
      <c r="H283" s="320"/>
      <c r="I283" s="322"/>
      <c r="J283" s="322"/>
      <c r="K283" s="322"/>
      <c r="L283" s="322"/>
      <c r="M283" s="320"/>
      <c r="N283" s="320"/>
      <c r="O283" s="320"/>
      <c r="P283" s="323"/>
      <c r="Q283" s="324"/>
      <c r="R283" s="320"/>
    </row>
    <row r="284" spans="1:18" ht="17" thickBot="1" x14ac:dyDescent="0.25">
      <c r="A284" s="47"/>
      <c r="C284" s="10">
        <f>ROW(A279)</f>
        <v>279</v>
      </c>
      <c r="D284" s="331"/>
      <c r="E284" s="332"/>
      <c r="F284" s="333"/>
      <c r="G284" s="333"/>
      <c r="H284" s="332"/>
      <c r="I284" s="334"/>
      <c r="J284" s="334"/>
      <c r="K284" s="334"/>
      <c r="L284" s="334"/>
      <c r="M284" s="332"/>
      <c r="N284" s="332"/>
      <c r="O284" s="332"/>
      <c r="P284" s="335"/>
      <c r="Q284" s="336"/>
      <c r="R284" s="332"/>
    </row>
    <row r="285" spans="1:18" ht="17" thickTop="1" x14ac:dyDescent="0.2">
      <c r="A285" s="47"/>
      <c r="C285" s="10">
        <f>ROW(A280)</f>
        <v>280</v>
      </c>
      <c r="D285" s="168"/>
      <c r="E285" s="169"/>
      <c r="F285" s="146"/>
      <c r="G285" s="146"/>
      <c r="H285" s="169"/>
      <c r="I285" s="170"/>
      <c r="J285" s="170">
        <f>Mantenimiento[[#This Row],[Kilometraje del Odómetro]]-I284</f>
        <v>0</v>
      </c>
      <c r="K285" s="170"/>
      <c r="L285" s="170"/>
      <c r="M285" s="169"/>
      <c r="N285" s="169"/>
      <c r="O285" s="169"/>
      <c r="P285" s="171"/>
      <c r="Q285" s="172"/>
      <c r="R285" s="169"/>
    </row>
    <row r="286" spans="1:18" ht="16" x14ac:dyDescent="0.2">
      <c r="A286" s="47"/>
      <c r="C286" s="10">
        <f t="shared" si="4"/>
        <v>283</v>
      </c>
      <c r="D286" s="337" t="s">
        <v>310</v>
      </c>
      <c r="E286" s="338" t="s">
        <v>219</v>
      </c>
      <c r="F286" s="339">
        <v>43226</v>
      </c>
      <c r="G286" s="339">
        <f>Mantenimiento[[#This Row],[Fecha Entrada]]</f>
        <v>43226</v>
      </c>
      <c r="H286" s="338" t="s">
        <v>30</v>
      </c>
      <c r="I286" s="340">
        <v>91</v>
      </c>
      <c r="J286" s="340">
        <f>Mantenimiento[[#This Row],[Kilometraje del Odómetro]]-I285</f>
        <v>91</v>
      </c>
      <c r="K286" s="340"/>
      <c r="L286" s="340"/>
      <c r="M286" s="338" t="s">
        <v>173</v>
      </c>
      <c r="N286" s="338"/>
      <c r="O286" s="338" t="s">
        <v>314</v>
      </c>
      <c r="P286" s="341"/>
      <c r="Q286" s="342"/>
      <c r="R286" s="338"/>
    </row>
    <row r="287" spans="1:18" ht="16" x14ac:dyDescent="0.2">
      <c r="A287" s="47"/>
      <c r="C287" s="10">
        <f t="shared" si="4"/>
        <v>284</v>
      </c>
      <c r="D287" s="337" t="s">
        <v>310</v>
      </c>
      <c r="E287" s="338" t="s">
        <v>219</v>
      </c>
      <c r="F287" s="339">
        <v>43957</v>
      </c>
      <c r="G287" s="339">
        <f>Mantenimiento[[#This Row],[Fecha Entrada]]</f>
        <v>43957</v>
      </c>
      <c r="H287" s="338" t="s">
        <v>30</v>
      </c>
      <c r="I287" s="340">
        <v>347</v>
      </c>
      <c r="J287" s="340">
        <f>Mantenimiento[[#This Row],[Kilometraje del Odómetro]]-I286</f>
        <v>256</v>
      </c>
      <c r="K287" s="340"/>
      <c r="L287" s="340"/>
      <c r="M287" s="338" t="s">
        <v>173</v>
      </c>
      <c r="N287" s="338"/>
      <c r="O287" s="338" t="s">
        <v>314</v>
      </c>
      <c r="P287" s="341"/>
      <c r="Q287" s="342"/>
      <c r="R287" s="338"/>
    </row>
    <row r="288" spans="1:18" ht="16" x14ac:dyDescent="0.2">
      <c r="A288" s="47"/>
      <c r="C288" s="10">
        <f t="shared" si="4"/>
        <v>285</v>
      </c>
      <c r="D288" s="337" t="s">
        <v>310</v>
      </c>
      <c r="E288" s="338" t="s">
        <v>219</v>
      </c>
      <c r="F288" s="339">
        <v>44646</v>
      </c>
      <c r="G288" s="339">
        <f>Mantenimiento[[#This Row],[Fecha Entrada]]</f>
        <v>44646</v>
      </c>
      <c r="H288" s="338" t="s">
        <v>30</v>
      </c>
      <c r="I288" s="340">
        <v>592</v>
      </c>
      <c r="J288" s="340">
        <f>Mantenimiento[[#This Row],[Kilometraje del Odómetro]]-I287</f>
        <v>245</v>
      </c>
      <c r="K288" s="340"/>
      <c r="L288" s="340"/>
      <c r="M288" s="338" t="s">
        <v>173</v>
      </c>
      <c r="N288" s="338"/>
      <c r="O288" s="338" t="s">
        <v>314</v>
      </c>
      <c r="P288" s="341"/>
      <c r="Q288" s="342"/>
      <c r="R288" s="338"/>
    </row>
    <row r="289" spans="1:18" ht="16" x14ac:dyDescent="0.2">
      <c r="A289" s="47"/>
      <c r="C289" s="10">
        <f t="shared" si="4"/>
        <v>286</v>
      </c>
      <c r="D289" s="337" t="s">
        <v>310</v>
      </c>
      <c r="E289" s="338" t="s">
        <v>219</v>
      </c>
      <c r="F289" s="339">
        <v>44907</v>
      </c>
      <c r="G289" s="339">
        <f>Mantenimiento[[#This Row],[Fecha Entrada]]</f>
        <v>44907</v>
      </c>
      <c r="H289" s="338" t="s">
        <v>30</v>
      </c>
      <c r="I289" s="340">
        <v>823</v>
      </c>
      <c r="J289" s="340">
        <f>Mantenimiento[[#This Row],[Kilometraje del Odómetro]]-I288</f>
        <v>231</v>
      </c>
      <c r="K289" s="340"/>
      <c r="L289" s="340"/>
      <c r="M289" s="338" t="s">
        <v>173</v>
      </c>
      <c r="N289" s="338"/>
      <c r="O289" s="338" t="s">
        <v>314</v>
      </c>
      <c r="P289" s="341"/>
      <c r="Q289" s="342"/>
      <c r="R289" s="338"/>
    </row>
    <row r="290" spans="1:18" ht="16" x14ac:dyDescent="0.2">
      <c r="A290" s="47"/>
      <c r="C290" s="10">
        <f t="shared" si="4"/>
        <v>287</v>
      </c>
      <c r="D290" s="337" t="s">
        <v>310</v>
      </c>
      <c r="E290" s="338" t="s">
        <v>219</v>
      </c>
      <c r="F290" s="339">
        <v>45363</v>
      </c>
      <c r="G290" s="339">
        <f>Mantenimiento[[#This Row],[Fecha Entrada]]</f>
        <v>45363</v>
      </c>
      <c r="H290" s="338" t="s">
        <v>30</v>
      </c>
      <c r="I290" s="340">
        <v>1027</v>
      </c>
      <c r="J290" s="340">
        <f>Mantenimiento[[#This Row],[Kilometraje del Odómetro]]-I289</f>
        <v>204</v>
      </c>
      <c r="K290" s="340"/>
      <c r="L290" s="340"/>
      <c r="M290" s="338" t="s">
        <v>174</v>
      </c>
      <c r="N290" s="338"/>
      <c r="O290" s="338" t="s">
        <v>314</v>
      </c>
      <c r="P290" s="341"/>
      <c r="Q290" s="342"/>
      <c r="R290" s="338"/>
    </row>
    <row r="291" spans="1:18" ht="16" x14ac:dyDescent="0.2">
      <c r="A291" s="47"/>
      <c r="C291" s="10">
        <f t="shared" si="4"/>
        <v>288</v>
      </c>
      <c r="D291" s="337" t="s">
        <v>310</v>
      </c>
      <c r="E291" s="338" t="s">
        <v>219</v>
      </c>
      <c r="F291" s="339">
        <v>45442</v>
      </c>
      <c r="G291" s="339">
        <f>Mantenimiento[[#This Row],[Fecha Entrada]]</f>
        <v>45442</v>
      </c>
      <c r="H291" s="338" t="s">
        <v>30</v>
      </c>
      <c r="I291" s="340">
        <v>1371</v>
      </c>
      <c r="J291" s="340">
        <f>Mantenimiento[[#This Row],[Kilometraje del Odómetro]]-I290</f>
        <v>344</v>
      </c>
      <c r="K291" s="340"/>
      <c r="L291" s="340"/>
      <c r="M291" s="338" t="s">
        <v>174</v>
      </c>
      <c r="N291" s="338"/>
      <c r="O291" s="338" t="s">
        <v>314</v>
      </c>
      <c r="P291" s="341"/>
      <c r="Q291" s="342"/>
      <c r="R291" s="338"/>
    </row>
    <row r="292" spans="1:18" ht="16" x14ac:dyDescent="0.2">
      <c r="A292" s="47"/>
      <c r="C292" s="10">
        <f t="shared" si="4"/>
        <v>289</v>
      </c>
      <c r="D292" s="337" t="s">
        <v>310</v>
      </c>
      <c r="E292" s="338" t="s">
        <v>219</v>
      </c>
      <c r="F292" s="339">
        <v>45495</v>
      </c>
      <c r="G292" s="339">
        <f>Mantenimiento[[#This Row],[Fecha Entrada]]</f>
        <v>45495</v>
      </c>
      <c r="H292" s="338" t="s">
        <v>30</v>
      </c>
      <c r="I292" s="340">
        <v>1672</v>
      </c>
      <c r="J292" s="340">
        <f>Mantenimiento[[#This Row],[Kilometraje del Odómetro]]-I291</f>
        <v>301</v>
      </c>
      <c r="K292" s="340"/>
      <c r="L292" s="340"/>
      <c r="M292" s="338" t="s">
        <v>174</v>
      </c>
      <c r="N292" s="338"/>
      <c r="O292" s="338" t="s">
        <v>314</v>
      </c>
      <c r="P292" s="341"/>
      <c r="Q292" s="342"/>
      <c r="R292" s="338"/>
    </row>
    <row r="293" spans="1:18" ht="16" x14ac:dyDescent="0.2">
      <c r="A293" s="47"/>
      <c r="C293" s="10">
        <f t="shared" si="4"/>
        <v>290</v>
      </c>
      <c r="D293" s="337" t="s">
        <v>310</v>
      </c>
      <c r="E293" s="338" t="s">
        <v>219</v>
      </c>
      <c r="F293" s="339">
        <v>45530</v>
      </c>
      <c r="G293" s="339">
        <f>Mantenimiento[[#This Row],[Fecha Entrada]]</f>
        <v>45530</v>
      </c>
      <c r="H293" s="338" t="s">
        <v>30</v>
      </c>
      <c r="I293" s="340">
        <v>1937</v>
      </c>
      <c r="J293" s="340">
        <f>Mantenimiento[[#This Row],[Kilometraje del Odómetro]]-I292</f>
        <v>265</v>
      </c>
      <c r="K293" s="340"/>
      <c r="L293" s="340"/>
      <c r="M293" s="338" t="s">
        <v>174</v>
      </c>
      <c r="N293" s="338"/>
      <c r="O293" s="338" t="s">
        <v>314</v>
      </c>
      <c r="P293" s="341"/>
      <c r="Q293" s="342"/>
      <c r="R293" s="338"/>
    </row>
    <row r="294" spans="1:18" ht="16" x14ac:dyDescent="0.2">
      <c r="A294" s="47"/>
      <c r="C294" s="10">
        <f t="shared" si="4"/>
        <v>291</v>
      </c>
      <c r="D294" s="337" t="s">
        <v>310</v>
      </c>
      <c r="E294" s="338" t="s">
        <v>219</v>
      </c>
      <c r="F294" s="339">
        <v>45601</v>
      </c>
      <c r="G294" s="339">
        <f>Mantenimiento[[#This Row],[Fecha Entrada]]</f>
        <v>45601</v>
      </c>
      <c r="H294" s="338" t="s">
        <v>30</v>
      </c>
      <c r="I294" s="340">
        <v>2376</v>
      </c>
      <c r="J294" s="340">
        <f>Mantenimiento[[#This Row],[Kilometraje del Odómetro]]-I293</f>
        <v>439</v>
      </c>
      <c r="K294" s="340"/>
      <c r="L294" s="340"/>
      <c r="M294" s="338" t="s">
        <v>175</v>
      </c>
      <c r="N294" s="338"/>
      <c r="O294" s="338" t="s">
        <v>314</v>
      </c>
      <c r="P294" s="341"/>
      <c r="Q294" s="342"/>
      <c r="R294" s="338"/>
    </row>
    <row r="295" spans="1:18" ht="16" x14ac:dyDescent="0.2">
      <c r="A295" s="47"/>
      <c r="C295" s="10">
        <f t="shared" si="4"/>
        <v>292</v>
      </c>
      <c r="D295" s="337" t="s">
        <v>310</v>
      </c>
      <c r="E295" s="338" t="s">
        <v>219</v>
      </c>
      <c r="F295" s="339">
        <v>45684</v>
      </c>
      <c r="G295" s="339">
        <f>Mantenimiento[[#This Row],[Fecha Entrada]]</f>
        <v>45684</v>
      </c>
      <c r="H295" s="338" t="s">
        <v>30</v>
      </c>
      <c r="I295" s="340">
        <v>3007</v>
      </c>
      <c r="J295" s="340">
        <f>Mantenimiento[[#This Row],[Kilometraje del Odómetro]]-I294</f>
        <v>631</v>
      </c>
      <c r="K295" s="340"/>
      <c r="L295" s="340">
        <v>1</v>
      </c>
      <c r="M295" s="338" t="s">
        <v>175</v>
      </c>
      <c r="N295" s="338"/>
      <c r="O295" s="338" t="s">
        <v>314</v>
      </c>
      <c r="P295" s="341"/>
      <c r="Q295" s="342"/>
      <c r="R295" s="338"/>
    </row>
    <row r="296" spans="1:18" ht="16" x14ac:dyDescent="0.2">
      <c r="A296" s="47"/>
      <c r="C296" s="10">
        <f t="shared" si="4"/>
        <v>293</v>
      </c>
      <c r="D296" s="337"/>
      <c r="E296" s="338"/>
      <c r="F296" s="339"/>
      <c r="G296" s="339"/>
      <c r="H296" s="338"/>
      <c r="I296" s="340"/>
      <c r="J296" s="340"/>
      <c r="K296" s="340"/>
      <c r="L296" s="340"/>
      <c r="M296" s="338"/>
      <c r="N296" s="338"/>
      <c r="O296" s="338"/>
      <c r="P296" s="341"/>
      <c r="Q296" s="342"/>
      <c r="R296" s="338"/>
    </row>
    <row r="297" spans="1:18" ht="16" x14ac:dyDescent="0.2">
      <c r="A297" s="47"/>
      <c r="C297" s="10">
        <f t="shared" si="4"/>
        <v>294</v>
      </c>
      <c r="D297" s="337"/>
      <c r="E297" s="338"/>
      <c r="F297" s="339"/>
      <c r="G297" s="339"/>
      <c r="H297" s="338"/>
      <c r="I297" s="340"/>
      <c r="J297" s="340"/>
      <c r="K297" s="340"/>
      <c r="L297" s="340"/>
      <c r="M297" s="338"/>
      <c r="N297" s="338"/>
      <c r="O297" s="338"/>
      <c r="P297" s="341"/>
      <c r="Q297" s="342"/>
      <c r="R297" s="338"/>
    </row>
    <row r="298" spans="1:18" ht="17" thickBot="1" x14ac:dyDescent="0.25">
      <c r="A298" s="47"/>
      <c r="C298" s="10">
        <f t="shared" si="4"/>
        <v>295</v>
      </c>
      <c r="D298" s="343"/>
      <c r="E298" s="344"/>
      <c r="F298" s="345"/>
      <c r="G298" s="345"/>
      <c r="H298" s="344"/>
      <c r="I298" s="346"/>
      <c r="J298" s="346">
        <f>Mantenimiento[[#This Row],[Kilometraje del Odómetro]]-I297</f>
        <v>0</v>
      </c>
      <c r="K298" s="346"/>
      <c r="L298" s="346"/>
      <c r="M298" s="344"/>
      <c r="N298" s="344"/>
      <c r="O298" s="344"/>
      <c r="P298" s="347"/>
      <c r="Q298" s="348"/>
      <c r="R298" s="344"/>
    </row>
    <row r="299" spans="1:18" ht="17" thickTop="1" x14ac:dyDescent="0.2">
      <c r="A299" s="47"/>
      <c r="C299" s="10">
        <f t="shared" si="4"/>
        <v>296</v>
      </c>
      <c r="D299" s="168"/>
      <c r="E299" s="169"/>
      <c r="F299" s="146"/>
      <c r="G299" s="146"/>
      <c r="H299" s="169"/>
      <c r="I299" s="170"/>
      <c r="J299" s="170">
        <f>Mantenimiento[[#This Row],[Kilometraje del Odómetro]]-I298</f>
        <v>0</v>
      </c>
      <c r="K299" s="170"/>
      <c r="L299" s="170"/>
      <c r="M299" s="169"/>
      <c r="N299" s="169"/>
      <c r="O299" s="169"/>
      <c r="P299" s="171"/>
      <c r="Q299" s="172"/>
      <c r="R299" s="169"/>
    </row>
    <row r="300" spans="1:18" ht="16" x14ac:dyDescent="0.2">
      <c r="A300" s="47"/>
      <c r="C300" s="10">
        <f t="shared" si="4"/>
        <v>297</v>
      </c>
      <c r="D300" s="349" t="s">
        <v>311</v>
      </c>
      <c r="E300" s="350" t="s">
        <v>219</v>
      </c>
      <c r="F300" s="351">
        <v>44645</v>
      </c>
      <c r="G300" s="351">
        <f>Mantenimiento[[#This Row],[Fecha Entrada]]</f>
        <v>44645</v>
      </c>
      <c r="H300" s="350" t="s">
        <v>30</v>
      </c>
      <c r="I300" s="352">
        <v>1</v>
      </c>
      <c r="J300" s="352">
        <f>Mantenimiento[[#This Row],[Kilometraje del Odómetro]]-I299</f>
        <v>1</v>
      </c>
      <c r="K300" s="352"/>
      <c r="L300" s="352"/>
      <c r="M300" s="350" t="s">
        <v>173</v>
      </c>
      <c r="N300" s="350"/>
      <c r="O300" s="350" t="s">
        <v>314</v>
      </c>
      <c r="P300" s="353"/>
      <c r="Q300" s="354"/>
      <c r="R300" s="350"/>
    </row>
    <row r="301" spans="1:18" ht="16" x14ac:dyDescent="0.2">
      <c r="A301" s="47"/>
      <c r="C301" s="10">
        <f t="shared" si="4"/>
        <v>298</v>
      </c>
      <c r="D301" s="349" t="s">
        <v>311</v>
      </c>
      <c r="E301" s="350" t="s">
        <v>219</v>
      </c>
      <c r="F301" s="351">
        <v>44985</v>
      </c>
      <c r="G301" s="351">
        <f>Mantenimiento[[#This Row],[Fecha Entrada]]</f>
        <v>44985</v>
      </c>
      <c r="H301" s="350" t="s">
        <v>30</v>
      </c>
      <c r="I301" s="352">
        <v>220</v>
      </c>
      <c r="J301" s="352">
        <f>Mantenimiento[[#This Row],[Kilometraje del Odómetro]]-I300</f>
        <v>219</v>
      </c>
      <c r="K301" s="352"/>
      <c r="L301" s="352"/>
      <c r="M301" s="350" t="s">
        <v>173</v>
      </c>
      <c r="N301" s="350"/>
      <c r="O301" s="350" t="s">
        <v>314</v>
      </c>
      <c r="P301" s="353"/>
      <c r="Q301" s="354"/>
      <c r="R301" s="350"/>
    </row>
    <row r="302" spans="1:18" ht="16" x14ac:dyDescent="0.2">
      <c r="A302" s="47"/>
      <c r="C302" s="10">
        <f t="shared" si="4"/>
        <v>299</v>
      </c>
      <c r="D302" s="349" t="s">
        <v>311</v>
      </c>
      <c r="E302" s="350" t="s">
        <v>219</v>
      </c>
      <c r="F302" s="351">
        <v>45304</v>
      </c>
      <c r="G302" s="351">
        <f>Mantenimiento[[#This Row],[Fecha Entrada]]</f>
        <v>45304</v>
      </c>
      <c r="H302" s="350" t="s">
        <v>30</v>
      </c>
      <c r="I302" s="352">
        <v>470</v>
      </c>
      <c r="J302" s="352">
        <f>Mantenimiento[[#This Row],[Kilometraje del Odómetro]]-I301</f>
        <v>250</v>
      </c>
      <c r="K302" s="352"/>
      <c r="L302" s="352"/>
      <c r="M302" s="350" t="s">
        <v>173</v>
      </c>
      <c r="N302" s="350"/>
      <c r="O302" s="350" t="s">
        <v>314</v>
      </c>
      <c r="P302" s="353"/>
      <c r="Q302" s="354"/>
      <c r="R302" s="350"/>
    </row>
    <row r="303" spans="1:18" ht="16" x14ac:dyDescent="0.2">
      <c r="A303" s="47"/>
      <c r="C303" s="10">
        <f t="shared" si="4"/>
        <v>300</v>
      </c>
      <c r="D303" s="349" t="s">
        <v>311</v>
      </c>
      <c r="E303" s="350" t="s">
        <v>219</v>
      </c>
      <c r="F303" s="351">
        <v>45604</v>
      </c>
      <c r="G303" s="351">
        <f>Mantenimiento[[#This Row],[Fecha Entrada]]</f>
        <v>45604</v>
      </c>
      <c r="H303" s="350" t="s">
        <v>30</v>
      </c>
      <c r="I303" s="352">
        <v>776</v>
      </c>
      <c r="J303" s="352">
        <f>Mantenimiento[[#This Row],[Kilometraje del Odómetro]]-I302</f>
        <v>306</v>
      </c>
      <c r="K303" s="352"/>
      <c r="L303" s="352"/>
      <c r="M303" s="350" t="s">
        <v>173</v>
      </c>
      <c r="N303" s="350"/>
      <c r="O303" s="350" t="s">
        <v>314</v>
      </c>
      <c r="P303" s="353"/>
      <c r="Q303" s="354"/>
      <c r="R303" s="350"/>
    </row>
    <row r="304" spans="1:18" ht="16" x14ac:dyDescent="0.2">
      <c r="A304" s="47"/>
      <c r="C304" s="10">
        <f t="shared" si="4"/>
        <v>301</v>
      </c>
      <c r="D304" s="349" t="s">
        <v>311</v>
      </c>
      <c r="E304" s="350" t="s">
        <v>219</v>
      </c>
      <c r="F304" s="351">
        <v>45660</v>
      </c>
      <c r="G304" s="351">
        <f>Mantenimiento[[#This Row],[Fecha Entrada]]</f>
        <v>45660</v>
      </c>
      <c r="H304" s="350" t="s">
        <v>30</v>
      </c>
      <c r="I304" s="352">
        <v>1034</v>
      </c>
      <c r="J304" s="352">
        <f>Mantenimiento[[#This Row],[Kilometraje del Odómetro]]-I303</f>
        <v>258</v>
      </c>
      <c r="K304" s="352"/>
      <c r="L304" s="352">
        <v>1</v>
      </c>
      <c r="M304" s="350" t="s">
        <v>174</v>
      </c>
      <c r="N304" s="350"/>
      <c r="O304" s="350" t="s">
        <v>314</v>
      </c>
      <c r="P304" s="353"/>
      <c r="Q304" s="354"/>
      <c r="R304" s="350"/>
    </row>
    <row r="305" spans="1:18" ht="16" x14ac:dyDescent="0.2">
      <c r="A305" s="47"/>
      <c r="C305" s="10">
        <f t="shared" si="4"/>
        <v>302</v>
      </c>
      <c r="D305" s="349" t="s">
        <v>311</v>
      </c>
      <c r="E305" s="350" t="s">
        <v>219</v>
      </c>
      <c r="F305" s="351">
        <v>45725</v>
      </c>
      <c r="G305" s="351">
        <f>Mantenimiento[[#This Row],[Fecha Entrada]]</f>
        <v>45725</v>
      </c>
      <c r="H305" s="350" t="s">
        <v>30</v>
      </c>
      <c r="I305" s="352">
        <v>1330</v>
      </c>
      <c r="J305" s="352">
        <f>Mantenimiento[[#This Row],[Kilometraje del Odómetro]]-I304</f>
        <v>296</v>
      </c>
      <c r="K305" s="352"/>
      <c r="L305" s="352">
        <v>1</v>
      </c>
      <c r="M305" s="350" t="s">
        <v>174</v>
      </c>
      <c r="N305" s="350"/>
      <c r="O305" s="350" t="s">
        <v>314</v>
      </c>
      <c r="P305" s="353"/>
      <c r="Q305" s="354"/>
      <c r="R305" s="350"/>
    </row>
    <row r="306" spans="1:18" ht="16" x14ac:dyDescent="0.2">
      <c r="A306" s="47"/>
      <c r="C306" s="10">
        <f t="shared" si="4"/>
        <v>303</v>
      </c>
      <c r="D306" s="349" t="s">
        <v>311</v>
      </c>
      <c r="E306" s="350" t="s">
        <v>219</v>
      </c>
      <c r="F306" s="351">
        <v>45766</v>
      </c>
      <c r="G306" s="351">
        <v>45766</v>
      </c>
      <c r="H306" s="350" t="s">
        <v>30</v>
      </c>
      <c r="I306" s="352">
        <v>1571</v>
      </c>
      <c r="J306" s="352">
        <f>Mantenimiento[[#This Row],[Kilometraje del Odómetro]]-I305</f>
        <v>241</v>
      </c>
      <c r="K306" s="352"/>
      <c r="L306" s="352">
        <v>1</v>
      </c>
      <c r="M306" s="350" t="s">
        <v>174</v>
      </c>
      <c r="N306" s="350"/>
      <c r="O306" s="350" t="s">
        <v>314</v>
      </c>
      <c r="P306" s="353"/>
      <c r="Q306" s="354"/>
      <c r="R306" s="350"/>
    </row>
    <row r="307" spans="1:18" ht="16" x14ac:dyDescent="0.2">
      <c r="A307" s="47"/>
      <c r="C307" s="10">
        <f t="shared" si="4"/>
        <v>304</v>
      </c>
      <c r="D307" s="349" t="s">
        <v>311</v>
      </c>
      <c r="E307" s="350" t="s">
        <v>219</v>
      </c>
      <c r="F307" s="351">
        <v>45812</v>
      </c>
      <c r="G307" s="351">
        <v>45812</v>
      </c>
      <c r="H307" s="350" t="s">
        <v>30</v>
      </c>
      <c r="I307" s="352">
        <v>1855</v>
      </c>
      <c r="J307" s="352">
        <f>Mantenimiento[[#This Row],[Kilometraje del Odómetro]]-I306</f>
        <v>284</v>
      </c>
      <c r="K307" s="352"/>
      <c r="L307" s="352">
        <v>1</v>
      </c>
      <c r="M307" s="350" t="s">
        <v>174</v>
      </c>
      <c r="N307" s="350"/>
      <c r="O307" s="350" t="s">
        <v>314</v>
      </c>
      <c r="P307" s="353"/>
      <c r="Q307" s="354"/>
      <c r="R307" s="350"/>
    </row>
    <row r="308" spans="1:18" ht="16" x14ac:dyDescent="0.2">
      <c r="A308" s="47"/>
      <c r="C308" s="10">
        <f t="shared" si="4"/>
        <v>305</v>
      </c>
      <c r="D308" s="349" t="s">
        <v>311</v>
      </c>
      <c r="E308" s="350" t="s">
        <v>219</v>
      </c>
      <c r="F308" s="351">
        <v>45853</v>
      </c>
      <c r="G308" s="351">
        <v>45853</v>
      </c>
      <c r="H308" s="350" t="s">
        <v>30</v>
      </c>
      <c r="I308" s="352">
        <v>2093</v>
      </c>
      <c r="J308" s="352">
        <f>Mantenimiento[[#This Row],[Kilometraje del Odómetro]]-I307</f>
        <v>238</v>
      </c>
      <c r="K308" s="352"/>
      <c r="L308" s="352"/>
      <c r="M308" s="350" t="s">
        <v>175</v>
      </c>
      <c r="N308" s="350"/>
      <c r="O308" s="350" t="s">
        <v>314</v>
      </c>
      <c r="P308" s="353"/>
      <c r="Q308" s="354"/>
      <c r="R308" s="350"/>
    </row>
    <row r="309" spans="1:18" ht="16" x14ac:dyDescent="0.2">
      <c r="A309" s="47"/>
      <c r="C309" s="10">
        <f t="shared" si="4"/>
        <v>306</v>
      </c>
      <c r="D309" s="349" t="s">
        <v>311</v>
      </c>
      <c r="E309" s="350" t="s">
        <v>219</v>
      </c>
      <c r="F309" s="351">
        <v>45915</v>
      </c>
      <c r="G309" s="351">
        <v>45915</v>
      </c>
      <c r="H309" s="350" t="s">
        <v>30</v>
      </c>
      <c r="I309" s="352">
        <v>2272</v>
      </c>
      <c r="J309" s="352">
        <f>Mantenimiento[[#This Row],[Kilometraje del Odómetro]]-I308</f>
        <v>179</v>
      </c>
      <c r="K309" s="352"/>
      <c r="L309" s="352">
        <v>1</v>
      </c>
      <c r="M309" s="350" t="s">
        <v>175</v>
      </c>
      <c r="N309" s="350"/>
      <c r="O309" s="350" t="s">
        <v>314</v>
      </c>
      <c r="P309" s="353"/>
      <c r="Q309" s="354"/>
      <c r="R309" s="350"/>
    </row>
    <row r="310" spans="1:18" ht="16" x14ac:dyDescent="0.2">
      <c r="A310" s="47"/>
      <c r="C310" s="10">
        <f t="shared" si="4"/>
        <v>307</v>
      </c>
      <c r="D310" s="349" t="s">
        <v>311</v>
      </c>
      <c r="E310" s="350" t="s">
        <v>219</v>
      </c>
      <c r="F310" s="351">
        <v>45947</v>
      </c>
      <c r="G310" s="351">
        <v>45947</v>
      </c>
      <c r="H310" s="350" t="s">
        <v>31</v>
      </c>
      <c r="I310" s="352">
        <v>2442</v>
      </c>
      <c r="J310" s="352"/>
      <c r="K310" s="352">
        <v>1</v>
      </c>
      <c r="L310" s="352"/>
      <c r="M310" s="350" t="s">
        <v>190</v>
      </c>
      <c r="N310" s="350">
        <v>2025101240</v>
      </c>
      <c r="O310" s="350" t="s">
        <v>485</v>
      </c>
      <c r="P310" s="353"/>
      <c r="Q310" s="354"/>
      <c r="R310" s="350"/>
    </row>
    <row r="311" spans="1:18" ht="16" x14ac:dyDescent="0.2">
      <c r="A311" s="47"/>
      <c r="C311" s="10">
        <f t="shared" si="4"/>
        <v>308</v>
      </c>
      <c r="D311" s="349"/>
      <c r="E311" s="350"/>
      <c r="F311" s="351"/>
      <c r="G311" s="351"/>
      <c r="H311" s="350"/>
      <c r="I311" s="352"/>
      <c r="J311" s="352"/>
      <c r="K311" s="352"/>
      <c r="L311" s="352"/>
      <c r="M311" s="350"/>
      <c r="N311" s="350"/>
      <c r="O311" s="350"/>
      <c r="P311" s="353"/>
      <c r="Q311" s="354"/>
      <c r="R311" s="350"/>
    </row>
    <row r="312" spans="1:18" ht="16" x14ac:dyDescent="0.2">
      <c r="A312" s="47"/>
      <c r="C312" s="10">
        <f t="shared" si="4"/>
        <v>309</v>
      </c>
      <c r="D312" s="349"/>
      <c r="E312" s="350"/>
      <c r="F312" s="351"/>
      <c r="G312" s="351"/>
      <c r="H312" s="350"/>
      <c r="I312" s="352"/>
      <c r="J312" s="352"/>
      <c r="K312" s="352"/>
      <c r="L312" s="352"/>
      <c r="M312" s="350"/>
      <c r="N312" s="350"/>
      <c r="O312" s="350"/>
      <c r="P312" s="353"/>
      <c r="Q312" s="354"/>
      <c r="R312" s="350"/>
    </row>
    <row r="313" spans="1:18" ht="17" thickBot="1" x14ac:dyDescent="0.25">
      <c r="A313" s="47"/>
      <c r="C313" s="10">
        <f t="shared" si="4"/>
        <v>310</v>
      </c>
      <c r="D313" s="355"/>
      <c r="E313" s="356"/>
      <c r="F313" s="357"/>
      <c r="G313" s="357"/>
      <c r="H313" s="356"/>
      <c r="I313" s="358"/>
      <c r="J313" s="358">
        <f>Mantenimiento[[#This Row],[Kilometraje del Odómetro]]-I312</f>
        <v>0</v>
      </c>
      <c r="K313" s="358"/>
      <c r="L313" s="358"/>
      <c r="M313" s="356"/>
      <c r="N313" s="356"/>
      <c r="O313" s="356"/>
      <c r="P313" s="359"/>
      <c r="Q313" s="360"/>
      <c r="R313" s="356"/>
    </row>
    <row r="314" spans="1:18" ht="17" thickTop="1" x14ac:dyDescent="0.2">
      <c r="A314" s="47"/>
      <c r="C314" s="10">
        <f t="shared" si="4"/>
        <v>311</v>
      </c>
      <c r="D314" s="168"/>
      <c r="E314" s="169"/>
      <c r="F314" s="146"/>
      <c r="G314" s="146"/>
      <c r="H314" s="169"/>
      <c r="I314" s="170"/>
      <c r="J314" s="170">
        <f>Mantenimiento[[#This Row],[Kilometraje del Odómetro]]-I313</f>
        <v>0</v>
      </c>
      <c r="K314" s="170"/>
      <c r="L314" s="170"/>
      <c r="M314" s="169"/>
      <c r="N314" s="169"/>
      <c r="O314" s="169"/>
      <c r="P314" s="171"/>
      <c r="Q314" s="172"/>
      <c r="R314" s="169"/>
    </row>
    <row r="315" spans="1:18" ht="16" x14ac:dyDescent="0.2">
      <c r="A315" s="47"/>
      <c r="C315" s="10">
        <f t="shared" si="4"/>
        <v>312</v>
      </c>
      <c r="D315" s="68" t="s">
        <v>312</v>
      </c>
      <c r="E315" s="89" t="s">
        <v>219</v>
      </c>
      <c r="F315" s="90">
        <v>43209</v>
      </c>
      <c r="G315" s="90">
        <f>Mantenimiento[[#This Row],[Fecha Entrada]]</f>
        <v>43209</v>
      </c>
      <c r="H315" s="89" t="s">
        <v>30</v>
      </c>
      <c r="I315" s="91">
        <v>1</v>
      </c>
      <c r="J315" s="91">
        <f>Mantenimiento[[#This Row],[Kilometraje del Odómetro]]-I314</f>
        <v>1</v>
      </c>
      <c r="K315" s="91"/>
      <c r="L315" s="91"/>
      <c r="M315" s="89" t="s">
        <v>173</v>
      </c>
      <c r="N315" s="89"/>
      <c r="O315" s="89" t="s">
        <v>314</v>
      </c>
      <c r="P315" s="92"/>
      <c r="Q315" s="125"/>
      <c r="R315" s="89"/>
    </row>
    <row r="316" spans="1:18" ht="16" x14ac:dyDescent="0.2">
      <c r="A316" s="47"/>
      <c r="C316" s="10">
        <f t="shared" si="4"/>
        <v>313</v>
      </c>
      <c r="D316" s="68" t="s">
        <v>312</v>
      </c>
      <c r="E316" s="89" t="s">
        <v>219</v>
      </c>
      <c r="F316" s="90">
        <v>43371</v>
      </c>
      <c r="G316" s="90">
        <f>Mantenimiento[[#This Row],[Fecha Entrada]]</f>
        <v>43371</v>
      </c>
      <c r="H316" s="89" t="s">
        <v>30</v>
      </c>
      <c r="I316" s="91">
        <v>385</v>
      </c>
      <c r="J316" s="91">
        <f>Mantenimiento[[#This Row],[Kilometraje del Odómetro]]-I315</f>
        <v>384</v>
      </c>
      <c r="K316" s="91"/>
      <c r="L316" s="91"/>
      <c r="M316" s="89" t="s">
        <v>173</v>
      </c>
      <c r="N316" s="89"/>
      <c r="O316" s="89" t="s">
        <v>314</v>
      </c>
      <c r="P316" s="92"/>
      <c r="Q316" s="125"/>
      <c r="R316" s="89"/>
    </row>
    <row r="317" spans="1:18" ht="16" x14ac:dyDescent="0.2">
      <c r="A317" s="47"/>
      <c r="C317" s="10">
        <f t="shared" si="4"/>
        <v>314</v>
      </c>
      <c r="D317" s="68" t="s">
        <v>312</v>
      </c>
      <c r="E317" s="89" t="s">
        <v>219</v>
      </c>
      <c r="F317" s="90">
        <v>43521</v>
      </c>
      <c r="G317" s="90">
        <f>Mantenimiento[[#This Row],[Fecha Entrada]]</f>
        <v>43521</v>
      </c>
      <c r="H317" s="89" t="s">
        <v>30</v>
      </c>
      <c r="I317" s="91">
        <v>661</v>
      </c>
      <c r="J317" s="91">
        <f>Mantenimiento[[#This Row],[Kilometraje del Odómetro]]-I316</f>
        <v>276</v>
      </c>
      <c r="K317" s="91"/>
      <c r="L317" s="91"/>
      <c r="M317" s="89" t="s">
        <v>173</v>
      </c>
      <c r="N317" s="89"/>
      <c r="O317" s="89" t="s">
        <v>314</v>
      </c>
      <c r="P317" s="92"/>
      <c r="Q317" s="125"/>
      <c r="R317" s="89"/>
    </row>
    <row r="318" spans="1:18" ht="16" x14ac:dyDescent="0.2">
      <c r="A318" s="47"/>
      <c r="C318" s="10">
        <f t="shared" si="4"/>
        <v>315</v>
      </c>
      <c r="D318" s="68" t="s">
        <v>312</v>
      </c>
      <c r="E318" s="89" t="s">
        <v>219</v>
      </c>
      <c r="F318" s="90">
        <v>43659</v>
      </c>
      <c r="G318" s="90">
        <f>Mantenimiento[[#This Row],[Fecha Entrada]]</f>
        <v>43659</v>
      </c>
      <c r="H318" s="89" t="s">
        <v>30</v>
      </c>
      <c r="I318" s="91">
        <v>927</v>
      </c>
      <c r="J318" s="91">
        <f>Mantenimiento[[#This Row],[Kilometraje del Odómetro]]-I317</f>
        <v>266</v>
      </c>
      <c r="K318" s="91"/>
      <c r="L318" s="91"/>
      <c r="M318" s="89" t="s">
        <v>173</v>
      </c>
      <c r="N318" s="89"/>
      <c r="O318" s="89" t="s">
        <v>314</v>
      </c>
      <c r="P318" s="92"/>
      <c r="Q318" s="125"/>
      <c r="R318" s="89"/>
    </row>
    <row r="319" spans="1:18" ht="16" x14ac:dyDescent="0.2">
      <c r="A319" s="47"/>
      <c r="C319" s="10">
        <f t="shared" si="4"/>
        <v>316</v>
      </c>
      <c r="D319" s="68" t="s">
        <v>312</v>
      </c>
      <c r="E319" s="89" t="s">
        <v>219</v>
      </c>
      <c r="F319" s="90">
        <v>43856</v>
      </c>
      <c r="G319" s="90">
        <f>Mantenimiento[[#This Row],[Fecha Entrada]]</f>
        <v>43856</v>
      </c>
      <c r="H319" s="89" t="s">
        <v>30</v>
      </c>
      <c r="I319" s="91">
        <v>1179</v>
      </c>
      <c r="J319" s="91">
        <f>Mantenimiento[[#This Row],[Kilometraje del Odómetro]]-I318</f>
        <v>252</v>
      </c>
      <c r="K319" s="91"/>
      <c r="L319" s="91"/>
      <c r="M319" s="89" t="s">
        <v>174</v>
      </c>
      <c r="N319" s="89"/>
      <c r="O319" s="89" t="s">
        <v>314</v>
      </c>
      <c r="P319" s="92"/>
      <c r="Q319" s="125"/>
      <c r="R319" s="89"/>
    </row>
    <row r="320" spans="1:18" ht="16" x14ac:dyDescent="0.2">
      <c r="A320" s="47"/>
      <c r="C320" s="10">
        <f t="shared" si="4"/>
        <v>317</v>
      </c>
      <c r="D320" s="68" t="s">
        <v>312</v>
      </c>
      <c r="E320" s="89" t="s">
        <v>219</v>
      </c>
      <c r="F320" s="90">
        <v>44602</v>
      </c>
      <c r="G320" s="90">
        <f>Mantenimiento[[#This Row],[Fecha Entrada]]</f>
        <v>44602</v>
      </c>
      <c r="H320" s="89" t="s">
        <v>30</v>
      </c>
      <c r="I320" s="91">
        <v>1450</v>
      </c>
      <c r="J320" s="91">
        <f>Mantenimiento[[#This Row],[Kilometraje del Odómetro]]-I319</f>
        <v>271</v>
      </c>
      <c r="K320" s="91"/>
      <c r="L320" s="91"/>
      <c r="M320" s="89" t="s">
        <v>174</v>
      </c>
      <c r="N320" s="89"/>
      <c r="O320" s="89" t="s">
        <v>314</v>
      </c>
      <c r="P320" s="92"/>
      <c r="Q320" s="125"/>
      <c r="R320" s="89"/>
    </row>
    <row r="321" spans="1:18" ht="16" x14ac:dyDescent="0.2">
      <c r="A321" s="47"/>
      <c r="C321" s="10">
        <f t="shared" si="4"/>
        <v>318</v>
      </c>
      <c r="D321" s="68" t="s">
        <v>312</v>
      </c>
      <c r="E321" s="89" t="s">
        <v>219</v>
      </c>
      <c r="F321" s="90">
        <v>44968</v>
      </c>
      <c r="G321" s="90">
        <f>Mantenimiento[[#This Row],[Fecha Entrada]]</f>
        <v>44968</v>
      </c>
      <c r="H321" s="89" t="s">
        <v>30</v>
      </c>
      <c r="I321" s="91">
        <v>1766</v>
      </c>
      <c r="J321" s="91">
        <f>Mantenimiento[[#This Row],[Kilometraje del Odómetro]]-I320</f>
        <v>316</v>
      </c>
      <c r="K321" s="91"/>
      <c r="L321" s="91"/>
      <c r="M321" s="89" t="s">
        <v>174</v>
      </c>
      <c r="N321" s="89"/>
      <c r="O321" s="89" t="s">
        <v>526</v>
      </c>
      <c r="P321" s="92"/>
      <c r="Q321" s="125"/>
      <c r="R321" s="89"/>
    </row>
    <row r="322" spans="1:18" ht="16" x14ac:dyDescent="0.2">
      <c r="A322" s="47"/>
      <c r="C322" s="10">
        <f t="shared" si="4"/>
        <v>319</v>
      </c>
      <c r="D322" s="68" t="s">
        <v>312</v>
      </c>
      <c r="E322" s="89" t="s">
        <v>219</v>
      </c>
      <c r="F322" s="90">
        <v>45404</v>
      </c>
      <c r="G322" s="90">
        <f>Mantenimiento[[#This Row],[Fecha Entrada]]</f>
        <v>45404</v>
      </c>
      <c r="H322" s="89" t="s">
        <v>30</v>
      </c>
      <c r="I322" s="91">
        <v>2016</v>
      </c>
      <c r="J322" s="91">
        <f>Mantenimiento[[#This Row],[Kilometraje del Odómetro]]-I321</f>
        <v>250</v>
      </c>
      <c r="K322" s="91"/>
      <c r="L322" s="91"/>
      <c r="M322" s="89" t="s">
        <v>174</v>
      </c>
      <c r="N322" s="89"/>
      <c r="O322" s="89" t="s">
        <v>526</v>
      </c>
      <c r="P322" s="92"/>
      <c r="Q322" s="125"/>
      <c r="R322" s="89"/>
    </row>
    <row r="323" spans="1:18" ht="16" x14ac:dyDescent="0.2">
      <c r="A323" s="47"/>
      <c r="C323" s="10">
        <f t="shared" si="4"/>
        <v>320</v>
      </c>
      <c r="D323" s="68" t="s">
        <v>312</v>
      </c>
      <c r="E323" s="89" t="s">
        <v>219</v>
      </c>
      <c r="F323" s="90">
        <v>45496</v>
      </c>
      <c r="G323" s="90">
        <f>Mantenimiento[[#This Row],[Fecha Entrada]]</f>
        <v>45496</v>
      </c>
      <c r="H323" s="89" t="s">
        <v>30</v>
      </c>
      <c r="I323" s="91">
        <v>2272</v>
      </c>
      <c r="J323" s="91">
        <f>Mantenimiento[[#This Row],[Kilometraje del Odómetro]]-I322</f>
        <v>256</v>
      </c>
      <c r="K323" s="91"/>
      <c r="L323" s="91"/>
      <c r="M323" s="89" t="s">
        <v>175</v>
      </c>
      <c r="N323" s="89"/>
      <c r="O323" s="89" t="s">
        <v>526</v>
      </c>
      <c r="P323" s="92"/>
      <c r="Q323" s="125"/>
      <c r="R323" s="89"/>
    </row>
    <row r="324" spans="1:18" ht="16" x14ac:dyDescent="0.2">
      <c r="A324" s="47"/>
      <c r="C324" s="10">
        <f t="shared" si="4"/>
        <v>321</v>
      </c>
      <c r="D324" s="68" t="s">
        <v>312</v>
      </c>
      <c r="E324" s="89" t="s">
        <v>219</v>
      </c>
      <c r="F324" s="90">
        <v>45595</v>
      </c>
      <c r="G324" s="90">
        <f>Mantenimiento[[#This Row],[Fecha Entrada]]</f>
        <v>45595</v>
      </c>
      <c r="H324" s="89" t="s">
        <v>30</v>
      </c>
      <c r="I324" s="91">
        <v>2758</v>
      </c>
      <c r="J324" s="91">
        <f>Mantenimiento[[#This Row],[Kilometraje del Odómetro]]-I323</f>
        <v>486</v>
      </c>
      <c r="K324" s="91"/>
      <c r="L324" s="91"/>
      <c r="M324" s="89" t="s">
        <v>175</v>
      </c>
      <c r="N324" s="89"/>
      <c r="O324" s="89" t="s">
        <v>526</v>
      </c>
      <c r="P324" s="92"/>
      <c r="Q324" s="125"/>
      <c r="R324" s="89"/>
    </row>
    <row r="325" spans="1:18" ht="16" x14ac:dyDescent="0.2">
      <c r="A325" s="47"/>
      <c r="C325" s="10">
        <f t="shared" si="4"/>
        <v>322</v>
      </c>
      <c r="D325" s="68" t="s">
        <v>312</v>
      </c>
      <c r="E325" s="89" t="s">
        <v>219</v>
      </c>
      <c r="F325" s="90">
        <v>45669</v>
      </c>
      <c r="G325" s="90">
        <f>Mantenimiento[[#This Row],[Fecha Entrada]]</f>
        <v>45669</v>
      </c>
      <c r="H325" s="89" t="s">
        <v>30</v>
      </c>
      <c r="I325" s="91">
        <v>3163</v>
      </c>
      <c r="J325" s="91">
        <f>Mantenimiento[[#This Row],[Kilometraje del Odómetro]]-I324</f>
        <v>405</v>
      </c>
      <c r="K325" s="91"/>
      <c r="L325" s="91">
        <v>1</v>
      </c>
      <c r="M325" s="89" t="s">
        <v>175</v>
      </c>
      <c r="N325" s="89"/>
      <c r="O325" s="89" t="s">
        <v>526</v>
      </c>
      <c r="P325" s="92"/>
      <c r="Q325" s="125"/>
      <c r="R325" s="89"/>
    </row>
    <row r="326" spans="1:18" ht="16" x14ac:dyDescent="0.2">
      <c r="A326" s="47"/>
      <c r="C326" s="10">
        <f t="shared" si="4"/>
        <v>323</v>
      </c>
      <c r="D326" s="68" t="s">
        <v>312</v>
      </c>
      <c r="E326" s="89" t="s">
        <v>219</v>
      </c>
      <c r="F326" s="90">
        <v>45748</v>
      </c>
      <c r="G326" s="90">
        <v>45748</v>
      </c>
      <c r="H326" s="89" t="s">
        <v>31</v>
      </c>
      <c r="I326" s="91">
        <v>3350</v>
      </c>
      <c r="J326" s="91"/>
      <c r="K326" s="91">
        <v>0.5</v>
      </c>
      <c r="L326" s="91"/>
      <c r="M326" s="89" t="s">
        <v>189</v>
      </c>
      <c r="N326" s="89"/>
      <c r="O326" s="89" t="s">
        <v>347</v>
      </c>
      <c r="P326" s="92"/>
      <c r="Q326" s="125"/>
      <c r="R326" s="89"/>
    </row>
    <row r="327" spans="1:18" ht="16" x14ac:dyDescent="0.2">
      <c r="A327" s="47"/>
      <c r="C327" s="10">
        <f t="shared" si="4"/>
        <v>324</v>
      </c>
      <c r="D327" s="68" t="s">
        <v>312</v>
      </c>
      <c r="E327" s="89" t="s">
        <v>219</v>
      </c>
      <c r="F327" s="90">
        <v>45819</v>
      </c>
      <c r="G327" s="90">
        <v>45819</v>
      </c>
      <c r="H327" s="89" t="s">
        <v>30</v>
      </c>
      <c r="I327" s="91">
        <v>3359</v>
      </c>
      <c r="J327" s="91">
        <f>Mantenimiento[[#This Row],[Kilometraje del Odómetro]]-I325</f>
        <v>196</v>
      </c>
      <c r="K327" s="91"/>
      <c r="L327" s="91"/>
      <c r="M327" s="89" t="s">
        <v>175</v>
      </c>
      <c r="N327" s="89"/>
      <c r="O327" s="89" t="s">
        <v>526</v>
      </c>
      <c r="P327" s="92"/>
      <c r="Q327" s="125"/>
      <c r="R327" s="89"/>
    </row>
    <row r="328" spans="1:18" ht="16" x14ac:dyDescent="0.2">
      <c r="A328" s="47"/>
      <c r="C328" s="10">
        <f t="shared" si="4"/>
        <v>325</v>
      </c>
      <c r="D328" s="68" t="s">
        <v>312</v>
      </c>
      <c r="E328" s="89" t="s">
        <v>219</v>
      </c>
      <c r="F328" s="90">
        <v>45824</v>
      </c>
      <c r="G328" s="90">
        <v>45824</v>
      </c>
      <c r="H328" s="89" t="s">
        <v>31</v>
      </c>
      <c r="I328" s="91">
        <v>1</v>
      </c>
      <c r="J328" s="91"/>
      <c r="K328" s="91">
        <v>1</v>
      </c>
      <c r="L328" s="91"/>
      <c r="M328" s="89" t="s">
        <v>190</v>
      </c>
      <c r="N328" s="89"/>
      <c r="O328" s="89" t="s">
        <v>457</v>
      </c>
      <c r="P328" s="92"/>
      <c r="Q328" s="125"/>
      <c r="R328" s="89"/>
    </row>
    <row r="329" spans="1:18" ht="16" x14ac:dyDescent="0.2">
      <c r="A329" s="47"/>
      <c r="C329" s="10">
        <f t="shared" si="4"/>
        <v>326</v>
      </c>
      <c r="D329" s="68" t="s">
        <v>312</v>
      </c>
      <c r="E329" s="89" t="s">
        <v>219</v>
      </c>
      <c r="F329" s="90">
        <v>45884</v>
      </c>
      <c r="G329" s="90">
        <v>45884</v>
      </c>
      <c r="H329" s="89" t="s">
        <v>30</v>
      </c>
      <c r="I329" s="91">
        <v>143</v>
      </c>
      <c r="J329" s="91">
        <f>Mantenimiento[[#This Row],[Kilometraje del Odómetro]]-I328</f>
        <v>142</v>
      </c>
      <c r="K329" s="91"/>
      <c r="L329" s="91"/>
      <c r="M329" s="89" t="s">
        <v>173</v>
      </c>
      <c r="N329" s="89"/>
      <c r="O329" s="89" t="s">
        <v>526</v>
      </c>
      <c r="P329" s="92"/>
      <c r="Q329" s="125"/>
      <c r="R329" s="89"/>
    </row>
    <row r="330" spans="1:18" ht="16" x14ac:dyDescent="0.2">
      <c r="A330" s="47"/>
      <c r="C330" s="10">
        <f t="shared" si="4"/>
        <v>327</v>
      </c>
      <c r="D330" s="68" t="s">
        <v>312</v>
      </c>
      <c r="E330" s="89" t="s">
        <v>219</v>
      </c>
      <c r="F330" s="90">
        <v>45923</v>
      </c>
      <c r="G330" s="90">
        <v>45923</v>
      </c>
      <c r="H330" s="89" t="s">
        <v>31</v>
      </c>
      <c r="I330" s="91">
        <v>401</v>
      </c>
      <c r="J330" s="91"/>
      <c r="K330" s="91">
        <v>1</v>
      </c>
      <c r="L330" s="91"/>
      <c r="M330" s="89" t="s">
        <v>189</v>
      </c>
      <c r="N330" s="89">
        <v>2025091196</v>
      </c>
      <c r="O330" s="89" t="s">
        <v>456</v>
      </c>
      <c r="P330" s="92"/>
      <c r="Q330" s="125"/>
      <c r="R330" s="89"/>
    </row>
    <row r="331" spans="1:18" ht="16" x14ac:dyDescent="0.2">
      <c r="A331" s="47"/>
      <c r="C331" s="10">
        <f t="shared" si="4"/>
        <v>328</v>
      </c>
      <c r="D331" s="68" t="s">
        <v>312</v>
      </c>
      <c r="E331" s="89" t="s">
        <v>219</v>
      </c>
      <c r="F331" s="90">
        <v>45917</v>
      </c>
      <c r="G331" s="90">
        <v>45917</v>
      </c>
      <c r="H331" s="89" t="s">
        <v>30</v>
      </c>
      <c r="I331" s="91">
        <v>370</v>
      </c>
      <c r="J331" s="91">
        <f>Mantenimiento[[#This Row],[Kilometraje del Odómetro]]-I329</f>
        <v>227</v>
      </c>
      <c r="K331" s="91"/>
      <c r="L331" s="91">
        <v>1</v>
      </c>
      <c r="M331" s="89" t="s">
        <v>175</v>
      </c>
      <c r="N331" s="89">
        <v>2025090034</v>
      </c>
      <c r="O331" s="89" t="s">
        <v>526</v>
      </c>
      <c r="P331" s="92"/>
      <c r="Q331" s="125"/>
      <c r="R331" s="89"/>
    </row>
    <row r="332" spans="1:18" ht="16" x14ac:dyDescent="0.2">
      <c r="A332" s="47"/>
      <c r="C332" s="10">
        <f t="shared" si="4"/>
        <v>329</v>
      </c>
      <c r="D332" s="68" t="s">
        <v>312</v>
      </c>
      <c r="E332" s="89" t="s">
        <v>219</v>
      </c>
      <c r="F332" s="90">
        <v>45929</v>
      </c>
      <c r="G332" s="90">
        <v>45929</v>
      </c>
      <c r="H332" s="89" t="s">
        <v>31</v>
      </c>
      <c r="I332" s="91">
        <v>452</v>
      </c>
      <c r="J332" s="91"/>
      <c r="K332" s="562">
        <v>0.75</v>
      </c>
      <c r="L332" s="91"/>
      <c r="M332" s="89" t="s">
        <v>189</v>
      </c>
      <c r="N332" s="89">
        <v>2025091209</v>
      </c>
      <c r="O332" s="89" t="s">
        <v>522</v>
      </c>
      <c r="P332" s="92"/>
      <c r="Q332" s="125"/>
      <c r="R332" s="89"/>
    </row>
    <row r="333" spans="1:18" ht="16" x14ac:dyDescent="0.2">
      <c r="A333" s="47"/>
      <c r="C333" s="10">
        <f t="shared" si="4"/>
        <v>330</v>
      </c>
      <c r="D333" s="68" t="s">
        <v>312</v>
      </c>
      <c r="E333" s="89" t="s">
        <v>219</v>
      </c>
      <c r="F333" s="90">
        <v>45932</v>
      </c>
      <c r="G333" s="90">
        <v>45932</v>
      </c>
      <c r="H333" s="89" t="s">
        <v>31</v>
      </c>
      <c r="I333" s="91">
        <v>463</v>
      </c>
      <c r="J333" s="91"/>
      <c r="K333" s="91">
        <v>1</v>
      </c>
      <c r="L333" s="91"/>
      <c r="M333" s="89" t="s">
        <v>190</v>
      </c>
      <c r="N333" s="89">
        <v>2025101215</v>
      </c>
      <c r="O333" s="89" t="s">
        <v>470</v>
      </c>
      <c r="P333" s="92"/>
      <c r="Q333" s="125"/>
      <c r="R333" s="89"/>
    </row>
    <row r="334" spans="1:18" ht="16" x14ac:dyDescent="0.2">
      <c r="A334" s="47"/>
      <c r="C334" s="10">
        <f t="shared" si="4"/>
        <v>331</v>
      </c>
      <c r="D334" s="68" t="s">
        <v>312</v>
      </c>
      <c r="E334" s="89" t="s">
        <v>219</v>
      </c>
      <c r="F334" s="90">
        <v>45952</v>
      </c>
      <c r="G334" s="90">
        <v>45952</v>
      </c>
      <c r="H334" s="89" t="s">
        <v>31</v>
      </c>
      <c r="I334" s="91">
        <v>506</v>
      </c>
      <c r="J334" s="91"/>
      <c r="K334" s="91">
        <v>1</v>
      </c>
      <c r="L334" s="91"/>
      <c r="M334" s="89" t="s">
        <v>189</v>
      </c>
      <c r="N334" s="89">
        <v>2025101245</v>
      </c>
      <c r="O334" s="89" t="s">
        <v>481</v>
      </c>
      <c r="P334" s="92"/>
      <c r="Q334" s="125"/>
      <c r="R334" s="89"/>
    </row>
    <row r="335" spans="1:18" ht="16" x14ac:dyDescent="0.2">
      <c r="A335" s="47"/>
      <c r="C335" s="10">
        <f t="shared" si="4"/>
        <v>332</v>
      </c>
      <c r="D335" s="68" t="s">
        <v>312</v>
      </c>
      <c r="E335" s="89" t="s">
        <v>219</v>
      </c>
      <c r="F335" s="90">
        <v>45971</v>
      </c>
      <c r="G335" s="90">
        <v>45971</v>
      </c>
      <c r="H335" s="89" t="s">
        <v>31</v>
      </c>
      <c r="I335" s="91">
        <v>532</v>
      </c>
      <c r="J335" s="91"/>
      <c r="K335" s="562">
        <v>0.75</v>
      </c>
      <c r="L335" s="91"/>
      <c r="M335" s="89" t="s">
        <v>190</v>
      </c>
      <c r="N335" s="89">
        <v>2025111278</v>
      </c>
      <c r="O335" s="89" t="s">
        <v>497</v>
      </c>
      <c r="P335" s="92"/>
      <c r="Q335" s="125"/>
      <c r="R335" s="89"/>
    </row>
    <row r="336" spans="1:18" ht="16" x14ac:dyDescent="0.2">
      <c r="A336" s="47"/>
      <c r="C336" s="10">
        <f t="shared" si="4"/>
        <v>333</v>
      </c>
      <c r="D336" s="68" t="s">
        <v>312</v>
      </c>
      <c r="E336" s="89" t="s">
        <v>219</v>
      </c>
      <c r="F336" s="90">
        <v>45980</v>
      </c>
      <c r="G336" s="90">
        <v>45980</v>
      </c>
      <c r="H336" s="89" t="s">
        <v>30</v>
      </c>
      <c r="I336" s="91">
        <v>633</v>
      </c>
      <c r="J336" s="91">
        <f>Mantenimiento[[#This Row],[Kilometraje del Odómetro]]-I331</f>
        <v>263</v>
      </c>
      <c r="K336" s="91"/>
      <c r="L336" s="91">
        <v>1</v>
      </c>
      <c r="M336" s="89" t="s">
        <v>175</v>
      </c>
      <c r="N336" s="89">
        <v>2025110026</v>
      </c>
      <c r="O336" s="89" t="s">
        <v>526</v>
      </c>
      <c r="P336" s="92"/>
      <c r="Q336" s="125"/>
      <c r="R336" s="89"/>
    </row>
    <row r="337" spans="1:18" ht="16" x14ac:dyDescent="0.2">
      <c r="A337" s="47"/>
      <c r="C337" s="10">
        <f t="shared" si="4"/>
        <v>334</v>
      </c>
      <c r="D337" s="68" t="s">
        <v>312</v>
      </c>
      <c r="E337" s="89" t="s">
        <v>219</v>
      </c>
      <c r="F337" s="90">
        <v>46014</v>
      </c>
      <c r="G337" s="90">
        <v>46014</v>
      </c>
      <c r="H337" s="89" t="s">
        <v>30</v>
      </c>
      <c r="I337" s="91">
        <v>899</v>
      </c>
      <c r="J337" s="91">
        <f>Mantenimiento[[#This Row],[Kilometraje del Odómetro]]-I336</f>
        <v>266</v>
      </c>
      <c r="K337" s="91"/>
      <c r="L337" s="91">
        <v>1</v>
      </c>
      <c r="M337" s="89" t="s">
        <v>175</v>
      </c>
      <c r="N337" s="89">
        <v>2025120047</v>
      </c>
      <c r="O337" s="89" t="s">
        <v>526</v>
      </c>
      <c r="P337" s="92"/>
      <c r="Q337" s="125"/>
      <c r="R337" s="89"/>
    </row>
    <row r="338" spans="1:18" ht="16" x14ac:dyDescent="0.2">
      <c r="A338" s="47"/>
      <c r="C338" s="10">
        <f>ROW(A335)</f>
        <v>335</v>
      </c>
      <c r="D338" s="68" t="s">
        <v>312</v>
      </c>
      <c r="E338" s="89" t="s">
        <v>219</v>
      </c>
      <c r="F338" s="90">
        <v>46015</v>
      </c>
      <c r="G338" s="90">
        <v>46015</v>
      </c>
      <c r="H338" s="89" t="s">
        <v>31</v>
      </c>
      <c r="I338" s="91">
        <v>900</v>
      </c>
      <c r="J338" s="91"/>
      <c r="K338" s="91">
        <v>1</v>
      </c>
      <c r="L338" s="91"/>
      <c r="M338" s="89" t="s">
        <v>189</v>
      </c>
      <c r="N338" s="89">
        <v>2025121346</v>
      </c>
      <c r="O338" s="89" t="s">
        <v>527</v>
      </c>
      <c r="P338" s="92"/>
      <c r="Q338" s="125"/>
      <c r="R338" s="89"/>
    </row>
    <row r="339" spans="1:18" ht="16" x14ac:dyDescent="0.2">
      <c r="A339" s="47"/>
      <c r="C339" s="10">
        <f>ROW(A335)</f>
        <v>335</v>
      </c>
      <c r="D339" s="68"/>
      <c r="E339" s="89"/>
      <c r="F339" s="90"/>
      <c r="G339" s="90"/>
      <c r="H339" s="89"/>
      <c r="I339" s="91"/>
      <c r="J339" s="91"/>
      <c r="K339" s="91"/>
      <c r="L339" s="91"/>
      <c r="M339" s="89"/>
      <c r="N339" s="89"/>
      <c r="O339" s="89"/>
      <c r="P339" s="92"/>
      <c r="Q339" s="125"/>
      <c r="R339" s="89"/>
    </row>
    <row r="340" spans="1:18" ht="16" x14ac:dyDescent="0.2">
      <c r="A340" s="47"/>
      <c r="C340" s="10">
        <f>ROW(A336)</f>
        <v>336</v>
      </c>
      <c r="D340" s="68"/>
      <c r="E340" s="89"/>
      <c r="F340" s="90"/>
      <c r="G340" s="90"/>
      <c r="H340" s="89"/>
      <c r="I340" s="91"/>
      <c r="J340" s="91"/>
      <c r="K340" s="91"/>
      <c r="L340" s="91"/>
      <c r="M340" s="89"/>
      <c r="N340" s="89"/>
      <c r="O340" s="89"/>
      <c r="P340" s="92"/>
      <c r="Q340" s="125"/>
      <c r="R340" s="89"/>
    </row>
    <row r="341" spans="1:18" ht="17" thickBot="1" x14ac:dyDescent="0.25">
      <c r="A341" s="47"/>
      <c r="C341" s="10">
        <f>ROW(A337)</f>
        <v>337</v>
      </c>
      <c r="D341" s="219"/>
      <c r="E341" s="220"/>
      <c r="F341" s="221"/>
      <c r="G341" s="552"/>
      <c r="H341" s="220"/>
      <c r="I341" s="222"/>
      <c r="J341" s="222"/>
      <c r="K341" s="222"/>
      <c r="L341" s="222"/>
      <c r="M341" s="220"/>
      <c r="N341" s="220"/>
      <c r="O341" s="220"/>
      <c r="P341" s="223"/>
      <c r="Q341" s="251"/>
      <c r="R341" s="220"/>
    </row>
    <row r="342" spans="1:18" ht="17" thickTop="1" x14ac:dyDescent="0.2">
      <c r="A342" s="47"/>
      <c r="C342" s="10">
        <f t="shared" si="4"/>
        <v>339</v>
      </c>
      <c r="D342" s="168"/>
      <c r="E342" s="169"/>
      <c r="F342" s="146"/>
      <c r="G342" s="146"/>
      <c r="H342" s="169"/>
      <c r="I342" s="170"/>
      <c r="J342" s="170">
        <f>Mantenimiento[[#This Row],[Kilometraje del Odómetro]]-I341</f>
        <v>0</v>
      </c>
      <c r="K342" s="170"/>
      <c r="L342" s="170"/>
      <c r="M342" s="169"/>
      <c r="N342" s="169"/>
      <c r="O342" s="169"/>
      <c r="P342" s="171"/>
      <c r="Q342" s="172"/>
      <c r="R342" s="169"/>
    </row>
    <row r="343" spans="1:18" ht="16" x14ac:dyDescent="0.2">
      <c r="A343" s="47"/>
      <c r="C343" s="10">
        <f t="shared" ref="C343:C408" si="5">ROW(A340)</f>
        <v>340</v>
      </c>
      <c r="D343" s="361" t="s">
        <v>313</v>
      </c>
      <c r="E343" s="362" t="s">
        <v>219</v>
      </c>
      <c r="F343" s="363">
        <v>44870</v>
      </c>
      <c r="G343" s="363">
        <f>Mantenimiento[[#This Row],[Fecha Entrada]]</f>
        <v>44870</v>
      </c>
      <c r="H343" s="362" t="s">
        <v>30</v>
      </c>
      <c r="I343" s="364">
        <v>1</v>
      </c>
      <c r="J343" s="364">
        <f>Mantenimiento[[#This Row],[Kilometraje del Odómetro]]-I342</f>
        <v>1</v>
      </c>
      <c r="K343" s="364"/>
      <c r="L343" s="364"/>
      <c r="M343" s="362" t="s">
        <v>173</v>
      </c>
      <c r="N343" s="362"/>
      <c r="O343" s="362" t="s">
        <v>314</v>
      </c>
      <c r="P343" s="365"/>
      <c r="Q343" s="366"/>
      <c r="R343" s="362"/>
    </row>
    <row r="344" spans="1:18" ht="16" x14ac:dyDescent="0.2">
      <c r="A344" s="47"/>
      <c r="C344" s="10">
        <f t="shared" si="5"/>
        <v>341</v>
      </c>
      <c r="D344" s="361" t="s">
        <v>313</v>
      </c>
      <c r="E344" s="362" t="s">
        <v>219</v>
      </c>
      <c r="F344" s="363">
        <v>45024</v>
      </c>
      <c r="G344" s="363">
        <f>Mantenimiento[[#This Row],[Fecha Entrada]]</f>
        <v>45024</v>
      </c>
      <c r="H344" s="362" t="s">
        <v>30</v>
      </c>
      <c r="I344" s="364">
        <v>231</v>
      </c>
      <c r="J344" s="364">
        <f>Mantenimiento[[#This Row],[Kilometraje del Odómetro]]-I343</f>
        <v>230</v>
      </c>
      <c r="K344" s="364"/>
      <c r="L344" s="364"/>
      <c r="M344" s="362" t="s">
        <v>173</v>
      </c>
      <c r="N344" s="362"/>
      <c r="O344" s="362" t="s">
        <v>314</v>
      </c>
      <c r="P344" s="365"/>
      <c r="Q344" s="366"/>
      <c r="R344" s="362"/>
    </row>
    <row r="345" spans="1:18" ht="16" x14ac:dyDescent="0.2">
      <c r="A345" s="47"/>
      <c r="C345" s="10">
        <f t="shared" si="5"/>
        <v>342</v>
      </c>
      <c r="D345" s="361" t="s">
        <v>313</v>
      </c>
      <c r="E345" s="362" t="s">
        <v>219</v>
      </c>
      <c r="F345" s="363">
        <v>45136</v>
      </c>
      <c r="G345" s="363">
        <f>Mantenimiento[[#This Row],[Fecha Entrada]]</f>
        <v>45136</v>
      </c>
      <c r="H345" s="362" t="s">
        <v>30</v>
      </c>
      <c r="I345" s="364">
        <v>558</v>
      </c>
      <c r="J345" s="364">
        <f>Mantenimiento[[#This Row],[Kilometraje del Odómetro]]-I344</f>
        <v>327</v>
      </c>
      <c r="K345" s="364"/>
      <c r="L345" s="364"/>
      <c r="M345" s="362" t="s">
        <v>173</v>
      </c>
      <c r="N345" s="362"/>
      <c r="O345" s="362" t="s">
        <v>314</v>
      </c>
      <c r="P345" s="365"/>
      <c r="Q345" s="366"/>
      <c r="R345" s="362"/>
    </row>
    <row r="346" spans="1:18" ht="16" x14ac:dyDescent="0.2">
      <c r="A346" s="47"/>
      <c r="C346" s="10">
        <f t="shared" si="5"/>
        <v>343</v>
      </c>
      <c r="D346" s="361" t="s">
        <v>313</v>
      </c>
      <c r="E346" s="362" t="s">
        <v>219</v>
      </c>
      <c r="F346" s="363">
        <v>45359</v>
      </c>
      <c r="G346" s="363">
        <f>Mantenimiento[[#This Row],[Fecha Entrada]]</f>
        <v>45359</v>
      </c>
      <c r="H346" s="362" t="s">
        <v>30</v>
      </c>
      <c r="I346" s="364">
        <v>800</v>
      </c>
      <c r="J346" s="364">
        <f>Mantenimiento[[#This Row],[Kilometraje del Odómetro]]-I345</f>
        <v>242</v>
      </c>
      <c r="K346" s="364"/>
      <c r="L346" s="364"/>
      <c r="M346" s="362" t="s">
        <v>173</v>
      </c>
      <c r="N346" s="362"/>
      <c r="O346" s="362" t="s">
        <v>314</v>
      </c>
      <c r="P346" s="365"/>
      <c r="Q346" s="366"/>
      <c r="R346" s="362"/>
    </row>
    <row r="347" spans="1:18" ht="16" x14ac:dyDescent="0.2">
      <c r="A347" s="47"/>
      <c r="C347" s="10">
        <f t="shared" si="5"/>
        <v>344</v>
      </c>
      <c r="D347" s="361" t="s">
        <v>313</v>
      </c>
      <c r="E347" s="362" t="s">
        <v>219</v>
      </c>
      <c r="F347" s="363">
        <v>45445</v>
      </c>
      <c r="G347" s="363">
        <f>Mantenimiento[[#This Row],[Fecha Entrada]]</f>
        <v>45445</v>
      </c>
      <c r="H347" s="362" t="s">
        <v>30</v>
      </c>
      <c r="I347" s="364">
        <v>1320</v>
      </c>
      <c r="J347" s="364">
        <f>Mantenimiento[[#This Row],[Kilometraje del Odómetro]]-I346</f>
        <v>520</v>
      </c>
      <c r="K347" s="364"/>
      <c r="L347" s="364"/>
      <c r="M347" s="362" t="s">
        <v>174</v>
      </c>
      <c r="N347" s="362"/>
      <c r="O347" s="362" t="s">
        <v>314</v>
      </c>
      <c r="P347" s="365"/>
      <c r="Q347" s="366"/>
      <c r="R347" s="362"/>
    </row>
    <row r="348" spans="1:18" ht="16" x14ac:dyDescent="0.2">
      <c r="A348" s="47"/>
      <c r="C348" s="10">
        <f t="shared" si="5"/>
        <v>345</v>
      </c>
      <c r="D348" s="361" t="s">
        <v>313</v>
      </c>
      <c r="E348" s="362" t="s">
        <v>219</v>
      </c>
      <c r="F348" s="363">
        <v>45507</v>
      </c>
      <c r="G348" s="363">
        <f>Mantenimiento[[#This Row],[Fecha Entrada]]</f>
        <v>45507</v>
      </c>
      <c r="H348" s="362" t="s">
        <v>30</v>
      </c>
      <c r="I348" s="364">
        <v>1614</v>
      </c>
      <c r="J348" s="364">
        <f>Mantenimiento[[#This Row],[Kilometraje del Odómetro]]-I347</f>
        <v>294</v>
      </c>
      <c r="K348" s="364"/>
      <c r="L348" s="364"/>
      <c r="M348" s="362" t="s">
        <v>174</v>
      </c>
      <c r="N348" s="362"/>
      <c r="O348" s="362" t="s">
        <v>314</v>
      </c>
      <c r="P348" s="365"/>
      <c r="Q348" s="366"/>
      <c r="R348" s="362"/>
    </row>
    <row r="349" spans="1:18" ht="16" x14ac:dyDescent="0.2">
      <c r="A349" s="47"/>
      <c r="C349" s="10">
        <f t="shared" si="5"/>
        <v>346</v>
      </c>
      <c r="D349" s="361" t="s">
        <v>313</v>
      </c>
      <c r="E349" s="362" t="s">
        <v>219</v>
      </c>
      <c r="F349" s="363">
        <v>45651</v>
      </c>
      <c r="G349" s="363">
        <f>Mantenimiento[[#This Row],[Fecha Entrada]]</f>
        <v>45651</v>
      </c>
      <c r="H349" s="362" t="s">
        <v>30</v>
      </c>
      <c r="I349" s="364">
        <v>2438</v>
      </c>
      <c r="J349" s="364">
        <f>Mantenimiento[[#This Row],[Kilometraje del Odómetro]]-I348</f>
        <v>824</v>
      </c>
      <c r="K349" s="364"/>
      <c r="L349" s="364"/>
      <c r="M349" s="362" t="s">
        <v>174</v>
      </c>
      <c r="N349" s="362"/>
      <c r="O349" s="362" t="s">
        <v>314</v>
      </c>
      <c r="P349" s="365"/>
      <c r="Q349" s="366"/>
      <c r="R349" s="362"/>
    </row>
    <row r="350" spans="1:18" ht="16" x14ac:dyDescent="0.2">
      <c r="A350" s="47"/>
      <c r="C350" s="10">
        <f t="shared" si="5"/>
        <v>347</v>
      </c>
      <c r="D350" s="361"/>
      <c r="E350" s="362"/>
      <c r="F350" s="363"/>
      <c r="G350" s="363"/>
      <c r="H350" s="362"/>
      <c r="I350" s="364"/>
      <c r="J350" s="364"/>
      <c r="K350" s="364"/>
      <c r="L350" s="364"/>
      <c r="M350" s="362"/>
      <c r="N350" s="362"/>
      <c r="O350" s="362"/>
      <c r="P350" s="365"/>
      <c r="Q350" s="366"/>
      <c r="R350" s="362"/>
    </row>
    <row r="351" spans="1:18" ht="16" x14ac:dyDescent="0.2">
      <c r="A351" s="47"/>
      <c r="C351" s="10">
        <f t="shared" si="5"/>
        <v>348</v>
      </c>
      <c r="D351" s="361"/>
      <c r="E351" s="362"/>
      <c r="F351" s="363"/>
      <c r="G351" s="363"/>
      <c r="H351" s="362"/>
      <c r="I351" s="364"/>
      <c r="J351" s="364">
        <f>Mantenimiento[[#This Row],[Kilometraje del Odómetro]]-I350</f>
        <v>0</v>
      </c>
      <c r="K351" s="364"/>
      <c r="L351" s="364"/>
      <c r="M351" s="362"/>
      <c r="N351" s="362"/>
      <c r="O351" s="362"/>
      <c r="P351" s="365"/>
      <c r="Q351" s="366"/>
      <c r="R351" s="362"/>
    </row>
    <row r="352" spans="1:18" ht="16" x14ac:dyDescent="0.2">
      <c r="A352" s="47"/>
      <c r="C352" s="10">
        <f t="shared" si="5"/>
        <v>349</v>
      </c>
      <c r="D352" s="361"/>
      <c r="E352" s="362"/>
      <c r="F352" s="363"/>
      <c r="G352" s="363"/>
      <c r="H352" s="362"/>
      <c r="I352" s="364"/>
      <c r="J352" s="364">
        <f>Mantenimiento[[#This Row],[Kilometraje del Odómetro]]-I350</f>
        <v>0</v>
      </c>
      <c r="K352" s="364"/>
      <c r="L352" s="364"/>
      <c r="M352" s="362"/>
      <c r="N352" s="362"/>
      <c r="O352" s="362"/>
      <c r="P352" s="365"/>
      <c r="Q352" s="366"/>
      <c r="R352" s="362"/>
    </row>
    <row r="353" spans="1:18" ht="16" x14ac:dyDescent="0.2">
      <c r="A353" s="47"/>
      <c r="C353" s="10">
        <f t="shared" si="5"/>
        <v>350</v>
      </c>
      <c r="D353" s="361"/>
      <c r="E353" s="362"/>
      <c r="F353" s="363"/>
      <c r="G353" s="363"/>
      <c r="H353" s="362"/>
      <c r="I353" s="364"/>
      <c r="J353" s="364">
        <f>Mantenimiento[[#This Row],[Kilometraje del Odómetro]]-I350</f>
        <v>0</v>
      </c>
      <c r="K353" s="364"/>
      <c r="L353" s="364"/>
      <c r="M353" s="362"/>
      <c r="N353" s="362"/>
      <c r="O353" s="362"/>
      <c r="P353" s="365"/>
      <c r="Q353" s="366"/>
      <c r="R353" s="362"/>
    </row>
    <row r="354" spans="1:18" ht="16" x14ac:dyDescent="0.2">
      <c r="A354" s="47"/>
      <c r="C354" s="10">
        <f t="shared" si="5"/>
        <v>351</v>
      </c>
      <c r="D354" s="361"/>
      <c r="E354" s="362"/>
      <c r="F354" s="363"/>
      <c r="G354" s="363"/>
      <c r="H354" s="362"/>
      <c r="I354" s="364"/>
      <c r="J354" s="364"/>
      <c r="K354" s="364"/>
      <c r="L354" s="364"/>
      <c r="M354" s="362"/>
      <c r="N354" s="362"/>
      <c r="O354" s="362"/>
      <c r="P354" s="365"/>
      <c r="Q354" s="366"/>
      <c r="R354" s="362"/>
    </row>
    <row r="355" spans="1:18" ht="17" thickBot="1" x14ac:dyDescent="0.25">
      <c r="A355" s="47"/>
      <c r="C355" s="10">
        <f t="shared" si="5"/>
        <v>352</v>
      </c>
      <c r="D355" s="367"/>
      <c r="E355" s="368"/>
      <c r="F355" s="369"/>
      <c r="G355" s="369"/>
      <c r="H355" s="368"/>
      <c r="I355" s="370"/>
      <c r="J355" s="370">
        <f>Mantenimiento[[#This Row],[Kilometraje del Odómetro]]-I354</f>
        <v>0</v>
      </c>
      <c r="K355" s="370"/>
      <c r="L355" s="370"/>
      <c r="M355" s="368"/>
      <c r="N355" s="368"/>
      <c r="O355" s="368"/>
      <c r="P355" s="371"/>
      <c r="Q355" s="372"/>
      <c r="R355" s="368"/>
    </row>
    <row r="356" spans="1:18" ht="17" thickTop="1" x14ac:dyDescent="0.2">
      <c r="A356" s="47"/>
      <c r="C356" s="10">
        <f t="shared" si="5"/>
        <v>353</v>
      </c>
      <c r="D356" s="65"/>
      <c r="E356" s="34"/>
      <c r="F356" s="37"/>
      <c r="G356" s="37"/>
      <c r="H356" s="34"/>
      <c r="I356" s="385"/>
      <c r="J356" s="385">
        <f>Mantenimiento[[#This Row],[Kilometraje del Odómetro]]-I355</f>
        <v>0</v>
      </c>
      <c r="K356" s="385"/>
      <c r="L356" s="385"/>
      <c r="M356" s="34"/>
      <c r="N356" s="34"/>
      <c r="O356" s="34"/>
      <c r="P356" s="36"/>
      <c r="Q356" s="386"/>
      <c r="R356" s="34"/>
    </row>
    <row r="357" spans="1:18" ht="16" x14ac:dyDescent="0.2">
      <c r="A357" s="47"/>
      <c r="C357" s="10">
        <f t="shared" si="5"/>
        <v>354</v>
      </c>
      <c r="D357" s="69" t="s">
        <v>320</v>
      </c>
      <c r="E357" s="85" t="s">
        <v>219</v>
      </c>
      <c r="F357" s="86">
        <v>44496</v>
      </c>
      <c r="G357" s="86">
        <v>44496</v>
      </c>
      <c r="H357" s="85" t="s">
        <v>30</v>
      </c>
      <c r="I357" s="87">
        <v>35</v>
      </c>
      <c r="J357" s="87">
        <f>Mantenimiento[[#This Row],[Kilometraje del Odómetro]]-I356</f>
        <v>35</v>
      </c>
      <c r="K357" s="87"/>
      <c r="L357" s="87"/>
      <c r="M357" s="85" t="s">
        <v>173</v>
      </c>
      <c r="N357" s="85"/>
      <c r="O357" s="85" t="s">
        <v>460</v>
      </c>
      <c r="P357" s="88"/>
      <c r="Q357" s="387"/>
      <c r="R357" s="85"/>
    </row>
    <row r="358" spans="1:18" ht="16" x14ac:dyDescent="0.2">
      <c r="A358" s="47"/>
      <c r="C358" s="10">
        <f t="shared" si="5"/>
        <v>355</v>
      </c>
      <c r="D358" s="69" t="s">
        <v>320</v>
      </c>
      <c r="E358" s="85" t="s">
        <v>219</v>
      </c>
      <c r="F358" s="86">
        <v>44899</v>
      </c>
      <c r="G358" s="86">
        <f>Mantenimiento[[#This Row],[Fecha Entrada]]</f>
        <v>44899</v>
      </c>
      <c r="H358" s="85" t="s">
        <v>30</v>
      </c>
      <c r="I358" s="87">
        <v>258</v>
      </c>
      <c r="J358" s="87">
        <f>Mantenimiento[[#This Row],[Kilometraje del Odómetro]]-I357</f>
        <v>223</v>
      </c>
      <c r="K358" s="87"/>
      <c r="L358" s="87"/>
      <c r="M358" s="85" t="s">
        <v>173</v>
      </c>
      <c r="N358" s="85"/>
      <c r="O358" s="85" t="s">
        <v>460</v>
      </c>
      <c r="P358" s="88"/>
      <c r="Q358" s="387"/>
      <c r="R358" s="85"/>
    </row>
    <row r="359" spans="1:18" ht="16" x14ac:dyDescent="0.2">
      <c r="A359" s="47"/>
      <c r="C359" s="10">
        <f t="shared" si="5"/>
        <v>356</v>
      </c>
      <c r="D359" s="69" t="s">
        <v>320</v>
      </c>
      <c r="E359" s="85" t="s">
        <v>219</v>
      </c>
      <c r="F359" s="86">
        <v>45433</v>
      </c>
      <c r="G359" s="86">
        <f>Mantenimiento[[#This Row],[Fecha Entrada]]</f>
        <v>45433</v>
      </c>
      <c r="H359" s="85" t="s">
        <v>30</v>
      </c>
      <c r="I359" s="87">
        <v>417</v>
      </c>
      <c r="J359" s="87">
        <f>Mantenimiento[[#This Row],[Kilometraje del Odómetro]]-I358</f>
        <v>159</v>
      </c>
      <c r="K359" s="87"/>
      <c r="L359" s="87"/>
      <c r="M359" s="85" t="s">
        <v>173</v>
      </c>
      <c r="N359" s="85"/>
      <c r="O359" s="85" t="s">
        <v>460</v>
      </c>
      <c r="P359" s="88"/>
      <c r="Q359" s="387"/>
      <c r="R359" s="85"/>
    </row>
    <row r="360" spans="1:18" ht="16" x14ac:dyDescent="0.2">
      <c r="A360" s="47"/>
      <c r="C360" s="10">
        <f t="shared" si="5"/>
        <v>357</v>
      </c>
      <c r="D360" s="69" t="s">
        <v>320</v>
      </c>
      <c r="E360" s="85" t="s">
        <v>219</v>
      </c>
      <c r="F360" s="86">
        <v>45462</v>
      </c>
      <c r="G360" s="86">
        <f>Mantenimiento[[#This Row],[Fecha Entrada]]</f>
        <v>45462</v>
      </c>
      <c r="H360" s="85" t="s">
        <v>30</v>
      </c>
      <c r="I360" s="87">
        <v>757</v>
      </c>
      <c r="J360" s="87">
        <f>Mantenimiento[[#This Row],[Kilometraje del Odómetro]]-I359</f>
        <v>340</v>
      </c>
      <c r="K360" s="87"/>
      <c r="L360" s="87"/>
      <c r="M360" s="85" t="s">
        <v>173</v>
      </c>
      <c r="N360" s="85"/>
      <c r="O360" s="85" t="s">
        <v>460</v>
      </c>
      <c r="P360" s="88"/>
      <c r="Q360" s="387"/>
      <c r="R360" s="85"/>
    </row>
    <row r="361" spans="1:18" ht="16" x14ac:dyDescent="0.2">
      <c r="A361" s="47"/>
      <c r="C361" s="10">
        <f t="shared" si="5"/>
        <v>358</v>
      </c>
      <c r="D361" s="69" t="s">
        <v>320</v>
      </c>
      <c r="E361" s="85" t="s">
        <v>219</v>
      </c>
      <c r="F361" s="86">
        <v>45583</v>
      </c>
      <c r="G361" s="86">
        <f>Mantenimiento[[#This Row],[Fecha Entrada]]</f>
        <v>45583</v>
      </c>
      <c r="H361" s="85" t="s">
        <v>30</v>
      </c>
      <c r="I361" s="87">
        <v>1108</v>
      </c>
      <c r="J361" s="87">
        <f>Mantenimiento[[#This Row],[Kilometraje del Odómetro]]-I360</f>
        <v>351</v>
      </c>
      <c r="K361" s="87"/>
      <c r="L361" s="87"/>
      <c r="M361" s="85" t="s">
        <v>174</v>
      </c>
      <c r="N361" s="85"/>
      <c r="O361" s="85" t="s">
        <v>460</v>
      </c>
      <c r="P361" s="88"/>
      <c r="Q361" s="387"/>
      <c r="R361" s="85"/>
    </row>
    <row r="362" spans="1:18" ht="16" x14ac:dyDescent="0.2">
      <c r="A362" s="47"/>
      <c r="C362" s="10">
        <f t="shared" si="5"/>
        <v>359</v>
      </c>
      <c r="D362" s="69" t="s">
        <v>320</v>
      </c>
      <c r="E362" s="85" t="s">
        <v>219</v>
      </c>
      <c r="F362" s="86">
        <v>45293</v>
      </c>
      <c r="G362" s="86">
        <f>Mantenimiento[[#This Row],[Fecha Entrada]]</f>
        <v>45293</v>
      </c>
      <c r="H362" s="85" t="s">
        <v>30</v>
      </c>
      <c r="I362" s="87">
        <v>1630</v>
      </c>
      <c r="J362" s="87">
        <f>Mantenimiento[[#This Row],[Kilometraje del Odómetro]]-I361</f>
        <v>522</v>
      </c>
      <c r="K362" s="87"/>
      <c r="L362" s="87"/>
      <c r="M362" s="85" t="s">
        <v>174</v>
      </c>
      <c r="N362" s="85"/>
      <c r="O362" s="85" t="s">
        <v>460</v>
      </c>
      <c r="P362" s="88"/>
      <c r="Q362" s="387"/>
      <c r="R362" s="85"/>
    </row>
    <row r="363" spans="1:18" ht="16" x14ac:dyDescent="0.2">
      <c r="A363" s="47"/>
      <c r="C363" s="10">
        <f t="shared" si="5"/>
        <v>360</v>
      </c>
      <c r="D363" s="69" t="s">
        <v>320</v>
      </c>
      <c r="E363" s="85" t="s">
        <v>219</v>
      </c>
      <c r="F363" s="86">
        <v>45692</v>
      </c>
      <c r="G363" s="86">
        <f>Mantenimiento[[#This Row],[Fecha Entrada]]</f>
        <v>45692</v>
      </c>
      <c r="H363" s="85" t="s">
        <v>30</v>
      </c>
      <c r="I363" s="87">
        <v>1895</v>
      </c>
      <c r="J363" s="87">
        <f>Mantenimiento[[#This Row],[Kilometraje del Odómetro]]-I362</f>
        <v>265</v>
      </c>
      <c r="K363" s="87"/>
      <c r="L363" s="87">
        <v>1</v>
      </c>
      <c r="M363" s="85" t="s">
        <v>174</v>
      </c>
      <c r="N363" s="85"/>
      <c r="O363" s="85" t="s">
        <v>460</v>
      </c>
      <c r="P363" s="88"/>
      <c r="Q363" s="387"/>
      <c r="R363" s="85"/>
    </row>
    <row r="364" spans="1:18" ht="16" x14ac:dyDescent="0.2">
      <c r="A364" s="47"/>
      <c r="C364" s="10">
        <f t="shared" si="5"/>
        <v>361</v>
      </c>
      <c r="D364" s="69" t="s">
        <v>320</v>
      </c>
      <c r="E364" s="85" t="s">
        <v>219</v>
      </c>
      <c r="F364" s="86">
        <v>45755</v>
      </c>
      <c r="G364" s="86">
        <v>45755</v>
      </c>
      <c r="H364" s="85" t="s">
        <v>30</v>
      </c>
      <c r="I364" s="87">
        <v>2321</v>
      </c>
      <c r="J364" s="87">
        <f>Mantenimiento[[#This Row],[Kilometraje del Odómetro]]-I363</f>
        <v>426</v>
      </c>
      <c r="K364" s="87"/>
      <c r="L364" s="87">
        <v>1</v>
      </c>
      <c r="M364" s="85" t="s">
        <v>174</v>
      </c>
      <c r="N364" s="85"/>
      <c r="O364" s="85" t="s">
        <v>460</v>
      </c>
      <c r="P364" s="88"/>
      <c r="Q364" s="387"/>
      <c r="R364" s="85"/>
    </row>
    <row r="365" spans="1:18" ht="16" x14ac:dyDescent="0.2">
      <c r="A365" s="47"/>
      <c r="C365" s="10">
        <f t="shared" si="5"/>
        <v>362</v>
      </c>
      <c r="D365" s="69" t="s">
        <v>320</v>
      </c>
      <c r="E365" s="85" t="s">
        <v>219</v>
      </c>
      <c r="F365" s="86">
        <v>45792</v>
      </c>
      <c r="G365" s="86">
        <v>45792</v>
      </c>
      <c r="H365" s="85" t="s">
        <v>30</v>
      </c>
      <c r="I365" s="87">
        <v>2610</v>
      </c>
      <c r="J365" s="87">
        <f>Mantenimiento[[#This Row],[Kilometraje del Odómetro]]-I364</f>
        <v>289</v>
      </c>
      <c r="K365" s="87"/>
      <c r="L365" s="87">
        <v>1</v>
      </c>
      <c r="M365" s="85" t="s">
        <v>174</v>
      </c>
      <c r="N365" s="85"/>
      <c r="O365" s="85" t="s">
        <v>460</v>
      </c>
      <c r="P365" s="88"/>
      <c r="Q365" s="387"/>
      <c r="R365" s="85"/>
    </row>
    <row r="366" spans="1:18" ht="16" x14ac:dyDescent="0.2">
      <c r="A366" s="47"/>
      <c r="C366" s="10">
        <f t="shared" si="5"/>
        <v>363</v>
      </c>
      <c r="D366" s="69" t="s">
        <v>320</v>
      </c>
      <c r="E366" s="85" t="s">
        <v>219</v>
      </c>
      <c r="F366" s="86">
        <v>45838</v>
      </c>
      <c r="G366" s="86">
        <v>45838</v>
      </c>
      <c r="H366" s="85" t="s">
        <v>30</v>
      </c>
      <c r="I366" s="87">
        <v>2930</v>
      </c>
      <c r="J366" s="87">
        <f>Mantenimiento[[#This Row],[Kilometraje del Odómetro]]-I365</f>
        <v>320</v>
      </c>
      <c r="K366" s="87"/>
      <c r="L366" s="87">
        <v>1</v>
      </c>
      <c r="M366" s="85" t="s">
        <v>175</v>
      </c>
      <c r="N366" s="85"/>
      <c r="O366" s="85" t="s">
        <v>460</v>
      </c>
      <c r="P366" s="88"/>
      <c r="Q366" s="387"/>
      <c r="R366" s="85"/>
    </row>
    <row r="367" spans="1:18" ht="16" x14ac:dyDescent="0.2">
      <c r="A367" s="47"/>
      <c r="C367" s="10">
        <f t="shared" si="5"/>
        <v>364</v>
      </c>
      <c r="D367" s="69" t="s">
        <v>320</v>
      </c>
      <c r="E367" s="85" t="s">
        <v>219</v>
      </c>
      <c r="F367" s="86">
        <v>45905</v>
      </c>
      <c r="G367" s="86">
        <v>45905</v>
      </c>
      <c r="H367" s="85" t="s">
        <v>30</v>
      </c>
      <c r="I367" s="87">
        <v>3211</v>
      </c>
      <c r="J367" s="87">
        <f>Mantenimiento[[#This Row],[Kilometraje del Odómetro]]-I366</f>
        <v>281</v>
      </c>
      <c r="K367" s="87"/>
      <c r="L367" s="87">
        <v>1</v>
      </c>
      <c r="M367" s="85" t="s">
        <v>175</v>
      </c>
      <c r="N367" s="85">
        <v>2025090013</v>
      </c>
      <c r="O367" s="85" t="s">
        <v>314</v>
      </c>
      <c r="P367" s="88"/>
      <c r="Q367" s="387"/>
      <c r="R367" s="85"/>
    </row>
    <row r="368" spans="1:18" ht="16" x14ac:dyDescent="0.2">
      <c r="A368" s="47"/>
      <c r="C368" s="10">
        <f t="shared" si="5"/>
        <v>365</v>
      </c>
      <c r="D368" s="69" t="s">
        <v>320</v>
      </c>
      <c r="E368" s="85" t="s">
        <v>219</v>
      </c>
      <c r="F368" s="86">
        <v>45921</v>
      </c>
      <c r="G368" s="86">
        <v>45921</v>
      </c>
      <c r="H368" s="85" t="s">
        <v>31</v>
      </c>
      <c r="I368" s="87">
        <v>3345</v>
      </c>
      <c r="J368" s="87"/>
      <c r="K368" s="87">
        <v>1</v>
      </c>
      <c r="L368" s="87"/>
      <c r="M368" s="85" t="s">
        <v>191</v>
      </c>
      <c r="N368" s="85">
        <v>2025091189</v>
      </c>
      <c r="O368" s="85" t="s">
        <v>449</v>
      </c>
      <c r="P368" s="88"/>
      <c r="Q368" s="387"/>
      <c r="R368" s="85"/>
    </row>
    <row r="369" spans="1:18" ht="16" x14ac:dyDescent="0.2">
      <c r="A369" s="47"/>
      <c r="C369" s="10">
        <f t="shared" si="5"/>
        <v>366</v>
      </c>
      <c r="D369" s="69" t="s">
        <v>320</v>
      </c>
      <c r="E369" s="85" t="s">
        <v>219</v>
      </c>
      <c r="F369" s="86">
        <v>45944</v>
      </c>
      <c r="G369" s="86">
        <v>45944</v>
      </c>
      <c r="H369" s="85" t="s">
        <v>30</v>
      </c>
      <c r="I369" s="87">
        <v>3500</v>
      </c>
      <c r="J369" s="87">
        <f>Mantenimiento[[#This Row],[Kilometraje del Odómetro]]-I367</f>
        <v>289</v>
      </c>
      <c r="K369" s="87"/>
      <c r="L369" s="87">
        <v>1</v>
      </c>
      <c r="M369" s="85" t="s">
        <v>175</v>
      </c>
      <c r="N369" s="85">
        <v>2025101229</v>
      </c>
      <c r="O369" s="85" t="s">
        <v>460</v>
      </c>
      <c r="P369" s="88"/>
      <c r="Q369" s="387"/>
      <c r="R369" s="85"/>
    </row>
    <row r="370" spans="1:18" ht="16" x14ac:dyDescent="0.2">
      <c r="A370" s="47"/>
      <c r="C370" s="10">
        <f t="shared" si="5"/>
        <v>367</v>
      </c>
      <c r="D370" s="69" t="s">
        <v>320</v>
      </c>
      <c r="E370" s="85" t="s">
        <v>219</v>
      </c>
      <c r="F370" s="86">
        <v>45962</v>
      </c>
      <c r="G370" s="86">
        <v>45962</v>
      </c>
      <c r="H370" s="85" t="s">
        <v>31</v>
      </c>
      <c r="I370" s="87">
        <v>3630</v>
      </c>
      <c r="J370" s="87"/>
      <c r="K370" s="87">
        <v>1</v>
      </c>
      <c r="L370" s="87"/>
      <c r="M370" s="85" t="s">
        <v>190</v>
      </c>
      <c r="N370" s="85">
        <v>2025111262</v>
      </c>
      <c r="O370" s="85" t="s">
        <v>493</v>
      </c>
      <c r="P370" s="88"/>
      <c r="Q370" s="387"/>
      <c r="R370" s="85"/>
    </row>
    <row r="371" spans="1:18" ht="16" x14ac:dyDescent="0.2">
      <c r="A371" s="47"/>
      <c r="C371" s="10">
        <f t="shared" si="5"/>
        <v>368</v>
      </c>
      <c r="D371" s="69" t="s">
        <v>320</v>
      </c>
      <c r="E371" s="85" t="s">
        <v>219</v>
      </c>
      <c r="F371" s="86">
        <v>45981</v>
      </c>
      <c r="G371" s="86">
        <v>45981</v>
      </c>
      <c r="H371" s="85" t="s">
        <v>30</v>
      </c>
      <c r="I371" s="87">
        <v>3770</v>
      </c>
      <c r="J371" s="87">
        <f>Mantenimiento[[#This Row],[Kilometraje del Odómetro]]-I369</f>
        <v>270</v>
      </c>
      <c r="K371" s="87"/>
      <c r="L371" s="87">
        <v>1</v>
      </c>
      <c r="M371" s="85" t="s">
        <v>175</v>
      </c>
      <c r="N371" s="85">
        <v>2025110029</v>
      </c>
      <c r="O371" s="85" t="s">
        <v>503</v>
      </c>
      <c r="P371" s="88"/>
      <c r="Q371" s="387"/>
      <c r="R371" s="85"/>
    </row>
    <row r="372" spans="1:18" ht="16" x14ac:dyDescent="0.2">
      <c r="A372" s="47"/>
      <c r="C372" s="10">
        <f t="shared" si="5"/>
        <v>369</v>
      </c>
      <c r="D372" s="69" t="s">
        <v>320</v>
      </c>
      <c r="E372" s="85" t="s">
        <v>219</v>
      </c>
      <c r="F372" s="86">
        <v>45987</v>
      </c>
      <c r="G372" s="86">
        <v>45987</v>
      </c>
      <c r="H372" s="85" t="s">
        <v>31</v>
      </c>
      <c r="I372" s="87">
        <v>3819</v>
      </c>
      <c r="J372" s="87"/>
      <c r="K372" s="87">
        <v>1</v>
      </c>
      <c r="L372" s="87"/>
      <c r="M372" s="85" t="s">
        <v>189</v>
      </c>
      <c r="N372" s="85">
        <v>2025111306</v>
      </c>
      <c r="O372" s="85" t="s">
        <v>506</v>
      </c>
      <c r="P372" s="88"/>
      <c r="Q372" s="387"/>
      <c r="R372" s="85"/>
    </row>
    <row r="373" spans="1:18" ht="16" x14ac:dyDescent="0.2">
      <c r="A373" s="47"/>
      <c r="C373" s="10">
        <f t="shared" si="5"/>
        <v>370</v>
      </c>
      <c r="D373" s="69" t="s">
        <v>320</v>
      </c>
      <c r="E373" s="85" t="s">
        <v>219</v>
      </c>
      <c r="F373" s="86">
        <v>46002</v>
      </c>
      <c r="G373" s="86">
        <v>46002</v>
      </c>
      <c r="H373" s="85" t="s">
        <v>31</v>
      </c>
      <c r="I373" s="87">
        <v>3973</v>
      </c>
      <c r="J373" s="87"/>
      <c r="K373" s="87">
        <v>2</v>
      </c>
      <c r="L373" s="87"/>
      <c r="M373" s="85" t="s">
        <v>189</v>
      </c>
      <c r="N373" s="85">
        <v>2025121327</v>
      </c>
      <c r="O373" s="85" t="s">
        <v>517</v>
      </c>
      <c r="P373" s="88"/>
      <c r="Q373" s="387"/>
      <c r="R373" s="85"/>
    </row>
    <row r="374" spans="1:18" ht="16" x14ac:dyDescent="0.2">
      <c r="A374" s="47"/>
      <c r="C374" s="10">
        <f t="shared" si="5"/>
        <v>371</v>
      </c>
      <c r="D374" s="69" t="s">
        <v>320</v>
      </c>
      <c r="E374" s="85" t="s">
        <v>219</v>
      </c>
      <c r="F374" s="86">
        <v>46014</v>
      </c>
      <c r="G374" s="86">
        <v>46014</v>
      </c>
      <c r="H374" s="85" t="s">
        <v>30</v>
      </c>
      <c r="I374" s="87">
        <v>4061</v>
      </c>
      <c r="J374" s="87">
        <f>Mantenimiento[[#This Row],[Kilometraje del Odómetro]]-I371</f>
        <v>291</v>
      </c>
      <c r="K374" s="87"/>
      <c r="L374" s="87">
        <v>1</v>
      </c>
      <c r="M374" s="85" t="s">
        <v>175</v>
      </c>
      <c r="N374" s="85">
        <v>2025120046</v>
      </c>
      <c r="O374" s="85" t="s">
        <v>503</v>
      </c>
      <c r="P374" s="88"/>
      <c r="Q374" s="387"/>
      <c r="R374" s="85"/>
    </row>
    <row r="375" spans="1:18" ht="16" x14ac:dyDescent="0.2">
      <c r="A375" s="47"/>
      <c r="C375" s="10">
        <f t="shared" si="5"/>
        <v>372</v>
      </c>
      <c r="D375" s="69"/>
      <c r="E375" s="85"/>
      <c r="F375" s="86"/>
      <c r="G375" s="86"/>
      <c r="H375" s="85"/>
      <c r="I375" s="87"/>
      <c r="J375" s="87"/>
      <c r="K375" s="87"/>
      <c r="L375" s="87"/>
      <c r="M375" s="85"/>
      <c r="N375" s="85"/>
      <c r="O375" s="85"/>
      <c r="P375" s="88"/>
      <c r="Q375" s="387"/>
      <c r="R375" s="85"/>
    </row>
    <row r="376" spans="1:18" ht="17" thickBot="1" x14ac:dyDescent="0.25">
      <c r="A376" s="47"/>
      <c r="C376" s="10">
        <f t="shared" si="5"/>
        <v>373</v>
      </c>
      <c r="D376" s="224"/>
      <c r="E376" s="225"/>
      <c r="F376" s="226"/>
      <c r="G376" s="226"/>
      <c r="H376" s="225"/>
      <c r="I376" s="227"/>
      <c r="J376" s="227"/>
      <c r="K376" s="227"/>
      <c r="L376" s="227"/>
      <c r="M376" s="225"/>
      <c r="N376" s="225"/>
      <c r="O376" s="225"/>
      <c r="P376" s="228"/>
      <c r="Q376" s="297"/>
      <c r="R376" s="225"/>
    </row>
    <row r="377" spans="1:18" ht="17" thickTop="1" x14ac:dyDescent="0.2">
      <c r="A377" s="47"/>
      <c r="C377" s="10">
        <f t="shared" si="5"/>
        <v>374</v>
      </c>
      <c r="D377" s="65"/>
      <c r="E377" s="34"/>
      <c r="F377" s="37"/>
      <c r="G377" s="37"/>
      <c r="H377" s="34"/>
      <c r="I377" s="385"/>
      <c r="J377" s="385">
        <f>Mantenimiento[[#This Row],[Kilometraje del Odómetro]]-I376</f>
        <v>0</v>
      </c>
      <c r="K377" s="385"/>
      <c r="L377" s="385"/>
      <c r="M377" s="34"/>
      <c r="N377" s="34"/>
      <c r="O377" s="34"/>
      <c r="P377" s="36"/>
      <c r="Q377" s="386"/>
      <c r="R377" s="34"/>
    </row>
    <row r="378" spans="1:18" ht="16" x14ac:dyDescent="0.2">
      <c r="A378" s="47"/>
      <c r="C378" s="10">
        <f t="shared" si="5"/>
        <v>375</v>
      </c>
      <c r="D378" s="388" t="s">
        <v>318</v>
      </c>
      <c r="E378" s="389" t="s">
        <v>219</v>
      </c>
      <c r="F378" s="390">
        <v>45303</v>
      </c>
      <c r="G378" s="390">
        <f>Mantenimiento[[#This Row],[Fecha Entrada]]</f>
        <v>45303</v>
      </c>
      <c r="H378" s="389" t="s">
        <v>30</v>
      </c>
      <c r="I378" s="391">
        <v>1</v>
      </c>
      <c r="J378" s="391">
        <f>Mantenimiento[[#This Row],[Kilometraje del Odómetro]]-I377</f>
        <v>1</v>
      </c>
      <c r="K378" s="391"/>
      <c r="L378" s="391"/>
      <c r="M378" s="389" t="s">
        <v>173</v>
      </c>
      <c r="N378" s="389"/>
      <c r="O378" s="389" t="s">
        <v>314</v>
      </c>
      <c r="P378" s="392"/>
      <c r="Q378" s="393"/>
      <c r="R378" s="389"/>
    </row>
    <row r="379" spans="1:18" ht="16" x14ac:dyDescent="0.2">
      <c r="A379" s="47"/>
      <c r="C379" s="10">
        <f t="shared" si="5"/>
        <v>376</v>
      </c>
      <c r="D379" s="388" t="s">
        <v>318</v>
      </c>
      <c r="E379" s="389" t="s">
        <v>219</v>
      </c>
      <c r="F379" s="390">
        <v>45755</v>
      </c>
      <c r="G379" s="390">
        <f>Mantenimiento[[#This Row],[Fecha Entrada]]</f>
        <v>45755</v>
      </c>
      <c r="H379" s="389" t="s">
        <v>30</v>
      </c>
      <c r="I379" s="391">
        <v>288</v>
      </c>
      <c r="J379" s="391">
        <f>Mantenimiento[[#This Row],[Kilometraje del Odómetro]]-I378</f>
        <v>287</v>
      </c>
      <c r="K379" s="391"/>
      <c r="L379" s="391">
        <v>1</v>
      </c>
      <c r="M379" s="389" t="s">
        <v>173</v>
      </c>
      <c r="N379" s="389"/>
      <c r="O379" s="389" t="s">
        <v>314</v>
      </c>
      <c r="P379" s="392"/>
      <c r="Q379" s="393"/>
      <c r="R379" s="389"/>
    </row>
    <row r="380" spans="1:18" ht="16" x14ac:dyDescent="0.2">
      <c r="A380" s="47"/>
      <c r="C380" s="10">
        <f t="shared" si="5"/>
        <v>377</v>
      </c>
      <c r="D380" s="388" t="s">
        <v>318</v>
      </c>
      <c r="E380" s="389" t="s">
        <v>219</v>
      </c>
      <c r="F380" s="390">
        <v>45830</v>
      </c>
      <c r="G380" s="390">
        <f>Mantenimiento[[#This Row],[Fecha Entrada]]</f>
        <v>45830</v>
      </c>
      <c r="H380" s="389" t="s">
        <v>30</v>
      </c>
      <c r="I380" s="391">
        <v>563</v>
      </c>
      <c r="J380" s="391">
        <f>Mantenimiento[[#This Row],[Kilometraje del Odómetro]]-I379</f>
        <v>275</v>
      </c>
      <c r="K380" s="391"/>
      <c r="L380" s="391">
        <v>1</v>
      </c>
      <c r="M380" s="389" t="s">
        <v>173</v>
      </c>
      <c r="N380" s="389"/>
      <c r="O380" s="389" t="s">
        <v>314</v>
      </c>
      <c r="P380" s="392"/>
      <c r="Q380" s="393"/>
      <c r="R380" s="389"/>
    </row>
    <row r="381" spans="1:18" ht="16" x14ac:dyDescent="0.2">
      <c r="A381" s="47"/>
      <c r="C381" s="10">
        <f t="shared" si="5"/>
        <v>378</v>
      </c>
      <c r="D381" s="388" t="s">
        <v>318</v>
      </c>
      <c r="E381" s="389" t="s">
        <v>219</v>
      </c>
      <c r="F381" s="390">
        <v>45905</v>
      </c>
      <c r="G381" s="390">
        <v>45905</v>
      </c>
      <c r="H381" s="389" t="s">
        <v>30</v>
      </c>
      <c r="I381" s="391">
        <v>819</v>
      </c>
      <c r="J381" s="391">
        <f>Mantenimiento[[#This Row],[Kilometraje del Odómetro]]-I380</f>
        <v>256</v>
      </c>
      <c r="K381" s="391"/>
      <c r="L381" s="391">
        <v>1</v>
      </c>
      <c r="M381" s="389" t="s">
        <v>173</v>
      </c>
      <c r="N381" s="389">
        <v>2025090014</v>
      </c>
      <c r="O381" s="389" t="s">
        <v>314</v>
      </c>
      <c r="P381" s="392"/>
      <c r="Q381" s="393"/>
      <c r="R381" s="389"/>
    </row>
    <row r="382" spans="1:18" ht="16" x14ac:dyDescent="0.2">
      <c r="A382" s="47"/>
      <c r="C382" s="10">
        <f t="shared" si="5"/>
        <v>379</v>
      </c>
      <c r="D382" s="388" t="s">
        <v>318</v>
      </c>
      <c r="E382" s="389" t="s">
        <v>219</v>
      </c>
      <c r="F382" s="390">
        <v>45910</v>
      </c>
      <c r="G382" s="390">
        <v>45910</v>
      </c>
      <c r="H382" s="389" t="s">
        <v>31</v>
      </c>
      <c r="I382" s="391">
        <v>860</v>
      </c>
      <c r="J382" s="391"/>
      <c r="K382" s="391">
        <v>1</v>
      </c>
      <c r="L382" s="391"/>
      <c r="M382" s="389" t="s">
        <v>190</v>
      </c>
      <c r="N382" s="389">
        <v>2025091161</v>
      </c>
      <c r="O382" s="389" t="s">
        <v>446</v>
      </c>
      <c r="P382" s="392"/>
      <c r="Q382" s="393"/>
      <c r="R382" s="389"/>
    </row>
    <row r="383" spans="1:18" ht="16" x14ac:dyDescent="0.2">
      <c r="A383" s="47"/>
      <c r="C383" s="10">
        <f t="shared" si="5"/>
        <v>380</v>
      </c>
      <c r="D383" s="388" t="s">
        <v>318</v>
      </c>
      <c r="E383" s="389" t="s">
        <v>219</v>
      </c>
      <c r="F383" s="390">
        <v>45921</v>
      </c>
      <c r="G383" s="390">
        <v>45921</v>
      </c>
      <c r="H383" s="389" t="s">
        <v>31</v>
      </c>
      <c r="I383" s="391">
        <v>951</v>
      </c>
      <c r="J383" s="391"/>
      <c r="K383" s="554">
        <v>0.5</v>
      </c>
      <c r="L383" s="391"/>
      <c r="M383" s="389" t="s">
        <v>190</v>
      </c>
      <c r="N383" s="389">
        <v>2025091188</v>
      </c>
      <c r="O383" s="389" t="s">
        <v>452</v>
      </c>
      <c r="P383" s="392"/>
      <c r="Q383" s="393"/>
      <c r="R383" s="389"/>
    </row>
    <row r="384" spans="1:18" ht="16" x14ac:dyDescent="0.2">
      <c r="A384" s="47"/>
      <c r="C384" s="10">
        <f t="shared" si="5"/>
        <v>381</v>
      </c>
      <c r="D384" s="388" t="s">
        <v>318</v>
      </c>
      <c r="E384" s="389" t="s">
        <v>219</v>
      </c>
      <c r="F384" s="390">
        <v>45922</v>
      </c>
      <c r="G384" s="390">
        <v>45922</v>
      </c>
      <c r="H384" s="389" t="s">
        <v>31</v>
      </c>
      <c r="I384" s="391">
        <v>961</v>
      </c>
      <c r="J384" s="391"/>
      <c r="K384" s="554">
        <v>1</v>
      </c>
      <c r="L384" s="391"/>
      <c r="M384" s="389" t="s">
        <v>189</v>
      </c>
      <c r="N384" s="389">
        <v>2025091191</v>
      </c>
      <c r="O384" s="389" t="s">
        <v>451</v>
      </c>
      <c r="P384" s="392"/>
      <c r="Q384" s="393"/>
      <c r="R384" s="389"/>
    </row>
    <row r="385" spans="1:18" ht="16" x14ac:dyDescent="0.2">
      <c r="A385" s="47"/>
      <c r="C385" s="10">
        <f t="shared" si="5"/>
        <v>382</v>
      </c>
      <c r="D385" s="388" t="s">
        <v>318</v>
      </c>
      <c r="E385" s="389" t="s">
        <v>219</v>
      </c>
      <c r="F385" s="390">
        <v>45929</v>
      </c>
      <c r="G385" s="390">
        <v>45929</v>
      </c>
      <c r="H385" s="389" t="s">
        <v>31</v>
      </c>
      <c r="I385" s="391">
        <v>982</v>
      </c>
      <c r="J385" s="391"/>
      <c r="K385" s="554">
        <v>0.5</v>
      </c>
      <c r="L385" s="391"/>
      <c r="M385" s="389" t="s">
        <v>189</v>
      </c>
      <c r="N385" s="389">
        <v>2025091208</v>
      </c>
      <c r="O385" s="389" t="s">
        <v>466</v>
      </c>
      <c r="P385" s="392"/>
      <c r="Q385" s="393"/>
      <c r="R385" s="389"/>
    </row>
    <row r="386" spans="1:18" ht="16" x14ac:dyDescent="0.2">
      <c r="A386" s="47"/>
      <c r="C386" s="10">
        <f t="shared" si="5"/>
        <v>383</v>
      </c>
      <c r="D386" s="388" t="s">
        <v>318</v>
      </c>
      <c r="E386" s="389" t="s">
        <v>219</v>
      </c>
      <c r="F386" s="390">
        <v>45931</v>
      </c>
      <c r="G386" s="390">
        <v>45931</v>
      </c>
      <c r="H386" s="389" t="s">
        <v>31</v>
      </c>
      <c r="I386" s="391">
        <v>1012</v>
      </c>
      <c r="J386" s="391"/>
      <c r="K386" s="554">
        <v>1</v>
      </c>
      <c r="L386" s="391"/>
      <c r="M386" s="389" t="s">
        <v>189</v>
      </c>
      <c r="N386" s="389">
        <v>2025101217</v>
      </c>
      <c r="O386" s="389" t="s">
        <v>469</v>
      </c>
      <c r="P386" s="392"/>
      <c r="Q386" s="393"/>
      <c r="R386" s="389"/>
    </row>
    <row r="387" spans="1:18" ht="16" x14ac:dyDescent="0.2">
      <c r="A387" s="47"/>
      <c r="C387" s="10">
        <f t="shared" si="5"/>
        <v>384</v>
      </c>
      <c r="D387" s="388" t="s">
        <v>318</v>
      </c>
      <c r="E387" s="389" t="s">
        <v>219</v>
      </c>
      <c r="F387" s="390">
        <v>45946</v>
      </c>
      <c r="G387" s="390">
        <v>45946</v>
      </c>
      <c r="H387" s="389" t="s">
        <v>30</v>
      </c>
      <c r="I387" s="391">
        <v>1102</v>
      </c>
      <c r="J387" s="391">
        <f>Mantenimiento[[#This Row],[Kilometraje del Odómetro]]-I381</f>
        <v>283</v>
      </c>
      <c r="K387" s="391"/>
      <c r="L387" s="391">
        <v>1</v>
      </c>
      <c r="M387" s="389" t="s">
        <v>173</v>
      </c>
      <c r="N387" s="389">
        <v>2025100023</v>
      </c>
      <c r="O387" s="389" t="s">
        <v>460</v>
      </c>
      <c r="P387" s="392"/>
      <c r="Q387" s="393"/>
      <c r="R387" s="389"/>
    </row>
    <row r="388" spans="1:18" ht="16" x14ac:dyDescent="0.2">
      <c r="A388" s="47"/>
      <c r="C388" s="10">
        <f t="shared" si="5"/>
        <v>385</v>
      </c>
      <c r="D388" s="388" t="s">
        <v>318</v>
      </c>
      <c r="E388" s="389" t="s">
        <v>219</v>
      </c>
      <c r="F388" s="390">
        <v>45950</v>
      </c>
      <c r="G388" s="390">
        <v>45950</v>
      </c>
      <c r="H388" s="389" t="s">
        <v>31</v>
      </c>
      <c r="I388" s="391">
        <v>1130</v>
      </c>
      <c r="J388" s="391"/>
      <c r="K388" s="391">
        <v>1</v>
      </c>
      <c r="L388" s="391"/>
      <c r="M388" s="389" t="s">
        <v>189</v>
      </c>
      <c r="N388" s="389">
        <v>2025101244</v>
      </c>
      <c r="O388" s="389" t="s">
        <v>480</v>
      </c>
      <c r="P388" s="392"/>
      <c r="Q388" s="393"/>
      <c r="R388" s="389"/>
    </row>
    <row r="389" spans="1:18" ht="16" x14ac:dyDescent="0.2">
      <c r="A389" s="47"/>
      <c r="C389" s="10">
        <f t="shared" si="5"/>
        <v>386</v>
      </c>
      <c r="D389" s="388" t="s">
        <v>318</v>
      </c>
      <c r="E389" s="389" t="s">
        <v>219</v>
      </c>
      <c r="F389" s="390">
        <v>45973</v>
      </c>
      <c r="G389" s="390">
        <v>45973</v>
      </c>
      <c r="H389" s="389" t="s">
        <v>31</v>
      </c>
      <c r="I389" s="391">
        <v>1208</v>
      </c>
      <c r="J389" s="391"/>
      <c r="K389" s="554">
        <v>0.5</v>
      </c>
      <c r="L389" s="391"/>
      <c r="M389" s="389" t="s">
        <v>189</v>
      </c>
      <c r="N389" s="389">
        <v>2025111281</v>
      </c>
      <c r="O389" s="389" t="s">
        <v>499</v>
      </c>
      <c r="P389" s="392"/>
      <c r="Q389" s="393"/>
      <c r="R389" s="389"/>
    </row>
    <row r="390" spans="1:18" ht="16" x14ac:dyDescent="0.2">
      <c r="A390" s="47"/>
      <c r="C390" s="10">
        <f t="shared" si="5"/>
        <v>387</v>
      </c>
      <c r="D390" s="388" t="s">
        <v>318</v>
      </c>
      <c r="E390" s="389" t="s">
        <v>219</v>
      </c>
      <c r="F390" s="390">
        <v>45986</v>
      </c>
      <c r="G390" s="390">
        <v>45986</v>
      </c>
      <c r="H390" s="389" t="s">
        <v>31</v>
      </c>
      <c r="I390" s="391">
        <v>1263</v>
      </c>
      <c r="J390" s="391"/>
      <c r="K390" s="391">
        <v>1</v>
      </c>
      <c r="L390" s="391"/>
      <c r="M390" s="389" t="s">
        <v>189</v>
      </c>
      <c r="N390" s="389">
        <v>2025111305</v>
      </c>
      <c r="O390" s="389" t="s">
        <v>523</v>
      </c>
      <c r="P390" s="392"/>
      <c r="Q390" s="393"/>
      <c r="R390" s="389"/>
    </row>
    <row r="391" spans="1:18" ht="16" x14ac:dyDescent="0.2">
      <c r="A391" s="47"/>
      <c r="C391" s="10">
        <f>ROW(A388)</f>
        <v>388</v>
      </c>
      <c r="D391" s="388" t="s">
        <v>318</v>
      </c>
      <c r="E391" s="389" t="s">
        <v>219</v>
      </c>
      <c r="F391" s="390">
        <v>46008</v>
      </c>
      <c r="G391" s="390">
        <v>46008</v>
      </c>
      <c r="H391" s="389" t="s">
        <v>30</v>
      </c>
      <c r="I391" s="391">
        <v>1364</v>
      </c>
      <c r="J391" s="391">
        <f>Mantenimiento[[#This Row],[Kilometraje del Odómetro]]-I387</f>
        <v>262</v>
      </c>
      <c r="K391" s="391"/>
      <c r="L391" s="391">
        <v>1</v>
      </c>
      <c r="M391" s="389" t="s">
        <v>173</v>
      </c>
      <c r="N391" s="389">
        <v>2025120030</v>
      </c>
      <c r="O391" s="389" t="s">
        <v>460</v>
      </c>
      <c r="P391" s="392"/>
      <c r="Q391" s="393"/>
      <c r="R391" s="389"/>
    </row>
    <row r="392" spans="1:18" ht="16" x14ac:dyDescent="0.2">
      <c r="A392" s="47"/>
      <c r="C392" s="10">
        <f>ROW(A388)</f>
        <v>388</v>
      </c>
      <c r="D392" s="388"/>
      <c r="E392" s="389"/>
      <c r="F392" s="390"/>
      <c r="G392" s="390"/>
      <c r="H392" s="389"/>
      <c r="I392" s="391"/>
      <c r="J392" s="391"/>
      <c r="K392" s="391"/>
      <c r="L392" s="391"/>
      <c r="M392" s="389"/>
      <c r="N392" s="389"/>
      <c r="O392" s="389"/>
      <c r="P392" s="392"/>
      <c r="Q392" s="393"/>
      <c r="R392" s="389"/>
    </row>
    <row r="393" spans="1:18" ht="16" x14ac:dyDescent="0.2">
      <c r="A393" s="47"/>
      <c r="C393" s="10">
        <f>ROW(A388)</f>
        <v>388</v>
      </c>
      <c r="D393" s="388"/>
      <c r="E393" s="389"/>
      <c r="F393" s="390"/>
      <c r="G393" s="390"/>
      <c r="H393" s="389"/>
      <c r="I393" s="391"/>
      <c r="J393" s="391"/>
      <c r="K393" s="391"/>
      <c r="L393" s="391"/>
      <c r="M393" s="389"/>
      <c r="N393" s="389"/>
      <c r="O393" s="389"/>
      <c r="P393" s="392"/>
      <c r="Q393" s="393"/>
      <c r="R393" s="389"/>
    </row>
    <row r="394" spans="1:18" ht="17" thickBot="1" x14ac:dyDescent="0.25">
      <c r="A394" s="47"/>
      <c r="C394" s="10">
        <f>ROW(A389)</f>
        <v>389</v>
      </c>
      <c r="D394" s="394"/>
      <c r="E394" s="395"/>
      <c r="F394" s="396"/>
      <c r="G394" s="396"/>
      <c r="H394" s="395"/>
      <c r="I394" s="397"/>
      <c r="J394" s="397"/>
      <c r="K394" s="397"/>
      <c r="L394" s="397"/>
      <c r="M394" s="395"/>
      <c r="N394" s="395"/>
      <c r="O394" s="395"/>
      <c r="P394" s="398"/>
      <c r="Q394" s="399"/>
      <c r="R394" s="395"/>
    </row>
    <row r="395" spans="1:18" ht="17" thickTop="1" x14ac:dyDescent="0.2">
      <c r="A395" s="47"/>
      <c r="C395" s="10">
        <f>ROW(A390)</f>
        <v>390</v>
      </c>
      <c r="D395" s="65"/>
      <c r="E395" s="34"/>
      <c r="F395" s="37"/>
      <c r="G395" s="37"/>
      <c r="H395" s="34"/>
      <c r="I395" s="385"/>
      <c r="J395" s="385">
        <f>Mantenimiento[[#This Row],[Kilometraje del Odómetro]]-I394</f>
        <v>0</v>
      </c>
      <c r="K395" s="385"/>
      <c r="L395" s="385"/>
      <c r="M395" s="34"/>
      <c r="N395" s="34"/>
      <c r="O395" s="34"/>
      <c r="P395" s="36"/>
      <c r="Q395" s="386"/>
      <c r="R395" s="34"/>
    </row>
    <row r="396" spans="1:18" ht="16" x14ac:dyDescent="0.2">
      <c r="A396" s="47"/>
      <c r="C396" s="10">
        <f t="shared" si="5"/>
        <v>393</v>
      </c>
      <c r="D396" s="65"/>
      <c r="E396" s="34"/>
      <c r="F396" s="37"/>
      <c r="G396" s="37"/>
      <c r="H396" s="34"/>
      <c r="I396" s="385"/>
      <c r="J396" s="385">
        <f>Mantenimiento[[#This Row],[Kilometraje del Odómetro]]-I395</f>
        <v>0</v>
      </c>
      <c r="K396" s="385"/>
      <c r="L396" s="385"/>
      <c r="M396" s="34"/>
      <c r="N396" s="34"/>
      <c r="O396" s="34"/>
      <c r="P396" s="36"/>
      <c r="Q396" s="386"/>
      <c r="R396" s="34"/>
    </row>
    <row r="397" spans="1:18" ht="16" x14ac:dyDescent="0.2">
      <c r="A397" s="47"/>
      <c r="C397" s="10">
        <f t="shared" si="5"/>
        <v>394</v>
      </c>
      <c r="D397" s="409" t="s">
        <v>352</v>
      </c>
      <c r="E397" s="410" t="s">
        <v>219</v>
      </c>
      <c r="F397" s="411">
        <v>43937</v>
      </c>
      <c r="G397" s="411">
        <f>Mantenimiento[[#This Row],[Fecha Entrada]]</f>
        <v>43937</v>
      </c>
      <c r="H397" s="410" t="s">
        <v>30</v>
      </c>
      <c r="I397" s="412">
        <v>1</v>
      </c>
      <c r="J397" s="412">
        <f>Mantenimiento[[#This Row],[Kilometraje del Odómetro]]-I396</f>
        <v>1</v>
      </c>
      <c r="K397" s="412"/>
      <c r="L397" s="412">
        <v>1</v>
      </c>
      <c r="M397" s="410" t="s">
        <v>173</v>
      </c>
      <c r="N397" s="410"/>
      <c r="O397" s="410" t="s">
        <v>314</v>
      </c>
      <c r="P397" s="413"/>
      <c r="Q397" s="414"/>
      <c r="R397" s="410"/>
    </row>
    <row r="398" spans="1:18" ht="16" x14ac:dyDescent="0.2">
      <c r="A398" s="47"/>
      <c r="C398" s="10">
        <f t="shared" si="5"/>
        <v>395</v>
      </c>
      <c r="D398" s="409" t="s">
        <v>352</v>
      </c>
      <c r="E398" s="410" t="s">
        <v>219</v>
      </c>
      <c r="F398" s="411">
        <v>44480</v>
      </c>
      <c r="G398" s="411">
        <f>Mantenimiento[[#This Row],[Fecha Entrada]]</f>
        <v>44480</v>
      </c>
      <c r="H398" s="410" t="s">
        <v>30</v>
      </c>
      <c r="I398" s="412">
        <v>240</v>
      </c>
      <c r="J398" s="412">
        <f>Mantenimiento[[#This Row],[Kilometraje del Odómetro]]-I397</f>
        <v>239</v>
      </c>
      <c r="K398" s="412"/>
      <c r="L398" s="412">
        <v>1</v>
      </c>
      <c r="M398" s="410" t="s">
        <v>173</v>
      </c>
      <c r="N398" s="410"/>
      <c r="O398" s="410" t="s">
        <v>314</v>
      </c>
      <c r="P398" s="413"/>
      <c r="Q398" s="414"/>
      <c r="R398" s="410"/>
    </row>
    <row r="399" spans="1:18" ht="16" x14ac:dyDescent="0.2">
      <c r="A399" s="47"/>
      <c r="C399" s="10">
        <f t="shared" si="5"/>
        <v>396</v>
      </c>
      <c r="D399" s="409" t="s">
        <v>352</v>
      </c>
      <c r="E399" s="410" t="s">
        <v>219</v>
      </c>
      <c r="F399" s="411">
        <v>44973</v>
      </c>
      <c r="G399" s="411">
        <f>Mantenimiento[[#This Row],[Fecha Entrada]]</f>
        <v>44973</v>
      </c>
      <c r="H399" s="410" t="s">
        <v>30</v>
      </c>
      <c r="I399" s="412">
        <v>583</v>
      </c>
      <c r="J399" s="412">
        <f>Mantenimiento[[#This Row],[Kilometraje del Odómetro]]-I398</f>
        <v>343</v>
      </c>
      <c r="K399" s="412"/>
      <c r="L399" s="412">
        <v>1</v>
      </c>
      <c r="M399" s="410" t="s">
        <v>173</v>
      </c>
      <c r="N399" s="410"/>
      <c r="O399" s="410" t="s">
        <v>314</v>
      </c>
      <c r="P399" s="413"/>
      <c r="Q399" s="414"/>
      <c r="R399" s="410"/>
    </row>
    <row r="400" spans="1:18" ht="16" x14ac:dyDescent="0.2">
      <c r="A400" s="47"/>
      <c r="C400" s="10">
        <f t="shared" si="5"/>
        <v>397</v>
      </c>
      <c r="D400" s="409" t="s">
        <v>352</v>
      </c>
      <c r="E400" s="410" t="s">
        <v>219</v>
      </c>
      <c r="F400" s="411">
        <v>45426</v>
      </c>
      <c r="G400" s="411">
        <f>Mantenimiento[[#This Row],[Fecha Entrada]]</f>
        <v>45426</v>
      </c>
      <c r="H400" s="410" t="s">
        <v>30</v>
      </c>
      <c r="I400" s="412">
        <v>810</v>
      </c>
      <c r="J400" s="412">
        <f>Mantenimiento[[#This Row],[Kilometraje del Odómetro]]-I399</f>
        <v>227</v>
      </c>
      <c r="K400" s="412"/>
      <c r="L400" s="412">
        <v>1</v>
      </c>
      <c r="M400" s="410" t="s">
        <v>173</v>
      </c>
      <c r="N400" s="410"/>
      <c r="O400" s="410" t="s">
        <v>314</v>
      </c>
      <c r="P400" s="413"/>
      <c r="Q400" s="414"/>
      <c r="R400" s="410"/>
    </row>
    <row r="401" spans="1:18" ht="16" x14ac:dyDescent="0.2">
      <c r="A401" s="47"/>
      <c r="C401" s="10">
        <f t="shared" si="5"/>
        <v>398</v>
      </c>
      <c r="D401" s="409" t="s">
        <v>352</v>
      </c>
      <c r="E401" s="410" t="s">
        <v>219</v>
      </c>
      <c r="F401" s="411">
        <v>45793</v>
      </c>
      <c r="G401" s="411">
        <v>45793</v>
      </c>
      <c r="H401" s="410" t="s">
        <v>30</v>
      </c>
      <c r="I401" s="412">
        <v>1097</v>
      </c>
      <c r="J401" s="412">
        <f>Mantenimiento[[#This Row],[Kilometraje del Odómetro]]-I400</f>
        <v>287</v>
      </c>
      <c r="K401" s="412"/>
      <c r="L401" s="412">
        <v>1</v>
      </c>
      <c r="M401" s="410" t="s">
        <v>174</v>
      </c>
      <c r="N401" s="410"/>
      <c r="O401" s="410" t="s">
        <v>314</v>
      </c>
      <c r="P401" s="413"/>
      <c r="Q401" s="414"/>
      <c r="R401" s="410"/>
    </row>
    <row r="402" spans="1:18" ht="16" x14ac:dyDescent="0.2">
      <c r="A402" s="47"/>
      <c r="C402" s="10">
        <f t="shared" si="5"/>
        <v>399</v>
      </c>
      <c r="D402" s="409" t="s">
        <v>352</v>
      </c>
      <c r="E402" s="410" t="s">
        <v>219</v>
      </c>
      <c r="F402" s="411">
        <v>45904</v>
      </c>
      <c r="G402" s="411">
        <v>45903</v>
      </c>
      <c r="H402" s="410" t="s">
        <v>30</v>
      </c>
      <c r="I402" s="412">
        <v>2258</v>
      </c>
      <c r="J402" s="412"/>
      <c r="K402" s="412">
        <v>5</v>
      </c>
      <c r="L402" s="412"/>
      <c r="M402" s="410" t="s">
        <v>174</v>
      </c>
      <c r="N402" s="410">
        <v>2025090006</v>
      </c>
      <c r="O402" s="410" t="s">
        <v>428</v>
      </c>
      <c r="P402" s="413"/>
      <c r="Q402" s="414"/>
      <c r="R402" s="410"/>
    </row>
    <row r="403" spans="1:18" ht="16" x14ac:dyDescent="0.2">
      <c r="A403" s="47"/>
      <c r="C403" s="10">
        <f t="shared" si="5"/>
        <v>400</v>
      </c>
      <c r="D403" s="409" t="s">
        <v>352</v>
      </c>
      <c r="E403" s="410" t="s">
        <v>219</v>
      </c>
      <c r="F403" s="411">
        <v>45905</v>
      </c>
      <c r="G403" s="411">
        <v>45905</v>
      </c>
      <c r="H403" s="410" t="s">
        <v>31</v>
      </c>
      <c r="I403" s="412">
        <v>2270</v>
      </c>
      <c r="J403" s="412"/>
      <c r="K403" s="412">
        <v>6</v>
      </c>
      <c r="L403" s="542"/>
      <c r="M403" s="410" t="s">
        <v>189</v>
      </c>
      <c r="N403" s="410">
        <v>2025091147</v>
      </c>
      <c r="O403" s="410" t="s">
        <v>429</v>
      </c>
      <c r="P403" s="413"/>
      <c r="Q403" s="414"/>
      <c r="R403" s="410"/>
    </row>
    <row r="404" spans="1:18" ht="16" x14ac:dyDescent="0.2">
      <c r="A404" s="47"/>
      <c r="C404" s="10">
        <f t="shared" si="5"/>
        <v>401</v>
      </c>
      <c r="D404" s="409" t="s">
        <v>352</v>
      </c>
      <c r="E404" s="410" t="s">
        <v>219</v>
      </c>
      <c r="F404" s="411">
        <v>45922</v>
      </c>
      <c r="G404" s="411">
        <v>45922</v>
      </c>
      <c r="H404" s="410" t="s">
        <v>31</v>
      </c>
      <c r="I404" s="412">
        <v>1</v>
      </c>
      <c r="J404" s="412"/>
      <c r="K404" s="412">
        <v>1</v>
      </c>
      <c r="L404" s="412"/>
      <c r="M404" s="410" t="s">
        <v>190</v>
      </c>
      <c r="N404" s="410">
        <v>2025091193</v>
      </c>
      <c r="O404" s="410" t="s">
        <v>458</v>
      </c>
      <c r="P404" s="413"/>
      <c r="Q404" s="414"/>
      <c r="R404" s="410"/>
    </row>
    <row r="405" spans="1:18" ht="16" x14ac:dyDescent="0.2">
      <c r="A405" s="47"/>
      <c r="C405" s="10">
        <f t="shared" si="5"/>
        <v>402</v>
      </c>
      <c r="D405" s="409" t="s">
        <v>352</v>
      </c>
      <c r="E405" s="410" t="s">
        <v>219</v>
      </c>
      <c r="F405" s="411">
        <v>45928</v>
      </c>
      <c r="G405" s="411">
        <v>45928</v>
      </c>
      <c r="H405" s="410" t="s">
        <v>31</v>
      </c>
      <c r="I405" s="412">
        <v>30</v>
      </c>
      <c r="J405" s="412"/>
      <c r="K405" s="412">
        <v>1</v>
      </c>
      <c r="L405" s="412"/>
      <c r="M405" s="410" t="s">
        <v>189</v>
      </c>
      <c r="N405" s="410">
        <v>2025091210</v>
      </c>
      <c r="O405" s="410" t="s">
        <v>468</v>
      </c>
      <c r="P405" s="413"/>
      <c r="Q405" s="414"/>
      <c r="R405" s="410"/>
    </row>
    <row r="406" spans="1:18" ht="16" x14ac:dyDescent="0.2">
      <c r="A406" s="47"/>
      <c r="C406" s="10">
        <f t="shared" si="5"/>
        <v>403</v>
      </c>
      <c r="D406" s="409" t="s">
        <v>352</v>
      </c>
      <c r="E406" s="410" t="s">
        <v>219</v>
      </c>
      <c r="F406" s="411">
        <v>45932</v>
      </c>
      <c r="G406" s="411">
        <v>45932</v>
      </c>
      <c r="H406" s="410" t="s">
        <v>31</v>
      </c>
      <c r="I406" s="412">
        <v>64</v>
      </c>
      <c r="J406" s="412"/>
      <c r="K406" s="412">
        <v>1</v>
      </c>
      <c r="L406" s="412"/>
      <c r="M406" s="410" t="s">
        <v>189</v>
      </c>
      <c r="N406" s="410">
        <v>2025101216</v>
      </c>
      <c r="O406" s="410" t="s">
        <v>482</v>
      </c>
      <c r="P406" s="413"/>
      <c r="Q406" s="414"/>
      <c r="R406" s="410"/>
    </row>
    <row r="407" spans="1:18" ht="16" x14ac:dyDescent="0.2">
      <c r="A407" s="47"/>
      <c r="C407" s="10">
        <f t="shared" si="5"/>
        <v>404</v>
      </c>
      <c r="D407" s="409" t="s">
        <v>352</v>
      </c>
      <c r="E407" s="410" t="s">
        <v>219</v>
      </c>
      <c r="F407" s="411">
        <v>45946</v>
      </c>
      <c r="G407" s="411">
        <v>45946</v>
      </c>
      <c r="H407" s="410" t="s">
        <v>30</v>
      </c>
      <c r="I407" s="412">
        <v>184</v>
      </c>
      <c r="J407" s="412">
        <f>Mantenimiento[[#This Row],[Kilometraje del Odómetro]]-I404</f>
        <v>183</v>
      </c>
      <c r="K407" s="412"/>
      <c r="L407" s="412">
        <v>1</v>
      </c>
      <c r="M407" s="410" t="s">
        <v>175</v>
      </c>
      <c r="N407" s="410">
        <v>2025100025</v>
      </c>
      <c r="O407" s="410" t="s">
        <v>460</v>
      </c>
      <c r="P407" s="413"/>
      <c r="Q407" s="414"/>
      <c r="R407" s="410"/>
    </row>
    <row r="408" spans="1:18" ht="16" x14ac:dyDescent="0.2">
      <c r="A408" s="47"/>
      <c r="C408" s="10">
        <f t="shared" si="5"/>
        <v>405</v>
      </c>
      <c r="D408" s="409" t="s">
        <v>352</v>
      </c>
      <c r="E408" s="410" t="s">
        <v>219</v>
      </c>
      <c r="F408" s="411">
        <v>45951</v>
      </c>
      <c r="G408" s="411">
        <v>45951</v>
      </c>
      <c r="H408" s="410" t="s">
        <v>31</v>
      </c>
      <c r="I408" s="412">
        <v>223</v>
      </c>
      <c r="J408" s="412"/>
      <c r="K408" s="412">
        <v>2</v>
      </c>
      <c r="L408" s="412"/>
      <c r="M408" s="410" t="s">
        <v>191</v>
      </c>
      <c r="N408" s="410">
        <v>2025101242</v>
      </c>
      <c r="O408" s="410" t="s">
        <v>486</v>
      </c>
      <c r="P408" s="413"/>
      <c r="Q408" s="414"/>
      <c r="R408" s="410"/>
    </row>
    <row r="409" spans="1:18" ht="16" x14ac:dyDescent="0.2">
      <c r="A409" s="47"/>
      <c r="C409" s="10">
        <f t="shared" ref="C409:C457" si="6">ROW(A406)</f>
        <v>406</v>
      </c>
      <c r="D409" s="409"/>
      <c r="E409" s="410"/>
      <c r="F409" s="411"/>
      <c r="G409" s="411"/>
      <c r="H409" s="410"/>
      <c r="I409" s="412"/>
      <c r="J409" s="412"/>
      <c r="K409" s="412"/>
      <c r="L409" s="412"/>
      <c r="M409" s="410"/>
      <c r="N409" s="410"/>
      <c r="O409" s="410"/>
      <c r="P409" s="413"/>
      <c r="Q409" s="414"/>
      <c r="R409" s="410"/>
    </row>
    <row r="410" spans="1:18" ht="16" x14ac:dyDescent="0.2">
      <c r="A410" s="47"/>
      <c r="C410" s="10">
        <f t="shared" si="6"/>
        <v>407</v>
      </c>
      <c r="D410" s="409"/>
      <c r="E410" s="410"/>
      <c r="F410" s="411"/>
      <c r="G410" s="411"/>
      <c r="H410" s="410"/>
      <c r="I410" s="412"/>
      <c r="J410" s="412"/>
      <c r="K410" s="412"/>
      <c r="L410" s="412"/>
      <c r="M410" s="410"/>
      <c r="N410" s="410"/>
      <c r="O410" s="410"/>
      <c r="P410" s="413"/>
      <c r="Q410" s="414"/>
      <c r="R410" s="410"/>
    </row>
    <row r="411" spans="1:18" ht="16" x14ac:dyDescent="0.2">
      <c r="A411" s="47"/>
      <c r="C411" s="10">
        <f t="shared" si="6"/>
        <v>408</v>
      </c>
      <c r="D411" s="409"/>
      <c r="E411" s="410"/>
      <c r="F411" s="411"/>
      <c r="G411" s="411"/>
      <c r="H411" s="410"/>
      <c r="I411" s="412"/>
      <c r="J411" s="412"/>
      <c r="K411" s="412"/>
      <c r="L411" s="412"/>
      <c r="M411" s="410"/>
      <c r="N411" s="410"/>
      <c r="O411" s="410"/>
      <c r="P411" s="413"/>
      <c r="Q411" s="414"/>
      <c r="R411" s="410"/>
    </row>
    <row r="412" spans="1:18" ht="17" thickBot="1" x14ac:dyDescent="0.25">
      <c r="A412" s="47"/>
      <c r="C412" s="10">
        <f t="shared" si="6"/>
        <v>409</v>
      </c>
      <c r="D412" s="415"/>
      <c r="E412" s="416"/>
      <c r="F412" s="417"/>
      <c r="G412" s="417"/>
      <c r="H412" s="416"/>
      <c r="I412" s="418"/>
      <c r="J412" s="418"/>
      <c r="K412" s="418"/>
      <c r="L412" s="418"/>
      <c r="M412" s="416"/>
      <c r="N412" s="416"/>
      <c r="O412" s="416"/>
      <c r="P412" s="419"/>
      <c r="Q412" s="420"/>
      <c r="R412" s="416"/>
    </row>
    <row r="413" spans="1:18" ht="17" thickTop="1" x14ac:dyDescent="0.2">
      <c r="A413" s="47"/>
      <c r="C413" s="10">
        <f t="shared" si="6"/>
        <v>410</v>
      </c>
      <c r="D413" s="65"/>
      <c r="E413" s="34"/>
      <c r="F413" s="37"/>
      <c r="G413" s="37"/>
      <c r="H413" s="34"/>
      <c r="I413" s="385"/>
      <c r="J413" s="385">
        <f>Mantenimiento[[#This Row],[Kilometraje del Odómetro]]-I412</f>
        <v>0</v>
      </c>
      <c r="K413" s="385"/>
      <c r="L413" s="385"/>
      <c r="M413" s="34"/>
      <c r="N413" s="34"/>
      <c r="O413" s="34"/>
      <c r="P413" s="36"/>
      <c r="Q413" s="386"/>
      <c r="R413" s="34"/>
    </row>
    <row r="414" spans="1:18" ht="17" thickBot="1" x14ac:dyDescent="0.25">
      <c r="A414" s="47"/>
      <c r="C414" s="10">
        <f t="shared" si="6"/>
        <v>411</v>
      </c>
      <c r="D414" s="158"/>
      <c r="E414" s="160"/>
      <c r="F414" s="157"/>
      <c r="G414" s="157"/>
      <c r="H414" s="160"/>
      <c r="I414" s="511"/>
      <c r="J414" s="511">
        <f>Mantenimiento[[#This Row],[Kilometraje del Odómetro]]-I413</f>
        <v>0</v>
      </c>
      <c r="K414" s="511"/>
      <c r="L414" s="511"/>
      <c r="M414" s="160"/>
      <c r="N414" s="160"/>
      <c r="O414" s="160"/>
      <c r="P414" s="163"/>
      <c r="Q414" s="512"/>
      <c r="R414" s="160"/>
    </row>
    <row r="415" spans="1:18" ht="17" thickTop="1" x14ac:dyDescent="0.2">
      <c r="A415" s="47"/>
      <c r="C415" s="10">
        <f t="shared" si="6"/>
        <v>412</v>
      </c>
      <c r="D415" s="325" t="s">
        <v>406</v>
      </c>
      <c r="E415" s="327" t="s">
        <v>219</v>
      </c>
      <c r="F415" s="327">
        <v>45214</v>
      </c>
      <c r="G415" s="327">
        <f>Mantenimiento[[#This Row],[Fecha Entrada]]</f>
        <v>45214</v>
      </c>
      <c r="H415" s="326" t="s">
        <v>30</v>
      </c>
      <c r="I415" s="328">
        <v>4220</v>
      </c>
      <c r="J415" s="508"/>
      <c r="K415" s="508"/>
      <c r="L415" s="508">
        <v>1</v>
      </c>
      <c r="M415" s="326" t="s">
        <v>174</v>
      </c>
      <c r="N415" s="326"/>
      <c r="O415" s="326" t="s">
        <v>460</v>
      </c>
      <c r="P415" s="509"/>
      <c r="Q415" s="510"/>
      <c r="R415" s="326"/>
    </row>
    <row r="416" spans="1:18" ht="16" x14ac:dyDescent="0.2">
      <c r="A416" s="47"/>
      <c r="C416" s="10">
        <f t="shared" si="6"/>
        <v>413</v>
      </c>
      <c r="D416" s="325" t="s">
        <v>406</v>
      </c>
      <c r="E416" s="327" t="s">
        <v>219</v>
      </c>
      <c r="F416" s="327">
        <v>45243</v>
      </c>
      <c r="G416" s="327">
        <f>Mantenimiento[[#This Row],[Fecha Entrada]]</f>
        <v>45243</v>
      </c>
      <c r="H416" s="326" t="s">
        <v>30</v>
      </c>
      <c r="I416" s="328">
        <v>4400</v>
      </c>
      <c r="J416" s="508">
        <f>Mantenimiento[[#This Row],[Kilometraje del Odómetro]]-I415</f>
        <v>180</v>
      </c>
      <c r="K416" s="508"/>
      <c r="L416" s="508">
        <v>1</v>
      </c>
      <c r="M416" s="326" t="s">
        <v>174</v>
      </c>
      <c r="N416" s="326"/>
      <c r="O416" s="326" t="s">
        <v>460</v>
      </c>
      <c r="P416" s="509"/>
      <c r="Q416" s="510"/>
      <c r="R416" s="326"/>
    </row>
    <row r="417" spans="1:18" ht="16" x14ac:dyDescent="0.2">
      <c r="A417" s="47"/>
      <c r="C417" s="10">
        <f t="shared" si="6"/>
        <v>414</v>
      </c>
      <c r="D417" s="325" t="s">
        <v>406</v>
      </c>
      <c r="E417" s="327" t="s">
        <v>219</v>
      </c>
      <c r="F417" s="327">
        <v>45331</v>
      </c>
      <c r="G417" s="327">
        <f>Mantenimiento[[#This Row],[Fecha Entrada]]</f>
        <v>45331</v>
      </c>
      <c r="H417" s="326" t="s">
        <v>30</v>
      </c>
      <c r="I417" s="328">
        <v>4640</v>
      </c>
      <c r="J417" s="508">
        <f>Mantenimiento[[#This Row],[Kilometraje del Odómetro]]-I416</f>
        <v>240</v>
      </c>
      <c r="K417" s="508"/>
      <c r="L417" s="508">
        <v>1</v>
      </c>
      <c r="M417" s="326" t="s">
        <v>174</v>
      </c>
      <c r="N417" s="326"/>
      <c r="O417" s="326" t="s">
        <v>460</v>
      </c>
      <c r="P417" s="509"/>
      <c r="Q417" s="510"/>
      <c r="R417" s="326"/>
    </row>
    <row r="418" spans="1:18" ht="16" x14ac:dyDescent="0.2">
      <c r="A418" s="47"/>
      <c r="C418" s="10">
        <f t="shared" si="6"/>
        <v>415</v>
      </c>
      <c r="D418" s="325" t="s">
        <v>406</v>
      </c>
      <c r="E418" s="327" t="s">
        <v>219</v>
      </c>
      <c r="F418" s="327">
        <v>45355</v>
      </c>
      <c r="G418" s="327">
        <f>Mantenimiento[[#This Row],[Fecha Entrada]]</f>
        <v>45355</v>
      </c>
      <c r="H418" s="326" t="s">
        <v>30</v>
      </c>
      <c r="I418" s="328">
        <v>4732</v>
      </c>
      <c r="J418" s="508">
        <f>Mantenimiento[[#This Row],[Kilometraje del Odómetro]]-I417</f>
        <v>92</v>
      </c>
      <c r="K418" s="508"/>
      <c r="L418" s="508">
        <v>1</v>
      </c>
      <c r="M418" s="326" t="s">
        <v>174</v>
      </c>
      <c r="N418" s="326"/>
      <c r="O418" s="326" t="s">
        <v>460</v>
      </c>
      <c r="P418" s="509"/>
      <c r="Q418" s="510"/>
      <c r="R418" s="326"/>
    </row>
    <row r="419" spans="1:18" ht="16" x14ac:dyDescent="0.2">
      <c r="A419" s="47"/>
      <c r="C419" s="10">
        <f t="shared" si="6"/>
        <v>416</v>
      </c>
      <c r="D419" s="325" t="s">
        <v>406</v>
      </c>
      <c r="E419" s="327" t="s">
        <v>219</v>
      </c>
      <c r="F419" s="327">
        <v>45414</v>
      </c>
      <c r="G419" s="327">
        <f>Mantenimiento[[#This Row],[Fecha Entrada]]</f>
        <v>45414</v>
      </c>
      <c r="H419" s="326" t="s">
        <v>30</v>
      </c>
      <c r="I419" s="328">
        <v>4982</v>
      </c>
      <c r="J419" s="508">
        <f>Mantenimiento[[#This Row],[Kilometraje del Odómetro]]-I418</f>
        <v>250</v>
      </c>
      <c r="K419" s="508"/>
      <c r="L419" s="508">
        <v>1</v>
      </c>
      <c r="M419" s="326" t="s">
        <v>175</v>
      </c>
      <c r="N419" s="326"/>
      <c r="O419" s="326" t="s">
        <v>460</v>
      </c>
      <c r="P419" s="509"/>
      <c r="Q419" s="510"/>
      <c r="R419" s="326"/>
    </row>
    <row r="420" spans="1:18" ht="16" x14ac:dyDescent="0.2">
      <c r="A420" s="47"/>
      <c r="C420" s="10">
        <f t="shared" si="6"/>
        <v>417</v>
      </c>
      <c r="D420" s="325" t="s">
        <v>406</v>
      </c>
      <c r="E420" s="327" t="s">
        <v>219</v>
      </c>
      <c r="F420" s="327">
        <v>45472</v>
      </c>
      <c r="G420" s="327">
        <f>Mantenimiento[[#This Row],[Fecha Entrada]]</f>
        <v>45472</v>
      </c>
      <c r="H420" s="326" t="s">
        <v>30</v>
      </c>
      <c r="I420" s="328">
        <v>5165</v>
      </c>
      <c r="J420" s="508">
        <f>Mantenimiento[[#This Row],[Kilometraje del Odómetro]]-I419</f>
        <v>183</v>
      </c>
      <c r="K420" s="508"/>
      <c r="L420" s="508">
        <v>1</v>
      </c>
      <c r="M420" s="326" t="s">
        <v>175</v>
      </c>
      <c r="N420" s="326"/>
      <c r="O420" s="326" t="s">
        <v>460</v>
      </c>
      <c r="P420" s="509"/>
      <c r="Q420" s="510"/>
      <c r="R420" s="326"/>
    </row>
    <row r="421" spans="1:18" ht="16" x14ac:dyDescent="0.2">
      <c r="A421" s="47"/>
      <c r="C421" s="10">
        <f t="shared" si="6"/>
        <v>418</v>
      </c>
      <c r="D421" s="325" t="s">
        <v>406</v>
      </c>
      <c r="E421" s="327" t="s">
        <v>219</v>
      </c>
      <c r="F421" s="327">
        <v>45522</v>
      </c>
      <c r="G421" s="327">
        <f>Mantenimiento[[#This Row],[Fecha Entrada]]</f>
        <v>45522</v>
      </c>
      <c r="H421" s="326" t="s">
        <v>30</v>
      </c>
      <c r="I421" s="328">
        <v>5374</v>
      </c>
      <c r="J421" s="508">
        <f>Mantenimiento[[#This Row],[Kilometraje del Odómetro]]-I420</f>
        <v>209</v>
      </c>
      <c r="K421" s="508"/>
      <c r="L421" s="508">
        <v>1</v>
      </c>
      <c r="M421" s="326" t="s">
        <v>175</v>
      </c>
      <c r="N421" s="326"/>
      <c r="O421" s="326" t="s">
        <v>460</v>
      </c>
      <c r="P421" s="509"/>
      <c r="Q421" s="510"/>
      <c r="R421" s="326"/>
    </row>
    <row r="422" spans="1:18" ht="16" x14ac:dyDescent="0.2">
      <c r="A422" s="47"/>
      <c r="C422" s="10">
        <f t="shared" si="6"/>
        <v>419</v>
      </c>
      <c r="D422" s="325" t="s">
        <v>406</v>
      </c>
      <c r="E422" s="327" t="s">
        <v>219</v>
      </c>
      <c r="F422" s="327">
        <v>45580</v>
      </c>
      <c r="G422" s="327">
        <f>Mantenimiento[[#This Row],[Fecha Entrada]]</f>
        <v>45580</v>
      </c>
      <c r="H422" s="326" t="s">
        <v>30</v>
      </c>
      <c r="I422" s="328">
        <v>5614</v>
      </c>
      <c r="J422" s="508">
        <f>Mantenimiento[[#This Row],[Kilometraje del Odómetro]]-I421</f>
        <v>240</v>
      </c>
      <c r="K422" s="508"/>
      <c r="L422" s="508">
        <v>1</v>
      </c>
      <c r="M422" s="326" t="s">
        <v>175</v>
      </c>
      <c r="N422" s="326"/>
      <c r="O422" s="326" t="s">
        <v>460</v>
      </c>
      <c r="P422" s="509"/>
      <c r="Q422" s="510"/>
      <c r="R422" s="326"/>
    </row>
    <row r="423" spans="1:18" ht="16" x14ac:dyDescent="0.2">
      <c r="A423" s="47"/>
      <c r="C423" s="10">
        <f t="shared" si="6"/>
        <v>420</v>
      </c>
      <c r="D423" s="325" t="s">
        <v>406</v>
      </c>
      <c r="E423" s="327" t="s">
        <v>219</v>
      </c>
      <c r="F423" s="327">
        <v>45632</v>
      </c>
      <c r="G423" s="327">
        <f>Mantenimiento[[#This Row],[Fecha Entrada]]</f>
        <v>45632</v>
      </c>
      <c r="H423" s="326" t="s">
        <v>30</v>
      </c>
      <c r="I423" s="328">
        <v>5865</v>
      </c>
      <c r="J423" s="508">
        <f>Mantenimiento[[#This Row],[Kilometraje del Odómetro]]-I422</f>
        <v>251</v>
      </c>
      <c r="K423" s="508"/>
      <c r="L423" s="508">
        <v>1</v>
      </c>
      <c r="M423" s="326" t="s">
        <v>176</v>
      </c>
      <c r="N423" s="326"/>
      <c r="O423" s="326" t="s">
        <v>460</v>
      </c>
      <c r="P423" s="509"/>
      <c r="Q423" s="510"/>
      <c r="R423" s="326"/>
    </row>
    <row r="424" spans="1:18" ht="16" x14ac:dyDescent="0.2">
      <c r="A424" s="47"/>
      <c r="C424" s="10">
        <f t="shared" si="6"/>
        <v>421</v>
      </c>
      <c r="D424" s="325" t="s">
        <v>406</v>
      </c>
      <c r="E424" s="327" t="s">
        <v>219</v>
      </c>
      <c r="F424" s="327">
        <v>45696</v>
      </c>
      <c r="G424" s="327">
        <f>Mantenimiento[[#This Row],[Fecha Entrada]]</f>
        <v>45696</v>
      </c>
      <c r="H424" s="326" t="s">
        <v>30</v>
      </c>
      <c r="I424" s="328">
        <v>6193</v>
      </c>
      <c r="J424" s="508">
        <f>Mantenimiento[[#This Row],[Kilometraje del Odómetro]]-I423</f>
        <v>328</v>
      </c>
      <c r="K424" s="508"/>
      <c r="L424" s="508">
        <v>1</v>
      </c>
      <c r="M424" s="326" t="s">
        <v>176</v>
      </c>
      <c r="N424" s="326"/>
      <c r="O424" s="326" t="s">
        <v>460</v>
      </c>
      <c r="P424" s="509"/>
      <c r="Q424" s="510"/>
      <c r="R424" s="326"/>
    </row>
    <row r="425" spans="1:18" ht="16" x14ac:dyDescent="0.2">
      <c r="A425" s="47"/>
      <c r="C425" s="10">
        <f t="shared" si="6"/>
        <v>422</v>
      </c>
      <c r="D425" s="325" t="s">
        <v>406</v>
      </c>
      <c r="E425" s="327" t="s">
        <v>219</v>
      </c>
      <c r="F425" s="327">
        <v>45758</v>
      </c>
      <c r="G425" s="327">
        <f>Mantenimiento[[#This Row],[Fecha Entrada]]</f>
        <v>45758</v>
      </c>
      <c r="H425" s="326" t="s">
        <v>30</v>
      </c>
      <c r="I425" s="328">
        <v>6548</v>
      </c>
      <c r="J425" s="508">
        <f>Mantenimiento[[#This Row],[Kilometraje del Odómetro]]-I424</f>
        <v>355</v>
      </c>
      <c r="K425" s="508"/>
      <c r="L425" s="508">
        <v>1</v>
      </c>
      <c r="M425" s="326" t="s">
        <v>176</v>
      </c>
      <c r="N425" s="326"/>
      <c r="O425" s="326" t="s">
        <v>460</v>
      </c>
      <c r="P425" s="509"/>
      <c r="Q425" s="510"/>
      <c r="R425" s="326"/>
    </row>
    <row r="426" spans="1:18" ht="16" x14ac:dyDescent="0.2">
      <c r="A426" s="47"/>
      <c r="C426" s="10">
        <f t="shared" si="6"/>
        <v>423</v>
      </c>
      <c r="D426" s="325" t="s">
        <v>406</v>
      </c>
      <c r="E426" s="522" t="s">
        <v>219</v>
      </c>
      <c r="F426" s="327">
        <v>45840</v>
      </c>
      <c r="G426" s="327">
        <v>45840</v>
      </c>
      <c r="H426" s="326" t="s">
        <v>30</v>
      </c>
      <c r="I426" s="326">
        <v>6794</v>
      </c>
      <c r="J426" s="326">
        <f>Mantenimiento[[#This Row],[Kilometraje del Odómetro]]-I425</f>
        <v>246</v>
      </c>
      <c r="K426" s="508"/>
      <c r="L426" s="326">
        <v>1</v>
      </c>
      <c r="M426" s="326" t="s">
        <v>176</v>
      </c>
      <c r="N426" s="326"/>
      <c r="O426" s="326" t="s">
        <v>460</v>
      </c>
      <c r="P426" s="36"/>
      <c r="Q426" s="386"/>
      <c r="R426" s="34"/>
    </row>
    <row r="427" spans="1:18" ht="16" x14ac:dyDescent="0.2">
      <c r="A427" s="47"/>
      <c r="C427" s="10">
        <f t="shared" si="6"/>
        <v>424</v>
      </c>
      <c r="D427" s="325" t="s">
        <v>406</v>
      </c>
      <c r="E427" s="522" t="s">
        <v>219</v>
      </c>
      <c r="F427" s="327">
        <v>45895</v>
      </c>
      <c r="G427" s="327">
        <v>45895</v>
      </c>
      <c r="H427" s="326" t="s">
        <v>30</v>
      </c>
      <c r="I427" s="508">
        <v>7036</v>
      </c>
      <c r="J427" s="508">
        <f>Mantenimiento[[#This Row],[Kilometraje del Odómetro]]-I426</f>
        <v>242</v>
      </c>
      <c r="K427" s="508"/>
      <c r="L427" s="508">
        <v>1</v>
      </c>
      <c r="M427" s="326" t="s">
        <v>176</v>
      </c>
      <c r="N427" s="326">
        <v>2025080040</v>
      </c>
      <c r="O427" s="326" t="s">
        <v>460</v>
      </c>
      <c r="P427" s="36"/>
      <c r="Q427" s="386"/>
      <c r="R427" s="34"/>
    </row>
    <row r="428" spans="1:18" ht="16" x14ac:dyDescent="0.2">
      <c r="A428" s="47"/>
      <c r="C428" s="10">
        <f t="shared" si="6"/>
        <v>425</v>
      </c>
      <c r="D428" s="325" t="s">
        <v>406</v>
      </c>
      <c r="E428" s="522" t="s">
        <v>219</v>
      </c>
      <c r="F428" s="327">
        <v>45981</v>
      </c>
      <c r="G428" s="327">
        <v>45981</v>
      </c>
      <c r="H428" s="326" t="s">
        <v>30</v>
      </c>
      <c r="I428" s="508">
        <v>7290</v>
      </c>
      <c r="J428" s="508">
        <f>Mantenimiento[[#This Row],[Kilometraje del Odómetro]]-I427</f>
        <v>254</v>
      </c>
      <c r="K428" s="508"/>
      <c r="L428" s="508">
        <v>1</v>
      </c>
      <c r="M428" s="326" t="s">
        <v>176</v>
      </c>
      <c r="N428" s="326">
        <v>2025110031</v>
      </c>
      <c r="O428" s="326" t="s">
        <v>460</v>
      </c>
      <c r="P428" s="36"/>
      <c r="Q428" s="386"/>
      <c r="R428" s="34"/>
    </row>
    <row r="429" spans="1:18" ht="16" x14ac:dyDescent="0.2">
      <c r="A429" s="47"/>
      <c r="C429" s="10">
        <f t="shared" si="6"/>
        <v>426</v>
      </c>
      <c r="D429" s="325"/>
      <c r="E429" s="522"/>
      <c r="F429" s="327"/>
      <c r="G429" s="327"/>
      <c r="H429" s="326"/>
      <c r="I429" s="508"/>
      <c r="J429" s="508"/>
      <c r="K429" s="508"/>
      <c r="L429" s="508"/>
      <c r="M429" s="326"/>
      <c r="N429" s="326"/>
      <c r="O429" s="326"/>
      <c r="P429" s="36"/>
      <c r="Q429" s="386"/>
      <c r="R429" s="34"/>
    </row>
    <row r="430" spans="1:18" ht="16" x14ac:dyDescent="0.2">
      <c r="A430" s="47"/>
      <c r="C430" s="10">
        <f t="shared" si="6"/>
        <v>427</v>
      </c>
      <c r="D430" s="325"/>
      <c r="E430" s="522"/>
      <c r="F430" s="327"/>
      <c r="G430" s="327"/>
      <c r="H430" s="326"/>
      <c r="I430" s="508"/>
      <c r="J430" s="508"/>
      <c r="K430" s="508"/>
      <c r="L430" s="508"/>
      <c r="M430" s="326"/>
      <c r="N430" s="326"/>
      <c r="O430" s="326"/>
      <c r="P430" s="36"/>
      <c r="Q430" s="386"/>
      <c r="R430" s="34"/>
    </row>
    <row r="431" spans="1:18" ht="16" x14ac:dyDescent="0.2">
      <c r="A431" s="47"/>
      <c r="C431" s="10">
        <f t="shared" si="6"/>
        <v>428</v>
      </c>
      <c r="D431" s="65"/>
      <c r="E431" s="34"/>
      <c r="F431" s="37"/>
      <c r="G431" s="37"/>
      <c r="H431" s="34"/>
      <c r="I431" s="385"/>
      <c r="J431" s="385"/>
      <c r="K431" s="385"/>
      <c r="L431" s="385"/>
      <c r="M431" s="34"/>
      <c r="N431" s="34"/>
      <c r="O431" s="34"/>
      <c r="P431" s="36"/>
      <c r="Q431" s="386"/>
      <c r="R431" s="34"/>
    </row>
    <row r="432" spans="1:18" ht="16" x14ac:dyDescent="0.2">
      <c r="A432" s="47"/>
      <c r="C432" s="10">
        <f t="shared" si="6"/>
        <v>429</v>
      </c>
      <c r="D432" s="65"/>
      <c r="E432" s="34"/>
      <c r="F432" s="37"/>
      <c r="G432" s="37"/>
      <c r="H432" s="34"/>
      <c r="I432" s="385"/>
      <c r="J432" s="385">
        <f>Mantenimiento[[#This Row],[Kilometraje del Odómetro]]-I431</f>
        <v>0</v>
      </c>
      <c r="K432" s="385"/>
      <c r="L432" s="385"/>
      <c r="M432" s="34"/>
      <c r="N432" s="34"/>
      <c r="O432" s="34"/>
      <c r="P432" s="36"/>
      <c r="Q432" s="386"/>
      <c r="R432" s="34"/>
    </row>
    <row r="433" spans="1:18" ht="17" thickBot="1" x14ac:dyDescent="0.25">
      <c r="A433" s="47"/>
      <c r="C433" s="10">
        <f t="shared" si="6"/>
        <v>430</v>
      </c>
      <c r="D433" s="158"/>
      <c r="E433" s="160"/>
      <c r="F433" s="157"/>
      <c r="G433" s="157"/>
      <c r="H433" s="160"/>
      <c r="I433" s="511"/>
      <c r="J433" s="511">
        <f>Mantenimiento[[#This Row],[Kilometraje del Odómetro]]-I432</f>
        <v>0</v>
      </c>
      <c r="K433" s="511"/>
      <c r="L433" s="511"/>
      <c r="M433" s="160"/>
      <c r="N433" s="160"/>
      <c r="O433" s="160"/>
      <c r="P433" s="163"/>
      <c r="Q433" s="512"/>
      <c r="R433" s="160"/>
    </row>
    <row r="434" spans="1:18" ht="17" thickTop="1" x14ac:dyDescent="0.2">
      <c r="A434" s="47"/>
      <c r="C434" s="10">
        <f t="shared" si="6"/>
        <v>431</v>
      </c>
      <c r="D434" s="65"/>
      <c r="E434" s="34"/>
      <c r="F434" s="37"/>
      <c r="G434" s="37"/>
      <c r="H434" s="34"/>
      <c r="I434" s="385"/>
      <c r="J434" s="385">
        <f>Mantenimiento[[#This Row],[Kilometraje del Odómetro]]-I433</f>
        <v>0</v>
      </c>
      <c r="K434" s="385"/>
      <c r="L434" s="385"/>
      <c r="M434" s="34"/>
      <c r="N434" s="34"/>
      <c r="O434" s="34"/>
      <c r="P434" s="36"/>
      <c r="Q434" s="386"/>
      <c r="R434" s="34"/>
    </row>
    <row r="435" spans="1:18" ht="16" x14ac:dyDescent="0.2">
      <c r="A435" s="47"/>
      <c r="C435" s="10">
        <f t="shared" si="6"/>
        <v>432</v>
      </c>
      <c r="D435" s="68" t="s">
        <v>414</v>
      </c>
      <c r="E435" s="89" t="s">
        <v>223</v>
      </c>
      <c r="F435" s="90">
        <v>45931</v>
      </c>
      <c r="G435" s="90">
        <v>45931</v>
      </c>
      <c r="H435" s="89" t="s">
        <v>30</v>
      </c>
      <c r="I435" s="91">
        <v>200</v>
      </c>
      <c r="J435" s="91"/>
      <c r="K435" s="91"/>
      <c r="L435" s="91">
        <v>1</v>
      </c>
      <c r="M435" s="89" t="s">
        <v>173</v>
      </c>
      <c r="N435" s="89">
        <v>2025100002</v>
      </c>
      <c r="O435" s="89" t="s">
        <v>460</v>
      </c>
      <c r="P435" s="92"/>
      <c r="Q435" s="125"/>
      <c r="R435" s="89"/>
    </row>
    <row r="436" spans="1:18" ht="16" x14ac:dyDescent="0.2">
      <c r="A436" s="47"/>
      <c r="C436" s="10">
        <f t="shared" si="6"/>
        <v>433</v>
      </c>
      <c r="D436" s="68"/>
      <c r="E436" s="89"/>
      <c r="F436" s="90"/>
      <c r="G436" s="90"/>
      <c r="H436" s="89"/>
      <c r="I436" s="91"/>
      <c r="J436" s="91"/>
      <c r="K436" s="91"/>
      <c r="L436" s="91"/>
      <c r="M436" s="89"/>
      <c r="N436" s="89"/>
      <c r="O436" s="89"/>
      <c r="P436" s="92"/>
      <c r="Q436" s="125"/>
      <c r="R436" s="89"/>
    </row>
    <row r="437" spans="1:18" ht="16" x14ac:dyDescent="0.2">
      <c r="A437" s="47"/>
      <c r="C437" s="10">
        <f t="shared" si="6"/>
        <v>434</v>
      </c>
      <c r="D437" s="68"/>
      <c r="E437" s="89"/>
      <c r="F437" s="90"/>
      <c r="G437" s="90"/>
      <c r="H437" s="89"/>
      <c r="I437" s="91"/>
      <c r="J437" s="91"/>
      <c r="K437" s="91"/>
      <c r="L437" s="91"/>
      <c r="M437" s="89"/>
      <c r="N437" s="89"/>
      <c r="O437" s="89"/>
      <c r="P437" s="92"/>
      <c r="Q437" s="125"/>
      <c r="R437" s="89"/>
    </row>
    <row r="438" spans="1:18" ht="16" x14ac:dyDescent="0.2">
      <c r="A438" s="47"/>
      <c r="C438" s="10">
        <f t="shared" si="6"/>
        <v>435</v>
      </c>
      <c r="D438" s="68"/>
      <c r="E438" s="89"/>
      <c r="F438" s="90"/>
      <c r="G438" s="90"/>
      <c r="H438" s="89"/>
      <c r="I438" s="91"/>
      <c r="J438" s="91"/>
      <c r="K438" s="91"/>
      <c r="L438" s="91"/>
      <c r="M438" s="89"/>
      <c r="N438" s="89"/>
      <c r="O438" s="89"/>
      <c r="P438" s="92"/>
      <c r="Q438" s="125"/>
      <c r="R438" s="89"/>
    </row>
    <row r="439" spans="1:18" ht="16" x14ac:dyDescent="0.2">
      <c r="A439" s="47"/>
      <c r="C439" s="10">
        <f t="shared" si="6"/>
        <v>436</v>
      </c>
      <c r="D439" s="68"/>
      <c r="E439" s="89"/>
      <c r="F439" s="90"/>
      <c r="G439" s="90"/>
      <c r="H439" s="89"/>
      <c r="I439" s="91"/>
      <c r="J439" s="91"/>
      <c r="K439" s="91"/>
      <c r="L439" s="91"/>
      <c r="M439" s="89"/>
      <c r="N439" s="89"/>
      <c r="O439" s="89"/>
      <c r="P439" s="92"/>
      <c r="Q439" s="125"/>
      <c r="R439" s="89"/>
    </row>
    <row r="440" spans="1:18" ht="16" x14ac:dyDescent="0.2">
      <c r="A440" s="47"/>
      <c r="C440" s="10">
        <f t="shared" si="6"/>
        <v>437</v>
      </c>
      <c r="D440" s="68"/>
      <c r="E440" s="89"/>
      <c r="F440" s="90"/>
      <c r="G440" s="90"/>
      <c r="H440" s="89"/>
      <c r="I440" s="91"/>
      <c r="J440" s="91">
        <f>Mantenimiento[[#This Row],[Kilometraje del Odómetro]]-I432</f>
        <v>0</v>
      </c>
      <c r="K440" s="91"/>
      <c r="L440" s="91"/>
      <c r="M440" s="89"/>
      <c r="N440" s="89"/>
      <c r="O440" s="89"/>
      <c r="P440" s="92"/>
      <c r="Q440" s="125"/>
      <c r="R440" s="89"/>
    </row>
    <row r="441" spans="1:18" ht="16" x14ac:dyDescent="0.2">
      <c r="A441" s="47"/>
      <c r="C441" s="10">
        <f t="shared" si="6"/>
        <v>438</v>
      </c>
      <c r="D441" s="68"/>
      <c r="E441" s="89"/>
      <c r="F441" s="90"/>
      <c r="G441" s="90"/>
      <c r="H441" s="89"/>
      <c r="I441" s="91"/>
      <c r="J441" s="91">
        <f>Mantenimiento[[#This Row],[Kilometraje del Odómetro]]-I431</f>
        <v>0</v>
      </c>
      <c r="K441" s="91"/>
      <c r="L441" s="91"/>
      <c r="M441" s="89"/>
      <c r="N441" s="89"/>
      <c r="O441" s="89"/>
      <c r="P441" s="92"/>
      <c r="Q441" s="125"/>
      <c r="R441" s="89"/>
    </row>
    <row r="442" spans="1:18" ht="16" x14ac:dyDescent="0.2">
      <c r="A442" s="47"/>
      <c r="C442" s="10">
        <f t="shared" si="6"/>
        <v>439</v>
      </c>
      <c r="D442" s="68"/>
      <c r="E442" s="89"/>
      <c r="F442" s="90"/>
      <c r="G442" s="90"/>
      <c r="H442" s="89"/>
      <c r="I442" s="91"/>
      <c r="J442" s="91">
        <f>Mantenimiento[[#This Row],[Kilometraje del Odómetro]]-I431</f>
        <v>0</v>
      </c>
      <c r="K442" s="91"/>
      <c r="L442" s="91"/>
      <c r="M442" s="89"/>
      <c r="N442" s="89"/>
      <c r="O442" s="89"/>
      <c r="P442" s="92"/>
      <c r="Q442" s="125"/>
      <c r="R442" s="89"/>
    </row>
    <row r="443" spans="1:18" ht="16" x14ac:dyDescent="0.2">
      <c r="A443" s="47"/>
      <c r="C443" s="10">
        <f t="shared" si="6"/>
        <v>440</v>
      </c>
      <c r="D443" s="68"/>
      <c r="E443" s="89"/>
      <c r="F443" s="90"/>
      <c r="G443" s="90"/>
      <c r="H443" s="89"/>
      <c r="I443" s="91"/>
      <c r="J443" s="91">
        <f>Mantenimiento[[#This Row],[Kilometraje del Odómetro]]-I431</f>
        <v>0</v>
      </c>
      <c r="K443" s="91"/>
      <c r="L443" s="91"/>
      <c r="M443" s="89"/>
      <c r="N443" s="89"/>
      <c r="O443" s="89"/>
      <c r="P443" s="92"/>
      <c r="Q443" s="125"/>
      <c r="R443" s="89"/>
    </row>
    <row r="444" spans="1:18" ht="16" x14ac:dyDescent="0.2">
      <c r="A444" s="47"/>
      <c r="C444" s="10">
        <f t="shared" si="6"/>
        <v>441</v>
      </c>
      <c r="D444" s="65"/>
      <c r="E444" s="34"/>
      <c r="F444" s="37"/>
      <c r="G444" s="37"/>
      <c r="H444" s="34"/>
      <c r="I444" s="385"/>
      <c r="J444" s="385">
        <f>Mantenimiento[[#This Row],[Kilometraje del Odómetro]]-I431</f>
        <v>0</v>
      </c>
      <c r="K444" s="385"/>
      <c r="L444" s="385"/>
      <c r="M444" s="34"/>
      <c r="N444" s="34"/>
      <c r="O444" s="34"/>
      <c r="P444" s="36"/>
      <c r="Q444" s="386"/>
      <c r="R444" s="34"/>
    </row>
    <row r="445" spans="1:18" ht="17" thickBot="1" x14ac:dyDescent="0.25">
      <c r="A445" s="47"/>
      <c r="C445" s="10">
        <f t="shared" si="6"/>
        <v>442</v>
      </c>
      <c r="D445" s="158"/>
      <c r="E445" s="160"/>
      <c r="F445" s="157"/>
      <c r="G445" s="157"/>
      <c r="H445" s="160"/>
      <c r="I445" s="511"/>
      <c r="J445" s="511"/>
      <c r="K445" s="511"/>
      <c r="L445" s="511"/>
      <c r="M445" s="160"/>
      <c r="N445" s="160"/>
      <c r="O445" s="160"/>
      <c r="P445" s="163"/>
      <c r="Q445" s="512"/>
      <c r="R445" s="160"/>
    </row>
    <row r="446" spans="1:18" ht="17" thickTop="1" x14ac:dyDescent="0.2">
      <c r="A446" s="47"/>
      <c r="C446" s="10">
        <f t="shared" si="6"/>
        <v>443</v>
      </c>
      <c r="D446" s="65"/>
      <c r="E446" s="34"/>
      <c r="F446" s="37"/>
      <c r="G446" s="37"/>
      <c r="H446" s="34"/>
      <c r="I446" s="385"/>
      <c r="J446" s="385">
        <f>Mantenimiento[[#This Row],[Kilometraje del Odómetro]]-I445</f>
        <v>0</v>
      </c>
      <c r="K446" s="385"/>
      <c r="L446" s="385"/>
      <c r="M446" s="34"/>
      <c r="N446" s="34"/>
      <c r="O446" s="34"/>
      <c r="P446" s="36"/>
      <c r="Q446" s="386"/>
      <c r="R446" s="34"/>
    </row>
    <row r="447" spans="1:18" ht="16" x14ac:dyDescent="0.2">
      <c r="A447" s="47"/>
      <c r="C447" s="10">
        <f t="shared" si="6"/>
        <v>444</v>
      </c>
      <c r="D447" s="65" t="s">
        <v>524</v>
      </c>
      <c r="E447" s="34" t="s">
        <v>219</v>
      </c>
      <c r="F447" s="37">
        <v>45967</v>
      </c>
      <c r="G447" s="37">
        <v>45967</v>
      </c>
      <c r="H447" s="34" t="s">
        <v>30</v>
      </c>
      <c r="I447" s="385">
        <v>413</v>
      </c>
      <c r="J447" s="385"/>
      <c r="K447" s="385"/>
      <c r="L447" s="385">
        <v>1</v>
      </c>
      <c r="M447" s="34" t="s">
        <v>173</v>
      </c>
      <c r="N447" s="34"/>
      <c r="O447" s="34" t="s">
        <v>526</v>
      </c>
      <c r="P447" s="36"/>
      <c r="Q447" s="386"/>
      <c r="R447" s="34"/>
    </row>
    <row r="448" spans="1:18" ht="16" x14ac:dyDescent="0.2">
      <c r="A448" s="47"/>
      <c r="C448" s="10">
        <f t="shared" si="6"/>
        <v>445</v>
      </c>
      <c r="D448" s="65" t="s">
        <v>524</v>
      </c>
      <c r="E448" s="34" t="s">
        <v>219</v>
      </c>
      <c r="F448" s="37">
        <v>46008</v>
      </c>
      <c r="G448" s="37">
        <v>46008</v>
      </c>
      <c r="H448" s="34" t="s">
        <v>30</v>
      </c>
      <c r="I448" s="385">
        <v>704</v>
      </c>
      <c r="J448" s="385">
        <f>Mantenimiento[[#This Row],[Kilometraje del Odómetro]]-I447</f>
        <v>291</v>
      </c>
      <c r="K448" s="385"/>
      <c r="L448" s="385">
        <v>1</v>
      </c>
      <c r="M448" s="34" t="s">
        <v>173</v>
      </c>
      <c r="N448" s="34">
        <v>2025120028</v>
      </c>
      <c r="O448" s="34" t="s">
        <v>526</v>
      </c>
      <c r="P448" s="36"/>
      <c r="Q448" s="386"/>
      <c r="R448" s="34"/>
    </row>
    <row r="449" spans="1:18" ht="16" x14ac:dyDescent="0.2">
      <c r="A449" s="47"/>
      <c r="C449" s="10">
        <f t="shared" si="6"/>
        <v>446</v>
      </c>
      <c r="D449" s="65"/>
      <c r="E449" s="34"/>
      <c r="F449" s="37"/>
      <c r="G449" s="37"/>
      <c r="H449" s="34"/>
      <c r="I449" s="385"/>
      <c r="J449" s="385"/>
      <c r="K449" s="385"/>
      <c r="L449" s="385"/>
      <c r="M449" s="34"/>
      <c r="N449" s="34"/>
      <c r="O449" s="34"/>
      <c r="P449" s="36"/>
      <c r="Q449" s="386"/>
      <c r="R449" s="34"/>
    </row>
    <row r="450" spans="1:18" ht="16" x14ac:dyDescent="0.2">
      <c r="A450" s="47"/>
      <c r="C450" s="10">
        <f t="shared" si="6"/>
        <v>447</v>
      </c>
      <c r="D450" s="65"/>
      <c r="E450" s="34"/>
      <c r="F450" s="37"/>
      <c r="G450" s="37"/>
      <c r="H450" s="34"/>
      <c r="I450" s="385"/>
      <c r="J450" s="385">
        <f>Mantenimiento[[#This Row],[Kilometraje del Odómetro]]-I449</f>
        <v>0</v>
      </c>
      <c r="K450" s="385"/>
      <c r="L450" s="385"/>
      <c r="M450" s="34"/>
      <c r="N450" s="34"/>
      <c r="O450" s="34"/>
      <c r="P450" s="36"/>
      <c r="Q450" s="386"/>
      <c r="R450" s="34"/>
    </row>
    <row r="451" spans="1:18" ht="16" x14ac:dyDescent="0.2">
      <c r="A451" s="47"/>
      <c r="C451" s="10">
        <f t="shared" si="6"/>
        <v>448</v>
      </c>
      <c r="D451" s="65"/>
      <c r="E451" s="34"/>
      <c r="F451" s="37"/>
      <c r="G451" s="37"/>
      <c r="H451" s="34"/>
      <c r="I451" s="385"/>
      <c r="J451" s="385">
        <f>Mantenimiento[[#This Row],[Kilometraje del Odómetro]]-I450</f>
        <v>0</v>
      </c>
      <c r="K451" s="385"/>
      <c r="L451" s="385"/>
      <c r="M451" s="34"/>
      <c r="N451" s="34"/>
      <c r="O451" s="34"/>
      <c r="P451" s="36"/>
      <c r="Q451" s="386"/>
      <c r="R451" s="34"/>
    </row>
    <row r="452" spans="1:18" ht="17" thickBot="1" x14ac:dyDescent="0.25">
      <c r="A452" s="47"/>
      <c r="C452" s="10">
        <f t="shared" si="6"/>
        <v>449</v>
      </c>
      <c r="D452" s="158"/>
      <c r="E452" s="160"/>
      <c r="F452" s="157"/>
      <c r="G452" s="157"/>
      <c r="H452" s="160"/>
      <c r="I452" s="511"/>
      <c r="J452" s="511">
        <f>Mantenimiento[[#This Row],[Kilometraje del Odómetro]]-I451</f>
        <v>0</v>
      </c>
      <c r="K452" s="511"/>
      <c r="L452" s="511"/>
      <c r="M452" s="160"/>
      <c r="N452" s="160"/>
      <c r="O452" s="160"/>
      <c r="P452" s="36"/>
      <c r="Q452" s="386"/>
      <c r="R452" s="34"/>
    </row>
    <row r="453" spans="1:18" ht="17" thickTop="1" x14ac:dyDescent="0.2">
      <c r="A453" s="47"/>
      <c r="C453" s="10">
        <f t="shared" si="6"/>
        <v>450</v>
      </c>
      <c r="D453" s="65"/>
      <c r="E453" s="34"/>
      <c r="F453" s="37"/>
      <c r="G453" s="37"/>
      <c r="H453" s="34"/>
      <c r="I453" s="385"/>
      <c r="J453" s="385">
        <f>Mantenimiento[[#This Row],[Kilometraje del Odómetro]]-I452</f>
        <v>0</v>
      </c>
      <c r="K453" s="385"/>
      <c r="L453" s="385"/>
      <c r="M453" s="34"/>
      <c r="N453" s="34"/>
      <c r="O453" s="34"/>
      <c r="P453" s="36"/>
      <c r="Q453" s="386"/>
      <c r="R453" s="34"/>
    </row>
    <row r="454" spans="1:18" ht="16" x14ac:dyDescent="0.2">
      <c r="A454" s="47"/>
      <c r="C454" s="10">
        <f t="shared" si="6"/>
        <v>451</v>
      </c>
      <c r="D454" s="65"/>
      <c r="E454" s="34"/>
      <c r="F454" s="37"/>
      <c r="G454" s="37"/>
      <c r="H454" s="34"/>
      <c r="I454" s="385"/>
      <c r="J454" s="385">
        <f>Mantenimiento[[#This Row],[Kilometraje del Odómetro]]-I453</f>
        <v>0</v>
      </c>
      <c r="K454" s="385"/>
      <c r="L454" s="385"/>
      <c r="M454" s="34"/>
      <c r="N454" s="34"/>
      <c r="O454" s="34"/>
      <c r="P454" s="36"/>
      <c r="Q454" s="386"/>
      <c r="R454" s="34"/>
    </row>
    <row r="455" spans="1:18" ht="16" x14ac:dyDescent="0.2">
      <c r="A455" s="47"/>
      <c r="C455" s="10">
        <f t="shared" si="6"/>
        <v>452</v>
      </c>
      <c r="D455" s="65"/>
      <c r="E455" s="34"/>
      <c r="F455" s="37"/>
      <c r="G455" s="37"/>
      <c r="H455" s="34"/>
      <c r="I455" s="385"/>
      <c r="J455" s="385">
        <f>Mantenimiento[[#This Row],[Kilometraje del Odómetro]]-I454</f>
        <v>0</v>
      </c>
      <c r="K455" s="385"/>
      <c r="L455" s="385"/>
      <c r="M455" s="34"/>
      <c r="N455" s="34"/>
      <c r="O455" s="34"/>
      <c r="P455" s="36"/>
      <c r="Q455" s="386"/>
      <c r="R455" s="34"/>
    </row>
    <row r="456" spans="1:18" ht="16" x14ac:dyDescent="0.2">
      <c r="A456" s="47"/>
      <c r="C456" s="10">
        <f t="shared" si="6"/>
        <v>453</v>
      </c>
      <c r="D456" s="65"/>
      <c r="E456" s="34"/>
      <c r="F456" s="37"/>
      <c r="G456" s="37"/>
      <c r="H456" s="34"/>
      <c r="I456" s="385"/>
      <c r="J456" s="385">
        <f>Mantenimiento[[#This Row],[Kilometraje del Odómetro]]-I455</f>
        <v>0</v>
      </c>
      <c r="K456" s="385"/>
      <c r="L456" s="385"/>
      <c r="M456" s="34"/>
      <c r="N456" s="34"/>
      <c r="O456" s="34"/>
      <c r="P456" s="36"/>
      <c r="Q456" s="386"/>
      <c r="R456" s="34"/>
    </row>
    <row r="457" spans="1:18" ht="16" x14ac:dyDescent="0.2">
      <c r="A457" s="47"/>
      <c r="C457" s="10">
        <f t="shared" si="6"/>
        <v>454</v>
      </c>
      <c r="D457" s="65"/>
      <c r="E457" s="34"/>
      <c r="F457" s="37"/>
      <c r="G457" s="37"/>
      <c r="H457" s="34"/>
      <c r="I457" s="385"/>
      <c r="J457" s="385">
        <f>Mantenimiento[[#This Row],[Kilometraje del Odómetro]]-I456</f>
        <v>0</v>
      </c>
      <c r="K457" s="385"/>
      <c r="L457" s="385"/>
      <c r="M457" s="34"/>
      <c r="N457" s="34"/>
      <c r="O457" s="34"/>
      <c r="P457" s="36"/>
      <c r="Q457" s="386"/>
      <c r="R457" s="34"/>
    </row>
    <row r="458" spans="1:18" x14ac:dyDescent="0.2">
      <c r="A458" s="47"/>
    </row>
    <row r="459" spans="1:18" x14ac:dyDescent="0.2">
      <c r="A459" s="47"/>
    </row>
    <row r="460" spans="1:18" x14ac:dyDescent="0.2">
      <c r="A460" s="47"/>
    </row>
    <row r="461" spans="1:18" x14ac:dyDescent="0.2">
      <c r="A461" s="47"/>
    </row>
    <row r="462" spans="1:18" x14ac:dyDescent="0.2">
      <c r="A462" s="47"/>
    </row>
    <row r="463" spans="1:18" x14ac:dyDescent="0.2">
      <c r="A463" s="47"/>
    </row>
    <row r="464" spans="1:18" x14ac:dyDescent="0.2">
      <c r="A464" s="47"/>
    </row>
    <row r="465" spans="1:1" x14ac:dyDescent="0.2">
      <c r="A465" s="47"/>
    </row>
    <row r="466" spans="1:1" x14ac:dyDescent="0.2">
      <c r="A466" s="47"/>
    </row>
    <row r="467" spans="1:1" x14ac:dyDescent="0.2">
      <c r="A467" s="47"/>
    </row>
    <row r="468" spans="1:1" x14ac:dyDescent="0.2">
      <c r="A468" s="47"/>
    </row>
    <row r="469" spans="1:1" x14ac:dyDescent="0.2">
      <c r="A469" s="47"/>
    </row>
    <row r="470" spans="1:1" x14ac:dyDescent="0.2">
      <c r="A470" s="47"/>
    </row>
    <row r="471" spans="1:1" x14ac:dyDescent="0.2">
      <c r="A471" s="47"/>
    </row>
    <row r="472" spans="1:1" x14ac:dyDescent="0.2">
      <c r="A472" s="47"/>
    </row>
    <row r="473" spans="1:1" x14ac:dyDescent="0.2">
      <c r="A473" s="47"/>
    </row>
    <row r="474" spans="1:1" x14ac:dyDescent="0.2">
      <c r="A474" s="47"/>
    </row>
  </sheetData>
  <sheetProtection selectLockedCells="1"/>
  <phoneticPr fontId="4" type="noConversion"/>
  <dataValidations count="4">
    <dataValidation type="list" allowBlank="1" showInputMessage="1" showErrorMessage="1" sqref="D4:D457" xr:uid="{390943A5-9B56-460A-B7B8-37054E7581EC}">
      <formula1>Lista_Placas</formula1>
    </dataValidation>
    <dataValidation type="list" allowBlank="1" showInputMessage="1" showErrorMessage="1" sqref="E4:E457" xr:uid="{A2073645-6BC3-42A4-AAB6-554660B15DB5}">
      <formula1>Lista_Talleres</formula1>
    </dataValidation>
    <dataValidation type="list" allowBlank="1" showInputMessage="1" showErrorMessage="1" sqref="H4:H457" xr:uid="{AFF733E2-5E2E-4643-82F2-9D3DEFA71EDD}">
      <formula1>Lista_TipoMnnto</formula1>
    </dataValidation>
    <dataValidation type="list" allowBlank="1" showInputMessage="1" showErrorMessage="1" sqref="M4:M457" xr:uid="{3DB6BF63-292A-4DA3-A475-FB44B0BAF581}">
      <formula1>Lista_PaqMnnto</formula1>
    </dataValidation>
  </dataValidations>
  <pageMargins left="0.70866141732283472" right="0.70866141732283472" top="0.74803149606299213" bottom="0.74803149606299213" header="0.31496062992125984" footer="0.31496062992125984"/>
  <pageSetup scale="46" orientation="landscape" r:id="rId1"/>
  <rowBreaks count="3" manualBreakCount="3">
    <brk id="199" max="14" man="1"/>
    <brk id="265" max="14" man="1"/>
    <brk id="340" max="14" man="1"/>
  </rowBreaks>
  <colBreaks count="1" manualBreakCount="1">
    <brk id="15" max="1048575" man="1"/>
  </colBreaks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0DFB-DFB2-4241-ABC0-03303F1F3D38}">
  <sheetPr codeName="Hoja13"/>
  <dimension ref="A1:V56"/>
  <sheetViews>
    <sheetView topLeftCell="A22" zoomScale="85" zoomScaleNormal="85" workbookViewId="0">
      <selection activeCell="H48" sqref="H48"/>
    </sheetView>
  </sheetViews>
  <sheetFormatPr baseColWidth="10" defaultRowHeight="15" x14ac:dyDescent="0.2"/>
  <cols>
    <col min="1" max="9" width="18.33203125" customWidth="1"/>
    <col min="10" max="10" width="79.6640625" customWidth="1"/>
    <col min="11" max="11" width="6.6640625" customWidth="1"/>
  </cols>
  <sheetData>
    <row r="1" spans="1:22" ht="54" customHeight="1" thickBot="1" x14ac:dyDescent="0.25">
      <c r="A1" s="546" t="s">
        <v>384</v>
      </c>
      <c r="B1" s="115" t="s">
        <v>435</v>
      </c>
      <c r="C1" s="547" t="s">
        <v>436</v>
      </c>
      <c r="D1" s="115" t="s">
        <v>437</v>
      </c>
      <c r="E1" s="115" t="s">
        <v>438</v>
      </c>
      <c r="F1" s="547" t="s">
        <v>439</v>
      </c>
      <c r="G1" s="115" t="s">
        <v>440</v>
      </c>
      <c r="H1" s="115" t="s">
        <v>441</v>
      </c>
      <c r="I1" s="548" t="s">
        <v>442</v>
      </c>
      <c r="J1" s="115" t="s">
        <v>445</v>
      </c>
      <c r="K1" s="546" t="s">
        <v>454</v>
      </c>
    </row>
    <row r="2" spans="1:22" x14ac:dyDescent="0.2">
      <c r="A2" s="11" t="s">
        <v>352</v>
      </c>
      <c r="B2" s="587">
        <v>45905</v>
      </c>
      <c r="C2" s="588">
        <v>2270</v>
      </c>
      <c r="D2" s="587">
        <v>45967</v>
      </c>
      <c r="E2" s="587"/>
      <c r="F2" s="589">
        <v>40</v>
      </c>
      <c r="G2" s="587" t="s">
        <v>444</v>
      </c>
      <c r="H2" s="11" t="s">
        <v>443</v>
      </c>
      <c r="I2" s="590">
        <f>IF(COUNTIF(A$2:A2,A2)=1,0,IFERROR(C2-_xlfn.MAXIFS(C$2:C$47,A$2:A$52,A2,B$2:B$47,"&lt;"&amp;B2),0))</f>
        <v>0</v>
      </c>
      <c r="J2" s="587" t="s">
        <v>429</v>
      </c>
      <c r="K2" s="63">
        <v>385</v>
      </c>
      <c r="L2" s="63"/>
      <c r="M2" t="e">
        <f>VLOOKUP(W2,Mantenimiento!$C4:$L602,2,0)</f>
        <v>#N/A</v>
      </c>
      <c r="N2" s="549">
        <f>VLOOKUP($K2,Mantenimiento!$C4:$L602,5,0)</f>
        <v>45950</v>
      </c>
      <c r="O2" s="550">
        <f>VLOOKUP($K2,Mantenimiento!$C4:$L602,7,0)</f>
        <v>1130</v>
      </c>
      <c r="P2" s="549">
        <v>45928</v>
      </c>
      <c r="Q2" s="549"/>
      <c r="R2" s="543">
        <v>1</v>
      </c>
      <c r="S2" s="549" t="s">
        <v>444</v>
      </c>
      <c r="T2" t="str">
        <f t="shared" ref="T2" si="0">IF(R2&gt;0,"Completado","0")</f>
        <v>Completado</v>
      </c>
      <c r="U2" s="551">
        <f>IF(COUNTIF(M$2:M2,M2)=1,0,IFERROR(O2-_xlfn.MAXIFS(O$2:O$52,M$2:M$52,M2,N$2:N$52,"&lt;"&amp;N2),0))</f>
        <v>0</v>
      </c>
      <c r="V2" s="549" t="str">
        <f>VLOOKUP($K2,Mantenimiento!$C4:$O602,13,0)</f>
        <v>Cambio de Manometro de -10 a +10</v>
      </c>
    </row>
    <row r="3" spans="1:22" x14ac:dyDescent="0.2">
      <c r="A3" s="11" t="s">
        <v>318</v>
      </c>
      <c r="B3" s="587">
        <v>45910</v>
      </c>
      <c r="C3" s="588">
        <v>860</v>
      </c>
      <c r="D3" s="587">
        <v>45960</v>
      </c>
      <c r="E3" s="587"/>
      <c r="F3" s="589">
        <v>33</v>
      </c>
      <c r="G3" s="587" t="s">
        <v>444</v>
      </c>
      <c r="H3" s="11" t="s">
        <v>443</v>
      </c>
      <c r="I3" s="590">
        <f>IF(COUNTIF(A$2:A3,A3)=1,0,IFERROR(C3-_xlfn.MAXIFS(C$2:C$47,A$2:A$52,A3,B$2:B$47,"&lt;"&amp;B3),0))</f>
        <v>0</v>
      </c>
      <c r="J3" s="587" t="s">
        <v>446</v>
      </c>
      <c r="K3" s="63">
        <v>366</v>
      </c>
      <c r="L3" s="63"/>
    </row>
    <row r="4" spans="1:22" x14ac:dyDescent="0.2">
      <c r="A4" s="11" t="s">
        <v>308</v>
      </c>
      <c r="B4" s="587">
        <v>45911</v>
      </c>
      <c r="C4" s="588">
        <v>1129</v>
      </c>
      <c r="D4" s="587">
        <v>45945</v>
      </c>
      <c r="E4" s="587"/>
      <c r="F4" s="589">
        <v>18</v>
      </c>
      <c r="G4" s="587" t="s">
        <v>444</v>
      </c>
      <c r="H4" s="11" t="s">
        <v>443</v>
      </c>
      <c r="I4" s="590">
        <f>IF(COUNTIF(A$2:A4,A4)=1,0,IFERROR(C4-_xlfn.MAXIFS(C$2:C$47,A$2:A$52,A4,B$2:B$47,"&lt;"&amp;B4),0))</f>
        <v>0</v>
      </c>
      <c r="J4" s="587" t="s">
        <v>430</v>
      </c>
      <c r="K4" s="63">
        <v>259</v>
      </c>
      <c r="L4" s="63"/>
    </row>
    <row r="5" spans="1:22" x14ac:dyDescent="0.2">
      <c r="A5" s="11" t="s">
        <v>211</v>
      </c>
      <c r="B5" s="587">
        <v>45916</v>
      </c>
      <c r="C5" s="588">
        <v>51699</v>
      </c>
      <c r="D5" s="587">
        <v>45936</v>
      </c>
      <c r="E5" s="587"/>
      <c r="F5" s="589">
        <v>9</v>
      </c>
      <c r="G5" s="587" t="s">
        <v>444</v>
      </c>
      <c r="H5" s="11" t="s">
        <v>443</v>
      </c>
      <c r="I5" s="590">
        <f>IF(COUNTIF(A$2:A5,A5)=1,0,IFERROR(C5-_xlfn.MAXIFS(C$2:C$47,A$2:A$52,A5,B$2:B$47,"&lt;"&amp;B5),0))</f>
        <v>0</v>
      </c>
      <c r="J5" s="587" t="s">
        <v>432</v>
      </c>
      <c r="K5" s="63">
        <v>94</v>
      </c>
      <c r="L5" s="63"/>
    </row>
    <row r="6" spans="1:22" x14ac:dyDescent="0.2">
      <c r="A6" s="11" t="s">
        <v>308</v>
      </c>
      <c r="B6" s="587">
        <v>45916</v>
      </c>
      <c r="C6" s="588">
        <v>1180</v>
      </c>
      <c r="D6" s="587">
        <v>45946</v>
      </c>
      <c r="E6" s="587"/>
      <c r="F6" s="589">
        <v>19</v>
      </c>
      <c r="G6" s="587" t="s">
        <v>31</v>
      </c>
      <c r="H6" s="11" t="s">
        <v>443</v>
      </c>
      <c r="I6" s="590">
        <f>IF(COUNTIF(A$2:A6,A6)=1,0,IFERROR(C6-_xlfn.MAXIFS(C$2:C$47,A$2:A$52,A6,B$2:B$47,"&lt;"&amp;B6),0))</f>
        <v>0</v>
      </c>
      <c r="J6" s="587" t="s">
        <v>455</v>
      </c>
      <c r="K6" s="63">
        <v>260</v>
      </c>
      <c r="L6" s="63"/>
    </row>
    <row r="7" spans="1:22" x14ac:dyDescent="0.2">
      <c r="A7" s="11" t="s">
        <v>308</v>
      </c>
      <c r="B7" s="587">
        <v>45918</v>
      </c>
      <c r="C7" s="588">
        <v>1200</v>
      </c>
      <c r="D7" s="587">
        <v>45947</v>
      </c>
      <c r="E7" s="587"/>
      <c r="F7" s="589">
        <v>20</v>
      </c>
      <c r="G7" s="587" t="s">
        <v>31</v>
      </c>
      <c r="H7" s="11" t="s">
        <v>443</v>
      </c>
      <c r="I7" s="590">
        <f>IF(COUNTIF(A$2:A7,A7)=1,0,IFERROR(C7-_xlfn.MAXIFS(C$2:C$47,A$2:A$52,A7,B$2:B$47,"&lt;"&amp;B7),0))</f>
        <v>0</v>
      </c>
      <c r="J7" s="587" t="s">
        <v>433</v>
      </c>
      <c r="K7" s="63">
        <v>261</v>
      </c>
      <c r="L7" s="63"/>
    </row>
    <row r="8" spans="1:22" x14ac:dyDescent="0.2">
      <c r="A8" s="11" t="s">
        <v>209</v>
      </c>
      <c r="B8" s="587">
        <v>45920</v>
      </c>
      <c r="C8" s="588">
        <v>115915</v>
      </c>
      <c r="D8" s="587">
        <v>45929</v>
      </c>
      <c r="E8" s="587"/>
      <c r="F8" s="589">
        <v>2</v>
      </c>
      <c r="G8" s="587" t="s">
        <v>444</v>
      </c>
      <c r="H8" s="11" t="s">
        <v>443</v>
      </c>
      <c r="I8" s="590">
        <f>IF(COUNTIF(A$2:A8,A8)=1,0,IFERROR(C8-_xlfn.MAXIFS(C$2:C$47,A$2:A$52,A8,B$2:B$47,"&lt;"&amp;B8),0))</f>
        <v>0</v>
      </c>
      <c r="J8" s="587" t="s">
        <v>453</v>
      </c>
      <c r="K8" s="63">
        <v>56</v>
      </c>
      <c r="L8" s="63"/>
    </row>
    <row r="9" spans="1:22" x14ac:dyDescent="0.2">
      <c r="A9" s="11" t="s">
        <v>211</v>
      </c>
      <c r="B9" s="587">
        <v>45921</v>
      </c>
      <c r="C9" s="588">
        <v>52865</v>
      </c>
      <c r="D9" s="587">
        <v>45937</v>
      </c>
      <c r="E9" s="587"/>
      <c r="F9" s="589">
        <v>10</v>
      </c>
      <c r="G9" s="587" t="s">
        <v>31</v>
      </c>
      <c r="H9" s="11" t="s">
        <v>443</v>
      </c>
      <c r="I9" s="590">
        <f>IF(COUNTIF(A$2:A9,A9)=1,0,IFERROR(C9-_xlfn.MAXIFS(C$2:C$47,A$2:A$52,A9,B$2:B$47,"&lt;"&amp;B9),0))</f>
        <v>0</v>
      </c>
      <c r="J9" s="587" t="s">
        <v>447</v>
      </c>
      <c r="K9" s="63">
        <v>95</v>
      </c>
      <c r="L9" s="63"/>
    </row>
    <row r="10" spans="1:22" x14ac:dyDescent="0.2">
      <c r="A10" s="11" t="s">
        <v>320</v>
      </c>
      <c r="B10" s="587">
        <v>45921</v>
      </c>
      <c r="C10" s="588">
        <v>3345</v>
      </c>
      <c r="D10" s="587">
        <v>45958</v>
      </c>
      <c r="E10" s="587"/>
      <c r="F10" s="589">
        <v>31</v>
      </c>
      <c r="G10" s="587" t="s">
        <v>444</v>
      </c>
      <c r="H10" s="11" t="s">
        <v>443</v>
      </c>
      <c r="I10" s="590">
        <f>IF(COUNTIF(A$2:A10,A10)=1,0,IFERROR(C10-_xlfn.MAXIFS(C$2:C$47,A$2:A$52,A10,B$2:B$47,"&lt;"&amp;B10),0))</f>
        <v>0</v>
      </c>
      <c r="J10" s="587" t="s">
        <v>449</v>
      </c>
      <c r="K10" s="63">
        <v>354</v>
      </c>
      <c r="L10" s="63"/>
    </row>
    <row r="11" spans="1:22" x14ac:dyDescent="0.2">
      <c r="A11" s="11" t="s">
        <v>318</v>
      </c>
      <c r="B11" s="587">
        <v>45921</v>
      </c>
      <c r="C11" s="588">
        <v>951</v>
      </c>
      <c r="D11" s="587">
        <v>45961</v>
      </c>
      <c r="E11" s="587"/>
      <c r="F11" s="589">
        <v>34</v>
      </c>
      <c r="G11" s="587" t="s">
        <v>31</v>
      </c>
      <c r="H11" s="11" t="s">
        <v>443</v>
      </c>
      <c r="I11" s="590">
        <f>IF(COUNTIF(A$2:A11,A11)=1,0,IFERROR(C11-_xlfn.MAXIFS(C$2:C$47,A$2:A$52,A11,B$2:B$47,"&lt;"&amp;B11),0))</f>
        <v>0</v>
      </c>
      <c r="J11" s="587" t="s">
        <v>452</v>
      </c>
      <c r="K11" s="63">
        <v>367</v>
      </c>
      <c r="L11" s="63"/>
    </row>
    <row r="12" spans="1:22" x14ac:dyDescent="0.2">
      <c r="A12" s="11" t="s">
        <v>210</v>
      </c>
      <c r="B12" s="587">
        <v>45922</v>
      </c>
      <c r="C12" s="588">
        <v>101393</v>
      </c>
      <c r="D12" s="587">
        <v>45934</v>
      </c>
      <c r="E12" s="587"/>
      <c r="F12" s="589">
        <v>7</v>
      </c>
      <c r="G12" s="587" t="s">
        <v>444</v>
      </c>
      <c r="H12" s="11" t="s">
        <v>443</v>
      </c>
      <c r="I12" s="590">
        <f>IF(COUNTIF(A$2:A12,A12)=1,0,IFERROR(C12-_xlfn.MAXIFS(C$2:C$47,A$2:A$52,A12,B$2:B$47,"&lt;"&amp;B12),0))</f>
        <v>0</v>
      </c>
      <c r="J12" s="587" t="s">
        <v>448</v>
      </c>
      <c r="K12" s="63">
        <v>81</v>
      </c>
      <c r="L12" s="63"/>
    </row>
    <row r="13" spans="1:22" x14ac:dyDescent="0.2">
      <c r="A13" s="11" t="s">
        <v>308</v>
      </c>
      <c r="B13" s="587">
        <v>45922</v>
      </c>
      <c r="C13" s="588">
        <v>1218</v>
      </c>
      <c r="D13" s="587">
        <v>45948</v>
      </c>
      <c r="E13" s="587"/>
      <c r="F13" s="589">
        <v>21</v>
      </c>
      <c r="G13" s="587" t="s">
        <v>31</v>
      </c>
      <c r="H13" s="11" t="s">
        <v>443</v>
      </c>
      <c r="I13" s="590">
        <f>IF(COUNTIF(A$2:A13,A13)=1,0,IFERROR(C13-_xlfn.MAXIFS(C$2:C$47,A$2:A$52,A13,B$2:B$47,"&lt;"&amp;B13),0))</f>
        <v>0</v>
      </c>
      <c r="J13" s="587" t="s">
        <v>450</v>
      </c>
      <c r="K13" s="63">
        <v>262</v>
      </c>
      <c r="L13" s="63"/>
    </row>
    <row r="14" spans="1:22" x14ac:dyDescent="0.2">
      <c r="A14" s="11" t="s">
        <v>318</v>
      </c>
      <c r="B14" s="587">
        <v>45922</v>
      </c>
      <c r="C14" s="588">
        <v>961</v>
      </c>
      <c r="D14" s="587">
        <v>45962</v>
      </c>
      <c r="E14" s="587"/>
      <c r="F14" s="589">
        <v>35</v>
      </c>
      <c r="G14" s="587" t="s">
        <v>31</v>
      </c>
      <c r="H14" s="11" t="s">
        <v>443</v>
      </c>
      <c r="I14" s="590">
        <f>IF(COUNTIF(A$2:A14,A14)=1,0,IFERROR(C14-_xlfn.MAXIFS(C$2:C$47,A$2:A$52,A14,B$2:B$47,"&lt;"&amp;B14),0))</f>
        <v>0</v>
      </c>
      <c r="J14" s="587" t="s">
        <v>451</v>
      </c>
      <c r="K14" s="63">
        <v>368</v>
      </c>
      <c r="L14" s="63"/>
    </row>
    <row r="15" spans="1:22" x14ac:dyDescent="0.2">
      <c r="A15" s="11" t="s">
        <v>352</v>
      </c>
      <c r="B15" s="587">
        <v>45922</v>
      </c>
      <c r="C15" s="588">
        <v>1</v>
      </c>
      <c r="D15" s="587">
        <v>45968</v>
      </c>
      <c r="E15" s="587"/>
      <c r="F15" s="589">
        <v>41</v>
      </c>
      <c r="G15" s="587" t="s">
        <v>31</v>
      </c>
      <c r="H15" s="11" t="s">
        <v>443</v>
      </c>
      <c r="I15" s="590">
        <f>IF(COUNTIF(A$2:A15,A15)=1,0,IFERROR(C15-_xlfn.MAXIFS(C$2:C$47,A$2:A$52,A15,B$2:B$47,"&lt;"&amp;B15),0))+C2</f>
        <v>2270</v>
      </c>
      <c r="J15" s="587" t="s">
        <v>458</v>
      </c>
      <c r="K15" s="63">
        <v>386</v>
      </c>
      <c r="L15" s="63"/>
    </row>
    <row r="16" spans="1:22" x14ac:dyDescent="0.2">
      <c r="A16" s="11" t="s">
        <v>312</v>
      </c>
      <c r="B16" s="587">
        <v>45923</v>
      </c>
      <c r="C16" s="588">
        <v>401</v>
      </c>
      <c r="D16" s="587">
        <v>45953</v>
      </c>
      <c r="E16" s="587"/>
      <c r="F16" s="589">
        <v>26</v>
      </c>
      <c r="G16" s="587" t="s">
        <v>444</v>
      </c>
      <c r="H16" s="11" t="s">
        <v>443</v>
      </c>
      <c r="I16" s="590">
        <f>IF(COUNTIF(A$2:A16,A16)=1,0,IFERROR(C16-_xlfn.MAXIFS(C$2:C$47,A$2:A$52,A16,B$2:B$47,"&lt;"&amp;B16),0))</f>
        <v>0</v>
      </c>
      <c r="J16" s="587" t="s">
        <v>456</v>
      </c>
      <c r="K16" s="63">
        <v>317</v>
      </c>
      <c r="L16" s="63"/>
    </row>
    <row r="17" spans="1:12" x14ac:dyDescent="0.2">
      <c r="A17" s="11" t="s">
        <v>211</v>
      </c>
      <c r="B17" s="587">
        <v>45924</v>
      </c>
      <c r="C17" s="588">
        <v>53519</v>
      </c>
      <c r="D17" s="587">
        <v>45938</v>
      </c>
      <c r="E17" s="587"/>
      <c r="F17" s="589">
        <v>11</v>
      </c>
      <c r="G17" s="587" t="s">
        <v>31</v>
      </c>
      <c r="H17" s="11" t="s">
        <v>443</v>
      </c>
      <c r="I17" s="590">
        <f>IF(COUNTIF(A$2:A17,A17)=1,0,IFERROR(C17-_xlfn.MAXIFS(C$2:C$47,A$2:A$52,A17,B$2:B$47,"&lt;"&amp;B17),0))</f>
        <v>0</v>
      </c>
      <c r="J17" s="587" t="s">
        <v>463</v>
      </c>
      <c r="K17" s="63">
        <v>96</v>
      </c>
      <c r="L17" s="63"/>
    </row>
    <row r="18" spans="1:12" x14ac:dyDescent="0.2">
      <c r="A18" s="11" t="s">
        <v>209</v>
      </c>
      <c r="B18" s="587">
        <v>45925</v>
      </c>
      <c r="C18" s="588">
        <v>116432</v>
      </c>
      <c r="D18" s="587">
        <v>45930</v>
      </c>
      <c r="E18" s="587"/>
      <c r="F18" s="589">
        <v>3</v>
      </c>
      <c r="G18" s="587" t="s">
        <v>31</v>
      </c>
      <c r="H18" s="11" t="s">
        <v>443</v>
      </c>
      <c r="I18" s="590">
        <f>IF(COUNTIF(A$2:A18,A18)=1,0,IFERROR(C18-_xlfn.MAXIFS(C$2:C$47,A$2:A$52,A18,B$2:B$47,"&lt;"&amp;B18),0))</f>
        <v>0</v>
      </c>
      <c r="J18" s="587" t="s">
        <v>462</v>
      </c>
      <c r="K18" s="63">
        <v>57</v>
      </c>
      <c r="L18" s="63"/>
    </row>
    <row r="19" spans="1:12" x14ac:dyDescent="0.2">
      <c r="A19" s="11" t="s">
        <v>208</v>
      </c>
      <c r="B19" s="587">
        <v>45928</v>
      </c>
      <c r="C19" s="588">
        <v>115400</v>
      </c>
      <c r="D19" s="587">
        <v>45928</v>
      </c>
      <c r="E19" s="587"/>
      <c r="F19" s="589">
        <v>1</v>
      </c>
      <c r="G19" s="587" t="s">
        <v>444</v>
      </c>
      <c r="H19" s="11" t="s">
        <v>443</v>
      </c>
      <c r="I19" s="590">
        <f>IF(COUNTIF(A$2:A19,A19)=1,0,IFERROR(C19-_xlfn.MAXIFS(C$2:C$47,A$2:A$52,A19,B$2:B$47,"&lt;"&amp;B19),0))</f>
        <v>0</v>
      </c>
      <c r="J19" s="587" t="s">
        <v>462</v>
      </c>
      <c r="K19" s="63">
        <v>36</v>
      </c>
      <c r="L19" s="63"/>
    </row>
    <row r="20" spans="1:12" x14ac:dyDescent="0.2">
      <c r="A20" s="11" t="s">
        <v>352</v>
      </c>
      <c r="B20" s="587">
        <v>45928</v>
      </c>
      <c r="C20" s="588">
        <v>30</v>
      </c>
      <c r="D20" s="587">
        <v>45969</v>
      </c>
      <c r="E20" s="587"/>
      <c r="F20" s="589">
        <v>42</v>
      </c>
      <c r="G20" s="587" t="s">
        <v>31</v>
      </c>
      <c r="H20" s="11" t="s">
        <v>443</v>
      </c>
      <c r="I20" s="590">
        <f>IF(COUNTIF(A$2:A20,A20)=1,0,IFERROR(C20-_xlfn.MAXIFS(C$2:C$47,A$2:A$52,A20,B$2:B$47,"&lt;"&amp;B20),0))+C2</f>
        <v>2270</v>
      </c>
      <c r="J20" s="587" t="s">
        <v>468</v>
      </c>
      <c r="K20" s="63">
        <v>387</v>
      </c>
      <c r="L20" s="63"/>
    </row>
    <row r="21" spans="1:12" x14ac:dyDescent="0.2">
      <c r="A21" s="11" t="s">
        <v>308</v>
      </c>
      <c r="B21" s="587">
        <v>45929</v>
      </c>
      <c r="C21" s="588">
        <v>1250</v>
      </c>
      <c r="D21" s="587">
        <v>45949</v>
      </c>
      <c r="E21" s="587"/>
      <c r="F21" s="589">
        <v>22</v>
      </c>
      <c r="G21" s="587" t="s">
        <v>31</v>
      </c>
      <c r="H21" s="11" t="s">
        <v>443</v>
      </c>
      <c r="I21" s="590">
        <f>IF(COUNTIF(A$2:A21,A21)=1,0,IFERROR(C21-_xlfn.MAXIFS(C$2:C$47,A$2:A$52,A21,B$2:B$47,"&lt;"&amp;B21),0))</f>
        <v>0</v>
      </c>
      <c r="J21" s="587" t="s">
        <v>450</v>
      </c>
      <c r="K21" s="63">
        <v>264</v>
      </c>
      <c r="L21" s="63"/>
    </row>
    <row r="22" spans="1:12" x14ac:dyDescent="0.2">
      <c r="A22" s="11" t="s">
        <v>312</v>
      </c>
      <c r="B22" s="587">
        <v>45929</v>
      </c>
      <c r="C22" s="588">
        <v>452</v>
      </c>
      <c r="D22" s="587">
        <v>45954</v>
      </c>
      <c r="E22" s="587"/>
      <c r="F22" s="589">
        <v>27</v>
      </c>
      <c r="G22" s="587" t="s">
        <v>31</v>
      </c>
      <c r="H22" s="11" t="s">
        <v>443</v>
      </c>
      <c r="I22" s="590">
        <f>IF(COUNTIF(A$2:A22,A22)=1,0,IFERROR(C22-_xlfn.MAXIFS(C$2:C$47,A$2:A$52,A22,B$2:B$47,"&lt;"&amp;B22),0))</f>
        <v>0</v>
      </c>
      <c r="J22" s="587" t="s">
        <v>467</v>
      </c>
      <c r="K22" s="63">
        <v>319</v>
      </c>
      <c r="L22" s="63"/>
    </row>
    <row r="23" spans="1:12" x14ac:dyDescent="0.2">
      <c r="A23" s="11" t="s">
        <v>318</v>
      </c>
      <c r="B23" s="587">
        <v>45929</v>
      </c>
      <c r="C23" s="588">
        <v>982</v>
      </c>
      <c r="D23" s="587">
        <v>45963</v>
      </c>
      <c r="E23" s="587"/>
      <c r="F23" s="589">
        <v>36</v>
      </c>
      <c r="G23" s="587" t="s">
        <v>31</v>
      </c>
      <c r="H23" s="11" t="s">
        <v>443</v>
      </c>
      <c r="I23" s="590">
        <f>IF(COUNTIF(A$2:A23,A23)=1,0,IFERROR(C23-_xlfn.MAXIFS(C$2:C$47,A$2:A$52,A23,B$2:B$47,"&lt;"&amp;B23),0))</f>
        <v>0</v>
      </c>
      <c r="J23" s="587" t="s">
        <v>466</v>
      </c>
      <c r="K23" s="63">
        <v>369</v>
      </c>
      <c r="L23" s="63"/>
    </row>
    <row r="24" spans="1:12" x14ac:dyDescent="0.2">
      <c r="A24" t="s">
        <v>318</v>
      </c>
      <c r="B24" s="549">
        <v>45931</v>
      </c>
      <c r="C24" s="550">
        <v>1012</v>
      </c>
      <c r="D24" s="549">
        <v>45964</v>
      </c>
      <c r="E24" s="549"/>
      <c r="F24" s="543">
        <v>37</v>
      </c>
      <c r="G24" s="549" t="s">
        <v>444</v>
      </c>
      <c r="H24" t="s">
        <v>443</v>
      </c>
      <c r="I24" s="590">
        <f>IF(COUNTIF(A$2:A24,A24)=1,0,IFERROR(C24-_xlfn.MAXIFS(C$2:C$47,A$2:A$52,A24,B$2:B$47,"&lt;"&amp;B24),0))</f>
        <v>0</v>
      </c>
      <c r="J24" s="549" t="s">
        <v>469</v>
      </c>
      <c r="K24" s="63">
        <v>370</v>
      </c>
      <c r="L24" s="63"/>
    </row>
    <row r="25" spans="1:12" x14ac:dyDescent="0.2">
      <c r="A25" t="s">
        <v>312</v>
      </c>
      <c r="B25" s="549">
        <v>45932</v>
      </c>
      <c r="C25" s="550">
        <v>463</v>
      </c>
      <c r="D25" s="549">
        <v>45955</v>
      </c>
      <c r="E25" s="549"/>
      <c r="F25" s="543">
        <v>28</v>
      </c>
      <c r="G25" s="549" t="s">
        <v>444</v>
      </c>
      <c r="H25" t="s">
        <v>443</v>
      </c>
      <c r="I25" s="590">
        <f>IF(COUNTIF(A$2:A25,A25)=1,0,IFERROR(C25-_xlfn.MAXIFS(C$2:C$47,A$2:A$52,A25,B$2:B$47,"&lt;"&amp;B25),0))</f>
        <v>0</v>
      </c>
      <c r="J25" s="549" t="s">
        <v>470</v>
      </c>
      <c r="K25" s="63">
        <v>320</v>
      </c>
      <c r="L25" s="63"/>
    </row>
    <row r="26" spans="1:12" x14ac:dyDescent="0.2">
      <c r="A26" t="s">
        <v>352</v>
      </c>
      <c r="B26" s="549">
        <v>45932</v>
      </c>
      <c r="C26" s="550">
        <v>64</v>
      </c>
      <c r="D26" s="549">
        <v>45970</v>
      </c>
      <c r="E26" s="549"/>
      <c r="F26" s="543">
        <v>43</v>
      </c>
      <c r="G26" s="549" t="s">
        <v>444</v>
      </c>
      <c r="H26" t="s">
        <v>443</v>
      </c>
      <c r="I26" s="590">
        <f>IF(COUNTIF(A$2:A26,A26)=1,0,IFERROR(C26-_xlfn.MAXIFS(C$2:C$47,A$2:A$52,A26,B$2:B$47,"&lt;"&amp;B26),0))+C2</f>
        <v>2270</v>
      </c>
      <c r="J26" s="549" t="s">
        <v>482</v>
      </c>
      <c r="K26" s="63">
        <v>388</v>
      </c>
      <c r="L26" s="63"/>
    </row>
    <row r="27" spans="1:12" x14ac:dyDescent="0.2">
      <c r="A27" t="s">
        <v>473</v>
      </c>
      <c r="B27" s="549">
        <v>45937</v>
      </c>
      <c r="C27" s="550">
        <v>19130</v>
      </c>
      <c r="D27" s="549">
        <v>45942</v>
      </c>
      <c r="E27" s="549"/>
      <c r="F27" s="543">
        <v>15</v>
      </c>
      <c r="G27" s="549" t="s">
        <v>444</v>
      </c>
      <c r="H27" t="s">
        <v>443</v>
      </c>
      <c r="I27" s="590">
        <f>IF(COUNTIF(A$2:A27,A27)=1,0,IFERROR(C27-_xlfn.MAXIFS(C$2:C$47,A$2:A$52,A27,B$2:B$47,"&lt;"&amp;B27),0))</f>
        <v>0</v>
      </c>
      <c r="J27" s="549" t="s">
        <v>476</v>
      </c>
      <c r="K27" s="63">
        <v>191</v>
      </c>
      <c r="L27" s="63"/>
    </row>
    <row r="28" spans="1:12" x14ac:dyDescent="0.2">
      <c r="A28" t="s">
        <v>210</v>
      </c>
      <c r="B28" s="549">
        <v>45940</v>
      </c>
      <c r="C28" s="550">
        <v>104897</v>
      </c>
      <c r="D28" s="549">
        <v>45935</v>
      </c>
      <c r="E28" s="549"/>
      <c r="F28" s="543">
        <v>8</v>
      </c>
      <c r="G28" s="549" t="s">
        <v>444</v>
      </c>
      <c r="H28" t="s">
        <v>443</v>
      </c>
      <c r="I28" s="590">
        <f>IF(COUNTIF(A$2:A28,A28)=1,0,IFERROR(C28-_xlfn.MAXIFS(C$2:C$47,A$2:A$52,A28,B$2:B$47,"&lt;"&amp;B28),0))</f>
        <v>0</v>
      </c>
      <c r="J28" s="549" t="s">
        <v>484</v>
      </c>
      <c r="K28" s="63">
        <v>83</v>
      </c>
      <c r="L28" s="63"/>
    </row>
    <row r="29" spans="1:12" x14ac:dyDescent="0.2">
      <c r="A29" t="s">
        <v>311</v>
      </c>
      <c r="B29" s="549">
        <v>45947</v>
      </c>
      <c r="C29" s="550">
        <v>2442</v>
      </c>
      <c r="D29" s="549">
        <v>45952</v>
      </c>
      <c r="E29" s="549"/>
      <c r="F29" s="543">
        <v>25</v>
      </c>
      <c r="G29" s="549" t="s">
        <v>444</v>
      </c>
      <c r="H29" t="s">
        <v>443</v>
      </c>
      <c r="I29" s="590">
        <f>IF(COUNTIF(A$2:A29,A29)=1,0,IFERROR(C29-_xlfn.MAXIFS(C$2:C$47,A$2:A$52,A29,B$2:B$47,"&lt;"&amp;B29),0))</f>
        <v>0</v>
      </c>
      <c r="J29" s="549" t="s">
        <v>485</v>
      </c>
      <c r="K29" s="63">
        <v>297</v>
      </c>
      <c r="L29" s="577"/>
    </row>
    <row r="30" spans="1:12" x14ac:dyDescent="0.2">
      <c r="A30" t="s">
        <v>209</v>
      </c>
      <c r="B30" s="549">
        <v>45948</v>
      </c>
      <c r="C30" s="550">
        <v>120390</v>
      </c>
      <c r="D30" s="549">
        <v>45931</v>
      </c>
      <c r="E30" s="549"/>
      <c r="F30" s="543">
        <v>4</v>
      </c>
      <c r="G30" s="549" t="s">
        <v>444</v>
      </c>
      <c r="H30" t="s">
        <v>443</v>
      </c>
      <c r="I30" s="590">
        <f>IF(COUNTIF(A$2:A30,A30)=1,0,IFERROR(C30-_xlfn.MAXIFS(C$2:C$47,A$2:A$52,A30,B$2:B$47,"&lt;"&amp;B30),0))</f>
        <v>0</v>
      </c>
      <c r="J30" s="549" t="s">
        <v>488</v>
      </c>
      <c r="K30" s="63">
        <v>59</v>
      </c>
      <c r="L30" s="577"/>
    </row>
    <row r="31" spans="1:12" x14ac:dyDescent="0.2">
      <c r="A31" t="s">
        <v>209</v>
      </c>
      <c r="B31" s="549">
        <v>45948</v>
      </c>
      <c r="C31" s="550">
        <v>120390</v>
      </c>
      <c r="D31" s="549">
        <v>45933</v>
      </c>
      <c r="E31" s="549"/>
      <c r="F31" s="543">
        <v>6</v>
      </c>
      <c r="G31" s="549" t="s">
        <v>31</v>
      </c>
      <c r="H31" t="s">
        <v>443</v>
      </c>
      <c r="I31" s="590">
        <f>IF(COUNTIF(A$2:A31,A31)=1,0,IFERROR(C31-_xlfn.MAXIFS(C$2:C$47,A$2:A$52,A31,B$2:B$47,"&lt;"&amp;B31),0))</f>
        <v>0</v>
      </c>
      <c r="J31" s="549" t="s">
        <v>488</v>
      </c>
      <c r="K31" s="63">
        <v>59</v>
      </c>
      <c r="L31" s="577"/>
    </row>
    <row r="32" spans="1:12" x14ac:dyDescent="0.2">
      <c r="A32" t="s">
        <v>318</v>
      </c>
      <c r="B32" s="549">
        <v>45950</v>
      </c>
      <c r="C32" s="550">
        <v>1130</v>
      </c>
      <c r="D32" s="549">
        <v>45965</v>
      </c>
      <c r="E32" s="549"/>
      <c r="F32" s="543">
        <v>38</v>
      </c>
      <c r="G32" s="549" t="s">
        <v>31</v>
      </c>
      <c r="H32" t="s">
        <v>443</v>
      </c>
      <c r="I32" s="590">
        <f>IF(COUNTIF(A$2:A32,A32)=1,0,IFERROR(C32-_xlfn.MAXIFS(C$2:C$47,A$2:A$52,A32,B$2:B$47,"&lt;"&amp;B32),0))</f>
        <v>0</v>
      </c>
      <c r="J32" s="549" t="s">
        <v>480</v>
      </c>
      <c r="K32" s="63">
        <v>372</v>
      </c>
      <c r="L32" s="577"/>
    </row>
    <row r="33" spans="1:12" x14ac:dyDescent="0.2">
      <c r="A33" t="s">
        <v>318</v>
      </c>
      <c r="B33" s="549">
        <v>45950</v>
      </c>
      <c r="C33" s="550">
        <v>1130</v>
      </c>
      <c r="D33" s="549">
        <v>45966</v>
      </c>
      <c r="E33" s="549"/>
      <c r="F33" s="543">
        <v>39</v>
      </c>
      <c r="G33" s="549" t="s">
        <v>31</v>
      </c>
      <c r="H33" t="s">
        <v>443</v>
      </c>
      <c r="I33" s="590">
        <f>IF(COUNTIF(A$2:A33,A33)=1,0,IFERROR(C33-_xlfn.MAXIFS(C$2:C$47,A$2:A$52,A33,B$2:B$47,"&lt;"&amp;B33),0))</f>
        <v>0</v>
      </c>
      <c r="J33" s="549" t="s">
        <v>480</v>
      </c>
      <c r="K33" s="63">
        <v>372</v>
      </c>
      <c r="L33" s="577"/>
    </row>
    <row r="34" spans="1:12" x14ac:dyDescent="0.2">
      <c r="A34" t="s">
        <v>352</v>
      </c>
      <c r="B34" s="549">
        <v>45951</v>
      </c>
      <c r="C34" s="550">
        <v>223</v>
      </c>
      <c r="D34" s="549">
        <v>45971</v>
      </c>
      <c r="E34" s="549"/>
      <c r="F34" s="543">
        <v>44</v>
      </c>
      <c r="G34" s="549" t="s">
        <v>31</v>
      </c>
      <c r="H34" t="s">
        <v>443</v>
      </c>
      <c r="I34" s="590">
        <f>IF(COUNTIF(A$2:A34,A34)=1,0,IFERROR(C34-_xlfn.MAXIFS(C$2:C$60,A$2:A$60,A34,B$2:B$60,"&lt;"&amp;B34),0))+C2</f>
        <v>223</v>
      </c>
      <c r="J34" s="549" t="s">
        <v>486</v>
      </c>
      <c r="K34" s="63">
        <v>390</v>
      </c>
    </row>
    <row r="35" spans="1:12" x14ac:dyDescent="0.2">
      <c r="A35" t="s">
        <v>312</v>
      </c>
      <c r="B35" s="549">
        <v>45952</v>
      </c>
      <c r="C35" s="550">
        <v>506</v>
      </c>
      <c r="D35" s="549">
        <v>45956</v>
      </c>
      <c r="E35" s="549"/>
      <c r="F35" s="543">
        <v>29</v>
      </c>
      <c r="G35" s="549" t="s">
        <v>31</v>
      </c>
      <c r="H35" t="s">
        <v>443</v>
      </c>
      <c r="I35" s="590">
        <f>IF(COUNTIF(A$2:A35,A35)=1,0,IFERROR(C35-_xlfn.MAXIFS(C$2:C$47,A$2:A$52,A35,B$2:B$47,"&lt;"&amp;B35),0))</f>
        <v>0</v>
      </c>
      <c r="J35" s="549" t="s">
        <v>481</v>
      </c>
      <c r="K35" s="63">
        <v>321</v>
      </c>
    </row>
    <row r="36" spans="1:12" x14ac:dyDescent="0.2">
      <c r="A36" t="s">
        <v>209</v>
      </c>
      <c r="B36" s="549">
        <v>45954</v>
      </c>
      <c r="C36" s="550">
        <v>121490</v>
      </c>
      <c r="D36" s="549">
        <v>45932</v>
      </c>
      <c r="E36" s="549"/>
      <c r="F36" s="543">
        <v>5</v>
      </c>
      <c r="G36" s="549" t="s">
        <v>31</v>
      </c>
      <c r="H36" t="s">
        <v>443</v>
      </c>
      <c r="I36" s="590">
        <f>IF(COUNTIF(A$2:A36,A36)=1,0,IFERROR(C36-_xlfn.MAXIFS(C$2:C$47,A$2:A$52,A36,B$2:B$47,"&lt;"&amp;B36),0))</f>
        <v>0</v>
      </c>
      <c r="J36" s="549" t="s">
        <v>487</v>
      </c>
      <c r="K36" s="63">
        <v>60</v>
      </c>
    </row>
    <row r="37" spans="1:12" x14ac:dyDescent="0.2">
      <c r="A37" t="s">
        <v>211</v>
      </c>
      <c r="B37" s="549">
        <v>45957</v>
      </c>
      <c r="C37" s="550">
        <v>57606</v>
      </c>
      <c r="D37" s="549">
        <v>45939</v>
      </c>
      <c r="E37" s="549"/>
      <c r="F37" s="543">
        <v>12</v>
      </c>
      <c r="G37" s="549" t="s">
        <v>444</v>
      </c>
      <c r="H37" t="s">
        <v>443</v>
      </c>
      <c r="I37" s="590">
        <f>IF(COUNTIF(A$2:A37,A37)=1,0,IFERROR(C37-_xlfn.MAXIFS(C$2:C$47,A$2:A$52,A37,B$2:B$47,"&lt;"&amp;B37),0))</f>
        <v>0</v>
      </c>
      <c r="J37" s="549" t="s">
        <v>501</v>
      </c>
      <c r="K37" s="63">
        <v>98</v>
      </c>
    </row>
    <row r="38" spans="1:12" x14ac:dyDescent="0.2">
      <c r="A38" t="s">
        <v>350</v>
      </c>
      <c r="B38" s="549">
        <v>45963</v>
      </c>
      <c r="C38" s="550">
        <v>49213</v>
      </c>
      <c r="D38" s="549">
        <v>45963</v>
      </c>
      <c r="E38" s="549"/>
      <c r="F38" s="543">
        <v>1</v>
      </c>
      <c r="G38" s="549" t="s">
        <v>444</v>
      </c>
      <c r="H38" t="s">
        <v>443</v>
      </c>
      <c r="I38" s="551">
        <f>IF(COUNTIF(A$2:A38,A38)=1,0,IFERROR(C38-_xlfn.MAXIFS(C$2:C$47,A$2:A$52,A38,B$2:B$47,"&lt;"&amp;B38),0))</f>
        <v>0</v>
      </c>
      <c r="J38" s="549" t="s">
        <v>494</v>
      </c>
      <c r="K38" s="63">
        <v>162</v>
      </c>
    </row>
    <row r="39" spans="1:12" x14ac:dyDescent="0.2">
      <c r="A39" t="s">
        <v>350</v>
      </c>
      <c r="B39" s="549">
        <v>45970</v>
      </c>
      <c r="C39" s="550">
        <v>49817</v>
      </c>
      <c r="D39" s="549">
        <v>45970</v>
      </c>
      <c r="E39" s="549"/>
      <c r="F39" s="543">
        <v>0.75</v>
      </c>
      <c r="G39" s="549" t="s">
        <v>31</v>
      </c>
      <c r="H39" t="s">
        <v>443</v>
      </c>
      <c r="I39" s="551">
        <f>IF(COUNTIF(A$2:A39,A39)=1,0,IFERROR(C39-_xlfn.MAXIFS(C$2:C$47,A$2:A$52,A39,B$2:B$47,"&lt;"&amp;B39),0))</f>
        <v>0</v>
      </c>
      <c r="J39" s="549" t="s">
        <v>496</v>
      </c>
      <c r="K39" s="63">
        <v>163</v>
      </c>
    </row>
    <row r="40" spans="1:12" x14ac:dyDescent="0.2">
      <c r="A40" t="s">
        <v>473</v>
      </c>
      <c r="B40" s="549">
        <v>45965</v>
      </c>
      <c r="C40" s="550">
        <v>26474</v>
      </c>
      <c r="D40" s="549">
        <v>45965</v>
      </c>
      <c r="E40" s="549"/>
      <c r="F40" s="543">
        <v>2</v>
      </c>
      <c r="G40" s="549" t="s">
        <v>444</v>
      </c>
      <c r="H40" t="s">
        <v>443</v>
      </c>
      <c r="I40" s="551">
        <f>IF(COUNTIF(A$2:A40,A40)=1,0,IFERROR(C40-_xlfn.MAXIFS(C$2:C$47,A$2:A$52,A40,B$2:B$47,"&lt;"&amp;B40),0))</f>
        <v>0</v>
      </c>
      <c r="J40" s="549" t="s">
        <v>489</v>
      </c>
      <c r="K40" s="63">
        <v>196</v>
      </c>
    </row>
    <row r="41" spans="1:12" x14ac:dyDescent="0.2">
      <c r="A41" t="s">
        <v>308</v>
      </c>
      <c r="B41" s="549">
        <v>45963</v>
      </c>
      <c r="C41" s="550">
        <v>1588</v>
      </c>
      <c r="D41" s="549">
        <v>45963</v>
      </c>
      <c r="E41" s="549"/>
      <c r="F41" s="543">
        <v>0.5</v>
      </c>
      <c r="G41" s="549" t="s">
        <v>444</v>
      </c>
      <c r="H41" t="s">
        <v>443</v>
      </c>
      <c r="I41" s="551">
        <f>IF(COUNTIF(A$2:A41,A41)=1,0,IFERROR(C41-_xlfn.MAXIFS(C$2:C$47,A$2:A$52,A41,B$2:B$47,"&lt;"&amp;B41),0))</f>
        <v>0</v>
      </c>
      <c r="J41" s="549" t="s">
        <v>495</v>
      </c>
      <c r="K41" s="63">
        <v>268</v>
      </c>
    </row>
    <row r="42" spans="1:12" x14ac:dyDescent="0.2">
      <c r="A42" t="s">
        <v>308</v>
      </c>
      <c r="B42" s="549">
        <v>45973</v>
      </c>
      <c r="C42" s="550">
        <v>1667</v>
      </c>
      <c r="D42" s="549">
        <v>45973</v>
      </c>
      <c r="E42" s="549"/>
      <c r="F42" s="543">
        <v>1</v>
      </c>
      <c r="G42" s="549" t="s">
        <v>31</v>
      </c>
      <c r="H42" t="s">
        <v>443</v>
      </c>
      <c r="I42" s="551">
        <f>IF(COUNTIF(A$2:A42,A42)=1,0,IFERROR(C42-_xlfn.MAXIFS(C$2:C$47,A$2:A$52,A42,B$2:B$47,"&lt;"&amp;B42),0))</f>
        <v>0</v>
      </c>
      <c r="J42" s="549" t="s">
        <v>498</v>
      </c>
      <c r="K42" s="63">
        <v>269</v>
      </c>
    </row>
    <row r="43" spans="1:12" x14ac:dyDescent="0.2">
      <c r="A43" t="s">
        <v>312</v>
      </c>
      <c r="B43" s="549">
        <v>45971</v>
      </c>
      <c r="C43" s="550">
        <v>532</v>
      </c>
      <c r="D43" s="549">
        <v>45971</v>
      </c>
      <c r="E43" s="549"/>
      <c r="F43" s="543">
        <v>0.75</v>
      </c>
      <c r="G43" s="549" t="s">
        <v>444</v>
      </c>
      <c r="H43" t="s">
        <v>443</v>
      </c>
      <c r="I43" s="551">
        <f>IF(COUNTIF(A$2:A43,A43)=1,0,IFERROR(C43-_xlfn.MAXIFS(C$2:C$47,A$2:A$52,A43,B$2:B$47,"&lt;"&amp;B43),0))</f>
        <v>0</v>
      </c>
      <c r="J43" s="549" t="s">
        <v>497</v>
      </c>
      <c r="K43" s="63">
        <v>324</v>
      </c>
    </row>
    <row r="44" spans="1:12" x14ac:dyDescent="0.2">
      <c r="A44" t="s">
        <v>320</v>
      </c>
      <c r="B44" s="549">
        <v>45962</v>
      </c>
      <c r="C44" s="550">
        <v>3630</v>
      </c>
      <c r="D44" s="549">
        <v>45962</v>
      </c>
      <c r="E44" s="549"/>
      <c r="F44" s="543">
        <v>1</v>
      </c>
      <c r="G44" s="549" t="s">
        <v>444</v>
      </c>
      <c r="H44" t="s">
        <v>443</v>
      </c>
      <c r="I44" s="551">
        <f>IF(COUNTIF(A$2:A44,A44)=1,0,IFERROR(C44-_xlfn.MAXIFS(C$2:C$47,A$2:A$52,A44,B$2:B$47,"&lt;"&amp;B44),0))</f>
        <v>0</v>
      </c>
      <c r="J44" s="549" t="s">
        <v>493</v>
      </c>
      <c r="K44" s="63">
        <v>358</v>
      </c>
    </row>
    <row r="45" spans="1:12" x14ac:dyDescent="0.2">
      <c r="A45" t="s">
        <v>320</v>
      </c>
      <c r="B45" s="549">
        <v>45987</v>
      </c>
      <c r="C45" s="550">
        <v>3819</v>
      </c>
      <c r="D45" s="549">
        <v>45987</v>
      </c>
      <c r="E45" s="549"/>
      <c r="F45" s="543">
        <v>1</v>
      </c>
      <c r="G45" s="549" t="s">
        <v>31</v>
      </c>
      <c r="H45" t="s">
        <v>443</v>
      </c>
      <c r="I45" s="551">
        <f>IF(COUNTIF(A$2:A45,A45)=1,0,IFERROR(C45-_xlfn.MAXIFS(C$2:C$47,A$2:A$52,A45,B$2:B$47,"&lt;"&amp;B45),0))</f>
        <v>0</v>
      </c>
      <c r="J45" s="549" t="s">
        <v>506</v>
      </c>
      <c r="K45" s="63">
        <v>360</v>
      </c>
    </row>
    <row r="46" spans="1:12" x14ac:dyDescent="0.2">
      <c r="A46" t="s">
        <v>318</v>
      </c>
      <c r="B46" s="549">
        <v>45973</v>
      </c>
      <c r="C46" s="550">
        <v>1208</v>
      </c>
      <c r="D46" s="549">
        <v>45973</v>
      </c>
      <c r="E46" s="549"/>
      <c r="F46" s="543">
        <v>0.5</v>
      </c>
      <c r="G46" s="549" t="s">
        <v>444</v>
      </c>
      <c r="H46" t="s">
        <v>443</v>
      </c>
      <c r="I46" s="551">
        <f>IF(COUNTIF(A$2:A46,A46)=1,0,IFERROR(C46-_xlfn.MAXIFS(C$2:C$47,A$2:A$52,A46,B$2:B$47,"&lt;"&amp;B46),0))</f>
        <v>0</v>
      </c>
      <c r="J46" s="549" t="s">
        <v>499</v>
      </c>
      <c r="K46" s="63">
        <v>377</v>
      </c>
    </row>
    <row r="47" spans="1:12" x14ac:dyDescent="0.2">
      <c r="A47" t="s">
        <v>318</v>
      </c>
      <c r="B47" s="549">
        <v>45986</v>
      </c>
      <c r="C47" s="550">
        <v>1263</v>
      </c>
      <c r="D47" s="549">
        <v>45986</v>
      </c>
      <c r="E47" s="549"/>
      <c r="F47" s="543">
        <v>1</v>
      </c>
      <c r="G47" s="549" t="s">
        <v>31</v>
      </c>
      <c r="H47" t="s">
        <v>443</v>
      </c>
      <c r="I47" s="551">
        <f>IF(COUNTIF(A$2:A47,A47)=1,0,IFERROR(C47-_xlfn.MAXIFS(C$2:C$47,A$2:A$52,A47,B$2:B$47,"&lt;"&amp;B47),0))</f>
        <v>0</v>
      </c>
      <c r="J47" s="549" t="s">
        <v>505</v>
      </c>
      <c r="K47" s="593">
        <v>378</v>
      </c>
    </row>
    <row r="48" spans="1:12" ht="16" x14ac:dyDescent="0.2">
      <c r="A48" s="600" t="s">
        <v>204</v>
      </c>
      <c r="B48" s="602">
        <v>46008</v>
      </c>
      <c r="C48" s="622">
        <v>43982</v>
      </c>
      <c r="D48" s="602">
        <v>46008</v>
      </c>
      <c r="E48" s="601"/>
      <c r="F48" s="603">
        <v>2</v>
      </c>
      <c r="G48" s="603" t="s">
        <v>444</v>
      </c>
      <c r="H48" s="603" t="s">
        <v>443</v>
      </c>
      <c r="I48" s="590">
        <f>IF(COUNTIF(A$2:A48,A48)=1,0,IFERROR(C48-_xlfn.MAXIFS(C$2:C$57,A$2:A$57,A48,B$2:B$57,"&lt;"&amp;B48),0))</f>
        <v>0</v>
      </c>
      <c r="J48" s="601" t="s">
        <v>518</v>
      </c>
      <c r="K48" s="601"/>
    </row>
    <row r="49" spans="1:11" ht="16" x14ac:dyDescent="0.2">
      <c r="A49" s="600" t="s">
        <v>204</v>
      </c>
      <c r="B49" s="602">
        <v>46008</v>
      </c>
      <c r="C49" s="622">
        <v>43983</v>
      </c>
      <c r="D49" s="602">
        <v>46008</v>
      </c>
      <c r="E49" s="601"/>
      <c r="F49" s="603">
        <v>3</v>
      </c>
      <c r="G49" s="603" t="s">
        <v>31</v>
      </c>
      <c r="H49" s="603" t="s">
        <v>443</v>
      </c>
      <c r="I49" s="590">
        <f>IF(COUNTIF(A$2:A49,A49)=1,0,IFERROR(C49-_xlfn.MAXIFS(C$2:C$57,A$2:A$57,A49,B$2:B$57,"&lt;"&amp;B49),0))</f>
        <v>43983</v>
      </c>
      <c r="J49" s="601" t="s">
        <v>519</v>
      </c>
      <c r="K49" s="601"/>
    </row>
    <row r="50" spans="1:11" ht="16" x14ac:dyDescent="0.2">
      <c r="A50" s="600" t="s">
        <v>204</v>
      </c>
      <c r="B50" s="602">
        <v>46009</v>
      </c>
      <c r="C50" s="622">
        <v>43984</v>
      </c>
      <c r="D50" s="602">
        <v>46009</v>
      </c>
      <c r="E50" s="601"/>
      <c r="F50" s="603">
        <v>2</v>
      </c>
      <c r="G50" s="603" t="s">
        <v>31</v>
      </c>
      <c r="H50" s="603" t="s">
        <v>443</v>
      </c>
      <c r="I50" s="590">
        <f>IF(COUNTIF(A$2:A50,A50)=1,0,IFERROR(C50-_xlfn.MAXIFS(C$2:C$57,A$2:A$57,A50,B$2:B$57,"&lt;"&amp;B50),0))</f>
        <v>1</v>
      </c>
      <c r="J50" s="601" t="s">
        <v>520</v>
      </c>
      <c r="K50" s="601"/>
    </row>
    <row r="51" spans="1:11" ht="16" x14ac:dyDescent="0.2">
      <c r="A51" s="604" t="s">
        <v>208</v>
      </c>
      <c r="B51" s="606">
        <v>46000</v>
      </c>
      <c r="C51" s="623">
        <v>127361</v>
      </c>
      <c r="D51" s="606">
        <v>46000</v>
      </c>
      <c r="E51" s="605"/>
      <c r="F51" s="607">
        <v>3</v>
      </c>
      <c r="G51" s="607" t="s">
        <v>444</v>
      </c>
      <c r="H51" s="603" t="s">
        <v>443</v>
      </c>
      <c r="I51" s="590">
        <f>IF(COUNTIF(A$2:A51,A51)=1,0,IFERROR(C51-_xlfn.MAXIFS(C$2:C$57,A$2:A$57,A51,B$2:B$57,"&lt;"&amp;B51),0))</f>
        <v>11961</v>
      </c>
      <c r="J51" s="605" t="s">
        <v>514</v>
      </c>
      <c r="K51" s="605"/>
    </row>
    <row r="52" spans="1:11" ht="16" x14ac:dyDescent="0.2">
      <c r="A52" s="608" t="s">
        <v>210</v>
      </c>
      <c r="B52" s="610">
        <v>46001</v>
      </c>
      <c r="C52" s="624">
        <v>115206</v>
      </c>
      <c r="D52" s="610">
        <v>46001</v>
      </c>
      <c r="E52" s="609"/>
      <c r="F52" s="611">
        <v>5</v>
      </c>
      <c r="G52" s="611" t="s">
        <v>444</v>
      </c>
      <c r="H52" s="603" t="s">
        <v>443</v>
      </c>
      <c r="I52" s="590">
        <f>IF(COUNTIF(A$2:A52,A52)=1,0,IFERROR(C52-_xlfn.MAXIFS(C$2:C$57,A$2:A$57,A52,B$2:B$57,"&lt;"&amp;B52),0))</f>
        <v>10309</v>
      </c>
      <c r="J52" s="609" t="s">
        <v>516</v>
      </c>
      <c r="K52" s="609"/>
    </row>
    <row r="53" spans="1:11" ht="16" x14ac:dyDescent="0.2">
      <c r="A53" s="612" t="s">
        <v>286</v>
      </c>
      <c r="B53" s="614">
        <v>45999</v>
      </c>
      <c r="C53" s="625">
        <v>113075</v>
      </c>
      <c r="D53" s="614">
        <v>45999</v>
      </c>
      <c r="E53" s="613"/>
      <c r="F53" s="615">
        <v>30</v>
      </c>
      <c r="G53" s="615" t="s">
        <v>444</v>
      </c>
      <c r="H53" s="603" t="s">
        <v>443</v>
      </c>
      <c r="I53" s="590">
        <f>IF(COUNTIF(A$2:A53,A53)=1,0,IFERROR(C53-_xlfn.MAXIFS(C$2:C$57,A$2:A$57,A53,B$2:B$57,"&lt;"&amp;B53),0))</f>
        <v>0</v>
      </c>
      <c r="J53" s="613" t="s">
        <v>515</v>
      </c>
      <c r="K53" s="613"/>
    </row>
    <row r="54" spans="1:11" ht="16" x14ac:dyDescent="0.2">
      <c r="A54" s="616" t="s">
        <v>308</v>
      </c>
      <c r="B54" s="618">
        <v>46008</v>
      </c>
      <c r="C54" s="626">
        <v>2022</v>
      </c>
      <c r="D54" s="618">
        <v>46008</v>
      </c>
      <c r="E54" s="617"/>
      <c r="F54" s="619">
        <v>1</v>
      </c>
      <c r="G54" s="619" t="s">
        <v>444</v>
      </c>
      <c r="H54" s="603" t="s">
        <v>443</v>
      </c>
      <c r="I54" s="590">
        <f>IF(COUNTIF(A$2:A54,A54)=1,0,IFERROR(C54-_xlfn.MAXIFS(C$2:C$57,A$2:A$57,A54,B$2:B$57,"&lt;"&amp;B54),0))</f>
        <v>355</v>
      </c>
      <c r="J54" s="617" t="s">
        <v>521</v>
      </c>
      <c r="K54" s="617"/>
    </row>
    <row r="55" spans="1:11" ht="16" x14ac:dyDescent="0.2">
      <c r="A55" s="604" t="s">
        <v>312</v>
      </c>
      <c r="B55" s="606">
        <v>46015</v>
      </c>
      <c r="C55" s="607">
        <v>900</v>
      </c>
      <c r="D55" s="606">
        <v>46015</v>
      </c>
      <c r="E55" s="605"/>
      <c r="F55" s="607">
        <v>1</v>
      </c>
      <c r="G55" s="607" t="s">
        <v>444</v>
      </c>
      <c r="H55" s="603" t="s">
        <v>443</v>
      </c>
      <c r="I55" s="590">
        <f>IF(COUNTIF(A$2:A55,A55)=1,0,IFERROR(C55-_xlfn.MAXIFS(C$2:C$57,A$2:A$57,A55,B$2:B$57,"&lt;"&amp;B55),0))</f>
        <v>368</v>
      </c>
      <c r="J55" s="605" t="s">
        <v>527</v>
      </c>
      <c r="K55" s="605"/>
    </row>
    <row r="56" spans="1:11" ht="16" x14ac:dyDescent="0.2">
      <c r="A56" s="620" t="s">
        <v>320</v>
      </c>
      <c r="B56" s="598">
        <v>46002</v>
      </c>
      <c r="C56" s="627">
        <v>3973</v>
      </c>
      <c r="D56" s="598">
        <v>46002</v>
      </c>
      <c r="E56" s="597"/>
      <c r="F56" s="621">
        <v>2</v>
      </c>
      <c r="G56" s="599" t="s">
        <v>444</v>
      </c>
      <c r="H56" s="603" t="s">
        <v>443</v>
      </c>
      <c r="I56" s="590">
        <f>IF(COUNTIF(A$2:A56,A56)=1,0,IFERROR(C56-_xlfn.MAXIFS(C$2:C$57,A$2:A$57,A56,B$2:B$57,"&lt;"&amp;B56),0))</f>
        <v>154</v>
      </c>
      <c r="J56" s="597" t="s">
        <v>517</v>
      </c>
      <c r="K56" s="597"/>
    </row>
  </sheetData>
  <autoFilter ref="A1:K37" xr:uid="{A1CD0DFB-DFB2-4241-ABC0-03303F1F3D38}">
    <sortState xmlns:xlrd2="http://schemas.microsoft.com/office/spreadsheetml/2017/richdata2" ref="A2:K37">
      <sortCondition ref="B1:B19"/>
    </sortState>
  </autoFilter>
  <conditionalFormatting sqref="A48:A1048576 A1:A37">
    <cfRule type="duplicateValues" dxfId="1" priority="1"/>
  </conditionalFormatting>
  <dataValidations count="2">
    <dataValidation type="list" allowBlank="1" showInputMessage="1" showErrorMessage="1" sqref="E48:E56" xr:uid="{125BD9C3-A13B-4B2E-90BE-619D5928054C}">
      <formula1>Lista_TipoMnnto</formula1>
    </dataValidation>
    <dataValidation type="list" allowBlank="1" showInputMessage="1" showErrorMessage="1" sqref="A48:A56" xr:uid="{22C0C283-CC6B-499A-A1E6-47F12D28160F}">
      <formula1>Lista_Placas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77BC-4E86-42AF-A91B-82EE762E912C}">
  <sheetPr codeName="Hoja10">
    <tabColor theme="7" tint="-0.249977111117893"/>
  </sheetPr>
  <dimension ref="A1:U206"/>
  <sheetViews>
    <sheetView showGridLines="0" zoomScaleNormal="100" workbookViewId="0">
      <selection activeCell="D6" sqref="D6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16.1640625" customWidth="1"/>
    <col min="4" max="16" width="11.1640625" customWidth="1"/>
    <col min="17" max="17" width="5.83203125" customWidth="1"/>
    <col min="20" max="20" width="15.1640625" customWidth="1"/>
    <col min="21" max="21" width="14.6640625" customWidth="1"/>
  </cols>
  <sheetData>
    <row r="1" spans="1:21" s="3" customFormat="1" ht="37.5" customHeight="1" thickBot="1" x14ac:dyDescent="0.25">
      <c r="A1" s="47"/>
      <c r="B1" s="672" t="s">
        <v>279</v>
      </c>
      <c r="C1" s="672"/>
      <c r="D1" s="672"/>
      <c r="E1" s="672"/>
      <c r="F1" s="672"/>
      <c r="G1" s="672"/>
      <c r="H1" s="672"/>
      <c r="I1" s="672"/>
      <c r="J1" s="672"/>
    </row>
    <row r="2" spans="1:21" ht="0.75" customHeight="1" x14ac:dyDescent="0.2">
      <c r="A2" s="47"/>
    </row>
    <row r="3" spans="1:21" ht="5.25" hidden="1" customHeight="1" x14ac:dyDescent="0.2">
      <c r="A3" s="47"/>
      <c r="D3" s="13">
        <f>DATE($D$6,MATCH(D8,$D$8:$O$8,0),1)</f>
        <v>45658</v>
      </c>
      <c r="E3" s="13">
        <f t="shared" ref="E3:O3" si="0">DATE($D$6,MATCH(E8,$D$8:$O$8,0),1)</f>
        <v>45689</v>
      </c>
      <c r="F3" s="13">
        <f t="shared" si="0"/>
        <v>45717</v>
      </c>
      <c r="G3" s="13">
        <f t="shared" si="0"/>
        <v>45748</v>
      </c>
      <c r="H3" s="13">
        <f t="shared" si="0"/>
        <v>45778</v>
      </c>
      <c r="I3" s="13">
        <f t="shared" si="0"/>
        <v>45809</v>
      </c>
      <c r="J3" s="13">
        <f t="shared" si="0"/>
        <v>45839</v>
      </c>
      <c r="K3" s="13">
        <f t="shared" si="0"/>
        <v>45870</v>
      </c>
      <c r="L3" s="13">
        <f t="shared" si="0"/>
        <v>45901</v>
      </c>
      <c r="M3" s="13">
        <f t="shared" si="0"/>
        <v>45931</v>
      </c>
      <c r="N3" s="13">
        <f t="shared" si="0"/>
        <v>45962</v>
      </c>
      <c r="O3" s="13">
        <f t="shared" si="0"/>
        <v>45992</v>
      </c>
    </row>
    <row r="4" spans="1:21" hidden="1" x14ac:dyDescent="0.2">
      <c r="A4" s="47"/>
      <c r="D4" s="13">
        <f>EOMONTH(D3,0)</f>
        <v>45688</v>
      </c>
      <c r="E4" s="13">
        <f t="shared" ref="E4:O4" si="1">EOMONTH(E3,0)</f>
        <v>45716</v>
      </c>
      <c r="F4" s="13">
        <f t="shared" si="1"/>
        <v>45747</v>
      </c>
      <c r="G4" s="13">
        <f t="shared" si="1"/>
        <v>45777</v>
      </c>
      <c r="H4" s="13">
        <f t="shared" si="1"/>
        <v>45808</v>
      </c>
      <c r="I4" s="13">
        <f t="shared" si="1"/>
        <v>45838</v>
      </c>
      <c r="J4" s="13">
        <f t="shared" si="1"/>
        <v>45869</v>
      </c>
      <c r="K4" s="13">
        <f t="shared" si="1"/>
        <v>45900</v>
      </c>
      <c r="L4" s="13">
        <f t="shared" si="1"/>
        <v>45930</v>
      </c>
      <c r="M4" s="13">
        <f t="shared" si="1"/>
        <v>45961</v>
      </c>
      <c r="N4" s="13">
        <f t="shared" si="1"/>
        <v>45991</v>
      </c>
      <c r="O4" s="13">
        <f t="shared" si="1"/>
        <v>46022</v>
      </c>
    </row>
    <row r="5" spans="1:21" x14ac:dyDescent="0.2">
      <c r="A5" s="47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21" ht="16" x14ac:dyDescent="0.2">
      <c r="A6" s="47"/>
      <c r="C6" s="4" t="s">
        <v>4</v>
      </c>
      <c r="D6" s="44">
        <v>2025</v>
      </c>
      <c r="R6" s="23" t="s">
        <v>159</v>
      </c>
    </row>
    <row r="7" spans="1:21" ht="8" customHeight="1" x14ac:dyDescent="0.2">
      <c r="A7" s="47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21" ht="17.5" customHeight="1" x14ac:dyDescent="0.2">
      <c r="A8" s="47"/>
      <c r="C8" s="173" t="s">
        <v>45</v>
      </c>
      <c r="D8" s="173" t="s">
        <v>53</v>
      </c>
      <c r="E8" s="173" t="s">
        <v>54</v>
      </c>
      <c r="F8" s="173" t="s">
        <v>55</v>
      </c>
      <c r="G8" s="173" t="s">
        <v>56</v>
      </c>
      <c r="H8" s="173" t="s">
        <v>57</v>
      </c>
      <c r="I8" s="173" t="s">
        <v>58</v>
      </c>
      <c r="J8" s="173" t="s">
        <v>59</v>
      </c>
      <c r="K8" s="173" t="s">
        <v>60</v>
      </c>
      <c r="L8" s="173" t="s">
        <v>61</v>
      </c>
      <c r="M8" s="173" t="s">
        <v>62</v>
      </c>
      <c r="N8" s="173" t="s">
        <v>63</v>
      </c>
      <c r="O8" s="173" t="s">
        <v>64</v>
      </c>
      <c r="P8" s="173" t="s">
        <v>155</v>
      </c>
      <c r="R8" s="22" t="s">
        <v>4</v>
      </c>
      <c r="S8" s="22" t="s">
        <v>84</v>
      </c>
      <c r="T8" s="22" t="s">
        <v>160</v>
      </c>
      <c r="U8" s="22" t="s">
        <v>145</v>
      </c>
    </row>
    <row r="9" spans="1:21" x14ac:dyDescent="0.2">
      <c r="A9" s="47"/>
      <c r="C9" s="5" t="s">
        <v>152</v>
      </c>
      <c r="D9" s="8">
        <f>SUMIFS(Rutas[Ingreso Total ($)],Rutas[Fecha de Llegada],"&gt;="&amp;D$3,Rutas[Fecha de Llegada],"&lt;="&amp;D$4)</f>
        <v>1374.45</v>
      </c>
      <c r="E9" s="8">
        <f>SUMIFS(Rutas[Ingreso Total ($)],Rutas[Fecha de Llegada],"&gt;="&amp;E$3,Rutas[Fecha de Llegada],"&lt;="&amp;E$4)</f>
        <v>0</v>
      </c>
      <c r="F9" s="8">
        <f>SUMIFS(Rutas[Ingreso Total ($)],Rutas[Fecha de Llegada],"&gt;="&amp;F$3,Rutas[Fecha de Llegada],"&lt;="&amp;F$4)</f>
        <v>0</v>
      </c>
      <c r="G9" s="8">
        <f>SUMIFS(Rutas[Ingreso Total ($)],Rutas[Fecha de Llegada],"&gt;="&amp;G$3,Rutas[Fecha de Llegada],"&lt;="&amp;G$4)</f>
        <v>0</v>
      </c>
      <c r="H9" s="8">
        <f>SUMIFS(Rutas[Ingreso Total ($)],Rutas[Fecha de Llegada],"&gt;="&amp;H$3,Rutas[Fecha de Llegada],"&lt;="&amp;H$4)</f>
        <v>0</v>
      </c>
      <c r="I9" s="8">
        <f>SUMIFS(Rutas[Ingreso Total ($)],Rutas[Fecha de Llegada],"&gt;="&amp;I$3,Rutas[Fecha de Llegada],"&lt;="&amp;I$4)</f>
        <v>0</v>
      </c>
      <c r="J9" s="8">
        <f>SUMIFS(Rutas[Ingreso Total ($)],Rutas[Fecha de Llegada],"&gt;="&amp;J$3,Rutas[Fecha de Llegada],"&lt;="&amp;J$4)</f>
        <v>0</v>
      </c>
      <c r="K9" s="8">
        <f>SUMIFS(Rutas[Ingreso Total ($)],Rutas[Fecha de Llegada],"&gt;="&amp;K$3,Rutas[Fecha de Llegada],"&lt;="&amp;K$4)</f>
        <v>0</v>
      </c>
      <c r="L9" s="8">
        <f>SUMIFS(Rutas[Ingreso Total ($)],Rutas[Fecha de Llegada],"&gt;="&amp;L$3,Rutas[Fecha de Llegada],"&lt;="&amp;L$4)</f>
        <v>0</v>
      </c>
      <c r="M9" s="8">
        <f>SUMIFS(Rutas[Ingreso Total ($)],Rutas[Fecha de Llegada],"&gt;="&amp;M$3,Rutas[Fecha de Llegada],"&lt;="&amp;M$4)</f>
        <v>29308.390000000007</v>
      </c>
      <c r="N9" s="8">
        <f>SUMIFS(Rutas[Ingreso Total ($)],Rutas[Fecha de Llegada],"&gt;="&amp;N$3,Rutas[Fecha de Llegada],"&lt;="&amp;N$4)</f>
        <v>32791.990000000005</v>
      </c>
      <c r="O9" s="8">
        <f>SUMIFS(Rutas[Ingreso Total ($)],Rutas[Fecha de Llegada],"&gt;="&amp;O$3,Rutas[Fecha de Llegada],"&lt;="&amp;O$4)</f>
        <v>30605.099999999991</v>
      </c>
      <c r="P9" s="8">
        <f>SUM(D9:O9)</f>
        <v>94079.930000000008</v>
      </c>
      <c r="R9" s="35">
        <v>2024</v>
      </c>
      <c r="S9" s="34" t="s">
        <v>53</v>
      </c>
      <c r="T9" s="36"/>
      <c r="U9" s="36"/>
    </row>
    <row r="10" spans="1:21" x14ac:dyDescent="0.2">
      <c r="A10" s="47"/>
      <c r="C10" s="18" t="s">
        <v>153</v>
      </c>
      <c r="D10" s="19">
        <f t="shared" ref="D10:P10" si="2">SUM(D11:D19)</f>
        <v>10987.194000000001</v>
      </c>
      <c r="E10" s="19">
        <f t="shared" si="2"/>
        <v>9058.1579999999994</v>
      </c>
      <c r="F10" s="19">
        <f t="shared" si="2"/>
        <v>9461.2139999999981</v>
      </c>
      <c r="G10" s="19">
        <f t="shared" si="2"/>
        <v>11635.199999999999</v>
      </c>
      <c r="H10" s="19">
        <f t="shared" si="2"/>
        <v>19949.706000000006</v>
      </c>
      <c r="I10" s="19">
        <f t="shared" si="2"/>
        <v>13746.029399999999</v>
      </c>
      <c r="J10" s="19">
        <f t="shared" si="2"/>
        <v>6677.351999999998</v>
      </c>
      <c r="K10" s="19">
        <f t="shared" si="2"/>
        <v>13294.835999999998</v>
      </c>
      <c r="L10" s="19">
        <f t="shared" si="2"/>
        <v>15730.575999999997</v>
      </c>
      <c r="M10" s="19">
        <f t="shared" si="2"/>
        <v>20637.019199999995</v>
      </c>
      <c r="N10" s="19">
        <f t="shared" si="2"/>
        <v>20349.811999999994</v>
      </c>
      <c r="O10" s="19">
        <f t="shared" si="2"/>
        <v>21275.660000000011</v>
      </c>
      <c r="P10" s="19">
        <f t="shared" si="2"/>
        <v>172802.75660000002</v>
      </c>
      <c r="R10" s="35">
        <v>2024</v>
      </c>
      <c r="S10" s="34" t="s">
        <v>54</v>
      </c>
      <c r="T10" s="36"/>
      <c r="U10" s="36"/>
    </row>
    <row r="11" spans="1:21" x14ac:dyDescent="0.2">
      <c r="A11" s="47"/>
      <c r="C11" s="17" t="s">
        <v>52</v>
      </c>
      <c r="D11" s="7">
        <f>SUMIFS(Egresos_varios[Gastos Personal],Egresos_varios[Año],$D$6,Egresos_varios[Mes],D$8)</f>
        <v>0</v>
      </c>
      <c r="E11" s="7">
        <f>SUMIFS(Egresos_varios[Gastos Personal],Egresos_varios[Año],$D$6,Egresos_varios[Mes],E$8)</f>
        <v>0</v>
      </c>
      <c r="F11" s="7">
        <f>SUMIFS(Egresos_varios[Gastos Personal],Egresos_varios[Año],$D$6,Egresos_varios[Mes],F$8)</f>
        <v>0</v>
      </c>
      <c r="G11" s="7">
        <f>SUMIFS(Egresos_varios[Gastos Personal],Egresos_varios[Año],$D$6,Egresos_varios[Mes],G$8)</f>
        <v>0</v>
      </c>
      <c r="H11" s="7">
        <f>SUMIFS(Egresos_varios[Gastos Personal],Egresos_varios[Año],$D$6,Egresos_varios[Mes],H$8)</f>
        <v>0</v>
      </c>
      <c r="I11" s="7">
        <f>SUMIFS(Egresos_varios[Gastos Personal],Egresos_varios[Año],$D$6,Egresos_varios[Mes],I$8)</f>
        <v>0</v>
      </c>
      <c r="J11" s="7">
        <f>SUMIFS(Egresos_varios[Gastos Personal],Egresos_varios[Año],$D$6,Egresos_varios[Mes],J$8)</f>
        <v>0</v>
      </c>
      <c r="K11" s="7">
        <f>SUMIFS(Egresos_varios[Gastos Personal],Egresos_varios[Año],$D$6,Egresos_varios[Mes],K$8)</f>
        <v>0</v>
      </c>
      <c r="L11" s="7">
        <f>SUMIFS(Egresos_varios[Gastos Personal],Egresos_varios[Año],$D$6,Egresos_varios[Mes],L$8)</f>
        <v>0</v>
      </c>
      <c r="M11" s="7">
        <f>SUMIFS(Egresos_varios[Gastos Personal],Egresos_varios[Año],$D$6,Egresos_varios[Mes],M$8)</f>
        <v>0</v>
      </c>
      <c r="N11" s="7">
        <f>SUMIFS(Egresos_varios[Gastos Personal],Egresos_varios[Año],$D$6,Egresos_varios[Mes],N$8)</f>
        <v>0</v>
      </c>
      <c r="O11" s="7">
        <f>SUMIFS(Egresos_varios[Gastos Personal],Egresos_varios[Año],$D$6,Egresos_varios[Mes],O$8)</f>
        <v>0</v>
      </c>
      <c r="P11" s="7">
        <f>SUM(D11:O11)</f>
        <v>0</v>
      </c>
      <c r="R11" s="35">
        <v>2024</v>
      </c>
      <c r="S11" s="34" t="s">
        <v>55</v>
      </c>
      <c r="T11" s="36"/>
      <c r="U11" s="36"/>
    </row>
    <row r="12" spans="1:21" x14ac:dyDescent="0.2">
      <c r="A12" s="47"/>
      <c r="C12" s="17" t="s">
        <v>143</v>
      </c>
      <c r="D12" s="7">
        <f>SUMIFS(Seguros[Importe Pagado ($)],Seguros[Fecha de Pago],"&gt;="&amp;D$3,Seguros[Fecha de Pago],"&lt;="&amp;D$4)</f>
        <v>0</v>
      </c>
      <c r="E12" s="7">
        <f>SUMIFS(Seguros[Importe Pagado ($)],Seguros[Fecha de Pago],"&gt;="&amp;E$3,Seguros[Fecha de Pago],"&lt;="&amp;E$4)</f>
        <v>0</v>
      </c>
      <c r="F12" s="7">
        <f>SUMIFS(Seguros[Importe Pagado ($)],Seguros[Fecha de Pago],"&gt;="&amp;F$3,Seguros[Fecha de Pago],"&lt;="&amp;F$4)</f>
        <v>0</v>
      </c>
      <c r="G12" s="7">
        <f>SUMIFS(Seguros[Importe Pagado ($)],Seguros[Fecha de Pago],"&gt;="&amp;G$3,Seguros[Fecha de Pago],"&lt;="&amp;G$4)</f>
        <v>0</v>
      </c>
      <c r="H12" s="7">
        <f>SUMIFS(Seguros[Importe Pagado ($)],Seguros[Fecha de Pago],"&gt;="&amp;H$3,Seguros[Fecha de Pago],"&lt;="&amp;H$4)</f>
        <v>0</v>
      </c>
      <c r="I12" s="7">
        <f>SUMIFS(Seguros[Importe Pagado ($)],Seguros[Fecha de Pago],"&gt;="&amp;I$3,Seguros[Fecha de Pago],"&lt;="&amp;I$4)</f>
        <v>0</v>
      </c>
      <c r="J12" s="7">
        <f>SUMIFS(Seguros[Importe Pagado ($)],Seguros[Fecha de Pago],"&gt;="&amp;J$3,Seguros[Fecha de Pago],"&lt;="&amp;J$4)</f>
        <v>0</v>
      </c>
      <c r="K12" s="7">
        <f>SUMIFS(Seguros[Importe Pagado ($)],Seguros[Fecha de Pago],"&gt;="&amp;K$3,Seguros[Fecha de Pago],"&lt;="&amp;K$4)</f>
        <v>0</v>
      </c>
      <c r="L12" s="7">
        <f>SUMIFS(Seguros[Importe Pagado ($)],Seguros[Fecha de Pago],"&gt;="&amp;L$3,Seguros[Fecha de Pago],"&lt;="&amp;L$4)</f>
        <v>0</v>
      </c>
      <c r="M12" s="7">
        <f>SUMIFS(Seguros[Importe Pagado ($)],Seguros[Fecha de Pago],"&gt;="&amp;M$3,Seguros[Fecha de Pago],"&lt;="&amp;M$4)</f>
        <v>0</v>
      </c>
      <c r="N12" s="7">
        <f>SUMIFS(Seguros[Importe Pagado ($)],Seguros[Fecha de Pago],"&gt;="&amp;N$3,Seguros[Fecha de Pago],"&lt;="&amp;N$4)</f>
        <v>0</v>
      </c>
      <c r="O12" s="7">
        <f>SUMIFS(Seguros[Importe Pagado ($)],Seguros[Fecha de Pago],"&gt;="&amp;O$3,Seguros[Fecha de Pago],"&lt;="&amp;O$4)</f>
        <v>0</v>
      </c>
      <c r="P12" s="7">
        <f t="shared" ref="P12:P19" si="3">SUM(D12:O12)</f>
        <v>0</v>
      </c>
      <c r="R12" s="35">
        <v>2024</v>
      </c>
      <c r="S12" s="34" t="s">
        <v>56</v>
      </c>
      <c r="T12" s="36"/>
      <c r="U12" s="36"/>
    </row>
    <row r="13" spans="1:21" x14ac:dyDescent="0.2">
      <c r="A13" s="47"/>
      <c r="C13" s="17" t="s">
        <v>144</v>
      </c>
      <c r="D13" s="7">
        <f>SUMIFS(Impuestos[Impuesto ($)],Impuestos[Fecha de pago],"&gt;="&amp;D$3,Impuestos[Fecha de pago],"&lt;="&amp;D$4)</f>
        <v>0</v>
      </c>
      <c r="E13" s="7">
        <f>SUMIFS(Impuestos[Impuesto ($)],Impuestos[Fecha de pago],"&gt;="&amp;E$3,Impuestos[Fecha de pago],"&lt;="&amp;E$4)</f>
        <v>0</v>
      </c>
      <c r="F13" s="7">
        <f>SUMIFS(Impuestos[Impuesto ($)],Impuestos[Fecha de pago],"&gt;="&amp;F$3,Impuestos[Fecha de pago],"&lt;="&amp;F$4)</f>
        <v>0</v>
      </c>
      <c r="G13" s="7">
        <f>SUMIFS(Impuestos[Impuesto ($)],Impuestos[Fecha de pago],"&gt;="&amp;G$3,Impuestos[Fecha de pago],"&lt;="&amp;G$4)</f>
        <v>0</v>
      </c>
      <c r="H13" s="7">
        <f>SUMIFS(Impuestos[Impuesto ($)],Impuestos[Fecha de pago],"&gt;="&amp;H$3,Impuestos[Fecha de pago],"&lt;="&amp;H$4)</f>
        <v>0</v>
      </c>
      <c r="I13" s="7">
        <f>SUMIFS(Impuestos[Impuesto ($)],Impuestos[Fecha de pago],"&gt;="&amp;I$3,Impuestos[Fecha de pago],"&lt;="&amp;I$4)</f>
        <v>0</v>
      </c>
      <c r="J13" s="7">
        <f>SUMIFS(Impuestos[Impuesto ($)],Impuestos[Fecha de pago],"&gt;="&amp;J$3,Impuestos[Fecha de pago],"&lt;="&amp;J$4)</f>
        <v>0</v>
      </c>
      <c r="K13" s="7">
        <f>SUMIFS(Impuestos[Impuesto ($)],Impuestos[Fecha de pago],"&gt;="&amp;K$3,Impuestos[Fecha de pago],"&lt;="&amp;K$4)</f>
        <v>0</v>
      </c>
      <c r="L13" s="7">
        <f>SUMIFS(Impuestos[Impuesto ($)],Impuestos[Fecha de pago],"&gt;="&amp;L$3,Impuestos[Fecha de pago],"&lt;="&amp;L$4)</f>
        <v>0</v>
      </c>
      <c r="M13" s="7">
        <f>SUMIFS(Impuestos[Impuesto ($)],Impuestos[Fecha de pago],"&gt;="&amp;M$3,Impuestos[Fecha de pago],"&lt;="&amp;M$4)</f>
        <v>0</v>
      </c>
      <c r="N13" s="7">
        <f>SUMIFS(Impuestos[Impuesto ($)],Impuestos[Fecha de pago],"&gt;="&amp;N$3,Impuestos[Fecha de pago],"&lt;="&amp;N$4)</f>
        <v>0</v>
      </c>
      <c r="O13" s="7">
        <f>SUMIFS(Impuestos[Impuesto ($)],Impuestos[Fecha de pago],"&gt;="&amp;O$3,Impuestos[Fecha de pago],"&lt;="&amp;O$4)</f>
        <v>0</v>
      </c>
      <c r="P13" s="7">
        <f t="shared" si="3"/>
        <v>0</v>
      </c>
      <c r="R13" s="35">
        <v>2024</v>
      </c>
      <c r="S13" s="34" t="s">
        <v>57</v>
      </c>
      <c r="T13" s="36"/>
      <c r="U13" s="36"/>
    </row>
    <row r="14" spans="1:21" x14ac:dyDescent="0.2">
      <c r="A14" s="47"/>
      <c r="C14" s="17" t="s">
        <v>51</v>
      </c>
      <c r="D14" s="7">
        <f>SUMIFS(Multas[Importe multa ($)],Multas[Fecha],"&gt;="&amp;D$3,Multas[Fecha],"&lt;="&amp;D$4)</f>
        <v>0</v>
      </c>
      <c r="E14" s="7">
        <f>SUMIFS(Multas[Importe multa ($)],Multas[Fecha],"&gt;="&amp;E$3,Multas[Fecha],"&lt;="&amp;E$4)</f>
        <v>0</v>
      </c>
      <c r="F14" s="7">
        <f>SUMIFS(Multas[Importe multa ($)],Multas[Fecha],"&gt;="&amp;F$3,Multas[Fecha],"&lt;="&amp;F$4)</f>
        <v>0</v>
      </c>
      <c r="G14" s="7">
        <f>SUMIFS(Multas[Importe multa ($)],Multas[Fecha],"&gt;="&amp;G$3,Multas[Fecha],"&lt;="&amp;G$4)</f>
        <v>0</v>
      </c>
      <c r="H14" s="7">
        <f>SUMIFS(Multas[Importe multa ($)],Multas[Fecha],"&gt;="&amp;H$3,Multas[Fecha],"&lt;="&amp;H$4)</f>
        <v>0</v>
      </c>
      <c r="I14" s="7">
        <f>SUMIFS(Multas[Importe multa ($)],Multas[Fecha],"&gt;="&amp;I$3,Multas[Fecha],"&lt;="&amp;I$4)</f>
        <v>0</v>
      </c>
      <c r="J14" s="7">
        <f>SUMIFS(Multas[Importe multa ($)],Multas[Fecha],"&gt;="&amp;J$3,Multas[Fecha],"&lt;="&amp;J$4)</f>
        <v>0</v>
      </c>
      <c r="K14" s="7">
        <f>SUMIFS(Multas[Importe multa ($)],Multas[Fecha],"&gt;="&amp;K$3,Multas[Fecha],"&lt;="&amp;K$4)</f>
        <v>0</v>
      </c>
      <c r="L14" s="7">
        <f>SUMIFS(Multas[Importe multa ($)],Multas[Fecha],"&gt;="&amp;L$3,Multas[Fecha],"&lt;="&amp;L$4)</f>
        <v>0</v>
      </c>
      <c r="M14" s="7">
        <f>SUMIFS(Multas[Importe multa ($)],Multas[Fecha],"&gt;="&amp;M$3,Multas[Fecha],"&lt;="&amp;M$4)</f>
        <v>0</v>
      </c>
      <c r="N14" s="7">
        <f>SUMIFS(Multas[Importe multa ($)],Multas[Fecha],"&gt;="&amp;N$3,Multas[Fecha],"&lt;="&amp;N$4)</f>
        <v>0</v>
      </c>
      <c r="O14" s="7">
        <f>SUMIFS(Multas[Importe multa ($)],Multas[Fecha],"&gt;="&amp;O$3,Multas[Fecha],"&lt;="&amp;O$4)</f>
        <v>0</v>
      </c>
      <c r="P14" s="7">
        <f t="shared" si="3"/>
        <v>0</v>
      </c>
      <c r="R14" s="35">
        <v>2024</v>
      </c>
      <c r="S14" s="34" t="s">
        <v>58</v>
      </c>
      <c r="T14" s="36"/>
      <c r="U14" s="36"/>
    </row>
    <row r="15" spans="1:21" x14ac:dyDescent="0.2">
      <c r="A15" s="47"/>
      <c r="C15" s="17" t="s">
        <v>8</v>
      </c>
      <c r="D15" s="7">
        <f>SUMIFS(Mantenimiento[Costo Total ($)],Mantenimiento[Fecha de Pago],"&gt;="&amp;D$3,Mantenimiento[Fecha de Pago],"&lt;="&amp;D$4)</f>
        <v>0</v>
      </c>
      <c r="E15" s="7">
        <f>SUMIFS(Mantenimiento[Costo Total ($)],Mantenimiento[Fecha de Pago],"&gt;="&amp;E$3,Mantenimiento[Fecha de Pago],"&lt;="&amp;E$4)</f>
        <v>0</v>
      </c>
      <c r="F15" s="7">
        <f>SUMIFS(Mantenimiento[Costo Total ($)],Mantenimiento[Fecha de Pago],"&gt;="&amp;F$3,Mantenimiento[Fecha de Pago],"&lt;="&amp;F$4)</f>
        <v>0</v>
      </c>
      <c r="G15" s="7">
        <f>SUMIFS(Mantenimiento[Costo Total ($)],Mantenimiento[Fecha de Pago],"&gt;="&amp;G$3,Mantenimiento[Fecha de Pago],"&lt;="&amp;G$4)</f>
        <v>0</v>
      </c>
      <c r="H15" s="7">
        <f>SUMIFS(Mantenimiento[Costo Total ($)],Mantenimiento[Fecha de Pago],"&gt;="&amp;H$3,Mantenimiento[Fecha de Pago],"&lt;="&amp;H$4)</f>
        <v>0</v>
      </c>
      <c r="I15" s="7">
        <f>SUMIFS(Mantenimiento[Costo Total ($)],Mantenimiento[Fecha de Pago],"&gt;="&amp;I$3,Mantenimiento[Fecha de Pago],"&lt;="&amp;I$4)</f>
        <v>0</v>
      </c>
      <c r="J15" s="7">
        <f>SUMIFS(Mantenimiento[Costo Total ($)],Mantenimiento[Fecha de Pago],"&gt;="&amp;J$3,Mantenimiento[Fecha de Pago],"&lt;="&amp;J$4)</f>
        <v>0</v>
      </c>
      <c r="K15" s="7">
        <f>SUMIFS(Mantenimiento[Costo Total ($)],Mantenimiento[Fecha de Pago],"&gt;="&amp;K$3,Mantenimiento[Fecha de Pago],"&lt;="&amp;K$4)</f>
        <v>0</v>
      </c>
      <c r="L15" s="7">
        <f>SUMIFS(Mantenimiento[Costo Total ($)],Mantenimiento[Fecha de Pago],"&gt;="&amp;L$3,Mantenimiento[Fecha de Pago],"&lt;="&amp;L$4)</f>
        <v>0</v>
      </c>
      <c r="M15" s="7">
        <f>SUMIFS(Mantenimiento[Costo Total ($)],Mantenimiento[Fecha de Pago],"&gt;="&amp;M$3,Mantenimiento[Fecha de Pago],"&lt;="&amp;M$4)</f>
        <v>0</v>
      </c>
      <c r="N15" s="7">
        <f>SUMIFS(Mantenimiento[Costo Total ($)],Mantenimiento[Fecha de Pago],"&gt;="&amp;N$3,Mantenimiento[Fecha de Pago],"&lt;="&amp;N$4)</f>
        <v>0</v>
      </c>
      <c r="O15" s="7">
        <f>SUMIFS(Mantenimiento[Costo Total ($)],Mantenimiento[Fecha de Pago],"&gt;="&amp;O$3,Mantenimiento[Fecha de Pago],"&lt;="&amp;O$4)</f>
        <v>0</v>
      </c>
      <c r="P15" s="7">
        <f t="shared" si="3"/>
        <v>0</v>
      </c>
      <c r="R15" s="35">
        <v>2024</v>
      </c>
      <c r="S15" s="34" t="s">
        <v>59</v>
      </c>
      <c r="T15" s="36"/>
      <c r="U15" s="36"/>
    </row>
    <row r="16" spans="1:21" x14ac:dyDescent="0.2">
      <c r="A16" s="47"/>
      <c r="C16" s="17" t="s">
        <v>48</v>
      </c>
      <c r="D16" s="7">
        <f>SUMIFS(Rutas[Total Combustible ($)],Rutas[Fecha de Llegada],"&gt;="&amp;D$3,Rutas[Fecha de Llegada],"&lt;="&amp;D$4)</f>
        <v>10987.194000000001</v>
      </c>
      <c r="E16" s="7">
        <f>SUMIFS(Rutas[Total Combustible ($)],Rutas[Fecha de Llegada],"&gt;="&amp;E$3,Rutas[Fecha de Llegada],"&lt;="&amp;E$4)</f>
        <v>9058.1579999999994</v>
      </c>
      <c r="F16" s="7">
        <f>SUMIFS(Rutas[Total Combustible ($)],Rutas[Fecha de Llegada],"&gt;="&amp;F$3,Rutas[Fecha de Llegada],"&lt;="&amp;F$4)</f>
        <v>9461.2139999999981</v>
      </c>
      <c r="G16" s="7">
        <f>SUMIFS(Rutas[Total Combustible ($)],Rutas[Fecha de Llegada],"&gt;="&amp;G$3,Rutas[Fecha de Llegada],"&lt;="&amp;G$4)</f>
        <v>11635.199999999999</v>
      </c>
      <c r="H16" s="7">
        <f>SUMIFS(Rutas[Total Combustible ($)],Rutas[Fecha de Llegada],"&gt;="&amp;H$3,Rutas[Fecha de Llegada],"&lt;="&amp;H$4)</f>
        <v>19949.706000000006</v>
      </c>
      <c r="I16" s="7">
        <f>SUMIFS(Rutas[Total Combustible ($)],Rutas[Fecha de Llegada],"&gt;="&amp;I$3,Rutas[Fecha de Llegada],"&lt;="&amp;I$4)</f>
        <v>13746.029399999999</v>
      </c>
      <c r="J16" s="7">
        <f>SUMIFS(Rutas[Total Combustible ($)],Rutas[Fecha de Llegada],"&gt;="&amp;J$3,Rutas[Fecha de Llegada],"&lt;="&amp;J$4)</f>
        <v>6677.351999999998</v>
      </c>
      <c r="K16" s="7">
        <f>SUMIFS(Rutas[Total Combustible ($)],Rutas[Fecha de Llegada],"&gt;="&amp;K$3,Rutas[Fecha de Llegada],"&lt;="&amp;K$4)</f>
        <v>13294.835999999998</v>
      </c>
      <c r="L16" s="7">
        <f>SUMIFS(Rutas[Total Combustible ($)],Rutas[Fecha de Llegada],"&gt;="&amp;L$3,Rutas[Fecha de Llegada],"&lt;="&amp;L$4)</f>
        <v>15730.575999999997</v>
      </c>
      <c r="M16" s="7">
        <f>SUMIFS(Rutas[Total Combustible ($)],Rutas[Fecha de Llegada],"&gt;="&amp;M$3,Rutas[Fecha de Llegada],"&lt;="&amp;M$4)</f>
        <v>20637.019199999995</v>
      </c>
      <c r="N16" s="7">
        <f>SUMIFS(Rutas[Total Combustible ($)],Rutas[Fecha de Llegada],"&gt;="&amp;N$3,Rutas[Fecha de Llegada],"&lt;="&amp;N$4)</f>
        <v>20349.811999999994</v>
      </c>
      <c r="O16" s="7">
        <f>SUMIFS(Rutas[Total Combustible ($)],Rutas[Fecha de Llegada],"&gt;="&amp;O$3,Rutas[Fecha de Llegada],"&lt;="&amp;O$4)</f>
        <v>21275.660000000011</v>
      </c>
      <c r="P16" s="7">
        <f t="shared" si="3"/>
        <v>172802.75660000002</v>
      </c>
      <c r="R16" s="35">
        <v>2024</v>
      </c>
      <c r="S16" s="34" t="s">
        <v>60</v>
      </c>
      <c r="T16" s="36"/>
      <c r="U16" s="36"/>
    </row>
    <row r="17" spans="1:21" x14ac:dyDescent="0.2">
      <c r="A17" s="47"/>
      <c r="C17" s="17" t="s">
        <v>49</v>
      </c>
      <c r="D17" s="7">
        <f>SUMIFS(Rutas[Gasto peajes ($)],Rutas[Fecha de Llegada],"&gt;="&amp;D$3,Rutas[Fecha de Llegada],"&lt;="&amp;D$4)</f>
        <v>0</v>
      </c>
      <c r="E17" s="7">
        <f>SUMIFS(Rutas[Gasto peajes ($)],Rutas[Fecha de Llegada],"&gt;="&amp;E$3,Rutas[Fecha de Llegada],"&lt;="&amp;E$4)</f>
        <v>0</v>
      </c>
      <c r="F17" s="7">
        <f>SUMIFS(Rutas[Gasto peajes ($)],Rutas[Fecha de Llegada],"&gt;="&amp;F$3,Rutas[Fecha de Llegada],"&lt;="&amp;F$4)</f>
        <v>0</v>
      </c>
      <c r="G17" s="7">
        <f>SUMIFS(Rutas[Gasto peajes ($)],Rutas[Fecha de Llegada],"&gt;="&amp;G$3,Rutas[Fecha de Llegada],"&lt;="&amp;G$4)</f>
        <v>0</v>
      </c>
      <c r="H17" s="7">
        <f>SUMIFS(Rutas[Gasto peajes ($)],Rutas[Fecha de Llegada],"&gt;="&amp;H$3,Rutas[Fecha de Llegada],"&lt;="&amp;H$4)</f>
        <v>0</v>
      </c>
      <c r="I17" s="7">
        <f>SUMIFS(Rutas[Gasto peajes ($)],Rutas[Fecha de Llegada],"&gt;="&amp;I$3,Rutas[Fecha de Llegada],"&lt;="&amp;I$4)</f>
        <v>0</v>
      </c>
      <c r="J17" s="7">
        <f>SUMIFS(Rutas[Gasto peajes ($)],Rutas[Fecha de Llegada],"&gt;="&amp;J$3,Rutas[Fecha de Llegada],"&lt;="&amp;J$4)</f>
        <v>0</v>
      </c>
      <c r="K17" s="7">
        <f>SUMIFS(Rutas[Gasto peajes ($)],Rutas[Fecha de Llegada],"&gt;="&amp;K$3,Rutas[Fecha de Llegada],"&lt;="&amp;K$4)</f>
        <v>0</v>
      </c>
      <c r="L17" s="7">
        <f>SUMIFS(Rutas[Gasto peajes ($)],Rutas[Fecha de Llegada],"&gt;="&amp;L$3,Rutas[Fecha de Llegada],"&lt;="&amp;L$4)</f>
        <v>0</v>
      </c>
      <c r="M17" s="7">
        <f>SUMIFS(Rutas[Gasto peajes ($)],Rutas[Fecha de Llegada],"&gt;="&amp;M$3,Rutas[Fecha de Llegada],"&lt;="&amp;M$4)</f>
        <v>0</v>
      </c>
      <c r="N17" s="7">
        <f>SUMIFS(Rutas[Gasto peajes ($)],Rutas[Fecha de Llegada],"&gt;="&amp;N$3,Rutas[Fecha de Llegada],"&lt;="&amp;N$4)</f>
        <v>0</v>
      </c>
      <c r="O17" s="7">
        <f>SUMIFS(Rutas[Gasto peajes ($)],Rutas[Fecha de Llegada],"&gt;="&amp;O$3,Rutas[Fecha de Llegada],"&lt;="&amp;O$4)</f>
        <v>0</v>
      </c>
      <c r="P17" s="7">
        <f t="shared" si="3"/>
        <v>0</v>
      </c>
      <c r="R17" s="35">
        <v>2024</v>
      </c>
      <c r="S17" s="34" t="s">
        <v>61</v>
      </c>
      <c r="T17" s="36"/>
      <c r="U17" s="36"/>
    </row>
    <row r="18" spans="1:21" x14ac:dyDescent="0.2">
      <c r="A18" s="47"/>
      <c r="C18" s="17" t="s">
        <v>50</v>
      </c>
      <c r="D18" s="7">
        <f>SUMIFS(Rutas[Gasto comidas ($)],Rutas[Fecha de Llegada],"&gt;="&amp;D$3,Rutas[Fecha de Llegada],"&lt;="&amp;D$4)</f>
        <v>0</v>
      </c>
      <c r="E18" s="7">
        <f>SUMIFS(Rutas[Gasto comidas ($)],Rutas[Fecha de Llegada],"&gt;="&amp;E$3,Rutas[Fecha de Llegada],"&lt;="&amp;E$4)</f>
        <v>0</v>
      </c>
      <c r="F18" s="7">
        <f>SUMIFS(Rutas[Gasto comidas ($)],Rutas[Fecha de Llegada],"&gt;="&amp;F$3,Rutas[Fecha de Llegada],"&lt;="&amp;F$4)</f>
        <v>0</v>
      </c>
      <c r="G18" s="7">
        <f>SUMIFS(Rutas[Gasto comidas ($)],Rutas[Fecha de Llegada],"&gt;="&amp;G$3,Rutas[Fecha de Llegada],"&lt;="&amp;G$4)</f>
        <v>0</v>
      </c>
      <c r="H18" s="7">
        <f>SUMIFS(Rutas[Gasto comidas ($)],Rutas[Fecha de Llegada],"&gt;="&amp;H$3,Rutas[Fecha de Llegada],"&lt;="&amp;H$4)</f>
        <v>0</v>
      </c>
      <c r="I18" s="7">
        <f>SUMIFS(Rutas[Gasto comidas ($)],Rutas[Fecha de Llegada],"&gt;="&amp;I$3,Rutas[Fecha de Llegada],"&lt;="&amp;I$4)</f>
        <v>0</v>
      </c>
      <c r="J18" s="7">
        <f>SUMIFS(Rutas[Gasto comidas ($)],Rutas[Fecha de Llegada],"&gt;="&amp;J$3,Rutas[Fecha de Llegada],"&lt;="&amp;J$4)</f>
        <v>0</v>
      </c>
      <c r="K18" s="7">
        <f>SUMIFS(Rutas[Gasto comidas ($)],Rutas[Fecha de Llegada],"&gt;="&amp;K$3,Rutas[Fecha de Llegada],"&lt;="&amp;K$4)</f>
        <v>0</v>
      </c>
      <c r="L18" s="7">
        <f>SUMIFS(Rutas[Gasto comidas ($)],Rutas[Fecha de Llegada],"&gt;="&amp;L$3,Rutas[Fecha de Llegada],"&lt;="&amp;L$4)</f>
        <v>0</v>
      </c>
      <c r="M18" s="7">
        <f>SUMIFS(Rutas[Gasto comidas ($)],Rutas[Fecha de Llegada],"&gt;="&amp;M$3,Rutas[Fecha de Llegada],"&lt;="&amp;M$4)</f>
        <v>0</v>
      </c>
      <c r="N18" s="7">
        <f>SUMIFS(Rutas[Gasto comidas ($)],Rutas[Fecha de Llegada],"&gt;="&amp;N$3,Rutas[Fecha de Llegada],"&lt;="&amp;N$4)</f>
        <v>0</v>
      </c>
      <c r="O18" s="7">
        <f>SUMIFS(Rutas[Gasto comidas ($)],Rutas[Fecha de Llegada],"&gt;="&amp;O$3,Rutas[Fecha de Llegada],"&lt;="&amp;O$4)</f>
        <v>0</v>
      </c>
      <c r="P18" s="7">
        <f t="shared" si="3"/>
        <v>0</v>
      </c>
      <c r="R18" s="35">
        <v>2024</v>
      </c>
      <c r="S18" s="34" t="s">
        <v>62</v>
      </c>
      <c r="T18" s="36"/>
      <c r="U18" s="36"/>
    </row>
    <row r="19" spans="1:21" x14ac:dyDescent="0.2">
      <c r="A19" s="47"/>
      <c r="C19" s="17" t="s">
        <v>145</v>
      </c>
      <c r="D19" s="7">
        <f>SUMIFS(Egresos_varios[Otros Egresos],Egresos_varios[Año],$D$6,Egresos_varios[Mes],D$8)</f>
        <v>0</v>
      </c>
      <c r="E19" s="7">
        <f>SUMIFS(Egresos_varios[Otros Egresos],Egresos_varios[Año],$D$6,Egresos_varios[Mes],E$8)</f>
        <v>0</v>
      </c>
      <c r="F19" s="7">
        <f>SUMIFS(Egresos_varios[Otros Egresos],Egresos_varios[Año],$D$6,Egresos_varios[Mes],F$8)</f>
        <v>0</v>
      </c>
      <c r="G19" s="7">
        <f>SUMIFS(Egresos_varios[Otros Egresos],Egresos_varios[Año],$D$6,Egresos_varios[Mes],G$8)</f>
        <v>0</v>
      </c>
      <c r="H19" s="7">
        <f>SUMIFS(Egresos_varios[Otros Egresos],Egresos_varios[Año],$D$6,Egresos_varios[Mes],H$8)</f>
        <v>0</v>
      </c>
      <c r="I19" s="7">
        <f>SUMIFS(Egresos_varios[Otros Egresos],Egresos_varios[Año],$D$6,Egresos_varios[Mes],I$8)</f>
        <v>0</v>
      </c>
      <c r="J19" s="7">
        <f>SUMIFS(Egresos_varios[Otros Egresos],Egresos_varios[Año],$D$6,Egresos_varios[Mes],J$8)</f>
        <v>0</v>
      </c>
      <c r="K19" s="7">
        <f>SUMIFS(Egresos_varios[Otros Egresos],Egresos_varios[Año],$D$6,Egresos_varios[Mes],K$8)</f>
        <v>0</v>
      </c>
      <c r="L19" s="7">
        <f>SUMIFS(Egresos_varios[Otros Egresos],Egresos_varios[Año],$D$6,Egresos_varios[Mes],L$8)</f>
        <v>0</v>
      </c>
      <c r="M19" s="7">
        <f>SUMIFS(Egresos_varios[Otros Egresos],Egresos_varios[Año],$D$6,Egresos_varios[Mes],M$8)</f>
        <v>0</v>
      </c>
      <c r="N19" s="7">
        <f>SUMIFS(Egresos_varios[Otros Egresos],Egresos_varios[Año],$D$6,Egresos_varios[Mes],N$8)</f>
        <v>0</v>
      </c>
      <c r="O19" s="7">
        <f>SUMIFS(Egresos_varios[Otros Egresos],Egresos_varios[Año],$D$6,Egresos_varios[Mes],O$8)</f>
        <v>0</v>
      </c>
      <c r="P19" s="7">
        <f t="shared" si="3"/>
        <v>0</v>
      </c>
      <c r="R19" s="35">
        <v>2024</v>
      </c>
      <c r="S19" s="34" t="s">
        <v>63</v>
      </c>
      <c r="T19" s="36"/>
      <c r="U19" s="36"/>
    </row>
    <row r="20" spans="1:21" x14ac:dyDescent="0.2">
      <c r="A20" s="47"/>
      <c r="C20" s="6" t="s">
        <v>41</v>
      </c>
      <c r="D20" s="24">
        <f t="shared" ref="D20:P20" si="4">D9-D10</f>
        <v>-9612.7440000000006</v>
      </c>
      <c r="E20" s="24">
        <f t="shared" si="4"/>
        <v>-9058.1579999999994</v>
      </c>
      <c r="F20" s="24">
        <f t="shared" si="4"/>
        <v>-9461.2139999999981</v>
      </c>
      <c r="G20" s="24">
        <f t="shared" si="4"/>
        <v>-11635.199999999999</v>
      </c>
      <c r="H20" s="24">
        <f t="shared" si="4"/>
        <v>-19949.706000000006</v>
      </c>
      <c r="I20" s="24">
        <f t="shared" si="4"/>
        <v>-13746.029399999999</v>
      </c>
      <c r="J20" s="24">
        <f t="shared" si="4"/>
        <v>-6677.351999999998</v>
      </c>
      <c r="K20" s="24">
        <f t="shared" si="4"/>
        <v>-13294.835999999998</v>
      </c>
      <c r="L20" s="24">
        <f t="shared" si="4"/>
        <v>-15730.575999999997</v>
      </c>
      <c r="M20" s="24">
        <f t="shared" si="4"/>
        <v>8671.3708000000115</v>
      </c>
      <c r="N20" s="24">
        <f t="shared" si="4"/>
        <v>12442.178000000011</v>
      </c>
      <c r="O20" s="24">
        <f t="shared" si="4"/>
        <v>9329.4399999999805</v>
      </c>
      <c r="P20" s="24">
        <f t="shared" si="4"/>
        <v>-78722.826600000015</v>
      </c>
      <c r="R20" s="35">
        <v>2024</v>
      </c>
      <c r="S20" s="34" t="s">
        <v>64</v>
      </c>
      <c r="T20" s="36"/>
      <c r="U20" s="36"/>
    </row>
    <row r="21" spans="1:21" x14ac:dyDescent="0.2">
      <c r="A21" s="47"/>
      <c r="C21" s="20" t="s">
        <v>151</v>
      </c>
      <c r="D21" s="21">
        <f t="shared" ref="D21:P21" si="5">IFERROR(D20/D9,"")</f>
        <v>-6.9938840990941831</v>
      </c>
      <c r="E21" s="21" t="str">
        <f t="shared" si="5"/>
        <v/>
      </c>
      <c r="F21" s="21" t="str">
        <f t="shared" si="5"/>
        <v/>
      </c>
      <c r="G21" s="21" t="str">
        <f t="shared" si="5"/>
        <v/>
      </c>
      <c r="H21" s="21" t="str">
        <f t="shared" si="5"/>
        <v/>
      </c>
      <c r="I21" s="21" t="str">
        <f t="shared" si="5"/>
        <v/>
      </c>
      <c r="J21" s="21" t="str">
        <f t="shared" si="5"/>
        <v/>
      </c>
      <c r="K21" s="21" t="str">
        <f t="shared" si="5"/>
        <v/>
      </c>
      <c r="L21" s="21" t="str">
        <f t="shared" si="5"/>
        <v/>
      </c>
      <c r="M21" s="21">
        <f t="shared" si="5"/>
        <v>0.2958665010258158</v>
      </c>
      <c r="N21" s="21">
        <f t="shared" si="5"/>
        <v>0.37942735405811018</v>
      </c>
      <c r="O21" s="21">
        <f t="shared" si="5"/>
        <v>0.30483285465494259</v>
      </c>
      <c r="P21" s="21">
        <f t="shared" si="5"/>
        <v>-0.83676536111368294</v>
      </c>
      <c r="R21" s="35">
        <v>2025</v>
      </c>
      <c r="S21" s="34" t="s">
        <v>53</v>
      </c>
      <c r="T21" s="36"/>
      <c r="U21" s="36"/>
    </row>
    <row r="22" spans="1:21" x14ac:dyDescent="0.2">
      <c r="A22" s="47"/>
      <c r="R22" s="35">
        <v>2025</v>
      </c>
      <c r="S22" s="34" t="s">
        <v>54</v>
      </c>
      <c r="T22" s="36"/>
      <c r="U22" s="36"/>
    </row>
    <row r="23" spans="1:21" x14ac:dyDescent="0.2">
      <c r="A23" s="47"/>
      <c r="R23" s="35">
        <v>2025</v>
      </c>
      <c r="S23" s="34" t="s">
        <v>55</v>
      </c>
      <c r="T23" s="36"/>
      <c r="U23" s="36"/>
    </row>
    <row r="24" spans="1:21" x14ac:dyDescent="0.2">
      <c r="A24" s="47"/>
      <c r="R24" s="35">
        <v>2025</v>
      </c>
      <c r="S24" s="34" t="s">
        <v>56</v>
      </c>
      <c r="T24" s="36"/>
      <c r="U24" s="36"/>
    </row>
    <row r="25" spans="1:21" x14ac:dyDescent="0.2">
      <c r="A25" s="47"/>
      <c r="R25" s="35">
        <v>2025</v>
      </c>
      <c r="S25" s="34" t="s">
        <v>57</v>
      </c>
      <c r="T25" s="36"/>
      <c r="U25" s="36"/>
    </row>
    <row r="26" spans="1:21" x14ac:dyDescent="0.2">
      <c r="A26" s="47"/>
      <c r="R26" s="35">
        <v>2025</v>
      </c>
      <c r="S26" s="34" t="s">
        <v>58</v>
      </c>
      <c r="T26" s="36"/>
      <c r="U26" s="36"/>
    </row>
    <row r="27" spans="1:21" x14ac:dyDescent="0.2">
      <c r="A27" s="47"/>
      <c r="R27" s="35">
        <v>2025</v>
      </c>
      <c r="S27" s="34" t="s">
        <v>59</v>
      </c>
      <c r="T27" s="36"/>
      <c r="U27" s="36"/>
    </row>
    <row r="28" spans="1:21" x14ac:dyDescent="0.2">
      <c r="A28" s="47"/>
      <c r="R28" s="35">
        <v>2025</v>
      </c>
      <c r="S28" s="34" t="s">
        <v>60</v>
      </c>
      <c r="T28" s="36"/>
      <c r="U28" s="36"/>
    </row>
    <row r="29" spans="1:21" x14ac:dyDescent="0.2">
      <c r="A29" s="47"/>
      <c r="R29" s="35">
        <v>2025</v>
      </c>
      <c r="S29" s="34" t="s">
        <v>61</v>
      </c>
      <c r="T29" s="36"/>
      <c r="U29" s="36"/>
    </row>
    <row r="30" spans="1:21" x14ac:dyDescent="0.2">
      <c r="A30" s="47"/>
      <c r="R30" s="35">
        <v>2025</v>
      </c>
      <c r="S30" s="34" t="s">
        <v>62</v>
      </c>
      <c r="T30" s="36"/>
      <c r="U30" s="36"/>
    </row>
    <row r="31" spans="1:21" x14ac:dyDescent="0.2">
      <c r="A31" s="47"/>
      <c r="R31" s="35">
        <v>2025</v>
      </c>
      <c r="S31" s="34" t="s">
        <v>63</v>
      </c>
      <c r="T31" s="36"/>
      <c r="U31" s="36"/>
    </row>
    <row r="32" spans="1:21" x14ac:dyDescent="0.2">
      <c r="A32" s="47"/>
      <c r="R32" s="35">
        <v>2025</v>
      </c>
      <c r="S32" s="34" t="s">
        <v>64</v>
      </c>
      <c r="T32" s="36"/>
      <c r="U32" s="36"/>
    </row>
    <row r="33" spans="1:1" x14ac:dyDescent="0.2">
      <c r="A33" s="47"/>
    </row>
    <row r="34" spans="1:1" x14ac:dyDescent="0.2">
      <c r="A34" s="47"/>
    </row>
    <row r="35" spans="1:1" x14ac:dyDescent="0.2">
      <c r="A35" s="47"/>
    </row>
    <row r="36" spans="1:1" x14ac:dyDescent="0.2">
      <c r="A36" s="47"/>
    </row>
    <row r="37" spans="1:1" x14ac:dyDescent="0.2">
      <c r="A37" s="47"/>
    </row>
    <row r="38" spans="1:1" x14ac:dyDescent="0.2">
      <c r="A38" s="47"/>
    </row>
    <row r="39" spans="1:1" x14ac:dyDescent="0.2">
      <c r="A39" s="47"/>
    </row>
    <row r="40" spans="1:1" x14ac:dyDescent="0.2">
      <c r="A40" s="47"/>
    </row>
    <row r="41" spans="1:1" x14ac:dyDescent="0.2">
      <c r="A41" s="47"/>
    </row>
    <row r="42" spans="1:1" x14ac:dyDescent="0.2">
      <c r="A42" s="47"/>
    </row>
    <row r="43" spans="1:1" x14ac:dyDescent="0.2">
      <c r="A43" s="47"/>
    </row>
    <row r="44" spans="1:1" x14ac:dyDescent="0.2">
      <c r="A44" s="47"/>
    </row>
    <row r="45" spans="1:1" x14ac:dyDescent="0.2">
      <c r="A45" s="47"/>
    </row>
    <row r="46" spans="1:1" x14ac:dyDescent="0.2">
      <c r="A46" s="47"/>
    </row>
    <row r="47" spans="1:1" x14ac:dyDescent="0.2">
      <c r="A47" s="47"/>
    </row>
    <row r="48" spans="1:1" x14ac:dyDescent="0.2">
      <c r="A48" s="47"/>
    </row>
    <row r="49" spans="1:1" x14ac:dyDescent="0.2">
      <c r="A49" s="47"/>
    </row>
    <row r="50" spans="1:1" x14ac:dyDescent="0.2">
      <c r="A50" s="47"/>
    </row>
    <row r="51" spans="1:1" x14ac:dyDescent="0.2">
      <c r="A51" s="47"/>
    </row>
    <row r="52" spans="1:1" x14ac:dyDescent="0.2">
      <c r="A52" s="47"/>
    </row>
    <row r="53" spans="1:1" x14ac:dyDescent="0.2">
      <c r="A53" s="47"/>
    </row>
    <row r="54" spans="1:1" x14ac:dyDescent="0.2">
      <c r="A54" s="47"/>
    </row>
    <row r="55" spans="1:1" x14ac:dyDescent="0.2">
      <c r="A55" s="47"/>
    </row>
    <row r="56" spans="1:1" x14ac:dyDescent="0.2">
      <c r="A56" s="47"/>
    </row>
    <row r="57" spans="1:1" x14ac:dyDescent="0.2">
      <c r="A57" s="47"/>
    </row>
    <row r="58" spans="1:1" x14ac:dyDescent="0.2">
      <c r="A58" s="47"/>
    </row>
    <row r="59" spans="1:1" x14ac:dyDescent="0.2">
      <c r="A59" s="47"/>
    </row>
    <row r="60" spans="1:1" x14ac:dyDescent="0.2">
      <c r="A60" s="47"/>
    </row>
    <row r="61" spans="1:1" x14ac:dyDescent="0.2">
      <c r="A61" s="47"/>
    </row>
    <row r="62" spans="1:1" x14ac:dyDescent="0.2">
      <c r="A62" s="47"/>
    </row>
    <row r="63" spans="1:1" x14ac:dyDescent="0.2">
      <c r="A63" s="47"/>
    </row>
    <row r="64" spans="1:1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  <row r="69" spans="1:1" x14ac:dyDescent="0.2">
      <c r="A69" s="47"/>
    </row>
    <row r="70" spans="1:1" x14ac:dyDescent="0.2">
      <c r="A70" s="47"/>
    </row>
    <row r="71" spans="1:1" x14ac:dyDescent="0.2">
      <c r="A71" s="47"/>
    </row>
    <row r="72" spans="1:1" x14ac:dyDescent="0.2">
      <c r="A72" s="47"/>
    </row>
    <row r="73" spans="1:1" x14ac:dyDescent="0.2">
      <c r="A73" s="47"/>
    </row>
    <row r="74" spans="1:1" x14ac:dyDescent="0.2">
      <c r="A74" s="47"/>
    </row>
    <row r="75" spans="1:1" x14ac:dyDescent="0.2">
      <c r="A75" s="47"/>
    </row>
    <row r="76" spans="1:1" x14ac:dyDescent="0.2">
      <c r="A76" s="47"/>
    </row>
    <row r="77" spans="1:1" x14ac:dyDescent="0.2">
      <c r="A77" s="47"/>
    </row>
    <row r="78" spans="1:1" x14ac:dyDescent="0.2">
      <c r="A78" s="47"/>
    </row>
    <row r="79" spans="1:1" x14ac:dyDescent="0.2">
      <c r="A79" s="47"/>
    </row>
    <row r="80" spans="1:1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  <row r="103" spans="1:1" x14ac:dyDescent="0.2">
      <c r="A103" s="47"/>
    </row>
    <row r="104" spans="1:1" x14ac:dyDescent="0.2">
      <c r="A104" s="47"/>
    </row>
    <row r="105" spans="1:1" x14ac:dyDescent="0.2">
      <c r="A105" s="47"/>
    </row>
    <row r="106" spans="1:1" x14ac:dyDescent="0.2">
      <c r="A106" s="47"/>
    </row>
    <row r="107" spans="1:1" x14ac:dyDescent="0.2">
      <c r="A107" s="47"/>
    </row>
    <row r="108" spans="1:1" x14ac:dyDescent="0.2">
      <c r="A108" s="47"/>
    </row>
    <row r="109" spans="1:1" x14ac:dyDescent="0.2">
      <c r="A109" s="47"/>
    </row>
    <row r="110" spans="1:1" x14ac:dyDescent="0.2">
      <c r="A110" s="47"/>
    </row>
    <row r="111" spans="1:1" x14ac:dyDescent="0.2">
      <c r="A111" s="47"/>
    </row>
    <row r="112" spans="1:1" x14ac:dyDescent="0.2">
      <c r="A112" s="47"/>
    </row>
    <row r="113" spans="1:1" x14ac:dyDescent="0.2">
      <c r="A113" s="47"/>
    </row>
    <row r="114" spans="1:1" x14ac:dyDescent="0.2">
      <c r="A114" s="47"/>
    </row>
    <row r="115" spans="1:1" x14ac:dyDescent="0.2">
      <c r="A115" s="47"/>
    </row>
    <row r="116" spans="1:1" x14ac:dyDescent="0.2">
      <c r="A116" s="47"/>
    </row>
    <row r="117" spans="1:1" x14ac:dyDescent="0.2">
      <c r="A117" s="47"/>
    </row>
    <row r="118" spans="1:1" x14ac:dyDescent="0.2">
      <c r="A118" s="47"/>
    </row>
    <row r="119" spans="1:1" x14ac:dyDescent="0.2">
      <c r="A119" s="47"/>
    </row>
    <row r="120" spans="1:1" x14ac:dyDescent="0.2">
      <c r="A120" s="47"/>
    </row>
    <row r="121" spans="1:1" x14ac:dyDescent="0.2">
      <c r="A121" s="47"/>
    </row>
    <row r="122" spans="1:1" x14ac:dyDescent="0.2">
      <c r="A122" s="47"/>
    </row>
    <row r="123" spans="1:1" x14ac:dyDescent="0.2">
      <c r="A123" s="47"/>
    </row>
    <row r="124" spans="1:1" x14ac:dyDescent="0.2">
      <c r="A124" s="47"/>
    </row>
    <row r="125" spans="1:1" x14ac:dyDescent="0.2">
      <c r="A125" s="47"/>
    </row>
    <row r="126" spans="1:1" x14ac:dyDescent="0.2">
      <c r="A126" s="47"/>
    </row>
    <row r="127" spans="1:1" x14ac:dyDescent="0.2">
      <c r="A127" s="47"/>
    </row>
    <row r="128" spans="1:1" x14ac:dyDescent="0.2">
      <c r="A128" s="47"/>
    </row>
    <row r="129" spans="1:1" x14ac:dyDescent="0.2">
      <c r="A129" s="47"/>
    </row>
    <row r="130" spans="1:1" x14ac:dyDescent="0.2">
      <c r="A130" s="47"/>
    </row>
    <row r="131" spans="1:1" x14ac:dyDescent="0.2">
      <c r="A131" s="47"/>
    </row>
    <row r="132" spans="1:1" x14ac:dyDescent="0.2">
      <c r="A132" s="47"/>
    </row>
    <row r="133" spans="1:1" x14ac:dyDescent="0.2">
      <c r="A133" s="47"/>
    </row>
    <row r="134" spans="1:1" x14ac:dyDescent="0.2">
      <c r="A134" s="47"/>
    </row>
    <row r="135" spans="1:1" x14ac:dyDescent="0.2">
      <c r="A135" s="47"/>
    </row>
    <row r="136" spans="1:1" x14ac:dyDescent="0.2">
      <c r="A136" s="47"/>
    </row>
    <row r="137" spans="1:1" x14ac:dyDescent="0.2">
      <c r="A137" s="47"/>
    </row>
    <row r="138" spans="1:1" x14ac:dyDescent="0.2">
      <c r="A138" s="47"/>
    </row>
    <row r="139" spans="1:1" x14ac:dyDescent="0.2">
      <c r="A139" s="47"/>
    </row>
    <row r="140" spans="1:1" x14ac:dyDescent="0.2">
      <c r="A140" s="47"/>
    </row>
    <row r="141" spans="1:1" x14ac:dyDescent="0.2">
      <c r="A141" s="47"/>
    </row>
    <row r="142" spans="1:1" x14ac:dyDescent="0.2">
      <c r="A142" s="47"/>
    </row>
    <row r="143" spans="1:1" x14ac:dyDescent="0.2">
      <c r="A143" s="47"/>
    </row>
    <row r="144" spans="1:1" x14ac:dyDescent="0.2">
      <c r="A144" s="47"/>
    </row>
    <row r="145" spans="1:1" x14ac:dyDescent="0.2">
      <c r="A145" s="47"/>
    </row>
    <row r="146" spans="1:1" x14ac:dyDescent="0.2">
      <c r="A146" s="47"/>
    </row>
    <row r="147" spans="1:1" x14ac:dyDescent="0.2">
      <c r="A147" s="47"/>
    </row>
    <row r="148" spans="1:1" x14ac:dyDescent="0.2">
      <c r="A148" s="47"/>
    </row>
    <row r="149" spans="1:1" x14ac:dyDescent="0.2">
      <c r="A149" s="47"/>
    </row>
    <row r="150" spans="1:1" x14ac:dyDescent="0.2">
      <c r="A150" s="47"/>
    </row>
    <row r="151" spans="1:1" x14ac:dyDescent="0.2">
      <c r="A151" s="47"/>
    </row>
    <row r="152" spans="1:1" x14ac:dyDescent="0.2">
      <c r="A152" s="47"/>
    </row>
    <row r="153" spans="1:1" x14ac:dyDescent="0.2">
      <c r="A153" s="47"/>
    </row>
    <row r="154" spans="1:1" x14ac:dyDescent="0.2">
      <c r="A154" s="47"/>
    </row>
    <row r="155" spans="1:1" x14ac:dyDescent="0.2">
      <c r="A155" s="47"/>
    </row>
    <row r="156" spans="1:1" x14ac:dyDescent="0.2">
      <c r="A156" s="47"/>
    </row>
    <row r="157" spans="1:1" x14ac:dyDescent="0.2">
      <c r="A157" s="47"/>
    </row>
    <row r="158" spans="1:1" x14ac:dyDescent="0.2">
      <c r="A158" s="47"/>
    </row>
    <row r="159" spans="1:1" x14ac:dyDescent="0.2">
      <c r="A159" s="47"/>
    </row>
    <row r="160" spans="1:1" x14ac:dyDescent="0.2">
      <c r="A160" s="47"/>
    </row>
    <row r="161" spans="1:1" x14ac:dyDescent="0.2">
      <c r="A161" s="47"/>
    </row>
    <row r="162" spans="1:1" x14ac:dyDescent="0.2">
      <c r="A162" s="47"/>
    </row>
    <row r="163" spans="1:1" x14ac:dyDescent="0.2">
      <c r="A163" s="47"/>
    </row>
    <row r="164" spans="1:1" x14ac:dyDescent="0.2">
      <c r="A164" s="47"/>
    </row>
    <row r="165" spans="1:1" x14ac:dyDescent="0.2">
      <c r="A165" s="47"/>
    </row>
    <row r="166" spans="1:1" x14ac:dyDescent="0.2">
      <c r="A166" s="47"/>
    </row>
    <row r="167" spans="1:1" x14ac:dyDescent="0.2">
      <c r="A167" s="47"/>
    </row>
    <row r="168" spans="1:1" x14ac:dyDescent="0.2">
      <c r="A168" s="47"/>
    </row>
    <row r="169" spans="1:1" x14ac:dyDescent="0.2">
      <c r="A169" s="47"/>
    </row>
    <row r="170" spans="1:1" x14ac:dyDescent="0.2">
      <c r="A170" s="47"/>
    </row>
    <row r="171" spans="1:1" x14ac:dyDescent="0.2">
      <c r="A171" s="47"/>
    </row>
    <row r="172" spans="1:1" x14ac:dyDescent="0.2">
      <c r="A172" s="47"/>
    </row>
    <row r="173" spans="1:1" x14ac:dyDescent="0.2">
      <c r="A173" s="47"/>
    </row>
    <row r="174" spans="1:1" x14ac:dyDescent="0.2">
      <c r="A174" s="47"/>
    </row>
    <row r="175" spans="1:1" x14ac:dyDescent="0.2">
      <c r="A175" s="47"/>
    </row>
    <row r="176" spans="1:1" x14ac:dyDescent="0.2">
      <c r="A176" s="47"/>
    </row>
    <row r="177" spans="1:1" x14ac:dyDescent="0.2">
      <c r="A177" s="47"/>
    </row>
    <row r="178" spans="1:1" x14ac:dyDescent="0.2">
      <c r="A178" s="47"/>
    </row>
    <row r="179" spans="1:1" x14ac:dyDescent="0.2">
      <c r="A179" s="47"/>
    </row>
    <row r="180" spans="1:1" x14ac:dyDescent="0.2">
      <c r="A180" s="47"/>
    </row>
    <row r="181" spans="1:1" x14ac:dyDescent="0.2">
      <c r="A181" s="47"/>
    </row>
    <row r="182" spans="1:1" x14ac:dyDescent="0.2">
      <c r="A182" s="47"/>
    </row>
    <row r="183" spans="1:1" x14ac:dyDescent="0.2">
      <c r="A183" s="47"/>
    </row>
    <row r="184" spans="1:1" x14ac:dyDescent="0.2">
      <c r="A184" s="47"/>
    </row>
    <row r="185" spans="1:1" x14ac:dyDescent="0.2">
      <c r="A185" s="47"/>
    </row>
    <row r="186" spans="1:1" x14ac:dyDescent="0.2">
      <c r="A186" s="47"/>
    </row>
    <row r="187" spans="1:1" x14ac:dyDescent="0.2">
      <c r="A187" s="47"/>
    </row>
    <row r="188" spans="1:1" x14ac:dyDescent="0.2">
      <c r="A188" s="47"/>
    </row>
    <row r="189" spans="1:1" x14ac:dyDescent="0.2">
      <c r="A189" s="47"/>
    </row>
    <row r="190" spans="1:1" x14ac:dyDescent="0.2">
      <c r="A190" s="47"/>
    </row>
    <row r="191" spans="1:1" x14ac:dyDescent="0.2">
      <c r="A191" s="47"/>
    </row>
    <row r="192" spans="1:1" x14ac:dyDescent="0.2">
      <c r="A192" s="47"/>
    </row>
    <row r="193" spans="1:1" x14ac:dyDescent="0.2">
      <c r="A193" s="47"/>
    </row>
    <row r="194" spans="1:1" x14ac:dyDescent="0.2">
      <c r="A194" s="47"/>
    </row>
    <row r="195" spans="1:1" x14ac:dyDescent="0.2">
      <c r="A195" s="47"/>
    </row>
    <row r="196" spans="1:1" x14ac:dyDescent="0.2">
      <c r="A196" s="47"/>
    </row>
    <row r="197" spans="1:1" x14ac:dyDescent="0.2">
      <c r="A197" s="47"/>
    </row>
    <row r="198" spans="1:1" x14ac:dyDescent="0.2">
      <c r="A198" s="47"/>
    </row>
    <row r="199" spans="1:1" x14ac:dyDescent="0.2">
      <c r="A199" s="47"/>
    </row>
    <row r="200" spans="1:1" x14ac:dyDescent="0.2">
      <c r="A200" s="47"/>
    </row>
    <row r="201" spans="1:1" x14ac:dyDescent="0.2">
      <c r="A201" s="47"/>
    </row>
    <row r="202" spans="1:1" x14ac:dyDescent="0.2">
      <c r="A202" s="47"/>
    </row>
    <row r="203" spans="1:1" x14ac:dyDescent="0.2">
      <c r="A203" s="47"/>
    </row>
    <row r="204" spans="1:1" x14ac:dyDescent="0.2">
      <c r="A204" s="47"/>
    </row>
    <row r="205" spans="1:1" x14ac:dyDescent="0.2">
      <c r="A205" s="47"/>
    </row>
    <row r="206" spans="1:1" x14ac:dyDescent="0.2">
      <c r="A206" s="47"/>
    </row>
  </sheetData>
  <sheetProtection selectLockedCells="1"/>
  <mergeCells count="1">
    <mergeCell ref="B1:J1"/>
  </mergeCells>
  <phoneticPr fontId="4" type="noConversion"/>
  <dataValidations count="1">
    <dataValidation type="list" allowBlank="1" showInputMessage="1" showErrorMessage="1" sqref="D6" xr:uid="{606CA1DA-230E-4B69-8C4D-9CFABD3BD282}">
      <formula1>"2023,2024,,2025,2026,2027,2028,2029,2030"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472AD1B-BF2F-4F7B-B0C6-AFF9A29C6DA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D21:P21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4C92-C932-4387-8CA8-23674C2188E2}">
  <sheetPr codeName="Hoja11">
    <tabColor theme="7" tint="-0.249977111117893"/>
  </sheetPr>
  <dimension ref="A1:BC308"/>
  <sheetViews>
    <sheetView showGridLines="0" view="pageBreakPreview" topLeftCell="A2" zoomScale="90" zoomScaleNormal="70" zoomScaleSheetLayoutView="90" workbookViewId="0">
      <selection activeCell="D7" sqref="D7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56.83203125" customWidth="1"/>
    <col min="4" max="4" width="20.6640625" style="9" customWidth="1"/>
    <col min="5" max="5" width="15.1640625" style="9" customWidth="1"/>
    <col min="6" max="7" width="11.1640625" customWidth="1"/>
    <col min="8" max="8" width="10.83203125" customWidth="1"/>
    <col min="9" max="9" width="10.6640625" customWidth="1"/>
    <col min="10" max="10" width="11.6640625" customWidth="1"/>
    <col min="11" max="11" width="11.83203125" customWidth="1"/>
    <col min="12" max="13" width="11" customWidth="1"/>
    <col min="14" max="14" width="15.6640625" customWidth="1"/>
    <col min="15" max="15" width="11.83203125" customWidth="1"/>
    <col min="16" max="16" width="15.6640625" customWidth="1"/>
    <col min="17" max="17" width="14" customWidth="1"/>
    <col min="18" max="18" width="13" customWidth="1"/>
  </cols>
  <sheetData>
    <row r="1" spans="1:55" s="3" customFormat="1" ht="58.5" customHeight="1" thickBot="1" x14ac:dyDescent="0.25">
      <c r="A1" s="47"/>
      <c r="B1" s="671" t="s">
        <v>166</v>
      </c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</row>
    <row r="2" spans="1:55" ht="26.25" customHeight="1" x14ac:dyDescent="0.2">
      <c r="A2" s="47"/>
      <c r="D2"/>
      <c r="E2"/>
    </row>
    <row r="3" spans="1:55" ht="0.75" customHeight="1" x14ac:dyDescent="0.2">
      <c r="A3" s="47"/>
      <c r="F3" s="13">
        <f t="shared" ref="F3:Q3" si="0">DATE($G$7,MATCH(F9,$F$9:$Q$9,0),1)</f>
        <v>45658</v>
      </c>
      <c r="G3" s="13">
        <f t="shared" si="0"/>
        <v>45689</v>
      </c>
      <c r="H3" s="13">
        <f t="shared" si="0"/>
        <v>45717</v>
      </c>
      <c r="I3" s="13">
        <f t="shared" si="0"/>
        <v>45748</v>
      </c>
      <c r="J3" s="13">
        <f t="shared" si="0"/>
        <v>45778</v>
      </c>
      <c r="K3" s="13">
        <f t="shared" si="0"/>
        <v>45809</v>
      </c>
      <c r="L3" s="13">
        <f t="shared" si="0"/>
        <v>45839</v>
      </c>
      <c r="M3" s="13">
        <f t="shared" si="0"/>
        <v>45870</v>
      </c>
      <c r="N3" s="13">
        <f t="shared" si="0"/>
        <v>45901</v>
      </c>
      <c r="O3" s="13">
        <f t="shared" si="0"/>
        <v>45931</v>
      </c>
      <c r="P3" s="13">
        <f t="shared" si="0"/>
        <v>45962</v>
      </c>
      <c r="Q3" s="13">
        <f t="shared" si="0"/>
        <v>45992</v>
      </c>
    </row>
    <row r="4" spans="1:55" ht="0.75" customHeight="1" x14ac:dyDescent="0.2">
      <c r="A4" s="47"/>
      <c r="F4" s="13">
        <f>EOMONTH(F3,0)</f>
        <v>45688</v>
      </c>
      <c r="G4" s="13">
        <f t="shared" ref="G4:Q4" si="1">EOMONTH(G3,0)</f>
        <v>45716</v>
      </c>
      <c r="H4" s="13">
        <f t="shared" si="1"/>
        <v>45747</v>
      </c>
      <c r="I4" s="13">
        <f t="shared" si="1"/>
        <v>45777</v>
      </c>
      <c r="J4" s="13">
        <f t="shared" si="1"/>
        <v>45808</v>
      </c>
      <c r="K4" s="13">
        <f t="shared" si="1"/>
        <v>45838</v>
      </c>
      <c r="L4" s="13">
        <f t="shared" si="1"/>
        <v>45869</v>
      </c>
      <c r="M4" s="13">
        <f t="shared" si="1"/>
        <v>45900</v>
      </c>
      <c r="N4" s="13">
        <f t="shared" si="1"/>
        <v>45930</v>
      </c>
      <c r="O4" s="13">
        <f t="shared" si="1"/>
        <v>45961</v>
      </c>
      <c r="P4" s="13">
        <f t="shared" si="1"/>
        <v>45991</v>
      </c>
      <c r="Q4" s="13">
        <f t="shared" si="1"/>
        <v>46022</v>
      </c>
    </row>
    <row r="5" spans="1:55" ht="26.25" customHeight="1" x14ac:dyDescent="0.2">
      <c r="A5" s="47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55" ht="9" customHeight="1" x14ac:dyDescent="0.2">
      <c r="A6" s="47"/>
      <c r="D6"/>
    </row>
    <row r="7" spans="1:55" s="25" customFormat="1" ht="31.5" customHeight="1" x14ac:dyDescent="0.2">
      <c r="A7" s="52"/>
      <c r="C7" s="486" t="s">
        <v>154</v>
      </c>
      <c r="D7" s="507" t="str">
        <f>'KPI Individual'!D2</f>
        <v>QAA-3164</v>
      </c>
      <c r="E7" s="467" t="str">
        <f>VLOOKUP(D7,Vehiculos[[PLACA]:[MARCA]],3,FALSE)</f>
        <v>SHACMAN</v>
      </c>
      <c r="F7" s="468" t="s">
        <v>4</v>
      </c>
      <c r="G7" s="469">
        <f>'Flujo de Caja'!D6</f>
        <v>2025</v>
      </c>
    </row>
    <row r="8" spans="1:55" ht="8" customHeight="1" x14ac:dyDescent="0.2">
      <c r="A8" s="47"/>
      <c r="D8"/>
      <c r="E8"/>
    </row>
    <row r="9" spans="1:55" s="25" customFormat="1" ht="31.5" customHeight="1" x14ac:dyDescent="0.2">
      <c r="A9" s="52"/>
      <c r="C9" s="470" t="s">
        <v>70</v>
      </c>
      <c r="D9" s="470" t="s">
        <v>71</v>
      </c>
      <c r="E9" s="470" t="s">
        <v>161</v>
      </c>
      <c r="F9" s="471" t="s">
        <v>53</v>
      </c>
      <c r="G9" s="471" t="s">
        <v>54</v>
      </c>
      <c r="H9" s="471" t="s">
        <v>55</v>
      </c>
      <c r="I9" s="471" t="s">
        <v>56</v>
      </c>
      <c r="J9" s="471" t="s">
        <v>57</v>
      </c>
      <c r="K9" s="471" t="s">
        <v>58</v>
      </c>
      <c r="L9" s="471" t="s">
        <v>59</v>
      </c>
      <c r="M9" s="471" t="s">
        <v>60</v>
      </c>
      <c r="N9" s="471" t="s">
        <v>402</v>
      </c>
      <c r="O9" s="471" t="s">
        <v>62</v>
      </c>
      <c r="P9" s="471" t="s">
        <v>63</v>
      </c>
      <c r="Q9" s="471" t="s">
        <v>64</v>
      </c>
      <c r="R9" s="472" t="s">
        <v>155</v>
      </c>
    </row>
    <row r="10" spans="1:55" s="25" customFormat="1" ht="20" customHeight="1" x14ac:dyDescent="0.2">
      <c r="A10" s="52"/>
      <c r="C10" s="494" t="s">
        <v>358</v>
      </c>
      <c r="D10" s="473" t="s">
        <v>357</v>
      </c>
      <c r="E10" s="26"/>
      <c r="F10" s="477">
        <f>COUNTIFS(Rutas[Placa Vehiculo],IF($D$7="","*",$D$7),Rutas[Fecha de Llegada],"&gt;="&amp;F$3,Rutas[Fecha de Llegada],"&lt;="&amp;F$4)</f>
        <v>4</v>
      </c>
      <c r="G10" s="477">
        <f>COUNTIFS(Rutas[Placa Vehiculo],IF($D$7="","*",$D$7),Rutas[Fecha de Llegada],"&gt;="&amp;G$3,Rutas[Fecha de Llegada],"&lt;="&amp;G$4)</f>
        <v>6</v>
      </c>
      <c r="H10" s="477">
        <f>COUNTIFS(Rutas[Placa Vehiculo],IF($D$7="","*",$D$7),Rutas[Fecha de Llegada],"&gt;="&amp;H$3,Rutas[Fecha de Llegada],"&lt;="&amp;H$4)</f>
        <v>6</v>
      </c>
      <c r="I10" s="477">
        <f>COUNTIFS(Rutas[Placa Vehiculo],IF($D$7="","*",$D$7),Rutas[Fecha de Llegada],"&gt;="&amp;I$3,Rutas[Fecha de Llegada],"&lt;="&amp;I$4)</f>
        <v>4</v>
      </c>
      <c r="J10" s="477">
        <f>COUNTIFS(Rutas[Placa Vehiculo],IF($D$7="","*",$D$7),Rutas[Fecha de Llegada],"&gt;="&amp;J$3,Rutas[Fecha de Llegada],"&lt;="&amp;J$4)</f>
        <v>6</v>
      </c>
      <c r="K10" s="477">
        <f>COUNTIFS(Rutas[Placa Vehiculo],IF($D$7="","*",$D$7),Rutas[Fecha de Llegada],"&gt;="&amp;K$3,Rutas[Fecha de Llegada],"&lt;="&amp;K$4)</f>
        <v>4</v>
      </c>
      <c r="L10" s="477">
        <f>COUNTIFS(Rutas[Placa Vehiculo],IF($D$7="","*",$D$7),Rutas[Fecha de Llegada],"&gt;="&amp;L$3,Rutas[Fecha de Llegada],"&lt;="&amp;L$4)</f>
        <v>4</v>
      </c>
      <c r="M10" s="477">
        <f>COUNTIFS(Rutas[Placa Vehiculo],IF($D$7="","*",$D$7),Rutas[Fecha de Llegada],"&gt;="&amp;M$3,Rutas[Fecha de Llegada],"&lt;="&amp;M$4)</f>
        <v>6</v>
      </c>
      <c r="N10" s="477">
        <f>COUNTIFS(Rutas[Placa Vehiculo],IF($D$7="","*",$D$7),Rutas[Fecha de Llegada],"&gt;="&amp;N$3,Rutas[Fecha de Llegada],"&lt;="&amp;N$4)</f>
        <v>4</v>
      </c>
      <c r="O10" s="477">
        <f>COUNTIFS(Rutas[Placa Vehiculo],IF($D$7="","*",$D$7),Rutas[Fecha de Llegada],"&gt;="&amp;O$3,Rutas[Fecha de Llegada],"&lt;="&amp;O$4)</f>
        <v>4</v>
      </c>
      <c r="P10" s="477">
        <f>COUNTIFS(Rutas[Placa Vehiculo],IF($D$7="","*",$D$7),Rutas[Fecha de Llegada],"&gt;="&amp;P$3,Rutas[Fecha de Llegada],"&lt;="&amp;P$4)</f>
        <v>2</v>
      </c>
      <c r="Q10" s="477">
        <f>COUNTIFS(Rutas[Placa Vehiculo],IF($D$7="","*",$D$7),Rutas[Fecha de Llegada],"&gt;="&amp;Q$3,Rutas[Fecha de Llegada],"&lt;="&amp;Q$4)</f>
        <v>3</v>
      </c>
      <c r="R10" s="475">
        <f>SUM(F10:Q10)</f>
        <v>53</v>
      </c>
    </row>
    <row r="11" spans="1:55" s="25" customFormat="1" ht="20" customHeight="1" x14ac:dyDescent="0.2">
      <c r="A11" s="52"/>
      <c r="C11" s="494" t="s">
        <v>38</v>
      </c>
      <c r="D11" s="473" t="s">
        <v>73</v>
      </c>
      <c r="E11" s="26"/>
      <c r="F11" s="477">
        <f>SUMIFS(Rutas[Kms Recorridos],Rutas[Placa Vehiculo],IF($D$7="","*",$D$7),Rutas[Fecha de Llegada],"&gt;="&amp;F$3,Rutas[Fecha de Llegada],"&lt;="&amp;F$4)</f>
        <v>774</v>
      </c>
      <c r="G11" s="477">
        <f>SUMIFS(Rutas[Kms Recorridos],Rutas[Placa Vehiculo],IF($D$7="","*",$D$7),Rutas[Fecha de Llegada],"&gt;="&amp;G$3,Rutas[Fecha de Llegada],"&lt;="&amp;G$4)</f>
        <v>453</v>
      </c>
      <c r="H11" s="477">
        <f>SUMIFS(Rutas[Kms Recorridos],Rutas[Placa Vehiculo],IF($D$7="","*",$D$7),Rutas[Fecha de Llegada],"&gt;="&amp;H$3,Rutas[Fecha de Llegada],"&lt;="&amp;H$4)</f>
        <v>1637</v>
      </c>
      <c r="I11" s="477">
        <f>SUMIFS(Rutas[Kms Recorridos],Rutas[Placa Vehiculo],IF($D$7="","*",$D$7),Rutas[Fecha de Llegada],"&gt;="&amp;I$3,Rutas[Fecha de Llegada],"&lt;="&amp;I$4)</f>
        <v>1811</v>
      </c>
      <c r="J11" s="477">
        <f>SUMIFS(Rutas[Kms Recorridos],Rutas[Placa Vehiculo],IF($D$7="","*",$D$7),Rutas[Fecha de Llegada],"&gt;="&amp;J$3,Rutas[Fecha de Llegada],"&lt;="&amp;J$4)</f>
        <v>3263</v>
      </c>
      <c r="K11" s="477">
        <f>SUMIFS(Rutas[Kms Recorridos],Rutas[Placa Vehiculo],IF($D$7="","*",$D$7),Rutas[Fecha de Llegada],"&gt;="&amp;K$3,Rutas[Fecha de Llegada],"&lt;="&amp;K$4)</f>
        <v>1789</v>
      </c>
      <c r="L11" s="477">
        <f>SUMIFS(Rutas[Kms Recorridos],Rutas[Placa Vehiculo],IF($D$7="","*",$D$7),Rutas[Fecha de Llegada],"&gt;="&amp;L$3,Rutas[Fecha de Llegada],"&lt;="&amp;L$4)</f>
        <v>2334</v>
      </c>
      <c r="M11" s="477">
        <f>SUMIFS(Rutas[Kms Recorridos],Rutas[Placa Vehiculo],IF($D$7="","*",$D$7),Rutas[Fecha de Llegada],"&gt;="&amp;M$3,Rutas[Fecha de Llegada],"&lt;="&amp;M$4)</f>
        <v>2333</v>
      </c>
      <c r="N11" s="477">
        <f>SUMIFS(Rutas[Kms Recorridos],Rutas[Placa Vehiculo],IF($D$7="","*",$D$7),Rutas[Fecha de Llegada],"&gt;="&amp;N$3,Rutas[Fecha de Llegada],"&lt;="&amp;N$4)</f>
        <v>2059</v>
      </c>
      <c r="O11" s="477">
        <f>SUMIFS(Rutas[Kms Recorridos],Rutas[Placa Vehiculo],IF($D$7="","*",$D$7),Rutas[Fecha de Llegada],"&gt;="&amp;O$3,Rutas[Fecha de Llegada],"&lt;="&amp;O$4)</f>
        <v>2799</v>
      </c>
      <c r="P11" s="477">
        <f>SUMIFS(Rutas[Kms Recorridos],Rutas[Placa Vehiculo],IF($D$7="","*",$D$7),Rutas[Fecha de Llegada],"&gt;="&amp;P$3,Rutas[Fecha de Llegada],"&lt;="&amp;P$4)</f>
        <v>1480</v>
      </c>
      <c r="Q11" s="477">
        <f>SUMIFS(Rutas[Kms Recorridos],Rutas[Placa Vehiculo],IF($D$7="","*",$D$7),Rutas[Fecha de Llegada],"&gt;="&amp;Q$3,Rutas[Fecha de Llegada],"&lt;="&amp;Q$4)</f>
        <v>2112</v>
      </c>
      <c r="R11" s="475">
        <f t="shared" ref="R11:R22" si="2">SUM(F11:Q11)</f>
        <v>22844</v>
      </c>
    </row>
    <row r="12" spans="1:55" s="25" customFormat="1" ht="20" customHeight="1" x14ac:dyDescent="0.2">
      <c r="A12" s="52"/>
      <c r="C12" s="494" t="s">
        <v>46</v>
      </c>
      <c r="D12" s="473" t="s">
        <v>74</v>
      </c>
      <c r="E12" s="26"/>
      <c r="F12" s="477">
        <f>SUMIFS(Rutas[Ingreso Total ($)],Rutas[Placa Vehiculo],IF($D$7="","*",$D$7),Rutas[Fecha de Llegada],"&gt;="&amp;F$3,Rutas[Fecha de Llegada],"&lt;="&amp;F$4)</f>
        <v>0</v>
      </c>
      <c r="G12" s="477">
        <f>SUMIFS(Rutas[Ingreso Total ($)],Rutas[Placa Vehiculo],IF($D$7="","*",$D$7),Rutas[Fecha de Llegada],"&gt;="&amp;G$3,Rutas[Fecha de Llegada],"&lt;="&amp;G$4)</f>
        <v>0</v>
      </c>
      <c r="H12" s="477">
        <f>SUMIFS(Rutas[Ingreso Total ($)],Rutas[Placa Vehiculo],IF($D$7="","*",$D$7),Rutas[Fecha de Llegada],"&gt;="&amp;H$3,Rutas[Fecha de Llegada],"&lt;="&amp;H$4)</f>
        <v>0</v>
      </c>
      <c r="I12" s="477">
        <f>SUMIFS(Rutas[Ingreso Total ($)],Rutas[Placa Vehiculo],IF($D$7="","*",$D$7),Rutas[Fecha de Llegada],"&gt;="&amp;I$3,Rutas[Fecha de Llegada],"&lt;="&amp;I$4)</f>
        <v>0</v>
      </c>
      <c r="J12" s="477">
        <f>SUMIFS(Rutas[Ingreso Total ($)],Rutas[Placa Vehiculo],IF($D$7="","*",$D$7),Rutas[Fecha de Llegada],"&gt;="&amp;J$3,Rutas[Fecha de Llegada],"&lt;="&amp;J$4)</f>
        <v>0</v>
      </c>
      <c r="K12" s="477">
        <f>SUMIFS(Rutas[Ingreso Total ($)],Rutas[Placa Vehiculo],IF($D$7="","*",$D$7),Rutas[Fecha de Llegada],"&gt;="&amp;K$3,Rutas[Fecha de Llegada],"&lt;="&amp;K$4)</f>
        <v>0</v>
      </c>
      <c r="L12" s="477">
        <f>SUMIFS(Rutas[Ingreso Total ($)],Rutas[Placa Vehiculo],IF($D$7="","*",$D$7),Rutas[Fecha de Llegada],"&gt;="&amp;L$3,Rutas[Fecha de Llegada],"&lt;="&amp;L$4)</f>
        <v>0</v>
      </c>
      <c r="M12" s="477">
        <f>SUMIFS(Rutas[Ingreso Total ($)],Rutas[Placa Vehiculo],IF($D$7="","*",$D$7),Rutas[Fecha de Llegada],"&gt;="&amp;M$3,Rutas[Fecha de Llegada],"&lt;="&amp;M$4)</f>
        <v>0</v>
      </c>
      <c r="N12" s="477">
        <f>SUMIFS(Rutas[Ingreso Total ($)],Rutas[Placa Vehiculo],IF($D$7="","*",$D$7),Rutas[Fecha de Llegada],"&gt;="&amp;N$3,Rutas[Fecha de Llegada],"&lt;="&amp;N$4)</f>
        <v>0</v>
      </c>
      <c r="O12" s="477">
        <f>SUMIFS(Rutas[Ingreso Total ($)],Rutas[Placa Vehiculo],IF($D$7="","*",$D$7),Rutas[Fecha de Llegada],"&gt;="&amp;O$3,Rutas[Fecha de Llegada],"&lt;="&amp;O$4)</f>
        <v>2127.2400000000002</v>
      </c>
      <c r="P12" s="477">
        <f>SUMIFS(Rutas[Ingreso Total ($)],Rutas[Placa Vehiculo],IF($D$7="","*",$D$7),Rutas[Fecha de Llegada],"&gt;="&amp;P$3,Rutas[Fecha de Llegada],"&lt;="&amp;P$4)</f>
        <v>1124.8</v>
      </c>
      <c r="Q12" s="477">
        <f>SUMIFS(Rutas[Ingreso Total ($)],Rutas[Placa Vehiculo],IF($D$7="","*",$D$7),Rutas[Fecha de Llegada],"&gt;="&amp;Q$3,Rutas[Fecha de Llegada],"&lt;="&amp;Q$4)</f>
        <v>1605.1200000000001</v>
      </c>
      <c r="R12" s="475">
        <f t="shared" si="2"/>
        <v>4857.16</v>
      </c>
    </row>
    <row r="13" spans="1:55" s="25" customFormat="1" ht="20" customHeight="1" x14ac:dyDescent="0.2">
      <c r="A13" s="52"/>
      <c r="C13" s="494" t="s">
        <v>47</v>
      </c>
      <c r="D13" s="473" t="s">
        <v>74</v>
      </c>
      <c r="E13" s="26"/>
      <c r="F13" s="477">
        <f>SUMIFS(Rutas[Gasto Total ($)],Rutas[Placa Vehiculo],IF($D$7="","*",$D$7),Rutas[Fecha de Llegada],"&gt;="&amp;F$3,Rutas[Fecha de Llegada],"&lt;="&amp;F$4)</f>
        <v>597.40200000000004</v>
      </c>
      <c r="G13" s="477">
        <f>SUMIFS(Rutas[Gasto Total ($)],Rutas[Placa Vehiculo],IF($D$7="","*",$D$7),Rutas[Fecha de Llegada],"&gt;="&amp;G$3,Rutas[Fecha de Llegada],"&lt;="&amp;G$4)</f>
        <v>1156.662</v>
      </c>
      <c r="H13" s="477">
        <f>SUMIFS(Rutas[Gasto Total ($)],Rutas[Placa Vehiculo],IF($D$7="","*",$D$7),Rutas[Fecha de Llegada],"&gt;="&amp;H$3,Rutas[Fecha de Llegada],"&lt;="&amp;H$4)</f>
        <v>1204.308</v>
      </c>
      <c r="I13" s="477">
        <f>SUMIFS(Rutas[Gasto Total ($)],Rutas[Placa Vehiculo],IF($D$7="","*",$D$7),Rutas[Fecha de Llegada],"&gt;="&amp;I$3,Rutas[Fecha de Llegada],"&lt;="&amp;I$4)</f>
        <v>652.1400000000001</v>
      </c>
      <c r="J13" s="477">
        <f>SUMIFS(Rutas[Gasto Total ($)],Rutas[Placa Vehiculo],IF($D$7="","*",$D$7),Rutas[Fecha de Llegada],"&gt;="&amp;J$3,Rutas[Fecha de Llegada],"&lt;="&amp;J$4)</f>
        <v>833.04000000000008</v>
      </c>
      <c r="K13" s="477">
        <f>SUMIFS(Rutas[Gasto Total ($)],Rutas[Placa Vehiculo],IF($D$7="","*",$D$7),Rutas[Fecha de Llegada],"&gt;="&amp;K$3,Rutas[Fecha de Llegada],"&lt;="&amp;K$4)</f>
        <v>602.87400000000014</v>
      </c>
      <c r="L13" s="477">
        <f>SUMIFS(Rutas[Gasto Total ($)],Rutas[Placa Vehiculo],IF($D$7="","*",$D$7),Rutas[Fecha de Llegada],"&gt;="&amp;L$3,Rutas[Fecha de Llegada],"&lt;="&amp;L$4)</f>
        <v>612.50400000000002</v>
      </c>
      <c r="M13" s="477">
        <f>SUMIFS(Rutas[Gasto Total ($)],Rutas[Placa Vehiculo],IF($D$7="","*",$D$7),Rutas[Fecha de Llegada],"&gt;="&amp;M$3,Rutas[Fecha de Llegada],"&lt;="&amp;M$4)</f>
        <v>853.11</v>
      </c>
      <c r="N13" s="477">
        <f>SUMIFS(Rutas[Gasto Total ($)],Rutas[Placa Vehiculo],IF($D$7="","*",$D$7),Rutas[Fecha de Llegada],"&gt;="&amp;N$3,Rutas[Fecha de Llegada],"&lt;="&amp;N$4)</f>
        <v>835.22800000000007</v>
      </c>
      <c r="O13" s="477">
        <f>SUMIFS(Rutas[Gasto Total ($)],Rutas[Placa Vehiculo],IF($D$7="","*",$D$7),Rutas[Fecha de Llegada],"&gt;="&amp;O$3,Rutas[Fecha de Llegada],"&lt;="&amp;O$4)</f>
        <v>1129.8</v>
      </c>
      <c r="P13" s="477">
        <f>SUMIFS(Rutas[Gasto Total ($)],Rutas[Placa Vehiculo],IF($D$7="","*",$D$7),Rutas[Fecha de Llegada],"&gt;="&amp;P$3,Rutas[Fecha de Llegada],"&lt;="&amp;P$4)</f>
        <v>606.17199999999991</v>
      </c>
      <c r="Q13" s="477">
        <f>SUMIFS(Rutas[Gasto Total ($)],Rutas[Placa Vehiculo],IF($D$7="","*",$D$7),Rutas[Fecha de Llegada],"&gt;="&amp;Q$3,Rutas[Fecha de Llegada],"&lt;="&amp;Q$4)</f>
        <v>879.89999999999986</v>
      </c>
      <c r="R13" s="475">
        <f t="shared" si="2"/>
        <v>9963.14</v>
      </c>
    </row>
    <row r="14" spans="1:55" s="25" customFormat="1" ht="20" customHeight="1" x14ac:dyDescent="0.2">
      <c r="A14" s="52"/>
      <c r="C14" s="494" t="s">
        <v>360</v>
      </c>
      <c r="D14" s="473" t="s">
        <v>75</v>
      </c>
      <c r="E14" s="26"/>
      <c r="F14" s="477">
        <f>SUMIFS(Rutas[Volumen de Combustible (gal)],Rutas[Placa Vehiculo],IF($D$7="","*",$D$7),Rutas[Fecha de Llegada],"&gt;="&amp;F$3,Rutas[Fecha de Llegada],"&lt;="&amp;F$4)</f>
        <v>331.89</v>
      </c>
      <c r="G14" s="477">
        <f>SUMIFS(Rutas[Volumen de Combustible (gal)],Rutas[Placa Vehiculo],IF($D$7="","*",$D$7),Rutas[Fecha de Llegada],"&gt;="&amp;G$3,Rutas[Fecha de Llegada],"&lt;="&amp;G$4)</f>
        <v>642.59</v>
      </c>
      <c r="H14" s="477">
        <f>SUMIFS(Rutas[Volumen de Combustible (gal)],Rutas[Placa Vehiculo],IF($D$7="","*",$D$7),Rutas[Fecha de Llegada],"&gt;="&amp;H$3,Rutas[Fecha de Llegada],"&lt;="&amp;H$4)</f>
        <v>669.06</v>
      </c>
      <c r="I14" s="477">
        <f>SUMIFS(Rutas[Volumen de Combustible (gal)],Rutas[Placa Vehiculo],IF($D$7="","*",$D$7),Rutas[Fecha de Llegada],"&gt;="&amp;I$3,Rutas[Fecha de Llegada],"&lt;="&amp;I$4)</f>
        <v>362.3</v>
      </c>
      <c r="J14" s="477">
        <f>SUMIFS(Rutas[Volumen de Combustible (gal)],Rutas[Placa Vehiculo],IF($D$7="","*",$D$7),Rutas[Fecha de Llegada],"&gt;="&amp;J$3,Rutas[Fecha de Llegada],"&lt;="&amp;J$4)</f>
        <v>462.8</v>
      </c>
      <c r="K14" s="477">
        <f>SUMIFS(Rutas[Volumen de Combustible (gal)],Rutas[Placa Vehiculo],IF($D$7="","*",$D$7),Rutas[Fecha de Llegada],"&gt;="&amp;K$3,Rutas[Fecha de Llegada],"&lt;="&amp;K$4)</f>
        <v>334.93</v>
      </c>
      <c r="L14" s="477">
        <f>SUMIFS(Rutas[Volumen de Combustible (gal)],Rutas[Placa Vehiculo],IF($D$7="","*",$D$7),Rutas[Fecha de Llegada],"&gt;="&amp;L$3,Rutas[Fecha de Llegada],"&lt;="&amp;L$4)</f>
        <v>340.28</v>
      </c>
      <c r="M14" s="477">
        <f>SUMIFS(Rutas[Volumen de Combustible (gal)],Rutas[Placa Vehiculo],IF($D$7="","*",$D$7),Rutas[Fecha de Llegada],"&gt;="&amp;M$3,Rutas[Fecha de Llegada],"&lt;="&amp;M$4)</f>
        <v>473.95000000000005</v>
      </c>
      <c r="N14" s="477">
        <f>SUMIFS(Rutas[Volumen de Combustible (gal)],Rutas[Placa Vehiculo],IF($D$7="","*",$D$7),Rutas[Fecha de Llegada],"&gt;="&amp;N$3,Rutas[Fecha de Llegada],"&lt;="&amp;N$4)</f>
        <v>335.46000000000004</v>
      </c>
      <c r="O14" s="477">
        <f>SUMIFS(Rutas[Volumen de Combustible (gal)],Rutas[Placa Vehiculo],IF($D$7="","*",$D$7),Rutas[Fecha de Llegada],"&gt;="&amp;O$3,Rutas[Fecha de Llegada],"&lt;="&amp;O$4)</f>
        <v>403.5</v>
      </c>
      <c r="P14" s="477">
        <f>SUMIFS(Rutas[Volumen de Combustible (gal)],Rutas[Placa Vehiculo],IF($D$7="","*",$D$7),Rutas[Fecha de Llegada],"&gt;="&amp;P$3,Rutas[Fecha de Llegada],"&lt;="&amp;P$4)</f>
        <v>216.49</v>
      </c>
      <c r="Q14" s="477">
        <f>SUMIFS(Rutas[Volumen de Combustible (gal)],Rutas[Placa Vehiculo],IF($D$7="","*",$D$7),Rutas[Fecha de Llegada],"&gt;="&amp;Q$3,Rutas[Fecha de Llegada],"&lt;="&amp;Q$4)</f>
        <v>314.25</v>
      </c>
      <c r="R14" s="475">
        <f t="shared" si="2"/>
        <v>4887.4999999999991</v>
      </c>
    </row>
    <row r="15" spans="1:55" s="25" customFormat="1" ht="20" customHeight="1" x14ac:dyDescent="0.2">
      <c r="A15" s="52"/>
      <c r="C15" s="494" t="s">
        <v>77</v>
      </c>
      <c r="D15" s="473" t="s">
        <v>76</v>
      </c>
      <c r="E15" s="26"/>
      <c r="F15" s="477">
        <f>SUMIFS(Rutas[Peso de carga (BLS)],Rutas[Placa Vehiculo],IF($D$7="","*",$D$7),Rutas[Fecha de Llegada],"&gt;="&amp;F$3,Rutas[Fecha de Llegada],"&lt;="&amp;F$4)</f>
        <v>0</v>
      </c>
      <c r="G15" s="477">
        <f>SUMIFS(Rutas[Peso de carga (BLS)],Rutas[Placa Vehiculo],IF($D$7="","*",$D$7),Rutas[Fecha de Llegada],"&gt;="&amp;G$3,Rutas[Fecha de Llegada],"&lt;="&amp;G$4)</f>
        <v>0</v>
      </c>
      <c r="H15" s="477">
        <f>SUMIFS(Rutas[Peso de carga (BLS)],Rutas[Placa Vehiculo],IF($D$7="","*",$D$7),Rutas[Fecha de Llegada],"&gt;="&amp;H$3,Rutas[Fecha de Llegada],"&lt;="&amp;H$4)</f>
        <v>0</v>
      </c>
      <c r="I15" s="477">
        <f>SUMIFS(Rutas[Peso de carga (BLS)],Rutas[Placa Vehiculo],IF($D$7="","*",$D$7),Rutas[Fecha de Llegada],"&gt;="&amp;I$3,Rutas[Fecha de Llegada],"&lt;="&amp;I$4)</f>
        <v>0</v>
      </c>
      <c r="J15" s="477">
        <f>SUMIFS(Rutas[Peso de carga (BLS)],Rutas[Placa Vehiculo],IF($D$7="","*",$D$7),Rutas[Fecha de Llegada],"&gt;="&amp;J$3,Rutas[Fecha de Llegada],"&lt;="&amp;J$4)</f>
        <v>0</v>
      </c>
      <c r="K15" s="477">
        <f>SUMIFS(Rutas[Peso de carga (BLS)],Rutas[Placa Vehiculo],IF($D$7="","*",$D$7),Rutas[Fecha de Llegada],"&gt;="&amp;K$3,Rutas[Fecha de Llegada],"&lt;="&amp;K$4)</f>
        <v>0</v>
      </c>
      <c r="L15" s="477">
        <f>SUMIFS(Rutas[Peso de carga (BLS)],Rutas[Placa Vehiculo],IF($D$7="","*",$D$7),Rutas[Fecha de Llegada],"&gt;="&amp;L$3,Rutas[Fecha de Llegada],"&lt;="&amp;L$4)</f>
        <v>0</v>
      </c>
      <c r="M15" s="477">
        <f>SUMIFS(Rutas[Peso de carga (BLS)],Rutas[Placa Vehiculo],IF($D$7="","*",$D$7),Rutas[Fecha de Llegada],"&gt;="&amp;M$3,Rutas[Fecha de Llegada],"&lt;="&amp;M$4)</f>
        <v>0</v>
      </c>
      <c r="N15" s="477">
        <f>SUMIFS(Rutas[Peso de carga (BLS)],Rutas[Placa Vehiculo],IF($D$7="","*",$D$7),Rutas[Fecha de Llegada],"&gt;="&amp;N$3,Rutas[Fecha de Llegada],"&lt;="&amp;N$4)</f>
        <v>0</v>
      </c>
      <c r="O15" s="477">
        <f>SUMIFS(Rutas[Peso de carga (BLS)],Rutas[Placa Vehiculo],IF($D$7="","*",$D$7),Rutas[Fecha de Llegada],"&gt;="&amp;O$3,Rutas[Fecha de Llegada],"&lt;="&amp;O$4)</f>
        <v>0</v>
      </c>
      <c r="P15" s="477">
        <f>SUMIFS(Rutas[Peso de carga (BLS)],Rutas[Placa Vehiculo],IF($D$7="","*",$D$7),Rutas[Fecha de Llegada],"&gt;="&amp;P$3,Rutas[Fecha de Llegada],"&lt;="&amp;P$4)</f>
        <v>0</v>
      </c>
      <c r="Q15" s="477">
        <f>SUMIFS(Rutas[Peso de carga (BLS)],Rutas[Placa Vehiculo],IF($D$7="","*",$D$7),Rutas[Fecha de Llegada],"&gt;="&amp;Q$3,Rutas[Fecha de Llegada],"&lt;="&amp;Q$4)</f>
        <v>0</v>
      </c>
      <c r="R15" s="475">
        <f t="shared" si="2"/>
        <v>0</v>
      </c>
    </row>
    <row r="16" spans="1:55" s="25" customFormat="1" ht="20" customHeight="1" x14ac:dyDescent="0.2">
      <c r="A16" s="52"/>
      <c r="C16" s="494" t="s">
        <v>363</v>
      </c>
      <c r="D16" s="473" t="s">
        <v>348</v>
      </c>
      <c r="E16" s="26"/>
      <c r="F16" s="556">
        <f>F17-F18-F19</f>
        <v>488</v>
      </c>
      <c r="G16" s="556">
        <f t="shared" ref="G16:Q16" si="3">G17-G18-G19</f>
        <v>455</v>
      </c>
      <c r="H16" s="556">
        <f t="shared" si="3"/>
        <v>217</v>
      </c>
      <c r="I16" s="556">
        <f t="shared" si="3"/>
        <v>284</v>
      </c>
      <c r="J16" s="556">
        <f t="shared" si="3"/>
        <v>317</v>
      </c>
      <c r="K16" s="556">
        <f t="shared" si="3"/>
        <v>298</v>
      </c>
      <c r="L16" s="556">
        <f t="shared" si="3"/>
        <v>220</v>
      </c>
      <c r="M16" s="591">
        <f t="shared" si="3"/>
        <v>310</v>
      </c>
      <c r="N16" s="591">
        <f t="shared" si="3"/>
        <v>298</v>
      </c>
      <c r="O16" s="591">
        <f t="shared" si="3"/>
        <v>321</v>
      </c>
      <c r="P16" s="477">
        <f t="shared" si="3"/>
        <v>300</v>
      </c>
      <c r="Q16" s="477">
        <f t="shared" si="3"/>
        <v>203</v>
      </c>
      <c r="R16" s="475">
        <f t="shared" si="2"/>
        <v>3711</v>
      </c>
    </row>
    <row r="17" spans="1:21" s="25" customFormat="1" ht="20" customHeight="1" x14ac:dyDescent="0.2">
      <c r="A17" s="52"/>
      <c r="C17" s="494" t="s">
        <v>410</v>
      </c>
      <c r="D17" s="473" t="s">
        <v>348</v>
      </c>
      <c r="E17" s="26"/>
      <c r="F17" s="556">
        <f>SUMIFS(Rutas[Horas trabjadas],Rutas[Placa Vehiculo],IF($D$7="","*",$D$7),Rutas[Fecha de Llegada],"&gt;="&amp;F$3,Rutas[Fecha de Llegada],"&lt;="&amp;F$4)</f>
        <v>490</v>
      </c>
      <c r="G17" s="556">
        <f>SUMIFS(Rutas[Horas trabjadas],Rutas[Placa Vehiculo],IF($D$7="","*",$D$7),Rutas[Fecha de Llegada],"&gt;="&amp;G$3,Rutas[Fecha de Llegada],"&lt;="&amp;G$4)</f>
        <v>457</v>
      </c>
      <c r="H17" s="556">
        <f>SUMIFS(Rutas[Horas trabjadas],Rutas[Placa Vehiculo],IF($D$7="","*",$D$7),Rutas[Fecha de Llegada],"&gt;="&amp;H$3,Rutas[Fecha de Llegada],"&lt;="&amp;H$4)</f>
        <v>217</v>
      </c>
      <c r="I17" s="556">
        <f>SUMIFS(Rutas[Horas trabjadas],Rutas[Placa Vehiculo],IF($D$7="","*",$D$7),Rutas[Fecha de Llegada],"&gt;="&amp;I$3,Rutas[Fecha de Llegada],"&lt;="&amp;I$4)</f>
        <v>284</v>
      </c>
      <c r="J17" s="556">
        <f>SUMIFS(Rutas[Horas trabjadas],Rutas[Placa Vehiculo],IF($D$7="","*",$D$7),Rutas[Fecha de Llegada],"&gt;="&amp;J$3,Rutas[Fecha de Llegada],"&lt;="&amp;J$4)</f>
        <v>317</v>
      </c>
      <c r="K17" s="556">
        <f>SUMIFS(Rutas[Horas trabjadas],Rutas[Placa Vehiculo],IF($D$7="","*",$D$7),Rutas[Fecha de Llegada],"&gt;="&amp;K$3,Rutas[Fecha de Llegada],"&lt;="&amp;K$4)</f>
        <v>300</v>
      </c>
      <c r="L17" s="556">
        <f>SUMIFS(Rutas[Horas trabjadas],Rutas[Placa Vehiculo],IF($D$7="","*",$D$7),Rutas[Fecha de Llegada],"&gt;="&amp;L$3,Rutas[Fecha de Llegada],"&lt;="&amp;L$4)</f>
        <v>220</v>
      </c>
      <c r="M17" s="556">
        <f>SUMIFS(Rutas[Horas trabjadas],Rutas[Placa Vehiculo],IF($D$7="","*",$D$7),Rutas[Fecha de Llegada],"&gt;="&amp;M$3,Rutas[Fecha de Llegada],"&lt;="&amp;M$4)</f>
        <v>310</v>
      </c>
      <c r="N17" s="556">
        <f>SUMIFS(Rutas[Horas trabjadas],Rutas[Placa Vehiculo],IF($D$7="","*",$D$7),Rutas[Fecha de Llegada],"&gt;="&amp;N$3,Rutas[Fecha de Llegada],"&lt;="&amp;N$4)</f>
        <v>300</v>
      </c>
      <c r="O17" s="556">
        <f>SUMIFS(Rutas[Horas trabjadas],Rutas[Placa Vehiculo],IF($D$7="","*",$D$7),Rutas[Fecha de Llegada],"&gt;="&amp;O$3,Rutas[Fecha de Llegada],"&lt;="&amp;O$4)</f>
        <v>321</v>
      </c>
      <c r="P17" s="477">
        <f>SUMIFS(Rutas[Horas trabjadas],Rutas[Placa Vehiculo],IF($D$7="","*",$D$7),Rutas[Fecha de Llegada],"&gt;="&amp;P$3,Rutas[Fecha de Llegada],"&lt;="&amp;P$4)</f>
        <v>300</v>
      </c>
      <c r="Q17" s="477">
        <f>SUMIFS(Rutas[Horas trabjadas],Rutas[Placa Vehiculo],IF($D$7="","*",$D$7),Rutas[Fecha de Llegada],"&gt;="&amp;Q$3,Rutas[Fecha de Llegada],"&lt;="&amp;Q$4)</f>
        <v>210</v>
      </c>
      <c r="R17" s="475">
        <f t="shared" si="2"/>
        <v>3726</v>
      </c>
    </row>
    <row r="18" spans="1:21" s="25" customFormat="1" ht="20" customHeight="1" x14ac:dyDescent="0.2">
      <c r="A18" s="52"/>
      <c r="C18" s="494" t="s">
        <v>383</v>
      </c>
      <c r="D18" s="473" t="s">
        <v>348</v>
      </c>
      <c r="E18" s="26"/>
      <c r="F18" s="477">
        <f>SUMIFS(Mantenimiento[Tiempo MTO PTVO],Mantenimiento[Placa Vehiculo],IF($D$7="","*",$D$7),Mantenimiento[Fecha Salida],"&gt;="&amp;F$3,Mantenimiento[Fecha Salida],"&lt;="&amp;F$4)</f>
        <v>2</v>
      </c>
      <c r="G18" s="556">
        <f>SUMIFS(Mantenimiento[Tiempo MTO PTVO],Mantenimiento[Placa Vehiculo],IF($D$7="","*",$D$7),Mantenimiento[Fecha Salida],"&gt;="&amp;G$3,Mantenimiento[Fecha Salida],"&lt;="&amp;G$4)</f>
        <v>2</v>
      </c>
      <c r="H18" s="477">
        <f>SUMIFS(Mantenimiento[Tiempo MTO PTVO],Mantenimiento[Placa Vehiculo],IF($D$7="","*",$D$7),Mantenimiento[Fecha Salida],"&gt;="&amp;H$3,Mantenimiento[Fecha Salida],"&lt;="&amp;H$4)</f>
        <v>0</v>
      </c>
      <c r="I18" s="556">
        <f>SUMIFS(Mantenimiento[Tiempo MTO PTVO],Mantenimiento[Placa Vehiculo],IF($D$7="","*",$D$7),Mantenimiento[Fecha Salida],"&gt;="&amp;I$3,Mantenimiento[Fecha Salida],"&lt;="&amp;I$4)</f>
        <v>0</v>
      </c>
      <c r="J18" s="556">
        <f>SUMIFS(Mantenimiento[Tiempo MTO PTVO],Mantenimiento[Placa Vehiculo],IF($D$7="","*",$D$7),Mantenimiento[Fecha Salida],"&gt;="&amp;J$3,Mantenimiento[Fecha Salida],"&lt;="&amp;J$4)</f>
        <v>0</v>
      </c>
      <c r="K18" s="556">
        <f>SUMIFS(Mantenimiento[Tiempo MTO PTVO],Mantenimiento[Placa Vehiculo],IF($D$7="","*",$D$7),Mantenimiento[Fecha Salida],"&gt;="&amp;K$3,Mantenimiento[Fecha Salida],"&lt;="&amp;K$4)</f>
        <v>2</v>
      </c>
      <c r="L18" s="477">
        <f>SUMIFS(Mantenimiento[Tiempo MTO PTVO],Mantenimiento[Placa Vehiculo],IF($D$7="","*",$D$7),Mantenimiento[Fecha Salida],"&gt;="&amp;L$3,Mantenimiento[Fecha Salida],"&lt;="&amp;L$4)</f>
        <v>0</v>
      </c>
      <c r="M18" s="556">
        <f>SUMIFS(Mantenimiento[Tiempo MTO PTVO],Mantenimiento[Placa Vehiculo],IF($D$7="","*",$D$7),Mantenimiento[Fecha Salida],"&gt;="&amp;M$3,Mantenimiento[Fecha Salida],"&lt;="&amp;M$4)</f>
        <v>0</v>
      </c>
      <c r="N18" s="477">
        <f>SUMIFS(Mantenimiento[Tiempo MTO PTVO],Mantenimiento[Placa Vehiculo],IF($D$7="","*",$D$7),Mantenimiento[Fecha Salida],"&gt;="&amp;N$3,Mantenimiento[Fecha Salida],"&lt;="&amp;N$4)</f>
        <v>2</v>
      </c>
      <c r="O18" s="556">
        <f>SUMIFS(Mantenimiento[Tiempo MTO PTVO],Mantenimiento[Placa Vehiculo],IF($D$7="","*",$D$7),Mantenimiento[Fecha Salida],"&gt;="&amp;O$3,Mantenimiento[Fecha Salida],"&lt;="&amp;O$4)</f>
        <v>0</v>
      </c>
      <c r="P18" s="477">
        <f>SUMIFS(Mantenimiento[Tiempo MTO PTVO],Mantenimiento[Placa Vehiculo],IF($D$7="","*",$D$7),Mantenimiento[Fecha Salida],"&gt;="&amp;P$3,Mantenimiento[Fecha Salida],"&lt;="&amp;P$4)</f>
        <v>0</v>
      </c>
      <c r="Q18" s="477">
        <f>SUMIFS(Mantenimiento[Tiempo MTO PTVO],Mantenimiento[Placa Vehiculo],IF($D$7="","*",$D$7),Mantenimiento[Fecha Salida],"&gt;="&amp;Q$3,Mantenimiento[Fecha Salida],"&lt;="&amp;Q$4)</f>
        <v>0</v>
      </c>
      <c r="R18" s="475">
        <f>SUM(F18:Q18)</f>
        <v>8</v>
      </c>
    </row>
    <row r="19" spans="1:21" s="25" customFormat="1" ht="20" customHeight="1" x14ac:dyDescent="0.2">
      <c r="A19" s="52"/>
      <c r="C19" s="494" t="s">
        <v>362</v>
      </c>
      <c r="D19" s="473" t="s">
        <v>348</v>
      </c>
      <c r="E19" s="26"/>
      <c r="F19" s="477">
        <f>SUMIFS(Mantenimiento[Tiempo MTO CRTVO],Mantenimiento[Placa Vehiculo],IF($D$7="","*",$D$7),Mantenimiento[Fecha Salida],"&gt;="&amp;F$3,Mantenimiento[Fecha Salida],"&lt;="&amp;F$4)</f>
        <v>0</v>
      </c>
      <c r="G19" s="477">
        <f>SUMIFS(Mantenimiento[Tiempo MTO CRTVO],Mantenimiento[Placa Vehiculo],IF($D$7="","*",$D$7),Mantenimiento[Fecha Salida],"&gt;="&amp;G$3,Mantenimiento[Fecha Salida],"&lt;="&amp;G$4)</f>
        <v>0</v>
      </c>
      <c r="H19" s="477">
        <f>SUMIFS(Mantenimiento[Tiempo MTO CRTVO],Mantenimiento[Placa Vehiculo],IF($D$7="","*",$D$7),Mantenimiento[Fecha Salida],"&gt;="&amp;H$3,Mantenimiento[Fecha Salida],"&lt;="&amp;H$4)</f>
        <v>0</v>
      </c>
      <c r="I19" s="477">
        <f>SUMIFS(Mantenimiento[Tiempo MTO CRTVO],Mantenimiento[Placa Vehiculo],IF($D$7="","*",$D$7),Mantenimiento[Fecha Salida],"&gt;="&amp;I$3,Mantenimiento[Fecha Salida],"&lt;="&amp;I$4)</f>
        <v>0</v>
      </c>
      <c r="J19" s="477">
        <f>SUMIFS(Mantenimiento[Tiempo MTO CRTVO],Mantenimiento[Placa Vehiculo],IF($D$7="","*",$D$7),Mantenimiento[Fecha Salida],"&gt;="&amp;J$3,Mantenimiento[Fecha Salida],"&lt;="&amp;J$4)</f>
        <v>0</v>
      </c>
      <c r="K19" s="477">
        <f>SUMIFS(Mantenimiento[Tiempo MTO CRTVO],Mantenimiento[Placa Vehiculo],IF($D$7="","*",$D$7),Mantenimiento[Fecha Salida],"&gt;="&amp;K$3,Mantenimiento[Fecha Salida],"&lt;="&amp;K$4)</f>
        <v>0</v>
      </c>
      <c r="L19" s="477">
        <f>SUMIFS(Mantenimiento[Tiempo MTO CRTVO],Mantenimiento[Placa Vehiculo],IF($D$7="","*",$D$7),Mantenimiento[Fecha Salida],"&gt;="&amp;L$3,Mantenimiento[Fecha Salida],"&lt;="&amp;L$4)</f>
        <v>0</v>
      </c>
      <c r="M19" s="477">
        <f>SUMIFS(Mantenimiento[Tiempo MTO CRTVO],Mantenimiento[Placa Vehiculo],IF($D$7="","*",$D$7),Mantenimiento[Fecha Salida],"&gt;="&amp;M$3,Mantenimiento[Fecha Salida],"&lt;="&amp;M$4)</f>
        <v>0</v>
      </c>
      <c r="N19" s="556">
        <f>SUMIFS(Mantenimiento[Tiempo MTO CRTVO],Mantenimiento[Placa Vehiculo],IF($D$7="","*",$D$7),Mantenimiento[Fecha Salida],"&gt;="&amp;N$3,Mantenimiento[Fecha Salida],"&lt;="&amp;N$4)</f>
        <v>0</v>
      </c>
      <c r="O19" s="591">
        <f>SUMIFS(Mantenimiento[Tiempo MTO CRTVO],Mantenimiento[Placa Vehiculo],IF($D$7="","*",$D$7),Mantenimiento[Fecha Salida],"&gt;="&amp;O$3,Mantenimiento[Fecha Salida],"&lt;="&amp;O$4)</f>
        <v>0</v>
      </c>
      <c r="P19" s="477">
        <f>SUMIFS(Mantenimiento[Tiempo MTO CRTVO],Mantenimiento[Placa Vehiculo],IF($D$7="","*",$D$7),Mantenimiento[Fecha Salida],"&gt;="&amp;P$3,Mantenimiento[Fecha Salida],"&lt;="&amp;P$4)</f>
        <v>0</v>
      </c>
      <c r="Q19" s="477">
        <f>SUMIFS(Mantenimiento[Tiempo MTO CRTVO],Mantenimiento[Placa Vehiculo],IF($D$7="","*",$D$7),Mantenimiento[Fecha Salida],"&gt;="&amp;Q$3,Mantenimiento[Fecha Salida],"&lt;="&amp;Q$4)</f>
        <v>7</v>
      </c>
      <c r="R19" s="475">
        <f>SUM(F19:Q19)</f>
        <v>7</v>
      </c>
    </row>
    <row r="20" spans="1:21" s="25" customFormat="1" ht="20" customHeight="1" x14ac:dyDescent="0.2">
      <c r="A20" s="52"/>
      <c r="C20" s="494" t="s">
        <v>158</v>
      </c>
      <c r="D20" s="473" t="s">
        <v>357</v>
      </c>
      <c r="E20" s="26"/>
      <c r="F20" s="477">
        <f>SUM(F21:F22)</f>
        <v>1</v>
      </c>
      <c r="G20" s="556">
        <f t="shared" ref="G20:Q20" si="4">SUM(G21:G22)</f>
        <v>1</v>
      </c>
      <c r="H20" s="477">
        <f t="shared" si="4"/>
        <v>0</v>
      </c>
      <c r="I20" s="556">
        <f t="shared" si="4"/>
        <v>0</v>
      </c>
      <c r="J20" s="556">
        <f t="shared" si="4"/>
        <v>0</v>
      </c>
      <c r="K20" s="556">
        <f t="shared" si="4"/>
        <v>1</v>
      </c>
      <c r="L20" s="477">
        <f t="shared" si="4"/>
        <v>0</v>
      </c>
      <c r="M20" s="556">
        <f t="shared" si="4"/>
        <v>0</v>
      </c>
      <c r="N20" s="556">
        <f t="shared" si="4"/>
        <v>1</v>
      </c>
      <c r="O20" s="556">
        <f t="shared" si="4"/>
        <v>0</v>
      </c>
      <c r="P20" s="477">
        <f t="shared" si="4"/>
        <v>0</v>
      </c>
      <c r="Q20" s="477">
        <f t="shared" si="4"/>
        <v>3</v>
      </c>
      <c r="R20" s="475">
        <f t="shared" si="2"/>
        <v>7</v>
      </c>
    </row>
    <row r="21" spans="1:21" s="25" customFormat="1" ht="20" customHeight="1" x14ac:dyDescent="0.2">
      <c r="A21" s="52"/>
      <c r="C21" s="495" t="s">
        <v>156</v>
      </c>
      <c r="D21" s="474" t="s">
        <v>72</v>
      </c>
      <c r="E21" s="27"/>
      <c r="F21" s="478">
        <f>COUNTIFS(Mantenimiento[Tipo],"Preventivo",Mantenimiento[Placa Vehiculo],IF($D$7="","*",$D$7),Mantenimiento[Fecha Entrada],"&gt;="&amp;F$3,Mantenimiento[Fecha Entrada],"&lt;="&amp;F$4)</f>
        <v>1</v>
      </c>
      <c r="G21" s="592">
        <f>COUNTIFS(Mantenimiento[Tipo],"Preventivo",Mantenimiento[Placa Vehiculo],IF($D$7="","*",$D$7),Mantenimiento[Fecha Entrada],"&gt;="&amp;G$3,Mantenimiento[Fecha Entrada],"&lt;="&amp;G$4)</f>
        <v>1</v>
      </c>
      <c r="H21" s="478">
        <f>COUNTIFS(Mantenimiento[Tipo],"Preventivo",Mantenimiento[Placa Vehiculo],IF($D$7="","*",$D$7),Mantenimiento[Fecha Entrada],"&gt;="&amp;H$3,Mantenimiento[Fecha Entrada],"&lt;="&amp;H$4)</f>
        <v>0</v>
      </c>
      <c r="I21" s="592">
        <f>COUNTIFS(Mantenimiento[Tipo],"Preventivo",Mantenimiento[Placa Vehiculo],IF($D$7="","*",$D$7),Mantenimiento[Fecha Entrada],"&gt;="&amp;I$3,Mantenimiento[Fecha Entrada],"&lt;="&amp;I$4)</f>
        <v>0</v>
      </c>
      <c r="J21" s="592">
        <f>COUNTIFS(Mantenimiento[Tipo],"Preventivo",Mantenimiento[Placa Vehiculo],IF($D$7="","*",$D$7),Mantenimiento[Fecha Entrada],"&gt;="&amp;J$3,Mantenimiento[Fecha Entrada],"&lt;="&amp;J$4)</f>
        <v>0</v>
      </c>
      <c r="K21" s="592">
        <f>COUNTIFS(Mantenimiento[Tipo],"Preventivo",Mantenimiento[Placa Vehiculo],IF($D$7="","*",$D$7),Mantenimiento[Fecha Entrada],"&gt;="&amp;K$3,Mantenimiento[Fecha Entrada],"&lt;="&amp;K$4)</f>
        <v>1</v>
      </c>
      <c r="L21" s="478">
        <f>COUNTIFS(Mantenimiento[Tipo],"Preventivo",Mantenimiento[Placa Vehiculo],IF($D$7="","*",$D$7),Mantenimiento[Fecha Entrada],"&gt;="&amp;L$3,Mantenimiento[Fecha Entrada],"&lt;="&amp;L$4)</f>
        <v>0</v>
      </c>
      <c r="M21" s="592">
        <f>COUNTIFS(Mantenimiento[Tipo],"Preventivo",Mantenimiento[Placa Vehiculo],IF($D$7="","*",$D$7),Mantenimiento[Fecha Entrada],"&gt;="&amp;M$3,Mantenimiento[Fecha Entrada],"&lt;="&amp;M$4)</f>
        <v>0</v>
      </c>
      <c r="N21" s="478">
        <f>COUNTIFS(Mantenimiento[Tipo],"Preventivo",Mantenimiento[Placa Vehiculo],IF($D$7="","*",$D$7),Mantenimiento[Fecha Entrada],"&gt;="&amp;N$3,Mantenimiento[Fecha Entrada],"&lt;="&amp;N$4)</f>
        <v>1</v>
      </c>
      <c r="O21" s="592">
        <f>COUNTIFS(Mantenimiento[Tipo],"Preventivo",Mantenimiento[Placa Vehiculo],IF($D$7="","*",$D$7),Mantenimiento[Fecha Entrada],"&gt;="&amp;O$3,Mantenimiento[Fecha Entrada],"&lt;="&amp;O$4)</f>
        <v>0</v>
      </c>
      <c r="P21" s="478">
        <f>COUNTIFS(Mantenimiento[Tipo],"Preventivo",Mantenimiento[Placa Vehiculo],IF($D$7="","*",$D$7),Mantenimiento[Fecha Entrada],"&gt;="&amp;P$3,Mantenimiento[Fecha Entrada],"&lt;="&amp;P$4)</f>
        <v>0</v>
      </c>
      <c r="Q21" s="478">
        <f>COUNTIFS(Mantenimiento[Tipo],"Preventivo",Mantenimiento[Placa Vehiculo],IF($D$7="","*",$D$7),Mantenimiento[Fecha Entrada],"&gt;="&amp;Q$3,Mantenimiento[Fecha Entrada],"&lt;="&amp;Q$4)</f>
        <v>0</v>
      </c>
      <c r="R21" s="476">
        <f t="shared" si="2"/>
        <v>4</v>
      </c>
    </row>
    <row r="22" spans="1:21" s="25" customFormat="1" ht="20" customHeight="1" x14ac:dyDescent="0.2">
      <c r="A22" s="52"/>
      <c r="C22" s="495" t="s">
        <v>157</v>
      </c>
      <c r="D22" s="474" t="s">
        <v>72</v>
      </c>
      <c r="E22" s="27"/>
      <c r="F22" s="478">
        <f>COUNTIFS(Mantenimiento[Tipo],"Correctivo",Mantenimiento[Placa Vehiculo],IF($D$7="","*",$D$7),Mantenimiento[Fecha Entrada],"&gt;="&amp;F$3,Mantenimiento[Fecha Entrada],"&lt;="&amp;F$4)</f>
        <v>0</v>
      </c>
      <c r="G22" s="478">
        <f>COUNTIFS(Mantenimiento[Tipo],"Correctivo",Mantenimiento[Placa Vehiculo],IF($D$7="","*",$D$7),Mantenimiento[Fecha Entrada],"&gt;="&amp;G$3,Mantenimiento[Fecha Entrada],"&lt;="&amp;G$4)</f>
        <v>0</v>
      </c>
      <c r="H22" s="478">
        <f>COUNTIFS(Mantenimiento[Tipo],"Correctivo",Mantenimiento[Placa Vehiculo],IF($D$7="","*",$D$7),Mantenimiento[Fecha Entrada],"&gt;="&amp;H$3,Mantenimiento[Fecha Entrada],"&lt;="&amp;H$4)</f>
        <v>0</v>
      </c>
      <c r="I22" s="478">
        <f>COUNTIFS(Mantenimiento[Tipo],"Correctivo",Mantenimiento[Placa Vehiculo],IF($D$7="","*",$D$7),Mantenimiento[Fecha Entrada],"&gt;="&amp;I$3,Mantenimiento[Fecha Entrada],"&lt;="&amp;I$4)</f>
        <v>0</v>
      </c>
      <c r="J22" s="478">
        <f>COUNTIFS(Mantenimiento[Tipo],"Correctivo",Mantenimiento[Placa Vehiculo],IF($D$7="","*",$D$7),Mantenimiento[Fecha Entrada],"&gt;="&amp;J$3,Mantenimiento[Fecha Entrada],"&lt;="&amp;J$4)</f>
        <v>0</v>
      </c>
      <c r="K22" s="478">
        <f>COUNTIFS(Mantenimiento[Tipo],"Correctivo",Mantenimiento[Placa Vehiculo],IF($D$7="","*",$D$7),Mantenimiento[Fecha Entrada],"&gt;="&amp;K$3,Mantenimiento[Fecha Entrada],"&lt;="&amp;K$4)</f>
        <v>0</v>
      </c>
      <c r="L22" s="478">
        <f>COUNTIFS(Mantenimiento[Tipo],"Correctivo",Mantenimiento[Placa Vehiculo],IF($D$7="","*",$D$7),Mantenimiento[Fecha Entrada],"&gt;="&amp;L$3,Mantenimiento[Fecha Entrada],"&lt;="&amp;L$4)</f>
        <v>0</v>
      </c>
      <c r="M22" s="478">
        <f>COUNTIFS(Mantenimiento[Tipo],"Correctivo",Mantenimiento[Placa Vehiculo],IF($D$7="","*",$D$7),Mantenimiento[Fecha Entrada],"&gt;="&amp;M$3,Mantenimiento[Fecha Entrada],"&lt;="&amp;M$4)</f>
        <v>0</v>
      </c>
      <c r="N22" s="592">
        <f>COUNTIFS(Mantenimiento[Tipo],"Correctivo",Mantenimiento[Placa Vehiculo],IF($D$7="","*",$D$7),Mantenimiento[Fecha Entrada],"&gt;="&amp;N$3,Mantenimiento[Fecha Entrada],"&lt;="&amp;N$4)</f>
        <v>0</v>
      </c>
      <c r="O22" s="592">
        <f>COUNTIFS(Mantenimiento[Tipo],"Correctivo",Mantenimiento[Placa Vehiculo],IF($D$7="","*",$D$7),Mantenimiento[Fecha Entrada],"&gt;="&amp;O$3,Mantenimiento[Fecha Entrada],"&lt;="&amp;O$4)</f>
        <v>0</v>
      </c>
      <c r="P22" s="478">
        <f>COUNTIFS(Mantenimiento[Tipo],"Correctivo",Mantenimiento[Placa Vehiculo],IF($D$7="","*",$D$7),Mantenimiento[Fecha Entrada],"&gt;="&amp;P$3,Mantenimiento[Fecha Entrada],"&lt;="&amp;P$4)</f>
        <v>0</v>
      </c>
      <c r="Q22" s="478">
        <f>COUNTIFS(Mantenimiento[Tipo],"Correctivo",Mantenimiento[Placa Vehiculo],IF($D$7="","*",$D$7),Mantenimiento[Fecha Entrada],"&gt;="&amp;Q$3,Mantenimiento[Fecha Entrada],"&lt;="&amp;Q$4)</f>
        <v>3</v>
      </c>
      <c r="R22" s="476">
        <f t="shared" si="2"/>
        <v>3</v>
      </c>
    </row>
    <row r="23" spans="1:21" ht="8" customHeight="1" x14ac:dyDescent="0.2">
      <c r="A23" s="47"/>
      <c r="D23"/>
      <c r="E23"/>
    </row>
    <row r="24" spans="1:21" s="25" customFormat="1" ht="31.5" customHeight="1" x14ac:dyDescent="0.2">
      <c r="A24" s="52"/>
      <c r="C24" s="524" t="s">
        <v>412</v>
      </c>
      <c r="D24" s="487" t="s">
        <v>71</v>
      </c>
      <c r="E24" s="487" t="s">
        <v>161</v>
      </c>
      <c r="F24" s="488" t="s">
        <v>53</v>
      </c>
      <c r="G24" s="488" t="s">
        <v>54</v>
      </c>
      <c r="H24" s="488" t="s">
        <v>55</v>
      </c>
      <c r="I24" s="488" t="s">
        <v>56</v>
      </c>
      <c r="J24" s="488" t="s">
        <v>57</v>
      </c>
      <c r="K24" s="488" t="s">
        <v>58</v>
      </c>
      <c r="L24" s="488" t="s">
        <v>59</v>
      </c>
      <c r="M24" s="488" t="s">
        <v>60</v>
      </c>
      <c r="N24" s="488" t="s">
        <v>402</v>
      </c>
      <c r="O24" s="488" t="s">
        <v>62</v>
      </c>
      <c r="P24" s="488" t="s">
        <v>63</v>
      </c>
      <c r="Q24" s="488" t="s">
        <v>64</v>
      </c>
      <c r="R24" s="489" t="s">
        <v>155</v>
      </c>
    </row>
    <row r="25" spans="1:21" s="25" customFormat="1" ht="25" customHeight="1" x14ac:dyDescent="0.2">
      <c r="A25" s="52"/>
      <c r="C25" s="490" t="s">
        <v>374</v>
      </c>
      <c r="D25" s="492" t="s">
        <v>375</v>
      </c>
      <c r="E25" s="131"/>
      <c r="F25" s="479">
        <f>SUMIFS(Rutas[Kms Recorridos],Rutas[Placa Vehiculo],IF($D$7="","*",$D$7),Rutas[Fecha de Llegada],"&gt;="&amp;F$3,Rutas[Fecha de Llegada],"&lt;="&amp;F$4)</f>
        <v>774</v>
      </c>
      <c r="G25" s="479">
        <f>SUMIFS(Rutas[Kms Recorridos],Rutas[Placa Vehiculo],IF($D$7="","*",$D$7),Rutas[Fecha de Llegada],"&gt;="&amp;G$3,Rutas[Fecha de Llegada],"&lt;="&amp;G$4)</f>
        <v>453</v>
      </c>
      <c r="H25" s="479">
        <f>SUMIFS(Rutas[Kms Recorridos],Rutas[Placa Vehiculo],IF($D$7="","*",$D$7),Rutas[Fecha de Llegada],"&gt;="&amp;H$3,Rutas[Fecha de Llegada],"&lt;="&amp;H$4)</f>
        <v>1637</v>
      </c>
      <c r="I25" s="479">
        <f>SUMIFS(Rutas[Kms Recorridos],Rutas[Placa Vehiculo],IF($D$7="","*",$D$7),Rutas[Fecha de Llegada],"&gt;="&amp;I$3,Rutas[Fecha de Llegada],"&lt;="&amp;I$4)</f>
        <v>1811</v>
      </c>
      <c r="J25" s="479">
        <f>SUMIFS(Rutas[Kms Recorridos],Rutas[Placa Vehiculo],IF($D$7="","*",$D$7),Rutas[Fecha de Llegada],"&gt;="&amp;J$3,Rutas[Fecha de Llegada],"&lt;="&amp;J$4)</f>
        <v>3263</v>
      </c>
      <c r="K25" s="479">
        <f>SUMIFS(Rutas[Kms Recorridos],Rutas[Placa Vehiculo],IF($D$7="","*",$D$7),Rutas[Fecha de Llegada],"&gt;="&amp;K$3,Rutas[Fecha de Llegada],"&lt;="&amp;K$4)</f>
        <v>1789</v>
      </c>
      <c r="L25" s="479">
        <f>SUMIFS(Rutas[Kms Recorridos],Rutas[Placa Vehiculo],IF($D$7="","*",$D$7),Rutas[Fecha de Llegada],"&gt;="&amp;L$3,Rutas[Fecha de Llegada],"&lt;="&amp;L$4)</f>
        <v>2334</v>
      </c>
      <c r="M25" s="479">
        <f>SUMIFS(Rutas[Kms Recorridos],Rutas[Placa Vehiculo],IF($D$7="","*",$D$7),Rutas[Fecha de Llegada],"&gt;="&amp;M$3,Rutas[Fecha de Llegada],"&lt;="&amp;M$4)</f>
        <v>2333</v>
      </c>
      <c r="N25" s="479">
        <f>SUMIFS(Rutas[Kms Recorridos],Rutas[Placa Vehiculo],IF($D$7="","*",$D$7),Rutas[Fecha de Llegada],"&gt;="&amp;N$3,Rutas[Fecha de Llegada],"&lt;="&amp;N$4)</f>
        <v>2059</v>
      </c>
      <c r="O25" s="479">
        <f>SUMIFS(Rutas[Kms Recorridos],Rutas[Placa Vehiculo],IF($D$7="","*",$D$7),Rutas[Fecha de Llegada],"&gt;="&amp;O$3,Rutas[Fecha de Llegada],"&lt;="&amp;O$4)</f>
        <v>2799</v>
      </c>
      <c r="P25" s="480">
        <f>SUMIFS(Rutas[Kms Recorridos],Rutas[Placa Vehiculo],IF($D$7="","*",$D$7),Rutas[Fecha de Llegada],"&gt;="&amp;P$3,Rutas[Fecha de Llegada],"&lt;="&amp;P$4)</f>
        <v>1480</v>
      </c>
      <c r="Q25" s="480">
        <f>SUMIFS(Rutas[Kms Recorridos],Rutas[Placa Vehiculo],IF($D$7="","*",$D$7),Rutas[Fecha de Llegada],"&gt;="&amp;Q$3,Rutas[Fecha de Llegada],"&lt;="&amp;Q$4)</f>
        <v>2112</v>
      </c>
      <c r="R25" s="483">
        <f>SUM(F25:Q25)</f>
        <v>22844</v>
      </c>
      <c r="U25" s="428"/>
    </row>
    <row r="26" spans="1:21" s="25" customFormat="1" ht="25" customHeight="1" x14ac:dyDescent="0.2">
      <c r="A26" s="52"/>
      <c r="C26" s="490" t="s">
        <v>360</v>
      </c>
      <c r="D26" s="492" t="s">
        <v>397</v>
      </c>
      <c r="E26" s="131"/>
      <c r="F26" s="479">
        <f>SUMIFS(Rutas[Volumen de Combustible (gal)],Rutas[Placa Vehiculo],IF($D$7="","*",$D$7),Rutas[Fecha de Llegada],"&gt;="&amp;F$3,Rutas[Fecha de Llegada],"&lt;="&amp;F$4)</f>
        <v>331.89</v>
      </c>
      <c r="G26" s="479">
        <f>SUMIFS(Rutas[Volumen de Combustible (gal)],Rutas[Placa Vehiculo],IF($D$7="","*",$D$7),Rutas[Fecha de Llegada],"&gt;="&amp;G$3,Rutas[Fecha de Llegada],"&lt;="&amp;G$4)</f>
        <v>642.59</v>
      </c>
      <c r="H26" s="479">
        <f>SUMIFS(Rutas[Volumen de Combustible (gal)],Rutas[Placa Vehiculo],IF($D$7="","*",$D$7),Rutas[Fecha de Llegada],"&gt;="&amp;H$3,Rutas[Fecha de Llegada],"&lt;="&amp;H$4)</f>
        <v>669.06</v>
      </c>
      <c r="I26" s="479">
        <f>SUMIFS(Rutas[Volumen de Combustible (gal)],Rutas[Placa Vehiculo],IF($D$7="","*",$D$7),Rutas[Fecha de Llegada],"&gt;="&amp;I$3,Rutas[Fecha de Llegada],"&lt;="&amp;I$4)</f>
        <v>362.3</v>
      </c>
      <c r="J26" s="538">
        <f>SUMIFS(Rutas[Volumen de Combustible (gal)],Rutas[Placa Vehiculo],IF($D$7="","*",$D$7),Rutas[Fecha de Llegada],"&gt;="&amp;J$3,Rutas[Fecha de Llegada],"&lt;="&amp;J$4)</f>
        <v>462.8</v>
      </c>
      <c r="K26" s="480">
        <f>SUMIFS(Rutas[Volumen de Combustible (gal)],Rutas[Placa Vehiculo],IF($D$7="","*",$D$7),Rutas[Fecha de Llegada],"&gt;="&amp;K$3,Rutas[Fecha de Llegada],"&lt;="&amp;K$4)</f>
        <v>334.93</v>
      </c>
      <c r="L26" s="480">
        <f>SUMIFS(Rutas[Volumen de Combustible (gal)],Rutas[Placa Vehiculo],IF($D$7="","*",$D$7),Rutas[Fecha de Llegada],"&gt;="&amp;L$3,Rutas[Fecha de Llegada],"&lt;="&amp;L$4)</f>
        <v>340.28</v>
      </c>
      <c r="M26" s="480">
        <f>SUMIFS(Rutas[Volumen de Combustible (gal)],Rutas[Placa Vehiculo],IF($D$7="","*",$D$7),Rutas[Fecha de Llegada],"&gt;="&amp;M$3,Rutas[Fecha de Llegada],"&lt;="&amp;M$4)</f>
        <v>473.95000000000005</v>
      </c>
      <c r="N26" s="480">
        <f>SUMIFS(Rutas[Volumen de Combustible (gal)],Rutas[Placa Vehiculo],IF($D$7="","*",$D$7),Rutas[Fecha de Llegada],"&gt;="&amp;N$3,Rutas[Fecha de Llegada],"&lt;="&amp;N$4)</f>
        <v>335.46000000000004</v>
      </c>
      <c r="O26" s="480">
        <f>SUMIFS(Rutas[Volumen de Combustible (gal)],Rutas[Placa Vehiculo],IF($D$7="","*",$D$7),Rutas[Fecha de Llegada],"&gt;="&amp;O$3,Rutas[Fecha de Llegada],"&lt;="&amp;O$4)</f>
        <v>403.5</v>
      </c>
      <c r="P26" s="480">
        <f>SUMIFS(Rutas[Volumen de Combustible (gal)],Rutas[Placa Vehiculo],IF($D$7="","*",$D$7),Rutas[Fecha de Llegada],"&gt;="&amp;P$3,Rutas[Fecha de Llegada],"&lt;="&amp;P$4)</f>
        <v>216.49</v>
      </c>
      <c r="Q26" s="480">
        <f>SUMIFS(Rutas[Volumen de Combustible (gal)],Rutas[Placa Vehiculo],IF($D$7="","*",$D$7),Rutas[Fecha de Llegada],"&gt;="&amp;Q$3,Rutas[Fecha de Llegada],"&lt;="&amp;Q$4)</f>
        <v>314.25</v>
      </c>
      <c r="R26" s="483">
        <f>SUM(F26:Q26)</f>
        <v>4887.4999999999991</v>
      </c>
      <c r="U26" s="428"/>
    </row>
    <row r="27" spans="1:21" s="25" customFormat="1" ht="25" customHeight="1" x14ac:dyDescent="0.2">
      <c r="A27" s="52"/>
      <c r="C27" s="490" t="s">
        <v>394</v>
      </c>
      <c r="D27" s="492" t="s">
        <v>382</v>
      </c>
      <c r="E27" s="131"/>
      <c r="F27" s="480">
        <f>IFERROR(F11/F14,0)</f>
        <v>2.3320979842718974</v>
      </c>
      <c r="G27" s="480">
        <f t="shared" ref="G27:Q27" si="5">IFERROR(G11/G14,0)</f>
        <v>0.70495961655176709</v>
      </c>
      <c r="H27" s="480">
        <f t="shared" si="5"/>
        <v>2.4467162885241982</v>
      </c>
      <c r="I27" s="480">
        <f t="shared" si="5"/>
        <v>4.998619928236268</v>
      </c>
      <c r="J27" s="480">
        <f t="shared" si="5"/>
        <v>7.0505617977528088</v>
      </c>
      <c r="K27" s="480">
        <f t="shared" si="5"/>
        <v>5.3414146239512732</v>
      </c>
      <c r="L27" s="480">
        <f t="shared" si="5"/>
        <v>6.8590572469730819</v>
      </c>
      <c r="M27" s="480">
        <f t="shared" si="5"/>
        <v>4.9224601751239581</v>
      </c>
      <c r="N27" s="480">
        <f t="shared" si="5"/>
        <v>6.1378405771179869</v>
      </c>
      <c r="O27" s="480">
        <f t="shared" si="5"/>
        <v>6.9368029739776951</v>
      </c>
      <c r="P27" s="480">
        <f t="shared" si="5"/>
        <v>6.8363434800683631</v>
      </c>
      <c r="Q27" s="480">
        <f t="shared" si="5"/>
        <v>6.7207637231503581</v>
      </c>
      <c r="R27" s="484">
        <f>IFERROR(R11/R14,0)</f>
        <v>4.6739641943734025</v>
      </c>
    </row>
    <row r="28" spans="1:21" s="25" customFormat="1" ht="25" customHeight="1" x14ac:dyDescent="0.2">
      <c r="A28" s="52"/>
      <c r="C28" s="490" t="s">
        <v>395</v>
      </c>
      <c r="D28" s="492" t="s">
        <v>359</v>
      </c>
      <c r="E28" s="131"/>
      <c r="F28" s="480">
        <f t="shared" ref="F28:R28" si="6">IFERROR(F11/F10,0)</f>
        <v>193.5</v>
      </c>
      <c r="G28" s="538">
        <f t="shared" si="6"/>
        <v>75.5</v>
      </c>
      <c r="H28" s="480">
        <f t="shared" si="6"/>
        <v>272.83333333333331</v>
      </c>
      <c r="I28" s="480">
        <f t="shared" si="6"/>
        <v>452.75</v>
      </c>
      <c r="J28" s="480">
        <f t="shared" si="6"/>
        <v>543.83333333333337</v>
      </c>
      <c r="K28" s="538">
        <f t="shared" si="6"/>
        <v>447.25</v>
      </c>
      <c r="L28" s="538">
        <f t="shared" si="6"/>
        <v>583.5</v>
      </c>
      <c r="M28" s="538">
        <f t="shared" si="6"/>
        <v>388.83333333333331</v>
      </c>
      <c r="N28" s="480">
        <f t="shared" si="6"/>
        <v>514.75</v>
      </c>
      <c r="O28" s="480">
        <f t="shared" si="6"/>
        <v>699.75</v>
      </c>
      <c r="P28" s="480">
        <f t="shared" si="6"/>
        <v>740</v>
      </c>
      <c r="Q28" s="480">
        <f t="shared" si="6"/>
        <v>704</v>
      </c>
      <c r="R28" s="539">
        <f t="shared" si="6"/>
        <v>431.01886792452831</v>
      </c>
    </row>
    <row r="29" spans="1:21" s="25" customFormat="1" ht="25" customHeight="1" x14ac:dyDescent="0.2">
      <c r="A29" s="52"/>
      <c r="C29" s="490" t="s">
        <v>396</v>
      </c>
      <c r="D29" s="492" t="s">
        <v>381</v>
      </c>
      <c r="E29" s="131"/>
      <c r="F29" s="479">
        <f>SUMIFS(Mantenimiento[KM Entre MTO],Mantenimiento[Placa Vehiculo],IF($D$7="","*",$D$7),Mantenimiento[Fecha Salida],"&gt;="&amp;F$3,Mantenimiento[Fecha Salida],"&lt;="&amp;F$4)</f>
        <v>8039</v>
      </c>
      <c r="G29" s="479">
        <f>SUMIFS(Mantenimiento[KM Entre MTO],Mantenimiento[Placa Vehiculo],IF($D$7="","*",$D$7),Mantenimiento[Fecha Salida],"&gt;="&amp;G$3,Mantenimiento[Fecha Salida],"&lt;="&amp;G$4)</f>
        <v>7836</v>
      </c>
      <c r="H29" s="479">
        <f>SUMIFS(Mantenimiento[KM Entre MTO],Mantenimiento[Placa Vehiculo],IF($D$7="","*",$D$7),Mantenimiento[Fecha Salida],"&gt;="&amp;H$3,Mantenimiento[Fecha Salida],"&lt;="&amp;H$4)</f>
        <v>0</v>
      </c>
      <c r="I29" s="479">
        <f>SUMIFS(Mantenimiento[KM Entre MTO],Mantenimiento[Placa Vehiculo],IF($D$7="","*",$D$7),Mantenimiento[Fecha Salida],"&gt;="&amp;I$3,Mantenimiento[Fecha Salida],"&lt;="&amp;I$4)</f>
        <v>0</v>
      </c>
      <c r="J29" s="479">
        <f>SUMIFS(Mantenimiento[KM Entre MTO],Mantenimiento[Placa Vehiculo],IF($D$7="","*",$D$7),Mantenimiento[Fecha Salida],"&gt;="&amp;J$3,Mantenimiento[Fecha Salida],"&lt;="&amp;J$4)</f>
        <v>0</v>
      </c>
      <c r="K29" s="479">
        <f>SUMIFS(Mantenimiento[KM Entre MTO],Mantenimiento[Placa Vehiculo],IF($D$7="","*",$D$7),Mantenimiento[Fecha Salida],"&gt;="&amp;K$3,Mantenimiento[Fecha Salida],"&lt;="&amp;K$4)</f>
        <v>8000</v>
      </c>
      <c r="L29" s="538">
        <f>SUMIFS(Mantenimiento[KM Entre MTO],Mantenimiento[Placa Vehiculo],IF($D$7="","*",$D$7),Mantenimiento[Fecha Salida],"&gt;="&amp;L$3,Mantenimiento[Fecha Salida],"&lt;="&amp;L$4)</f>
        <v>0</v>
      </c>
      <c r="M29" s="479">
        <f>SUMIFS(Mantenimiento[KM Entre MTO],Mantenimiento[Placa Vehiculo],IF($D$7="","*",$D$7),Mantenimiento[Fecha Salida],"&gt;="&amp;M$3,Mantenimiento[Fecha Salida],"&lt;="&amp;M$4)</f>
        <v>0</v>
      </c>
      <c r="N29" s="538">
        <f>SUMIFS(Mantenimiento[KM Entre MTO],Mantenimiento[Placa Vehiculo],IF($D$7="","*",$D$7),Mantenimiento[Fecha Salida],"&gt;="&amp;N$3,Mantenimiento[Fecha Salida],"&lt;="&amp;N$4)</f>
        <v>7928</v>
      </c>
      <c r="O29" s="479">
        <f>SUMIFS(Mantenimiento[KM Entre MTO],Mantenimiento[Placa Vehiculo],IF($D$7="","*",$D$7),Mantenimiento[Fecha Salida],"&gt;="&amp;O$3,Mantenimiento[Fecha Salida],"&lt;="&amp;O$4)</f>
        <v>0</v>
      </c>
      <c r="P29" s="538">
        <f>SUMIFS(Mantenimiento[KM Entre MTO],Mantenimiento[Placa Vehiculo],IF($D$7="","*",$D$7),Mantenimiento[Fecha Salida],"&gt;="&amp;P$3,Mantenimiento[Fecha Salida],"&lt;="&amp;P$4)</f>
        <v>0</v>
      </c>
      <c r="Q29" s="538">
        <f>SUMIFS(Mantenimiento[KM Entre MTO],Mantenimiento[Placa Vehiculo],IF($D$7="","*",$D$7),Mantenimiento[Fecha Salida],"&gt;="&amp;Q$3,Mantenimiento[Fecha Salida],"&lt;="&amp;Q$4)</f>
        <v>0</v>
      </c>
      <c r="R29" s="483">
        <f>AVERAGE(F29:Q29)</f>
        <v>2650.25</v>
      </c>
    </row>
    <row r="30" spans="1:21" s="25" customFormat="1" ht="25" customHeight="1" x14ac:dyDescent="0.2">
      <c r="A30" s="52"/>
      <c r="C30" s="490" t="s">
        <v>431</v>
      </c>
      <c r="D30" s="492" t="s">
        <v>348</v>
      </c>
      <c r="E30" s="131"/>
      <c r="F30" s="480" t="e">
        <f t="shared" ref="F30:Q30" si="7">F16/F34</f>
        <v>#DIV/0!</v>
      </c>
      <c r="G30" s="480" t="e">
        <f t="shared" si="7"/>
        <v>#DIV/0!</v>
      </c>
      <c r="H30" s="480" t="e">
        <f t="shared" si="7"/>
        <v>#DIV/0!</v>
      </c>
      <c r="I30" s="480" t="e">
        <f t="shared" si="7"/>
        <v>#DIV/0!</v>
      </c>
      <c r="J30" s="480" t="e">
        <f t="shared" si="7"/>
        <v>#DIV/0!</v>
      </c>
      <c r="K30" s="480" t="e">
        <f t="shared" si="7"/>
        <v>#DIV/0!</v>
      </c>
      <c r="L30" s="480" t="e">
        <f t="shared" si="7"/>
        <v>#DIV/0!</v>
      </c>
      <c r="M30" s="480" t="e">
        <f t="shared" si="7"/>
        <v>#DIV/0!</v>
      </c>
      <c r="N30" s="480" t="e">
        <f t="shared" si="7"/>
        <v>#DIV/0!</v>
      </c>
      <c r="O30" s="480" t="e">
        <f t="shared" si="7"/>
        <v>#DIV/0!</v>
      </c>
      <c r="P30" s="480" t="e">
        <f t="shared" si="7"/>
        <v>#DIV/0!</v>
      </c>
      <c r="Q30" s="480">
        <f t="shared" si="7"/>
        <v>67.666666666666671</v>
      </c>
      <c r="R30" s="483">
        <f>IFERROR(F30/Q30,0)</f>
        <v>0</v>
      </c>
    </row>
    <row r="31" spans="1:21" s="25" customFormat="1" ht="25" customHeight="1" x14ac:dyDescent="0.2">
      <c r="A31" s="52"/>
      <c r="C31" s="490" t="s">
        <v>361</v>
      </c>
      <c r="D31" s="492" t="s">
        <v>348</v>
      </c>
      <c r="E31" s="131"/>
      <c r="F31" s="480">
        <f t="shared" ref="F31:Q31" si="8">IFERROR(F19/F22,0)</f>
        <v>0</v>
      </c>
      <c r="G31" s="480">
        <f t="shared" si="8"/>
        <v>0</v>
      </c>
      <c r="H31" s="480">
        <f t="shared" si="8"/>
        <v>0</v>
      </c>
      <c r="I31" s="480">
        <f t="shared" si="8"/>
        <v>0</v>
      </c>
      <c r="J31" s="480">
        <f t="shared" si="8"/>
        <v>0</v>
      </c>
      <c r="K31" s="480">
        <f t="shared" si="8"/>
        <v>0</v>
      </c>
      <c r="L31" s="480">
        <f t="shared" si="8"/>
        <v>0</v>
      </c>
      <c r="M31" s="480">
        <f t="shared" si="8"/>
        <v>0</v>
      </c>
      <c r="N31" s="480">
        <f t="shared" si="8"/>
        <v>0</v>
      </c>
      <c r="O31" s="480">
        <f>IFERROR(O19/O22,0)</f>
        <v>0</v>
      </c>
      <c r="P31" s="480">
        <f t="shared" si="8"/>
        <v>0</v>
      </c>
      <c r="Q31" s="480">
        <f t="shared" si="8"/>
        <v>2.3333333333333335</v>
      </c>
      <c r="R31" s="483">
        <f>IFERROR(R12/R21,0)</f>
        <v>1214.29</v>
      </c>
    </row>
    <row r="32" spans="1:21" s="25" customFormat="1" ht="25" customHeight="1" x14ac:dyDescent="0.2">
      <c r="A32" s="52"/>
      <c r="C32" s="490" t="s">
        <v>373</v>
      </c>
      <c r="D32" s="492" t="s">
        <v>165</v>
      </c>
      <c r="E32" s="131"/>
      <c r="F32" s="480" t="e">
        <f>(F30/(F30+F31))*100</f>
        <v>#DIV/0!</v>
      </c>
      <c r="G32" s="480" t="e">
        <f t="shared" ref="G32:Q32" si="9">(G30/(G30+G31))*100</f>
        <v>#DIV/0!</v>
      </c>
      <c r="H32" s="480" t="e">
        <f t="shared" si="9"/>
        <v>#DIV/0!</v>
      </c>
      <c r="I32" s="480" t="e">
        <f t="shared" si="9"/>
        <v>#DIV/0!</v>
      </c>
      <c r="J32" s="480" t="e">
        <f t="shared" si="9"/>
        <v>#DIV/0!</v>
      </c>
      <c r="K32" s="480" t="e">
        <f t="shared" si="9"/>
        <v>#DIV/0!</v>
      </c>
      <c r="L32" s="480" t="e">
        <f t="shared" si="9"/>
        <v>#DIV/0!</v>
      </c>
      <c r="M32" s="480" t="e">
        <f t="shared" si="9"/>
        <v>#DIV/0!</v>
      </c>
      <c r="N32" s="480" t="e">
        <f t="shared" si="9"/>
        <v>#DIV/0!</v>
      </c>
      <c r="O32" s="480" t="e">
        <f t="shared" si="9"/>
        <v>#DIV/0!</v>
      </c>
      <c r="P32" s="480" t="e">
        <f t="shared" si="9"/>
        <v>#DIV/0!</v>
      </c>
      <c r="Q32" s="480">
        <f t="shared" si="9"/>
        <v>96.666666666666686</v>
      </c>
      <c r="R32" s="483">
        <f>IFERROR(R13/R22,0)</f>
        <v>3321.0466666666666</v>
      </c>
    </row>
    <row r="33" spans="1:18" s="25" customFormat="1" ht="25" customHeight="1" x14ac:dyDescent="0.2">
      <c r="A33" s="52"/>
      <c r="C33" s="491" t="s">
        <v>355</v>
      </c>
      <c r="D33" s="493" t="s">
        <v>357</v>
      </c>
      <c r="E33" s="430"/>
      <c r="F33" s="481">
        <f>COUNTIFS(Mantenimiento[Tipo],"Preventivo",Mantenimiento[Placa Vehiculo],IF($D$7="","*",$D$7),Mantenimiento[Fecha Entrada],"&gt;="&amp;F$3,Mantenimiento[Fecha Entrada],"&lt;="&amp;F$4)</f>
        <v>1</v>
      </c>
      <c r="G33" s="540">
        <f>COUNTIFS(Mantenimiento[Tipo],"Preventivo",Mantenimiento[Placa Vehiculo],IF($D$7="","*",$D$7),Mantenimiento[Fecha Entrada],"&gt;="&amp;G$3,Mantenimiento[Fecha Entrada],"&lt;="&amp;G$4)</f>
        <v>1</v>
      </c>
      <c r="H33" s="482">
        <f>COUNTIFS(Mantenimiento[Tipo],"Preventivo",Mantenimiento[Placa Vehiculo],IF($D$7="","*",$D$7),Mantenimiento[Fecha Entrada],"&gt;="&amp;H$3,Mantenimiento[Fecha Entrada],"&lt;="&amp;H$4)</f>
        <v>0</v>
      </c>
      <c r="I33" s="540">
        <f>COUNTIFS(Mantenimiento[Tipo],"Preventivo",Mantenimiento[Placa Vehiculo],IF($D$7="","*",$D$7),Mantenimiento[Fecha Entrada],"&gt;="&amp;I$3,Mantenimiento[Fecha Entrada],"&lt;="&amp;I$4)</f>
        <v>0</v>
      </c>
      <c r="J33" s="540">
        <f>COUNTIFS(Mantenimiento[Tipo],"Preventivo",Mantenimiento[Placa Vehiculo],IF($D$7="","*",$D$7),Mantenimiento[Fecha Entrada],"&gt;="&amp;J$3,Mantenimiento[Fecha Entrada],"&lt;="&amp;J$4)</f>
        <v>0</v>
      </c>
      <c r="K33" s="540">
        <f>COUNTIFS(Mantenimiento[Tipo],"Preventivo",Mantenimiento[Placa Vehiculo],IF($D$7="","*",$D$7),Mantenimiento[Fecha Entrada],"&gt;="&amp;K$3,Mantenimiento[Fecha Entrada],"&lt;="&amp;K$4)</f>
        <v>1</v>
      </c>
      <c r="L33" s="482">
        <f>COUNTIFS(Mantenimiento[Tipo],"Preventivo",Mantenimiento[Placa Vehiculo],IF($D$7="","*",$D$7),Mantenimiento[Fecha Entrada],"&gt;="&amp;L$3,Mantenimiento[Fecha Entrada],"&lt;="&amp;L$4)</f>
        <v>0</v>
      </c>
      <c r="M33" s="540">
        <f>COUNTIFS(Mantenimiento[Tipo],"Preventivo",Mantenimiento[Placa Vehiculo],IF($D$7="","*",$D$7),Mantenimiento[Fecha Entrada],"&gt;="&amp;M$3,Mantenimiento[Fecha Entrada],"&lt;="&amp;M$4)</f>
        <v>0</v>
      </c>
      <c r="N33" s="482">
        <f>COUNTIFS(Mantenimiento[Tipo],"Preventivo",Mantenimiento[Placa Vehiculo],IF($D$7="","*",$D$7),Mantenimiento[Fecha Entrada],"&gt;="&amp;N$3,Mantenimiento[Fecha Entrada],"&lt;="&amp;N$4)</f>
        <v>1</v>
      </c>
      <c r="O33" s="540">
        <f>COUNTIFS(Mantenimiento[Tipo],"Preventivo",Mantenimiento[Placa Vehiculo],IF($D$7="","*",$D$7),Mantenimiento[Fecha Entrada],"&gt;="&amp;O$3,Mantenimiento[Fecha Entrada],"&lt;="&amp;O$4)</f>
        <v>0</v>
      </c>
      <c r="P33" s="482">
        <f>COUNTIFS(Mantenimiento[Tipo],"Preventivo",Mantenimiento[Placa Vehiculo],IF($D$7="","*",$D$7),Mantenimiento[Fecha Entrada],"&gt;="&amp;P$3,Mantenimiento[Fecha Entrada],"&lt;="&amp;P$4)</f>
        <v>0</v>
      </c>
      <c r="Q33" s="482">
        <f>COUNTIFS(Mantenimiento[Tipo],"Preventivo",Mantenimiento[Placa Vehiculo],IF($D$7="","*",$D$7),Mantenimiento[Fecha Entrada],"&gt;="&amp;Q$3,Mantenimiento[Fecha Entrada],"&lt;="&amp;Q$4)</f>
        <v>0</v>
      </c>
      <c r="R33" s="485">
        <f>SUM(F33:Q33)</f>
        <v>4</v>
      </c>
    </row>
    <row r="34" spans="1:18" s="25" customFormat="1" ht="25" customHeight="1" x14ac:dyDescent="0.2">
      <c r="A34" s="52"/>
      <c r="C34" s="491" t="s">
        <v>356</v>
      </c>
      <c r="D34" s="493" t="s">
        <v>357</v>
      </c>
      <c r="E34" s="430"/>
      <c r="F34" s="482">
        <f>COUNTIFS(Mantenimiento[Tipo],"Correctivo",Mantenimiento[Placa Vehiculo],IF($D$7="","*",$D$7),Mantenimiento[Fecha Entrada],"&gt;="&amp;F$3,Mantenimiento[Fecha Entrada],"&lt;="&amp;F$4)</f>
        <v>0</v>
      </c>
      <c r="G34" s="482">
        <f>COUNTIFS(Mantenimiento[Tipo],"Correctivo",Mantenimiento[Placa Vehiculo],IF($D$7="","*",$D$7),Mantenimiento[Fecha Entrada],"&gt;="&amp;G$3,Mantenimiento[Fecha Entrada],"&lt;="&amp;G$4)</f>
        <v>0</v>
      </c>
      <c r="H34" s="482">
        <f>COUNTIFS(Mantenimiento[Tipo],"Correctivo",Mantenimiento[Placa Vehiculo],IF($D$7="","*",$D$7),Mantenimiento[Fecha Entrada],"&gt;="&amp;H$3,Mantenimiento[Fecha Entrada],"&lt;="&amp;H$4)</f>
        <v>0</v>
      </c>
      <c r="I34" s="482">
        <f>COUNTIFS(Mantenimiento[Tipo],"Correctivo",Mantenimiento[Placa Vehiculo],IF($D$7="","*",$D$7),Mantenimiento[Fecha Entrada],"&gt;="&amp;I$3,Mantenimiento[Fecha Entrada],"&lt;="&amp;I$4)</f>
        <v>0</v>
      </c>
      <c r="J34" s="482">
        <f>COUNTIFS(Mantenimiento[Tipo],"Correctivo",Mantenimiento[Placa Vehiculo],IF($D$7="","*",$D$7),Mantenimiento[Fecha Entrada],"&gt;="&amp;J$3,Mantenimiento[Fecha Entrada],"&lt;="&amp;J$4)</f>
        <v>0</v>
      </c>
      <c r="K34" s="482">
        <f>COUNTIFS(Mantenimiento[Tipo],"Correctivo",Mantenimiento[Placa Vehiculo],IF($D$7="","*",$D$7),Mantenimiento[Fecha Entrada],"&gt;="&amp;K$3,Mantenimiento[Fecha Entrada],"&lt;="&amp;K$4)</f>
        <v>0</v>
      </c>
      <c r="L34" s="482">
        <f>COUNTIFS(Mantenimiento[Tipo],"Correctivo",Mantenimiento[Placa Vehiculo],IF($D$7="","*",$D$7),Mantenimiento[Fecha Entrada],"&gt;="&amp;L$3,Mantenimiento[Fecha Entrada],"&lt;="&amp;L$4)</f>
        <v>0</v>
      </c>
      <c r="M34" s="482">
        <f>COUNTIFS(Mantenimiento[Tipo],"Correctivo",Mantenimiento[Placa Vehiculo],IF($D$7="","*",$D$7),Mantenimiento[Fecha Entrada],"&gt;="&amp;M$3,Mantenimiento[Fecha Entrada],"&lt;="&amp;M$4)</f>
        <v>0</v>
      </c>
      <c r="N34" s="540">
        <f>COUNTIFS(Mantenimiento[Tipo],"Correctivo",Mantenimiento[Placa Vehiculo],IF($D$7="","*",$D$7),Mantenimiento[Fecha Entrada],"&gt;="&amp;N$3,Mantenimiento[Fecha Entrada],"&lt;="&amp;N$4)</f>
        <v>0</v>
      </c>
      <c r="O34" s="540">
        <f>COUNTIFS(Mantenimiento[Tipo],"Correctivo",Mantenimiento[Placa Vehiculo],IF($D$7="","*",$D$7),Mantenimiento[Fecha Entrada],"&gt;="&amp;O$3,Mantenimiento[Fecha Entrada],"&lt;="&amp;O$4)</f>
        <v>0</v>
      </c>
      <c r="P34" s="482">
        <f>COUNTIFS(Mantenimiento[Tipo],"Correctivo",Mantenimiento[Placa Vehiculo],IF($D$7="","*",$D$7),Mantenimiento[Fecha Entrada],"&gt;="&amp;P$3,Mantenimiento[Fecha Entrada],"&lt;="&amp;P$4)</f>
        <v>0</v>
      </c>
      <c r="Q34" s="482">
        <f>COUNTIFS(Mantenimiento[Tipo],"Correctivo",Mantenimiento[Placa Vehiculo],IF($D$7="","*",$D$7),Mantenimiento[Fecha Entrada],"&gt;="&amp;Q$3,Mantenimiento[Fecha Entrada],"&lt;="&amp;Q$4)</f>
        <v>3</v>
      </c>
      <c r="R34" s="485">
        <f>SUM(F34:Q34)</f>
        <v>3</v>
      </c>
    </row>
    <row r="35" spans="1:18" s="25" customFormat="1" ht="25" customHeight="1" x14ac:dyDescent="0.2">
      <c r="A35" s="52"/>
      <c r="C35" s="490" t="s">
        <v>78</v>
      </c>
      <c r="D35" s="492" t="s">
        <v>354</v>
      </c>
      <c r="E35" s="131"/>
      <c r="F35" s="480">
        <f t="shared" ref="F35:R35" si="10">IFERROR(F15/F10,0)</f>
        <v>0</v>
      </c>
      <c r="G35" s="480">
        <f t="shared" si="10"/>
        <v>0</v>
      </c>
      <c r="H35" s="480">
        <f t="shared" si="10"/>
        <v>0</v>
      </c>
      <c r="I35" s="480">
        <f t="shared" si="10"/>
        <v>0</v>
      </c>
      <c r="J35" s="480">
        <f t="shared" si="10"/>
        <v>0</v>
      </c>
      <c r="K35" s="480">
        <f t="shared" si="10"/>
        <v>0</v>
      </c>
      <c r="L35" s="480">
        <f t="shared" si="10"/>
        <v>0</v>
      </c>
      <c r="M35" s="480">
        <f t="shared" si="10"/>
        <v>0</v>
      </c>
      <c r="N35" s="480">
        <f t="shared" si="10"/>
        <v>0</v>
      </c>
      <c r="O35" s="480">
        <f t="shared" si="10"/>
        <v>0</v>
      </c>
      <c r="P35" s="480">
        <f t="shared" si="10"/>
        <v>0</v>
      </c>
      <c r="Q35" s="480">
        <f t="shared" si="10"/>
        <v>0</v>
      </c>
      <c r="R35" s="484">
        <f t="shared" si="10"/>
        <v>0</v>
      </c>
    </row>
    <row r="36" spans="1:18" ht="8" customHeight="1" x14ac:dyDescent="0.2">
      <c r="A36" s="47"/>
      <c r="D36"/>
      <c r="E36"/>
    </row>
    <row r="37" spans="1:18" s="25" customFormat="1" ht="18" customHeight="1" x14ac:dyDescent="0.2">
      <c r="A37" s="52"/>
      <c r="C37" s="137" t="s">
        <v>69</v>
      </c>
      <c r="D37" s="137" t="s">
        <v>71</v>
      </c>
      <c r="E37" s="137" t="s">
        <v>161</v>
      </c>
      <c r="F37" s="118" t="s">
        <v>53</v>
      </c>
      <c r="G37" s="118" t="s">
        <v>54</v>
      </c>
      <c r="H37" s="118" t="s">
        <v>55</v>
      </c>
      <c r="I37" s="118" t="s">
        <v>56</v>
      </c>
      <c r="J37" s="118" t="s">
        <v>57</v>
      </c>
      <c r="K37" s="118" t="s">
        <v>58</v>
      </c>
      <c r="L37" s="118" t="s">
        <v>59</v>
      </c>
      <c r="M37" s="118" t="s">
        <v>60</v>
      </c>
      <c r="N37" s="118" t="s">
        <v>402</v>
      </c>
      <c r="O37" s="118" t="s">
        <v>62</v>
      </c>
      <c r="P37" s="118" t="s">
        <v>63</v>
      </c>
      <c r="Q37" s="118" t="s">
        <v>64</v>
      </c>
      <c r="R37" s="119" t="s">
        <v>155</v>
      </c>
    </row>
    <row r="38" spans="1:18" s="25" customFormat="1" ht="18" customHeight="1" x14ac:dyDescent="0.2">
      <c r="A38" s="52"/>
      <c r="C38" s="132" t="s">
        <v>79</v>
      </c>
      <c r="D38" s="133" t="s">
        <v>82</v>
      </c>
      <c r="E38" s="133"/>
      <c r="F38" s="134">
        <f t="shared" ref="F38:R38" si="11">IFERROR(F12/F10,0)</f>
        <v>0</v>
      </c>
      <c r="G38" s="134">
        <f t="shared" si="11"/>
        <v>0</v>
      </c>
      <c r="H38" s="134">
        <f t="shared" si="11"/>
        <v>0</v>
      </c>
      <c r="I38" s="134">
        <f t="shared" si="11"/>
        <v>0</v>
      </c>
      <c r="J38" s="134">
        <f t="shared" si="11"/>
        <v>0</v>
      </c>
      <c r="K38" s="134">
        <f t="shared" si="11"/>
        <v>0</v>
      </c>
      <c r="L38" s="134">
        <f t="shared" si="11"/>
        <v>0</v>
      </c>
      <c r="M38" s="134">
        <f t="shared" si="11"/>
        <v>0</v>
      </c>
      <c r="N38" s="134">
        <f t="shared" si="11"/>
        <v>0</v>
      </c>
      <c r="O38" s="134">
        <f t="shared" si="11"/>
        <v>531.81000000000006</v>
      </c>
      <c r="P38" s="134">
        <f t="shared" si="11"/>
        <v>562.4</v>
      </c>
      <c r="Q38" s="134">
        <f t="shared" si="11"/>
        <v>535.04000000000008</v>
      </c>
      <c r="R38" s="135">
        <f t="shared" si="11"/>
        <v>91.644528301886794</v>
      </c>
    </row>
    <row r="39" spans="1:18" s="25" customFormat="1" ht="18" customHeight="1" x14ac:dyDescent="0.2">
      <c r="A39" s="52"/>
      <c r="C39" s="132" t="s">
        <v>67</v>
      </c>
      <c r="D39" s="133" t="s">
        <v>82</v>
      </c>
      <c r="E39" s="133"/>
      <c r="F39" s="134">
        <f t="shared" ref="F39:R39" si="12">IFERROR(F13/F10,0)</f>
        <v>149.35050000000001</v>
      </c>
      <c r="G39" s="134">
        <f t="shared" si="12"/>
        <v>192.77700000000002</v>
      </c>
      <c r="H39" s="134">
        <f t="shared" si="12"/>
        <v>200.71799999999999</v>
      </c>
      <c r="I39" s="134">
        <f t="shared" si="12"/>
        <v>163.03500000000003</v>
      </c>
      <c r="J39" s="134">
        <f t="shared" si="12"/>
        <v>138.84</v>
      </c>
      <c r="K39" s="134">
        <f t="shared" si="12"/>
        <v>150.71850000000003</v>
      </c>
      <c r="L39" s="134">
        <f t="shared" si="12"/>
        <v>153.126</v>
      </c>
      <c r="M39" s="134">
        <f t="shared" si="12"/>
        <v>142.185</v>
      </c>
      <c r="N39" s="134">
        <f t="shared" si="12"/>
        <v>208.80700000000002</v>
      </c>
      <c r="O39" s="134">
        <f t="shared" si="12"/>
        <v>282.45</v>
      </c>
      <c r="P39" s="134">
        <f t="shared" si="12"/>
        <v>303.08599999999996</v>
      </c>
      <c r="Q39" s="134">
        <f t="shared" si="12"/>
        <v>293.29999999999995</v>
      </c>
      <c r="R39" s="135">
        <f t="shared" si="12"/>
        <v>187.98377358490566</v>
      </c>
    </row>
    <row r="40" spans="1:18" s="25" customFormat="1" ht="18" customHeight="1" x14ac:dyDescent="0.2">
      <c r="A40" s="52"/>
      <c r="C40" s="132" t="s">
        <v>80</v>
      </c>
      <c r="D40" s="133" t="s">
        <v>83</v>
      </c>
      <c r="E40" s="133"/>
      <c r="F40" s="134">
        <f t="shared" ref="F40:R40" si="13">IFERROR(F12/F11,0)</f>
        <v>0</v>
      </c>
      <c r="G40" s="134">
        <f t="shared" si="13"/>
        <v>0</v>
      </c>
      <c r="H40" s="134">
        <f t="shared" si="13"/>
        <v>0</v>
      </c>
      <c r="I40" s="134">
        <f t="shared" si="13"/>
        <v>0</v>
      </c>
      <c r="J40" s="134">
        <f t="shared" si="13"/>
        <v>0</v>
      </c>
      <c r="K40" s="134">
        <f t="shared" si="13"/>
        <v>0</v>
      </c>
      <c r="L40" s="134">
        <f t="shared" si="13"/>
        <v>0</v>
      </c>
      <c r="M40" s="134">
        <f t="shared" si="13"/>
        <v>0</v>
      </c>
      <c r="N40" s="134">
        <f t="shared" si="13"/>
        <v>0</v>
      </c>
      <c r="O40" s="134">
        <f t="shared" si="13"/>
        <v>0.76000000000000012</v>
      </c>
      <c r="P40" s="134">
        <f t="shared" si="13"/>
        <v>0.76</v>
      </c>
      <c r="Q40" s="134">
        <f t="shared" si="13"/>
        <v>0.76</v>
      </c>
      <c r="R40" s="135">
        <f t="shared" si="13"/>
        <v>0.2126230082297321</v>
      </c>
    </row>
    <row r="41" spans="1:18" s="25" customFormat="1" ht="18" customHeight="1" x14ac:dyDescent="0.2">
      <c r="A41" s="52"/>
      <c r="C41" s="132" t="s">
        <v>81</v>
      </c>
      <c r="D41" s="133" t="s">
        <v>83</v>
      </c>
      <c r="E41" s="133"/>
      <c r="F41" s="134">
        <f t="shared" ref="F41:R41" si="14">IFERROR(F13/F11,0)</f>
        <v>0.77183720930232569</v>
      </c>
      <c r="G41" s="134">
        <f t="shared" si="14"/>
        <v>2.5533377483443709</v>
      </c>
      <c r="H41" s="134">
        <f t="shared" si="14"/>
        <v>0.73567990226023217</v>
      </c>
      <c r="I41" s="134">
        <f t="shared" si="14"/>
        <v>0.36009939260077312</v>
      </c>
      <c r="J41" s="134">
        <f t="shared" si="14"/>
        <v>0.25529880478087652</v>
      </c>
      <c r="K41" s="134">
        <f t="shared" si="14"/>
        <v>0.33698937954164343</v>
      </c>
      <c r="L41" s="134">
        <f t="shared" si="14"/>
        <v>0.26242673521850901</v>
      </c>
      <c r="M41" s="134">
        <f t="shared" si="14"/>
        <v>0.36567081011573083</v>
      </c>
      <c r="N41" s="134">
        <f t="shared" si="14"/>
        <v>0.40564740165128704</v>
      </c>
      <c r="O41" s="134">
        <f t="shared" si="14"/>
        <v>0.40364415862808145</v>
      </c>
      <c r="P41" s="134">
        <f t="shared" si="14"/>
        <v>0.4095756756756756</v>
      </c>
      <c r="Q41" s="134">
        <f t="shared" si="14"/>
        <v>0.41661931818181813</v>
      </c>
      <c r="R41" s="135">
        <f t="shared" si="14"/>
        <v>0.43613815443880227</v>
      </c>
    </row>
    <row r="42" spans="1:18" ht="18" customHeight="1" x14ac:dyDescent="0.2">
      <c r="A42" s="47"/>
      <c r="C42" s="132" t="s">
        <v>162</v>
      </c>
      <c r="D42" s="133" t="s">
        <v>83</v>
      </c>
      <c r="E42" s="133"/>
      <c r="F42" s="134">
        <f>IFERROR('Flujo de Caja'!D20/F10,0)</f>
        <v>-2403.1860000000001</v>
      </c>
      <c r="G42" s="134">
        <f>IFERROR('Flujo de Caja'!E20/G10,0)</f>
        <v>-1509.693</v>
      </c>
      <c r="H42" s="134">
        <f>IFERROR('Flujo de Caja'!F20/H10,0)</f>
        <v>-1576.8689999999997</v>
      </c>
      <c r="I42" s="134">
        <f>IFERROR('Flujo de Caja'!G20/I10,0)</f>
        <v>-2908.7999999999997</v>
      </c>
      <c r="J42" s="134">
        <f>IFERROR('Flujo de Caja'!H20/J10,0)</f>
        <v>-3324.9510000000009</v>
      </c>
      <c r="K42" s="134">
        <f>IFERROR('Flujo de Caja'!I20/K10,0)</f>
        <v>-3436.5073499999999</v>
      </c>
      <c r="L42" s="134">
        <f>IFERROR('Flujo de Caja'!J20/L10,0)</f>
        <v>-1669.3379999999995</v>
      </c>
      <c r="M42" s="134">
        <f>IFERROR('Flujo de Caja'!K20/M10,0)</f>
        <v>-2215.8059999999996</v>
      </c>
      <c r="N42" s="134">
        <f>IFERROR('Flujo de Caja'!L20/N10,0)</f>
        <v>-3932.6439999999993</v>
      </c>
      <c r="O42" s="134">
        <f>IFERROR('Flujo de Caja'!M20/O10,0)</f>
        <v>2167.8427000000029</v>
      </c>
      <c r="P42" s="134">
        <f>IFERROR('Flujo de Caja'!N20/P10,0)</f>
        <v>6221.0890000000054</v>
      </c>
      <c r="Q42" s="134">
        <f>IFERROR('Flujo de Caja'!O20/Q10,0)</f>
        <v>3109.8133333333267</v>
      </c>
      <c r="R42" s="135">
        <f>IFERROR('Flujo de Caja'!P20/R10,0)</f>
        <v>-1485.3363509433966</v>
      </c>
    </row>
    <row r="43" spans="1:18" ht="18" customHeight="1" x14ac:dyDescent="0.2">
      <c r="A43" s="47"/>
      <c r="C43" s="132" t="s">
        <v>163</v>
      </c>
      <c r="D43" s="133" t="s">
        <v>83</v>
      </c>
      <c r="E43" s="133"/>
      <c r="F43" s="134">
        <f>IFERROR('Flujo de Caja'!D20/F11,0)</f>
        <v>-12.419565891472869</v>
      </c>
      <c r="G43" s="134">
        <f>IFERROR('Flujo de Caja'!E20/G11,0)</f>
        <v>-19.995933774834437</v>
      </c>
      <c r="H43" s="134">
        <f>IFERROR('Flujo de Caja'!F20/H11,0)</f>
        <v>-5.7796053756872316</v>
      </c>
      <c r="I43" s="134">
        <f>IFERROR('Flujo de Caja'!G20/I11,0)</f>
        <v>-6.424737713970182</v>
      </c>
      <c r="J43" s="134">
        <f>IFERROR('Flujo de Caja'!H20/J11,0)</f>
        <v>-6.1139154152620305</v>
      </c>
      <c r="K43" s="134">
        <f>IFERROR('Flujo de Caja'!I20/K11,0)</f>
        <v>-7.6836385690329791</v>
      </c>
      <c r="L43" s="134">
        <f>IFERROR('Flujo de Caja'!J20/L11,0)</f>
        <v>-2.8609048843187654</v>
      </c>
      <c r="M43" s="134">
        <f>IFERROR('Flujo de Caja'!K20/M11,0)</f>
        <v>-5.6986009429918552</v>
      </c>
      <c r="N43" s="134">
        <f>IFERROR('Flujo de Caja'!L20/N11,0)</f>
        <v>-7.6399106362311793</v>
      </c>
      <c r="O43" s="134">
        <f>IFERROR('Flujo de Caja'!M20/O11,0)</f>
        <v>3.098024580207221</v>
      </c>
      <c r="P43" s="134">
        <f>IFERROR('Flujo de Caja'!N20/P11,0)</f>
        <v>8.4068770270270345</v>
      </c>
      <c r="Q43" s="134">
        <f>IFERROR('Flujo de Caja'!O20/Q11,0)</f>
        <v>4.4173484848484756</v>
      </c>
      <c r="R43" s="135">
        <f>IFERROR('Flujo de Caja'!P20/R11,0)</f>
        <v>-3.4461051742251803</v>
      </c>
    </row>
    <row r="44" spans="1:18" ht="18" customHeight="1" x14ac:dyDescent="0.2">
      <c r="A44" s="47"/>
      <c r="C44" s="132" t="s">
        <v>164</v>
      </c>
      <c r="D44" s="133" t="s">
        <v>165</v>
      </c>
      <c r="E44" s="133"/>
      <c r="F44" s="136">
        <f>'Flujo de Caja'!D21</f>
        <v>-6.9938840990941831</v>
      </c>
      <c r="G44" s="136" t="str">
        <f>'Flujo de Caja'!E21</f>
        <v/>
      </c>
      <c r="H44" s="136" t="str">
        <f>'Flujo de Caja'!F21</f>
        <v/>
      </c>
      <c r="I44" s="136" t="str">
        <f>'Flujo de Caja'!G21</f>
        <v/>
      </c>
      <c r="J44" s="136" t="str">
        <f>'Flujo de Caja'!H21</f>
        <v/>
      </c>
      <c r="K44" s="136" t="str">
        <f>'Flujo de Caja'!I21</f>
        <v/>
      </c>
      <c r="L44" s="136" t="str">
        <f>'Flujo de Caja'!J21</f>
        <v/>
      </c>
      <c r="M44" s="136" t="str">
        <f>'Flujo de Caja'!K21</f>
        <v/>
      </c>
      <c r="N44" s="136" t="str">
        <f>'Flujo de Caja'!L21</f>
        <v/>
      </c>
      <c r="O44" s="136">
        <f>'Flujo de Caja'!M21</f>
        <v>0.2958665010258158</v>
      </c>
      <c r="P44" s="136">
        <f>'Flujo de Caja'!N21</f>
        <v>0.37942735405811018</v>
      </c>
      <c r="Q44" s="136">
        <f>'Flujo de Caja'!O21</f>
        <v>0.30483285465494259</v>
      </c>
      <c r="R44" s="136">
        <f>'Flujo de Caja'!P21</f>
        <v>-0.83676536111368294</v>
      </c>
    </row>
    <row r="45" spans="1:18" x14ac:dyDescent="0.2">
      <c r="A45" s="47"/>
    </row>
    <row r="46" spans="1:18" x14ac:dyDescent="0.2">
      <c r="A46" s="47"/>
    </row>
    <row r="47" spans="1:18" ht="23" x14ac:dyDescent="0.25">
      <c r="A47" s="47"/>
      <c r="C47" s="458" t="s">
        <v>423</v>
      </c>
    </row>
    <row r="48" spans="1:18" x14ac:dyDescent="0.2">
      <c r="A48" s="47"/>
    </row>
    <row r="49" spans="1:18" ht="21" x14ac:dyDescent="0.2">
      <c r="A49" s="47"/>
      <c r="C49" s="429" t="s">
        <v>384</v>
      </c>
      <c r="D49" s="429" t="s">
        <v>71</v>
      </c>
      <c r="E49" s="429" t="s">
        <v>161</v>
      </c>
      <c r="F49" s="118" t="s">
        <v>53</v>
      </c>
      <c r="G49" s="118" t="s">
        <v>54</v>
      </c>
      <c r="H49" s="118" t="s">
        <v>55</v>
      </c>
      <c r="I49" s="118" t="s">
        <v>56</v>
      </c>
      <c r="J49" s="118" t="s">
        <v>57</v>
      </c>
      <c r="K49" s="118" t="s">
        <v>58</v>
      </c>
      <c r="L49" s="118" t="s">
        <v>59</v>
      </c>
      <c r="M49" s="118" t="s">
        <v>60</v>
      </c>
      <c r="N49" s="118" t="s">
        <v>402</v>
      </c>
      <c r="O49" s="118" t="s">
        <v>62</v>
      </c>
      <c r="P49" s="118" t="s">
        <v>63</v>
      </c>
      <c r="Q49" s="118" t="s">
        <v>64</v>
      </c>
      <c r="R49" s="119" t="s">
        <v>155</v>
      </c>
    </row>
    <row r="50" spans="1:18" ht="25" customHeight="1" x14ac:dyDescent="0.2">
      <c r="A50" s="47"/>
      <c r="C50" s="496" t="str">
        <f>CONCATENATE(VLOOKUP(D50,Vehiculos[[PLACA]:[MODELO]],4,0)," ",VLOOKUP(D50,Vehiculos[[PLACA]:[MODELO]],2,0)," ",VLOOKUP(D50,Vehiculos[[PLACA]:[MODELO]],3,0))</f>
        <v>CABEZAL ARTICULADO SHACMAN</v>
      </c>
      <c r="D50" s="496" t="s">
        <v>204</v>
      </c>
      <c r="E50" s="133"/>
      <c r="F50" s="541">
        <f t="shared" ref="F50:Q50" si="15">IFERROR(F79/F171,0)</f>
        <v>2.3320979842718974</v>
      </c>
      <c r="G50" s="541">
        <f t="shared" si="15"/>
        <v>0.70495961655176709</v>
      </c>
      <c r="H50" s="541">
        <f t="shared" si="15"/>
        <v>2.4467162885241982</v>
      </c>
      <c r="I50" s="541">
        <f t="shared" si="15"/>
        <v>4.998619928236268</v>
      </c>
      <c r="J50" s="541">
        <f t="shared" si="15"/>
        <v>7.0505617977528088</v>
      </c>
      <c r="K50" s="541">
        <f t="shared" si="15"/>
        <v>5.3414146239512732</v>
      </c>
      <c r="L50" s="541">
        <f t="shared" si="15"/>
        <v>6.8590572469730819</v>
      </c>
      <c r="M50" s="541">
        <f t="shared" si="15"/>
        <v>4.9224601751239581</v>
      </c>
      <c r="N50" s="541">
        <f t="shared" si="15"/>
        <v>6.1378405771179869</v>
      </c>
      <c r="O50" s="541">
        <f t="shared" si="15"/>
        <v>6.9368029739776951</v>
      </c>
      <c r="P50" s="541">
        <f t="shared" si="15"/>
        <v>6.8363434800683631</v>
      </c>
      <c r="Q50" s="541">
        <f t="shared" si="15"/>
        <v>6.7207637231503581</v>
      </c>
      <c r="R50" s="499">
        <f>SUM(F50:Q50)</f>
        <v>61.287638415699647</v>
      </c>
    </row>
    <row r="51" spans="1:18" ht="25" customHeight="1" x14ac:dyDescent="0.2">
      <c r="A51" s="47"/>
      <c r="C51" s="496" t="str">
        <f>CONCATENATE(VLOOKUP(D51,Vehiculos[[PLACA]:[MODELO]],4,0)," ",VLOOKUP(D51,Vehiculos[[PLACA]:[MODELO]],2,0)," ",VLOOKUP(D51,Vehiculos[[PLACA]:[MODELO]],3,0))</f>
        <v>CABEZAL ARTICULADO SHACMAN</v>
      </c>
      <c r="D51" s="496" t="s">
        <v>207</v>
      </c>
      <c r="E51" s="455"/>
      <c r="F51" s="541">
        <f t="shared" ref="F51:Q51" si="16">IFERROR(F80/F172,0)</f>
        <v>1.3684417787471221</v>
      </c>
      <c r="G51" s="541">
        <f t="shared" si="16"/>
        <v>0.85122880355999053</v>
      </c>
      <c r="H51" s="541">
        <f t="shared" si="16"/>
        <v>6.2790219847955617</v>
      </c>
      <c r="I51" s="541">
        <f t="shared" si="16"/>
        <v>4.075214571185219</v>
      </c>
      <c r="J51" s="541">
        <f t="shared" si="16"/>
        <v>6.1487656788290606</v>
      </c>
      <c r="K51" s="541">
        <f t="shared" si="16"/>
        <v>4.8599080682789362</v>
      </c>
      <c r="L51" s="541">
        <f t="shared" si="16"/>
        <v>5.4408060453400502</v>
      </c>
      <c r="M51" s="541">
        <f t="shared" si="16"/>
        <v>4.0776862283504292</v>
      </c>
      <c r="N51" s="541">
        <f t="shared" si="16"/>
        <v>0</v>
      </c>
      <c r="O51" s="541">
        <f t="shared" si="16"/>
        <v>0</v>
      </c>
      <c r="P51" s="541">
        <f t="shared" si="16"/>
        <v>0</v>
      </c>
      <c r="Q51" s="541">
        <f t="shared" si="16"/>
        <v>0</v>
      </c>
      <c r="R51" s="499">
        <f t="shared" ref="R51:R74" si="17">SUM(F51:Q51)</f>
        <v>33.101073159086368</v>
      </c>
    </row>
    <row r="52" spans="1:18" ht="25" customHeight="1" x14ac:dyDescent="0.2">
      <c r="A52" s="47"/>
      <c r="C52" s="496" t="str">
        <f>CONCATENATE(VLOOKUP(D52,Vehiculos[[PLACA]:[MODELO]],4,0)," ",VLOOKUP(D52,Vehiculos[[PLACA]:[MODELO]],2,0)," ",VLOOKUP(D52,Vehiculos[[PLACA]:[MODELO]],3,0))</f>
        <v>CABEZAL ARTICULADO DAF</v>
      </c>
      <c r="D52" s="496" t="s">
        <v>208</v>
      </c>
      <c r="E52" s="455"/>
      <c r="F52" s="541">
        <f t="shared" ref="F52:Q52" si="18">IFERROR(F81/F173,0)</f>
        <v>6.1493336950256019</v>
      </c>
      <c r="G52" s="541">
        <f t="shared" si="18"/>
        <v>5.5868448098663936</v>
      </c>
      <c r="H52" s="541">
        <f t="shared" si="18"/>
        <v>5.7042583060365004</v>
      </c>
      <c r="I52" s="541">
        <f t="shared" si="18"/>
        <v>4.9947383280716604</v>
      </c>
      <c r="J52" s="541">
        <f t="shared" si="18"/>
        <v>5.4432751335406211</v>
      </c>
      <c r="K52" s="541">
        <f t="shared" si="18"/>
        <v>5.3614880673841832</v>
      </c>
      <c r="L52" s="541">
        <f t="shared" si="18"/>
        <v>4.9733959311424103</v>
      </c>
      <c r="M52" s="541">
        <f t="shared" si="18"/>
        <v>5.3302508681039127</v>
      </c>
      <c r="N52" s="541">
        <f t="shared" si="18"/>
        <v>5.56682214560941</v>
      </c>
      <c r="O52" s="541">
        <f t="shared" si="18"/>
        <v>5.8876929582150153</v>
      </c>
      <c r="P52" s="541">
        <f t="shared" si="18"/>
        <v>6.308832365311436</v>
      </c>
      <c r="Q52" s="541">
        <f t="shared" si="18"/>
        <v>6.2778138906945342</v>
      </c>
      <c r="R52" s="499">
        <f t="shared" si="17"/>
        <v>67.584746499001682</v>
      </c>
    </row>
    <row r="53" spans="1:18" ht="25" customHeight="1" x14ac:dyDescent="0.2">
      <c r="A53" s="47"/>
      <c r="C53" s="496" t="str">
        <f>CONCATENATE(VLOOKUP(D53,Vehiculos[[PLACA]:[MODELO]],4,0)," ",VLOOKUP(D53,Vehiculos[[PLACA]:[MODELO]],2,0)," ",VLOOKUP(D53,Vehiculos[[PLACA]:[MODELO]],3,0))</f>
        <v>CABEZAL ARTICULADO DAF</v>
      </c>
      <c r="D53" s="496" t="s">
        <v>209</v>
      </c>
      <c r="E53" s="455"/>
      <c r="F53" s="541">
        <f t="shared" ref="F53:Q53" si="19">IFERROR(F82/F174,0)</f>
        <v>1.0713347000998792</v>
      </c>
      <c r="G53" s="541">
        <f t="shared" si="19"/>
        <v>6.7902072865097107</v>
      </c>
      <c r="H53" s="541">
        <f t="shared" si="19"/>
        <v>4.6440661214202761</v>
      </c>
      <c r="I53" s="541">
        <f t="shared" si="19"/>
        <v>5.2334872159090917</v>
      </c>
      <c r="J53" s="541">
        <f t="shared" si="19"/>
        <v>5.9057428933133842</v>
      </c>
      <c r="K53" s="541">
        <f t="shared" si="19"/>
        <v>5.006614201475303</v>
      </c>
      <c r="L53" s="541">
        <f t="shared" si="19"/>
        <v>5.8486758103711027</v>
      </c>
      <c r="M53" s="541">
        <f t="shared" si="19"/>
        <v>5.6708334285518402</v>
      </c>
      <c r="N53" s="541">
        <f t="shared" si="19"/>
        <v>6.2009170927106938</v>
      </c>
      <c r="O53" s="541">
        <f t="shared" si="19"/>
        <v>6.1047401079466868</v>
      </c>
      <c r="P53" s="541">
        <f t="shared" si="19"/>
        <v>5.9216589861751148</v>
      </c>
      <c r="Q53" s="541">
        <f t="shared" si="19"/>
        <v>6.1898846495119786</v>
      </c>
      <c r="R53" s="499">
        <f t="shared" si="17"/>
        <v>64.588162493995071</v>
      </c>
    </row>
    <row r="54" spans="1:18" ht="25" customHeight="1" x14ac:dyDescent="0.2">
      <c r="A54" s="47"/>
      <c r="C54" s="496" t="str">
        <f>CONCATENATE(VLOOKUP(D54,Vehiculos[[PLACA]:[MODELO]],4,0)," ",VLOOKUP(D54,Vehiculos[[PLACA]:[MODELO]],2,0)," ",VLOOKUP(D54,Vehiculos[[PLACA]:[MODELO]],3,0))</f>
        <v>CABEZAL ARTICULADO DAF</v>
      </c>
      <c r="D54" s="496" t="s">
        <v>210</v>
      </c>
      <c r="E54" s="455"/>
      <c r="F54" s="541">
        <f t="shared" ref="F54:Q54" si="20">IFERROR(F83/F175,0)</f>
        <v>0.88087496305054702</v>
      </c>
      <c r="G54" s="541">
        <f t="shared" si="20"/>
        <v>0.71199192586475835</v>
      </c>
      <c r="H54" s="541">
        <f t="shared" si="20"/>
        <v>5.7333181507629236</v>
      </c>
      <c r="I54" s="541">
        <f t="shared" si="20"/>
        <v>5.3742962011038893</v>
      </c>
      <c r="J54" s="541">
        <f t="shared" si="20"/>
        <v>5.8095103311633176</v>
      </c>
      <c r="K54" s="541">
        <f t="shared" si="20"/>
        <v>5.8555917735618976</v>
      </c>
      <c r="L54" s="541">
        <f t="shared" si="20"/>
        <v>6.0272341692090183</v>
      </c>
      <c r="M54" s="541">
        <f t="shared" si="20"/>
        <v>5.2551460898804931</v>
      </c>
      <c r="N54" s="541">
        <f t="shared" si="20"/>
        <v>5.7721822818699016</v>
      </c>
      <c r="O54" s="541">
        <f t="shared" si="20"/>
        <v>5.937564228459201</v>
      </c>
      <c r="P54" s="541">
        <f t="shared" si="20"/>
        <v>6.3796781074267974</v>
      </c>
      <c r="Q54" s="541">
        <f t="shared" si="20"/>
        <v>6.4681512169860174</v>
      </c>
      <c r="R54" s="499">
        <f t="shared" si="17"/>
        <v>60.205539439338757</v>
      </c>
    </row>
    <row r="55" spans="1:18" ht="25" customHeight="1" x14ac:dyDescent="0.2">
      <c r="A55" s="47"/>
      <c r="C55" s="496" t="str">
        <f>CONCATENATE(VLOOKUP(D55,Vehiculos[[PLACA]:[MODELO]],4,0)," ",VLOOKUP(D55,Vehiculos[[PLACA]:[MODELO]],2,0)," ",VLOOKUP(D55,Vehiculos[[PLACA]:[MODELO]],3,0))</f>
        <v>RIGIDO CAMIÓN RIGIDO HINO</v>
      </c>
      <c r="D55" s="496" t="s">
        <v>365</v>
      </c>
      <c r="E55" s="455"/>
      <c r="F55" s="541">
        <f t="shared" ref="F55:Q55" si="21">IFERROR(F84/F176,0)</f>
        <v>3.0775347912524853</v>
      </c>
      <c r="G55" s="541">
        <f t="shared" si="21"/>
        <v>3.7069767441860466</v>
      </c>
      <c r="H55" s="541">
        <f t="shared" si="21"/>
        <v>3.2194444444444446</v>
      </c>
      <c r="I55" s="541">
        <f t="shared" si="21"/>
        <v>6.7366666666666664</v>
      </c>
      <c r="J55" s="541">
        <f t="shared" si="21"/>
        <v>8.3081967213114751</v>
      </c>
      <c r="K55" s="541">
        <f t="shared" si="21"/>
        <v>7.5052631578947366</v>
      </c>
      <c r="L55" s="541">
        <f t="shared" si="21"/>
        <v>4.42</v>
      </c>
      <c r="M55" s="541">
        <f t="shared" si="21"/>
        <v>5.82</v>
      </c>
      <c r="N55" s="541">
        <f t="shared" si="21"/>
        <v>4.0191489361702128</v>
      </c>
      <c r="O55" s="541">
        <f t="shared" si="21"/>
        <v>7.4459459459459456</v>
      </c>
      <c r="P55" s="541">
        <f t="shared" si="21"/>
        <v>5.2114803625377641</v>
      </c>
      <c r="Q55" s="541">
        <f t="shared" si="21"/>
        <v>5.7885714285714283</v>
      </c>
      <c r="R55" s="499">
        <f t="shared" si="17"/>
        <v>65.259229198981203</v>
      </c>
    </row>
    <row r="56" spans="1:18" ht="25" customHeight="1" x14ac:dyDescent="0.2">
      <c r="A56" s="47"/>
      <c r="C56" s="496" t="str">
        <f>CONCATENATE(VLOOKUP(D56,Vehiculos[[PLACA]:[MODELO]],4,0)," ",VLOOKUP(D56,Vehiculos[[PLACA]:[MODELO]],2,0)," ",VLOOKUP(D56,Vehiculos[[PLACA]:[MODELO]],3,0))</f>
        <v>CABEZAL ARTICULADO SHACMAN</v>
      </c>
      <c r="D56" s="496" t="s">
        <v>211</v>
      </c>
      <c r="E56" s="455"/>
      <c r="F56" s="541">
        <f t="shared" ref="F56:Q56" si="22">IFERROR(F85/F177,0)</f>
        <v>1.8503193772789572</v>
      </c>
      <c r="G56" s="541">
        <f t="shared" si="22"/>
        <v>0.92788298951640169</v>
      </c>
      <c r="H56" s="541">
        <f t="shared" si="22"/>
        <v>5.1398752305096718</v>
      </c>
      <c r="I56" s="541">
        <f t="shared" si="22"/>
        <v>3.6030927835051547</v>
      </c>
      <c r="J56" s="541">
        <f t="shared" si="22"/>
        <v>4.8109464348232001</v>
      </c>
      <c r="K56" s="541">
        <f t="shared" si="22"/>
        <v>5.600054768261792</v>
      </c>
      <c r="L56" s="541">
        <f t="shared" si="22"/>
        <v>5.0341512775107509</v>
      </c>
      <c r="M56" s="541">
        <f t="shared" si="22"/>
        <v>0</v>
      </c>
      <c r="N56" s="541">
        <f t="shared" si="22"/>
        <v>5.9700368892569449</v>
      </c>
      <c r="O56" s="541">
        <f t="shared" si="22"/>
        <v>8.0252073821619181</v>
      </c>
      <c r="P56" s="541">
        <f t="shared" si="22"/>
        <v>7.7343761705698135</v>
      </c>
      <c r="Q56" s="541">
        <f t="shared" si="22"/>
        <v>7.5710397920906169</v>
      </c>
      <c r="R56" s="499">
        <f t="shared" si="17"/>
        <v>56.266983095485216</v>
      </c>
    </row>
    <row r="57" spans="1:18" ht="25" customHeight="1" x14ac:dyDescent="0.2">
      <c r="A57" s="47"/>
      <c r="C57" s="496" t="str">
        <f>CONCATENATE(VLOOKUP(D57,Vehiculos[[PLACA]:[MODELO]],4,0)," ",VLOOKUP(D57,Vehiculos[[PLACA]:[MODELO]],2,0)," ",VLOOKUP(D57,Vehiculos[[PLACA]:[MODELO]],3,0))</f>
        <v>CABEZAL ARTICULADO HINO</v>
      </c>
      <c r="D57" s="496" t="s">
        <v>212</v>
      </c>
      <c r="E57" s="455"/>
      <c r="F57" s="541">
        <f t="shared" ref="F57:Q57" si="23">IFERROR(F86/F178,0)</f>
        <v>5.9678203777255412</v>
      </c>
      <c r="G57" s="541">
        <f t="shared" si="23"/>
        <v>0</v>
      </c>
      <c r="H57" s="541">
        <f t="shared" si="23"/>
        <v>4.8440552226685112</v>
      </c>
      <c r="I57" s="541">
        <f t="shared" si="23"/>
        <v>3.7864247077298896</v>
      </c>
      <c r="J57" s="541">
        <f t="shared" si="23"/>
        <v>5.4870423456528847</v>
      </c>
      <c r="K57" s="541">
        <f t="shared" si="23"/>
        <v>3.9308160967111658</v>
      </c>
      <c r="L57" s="541">
        <f t="shared" si="23"/>
        <v>3.2859109683340981</v>
      </c>
      <c r="M57" s="541">
        <f t="shared" si="23"/>
        <v>3.861249140639277</v>
      </c>
      <c r="N57" s="541">
        <f t="shared" si="23"/>
        <v>0</v>
      </c>
      <c r="O57" s="541">
        <f t="shared" si="23"/>
        <v>0</v>
      </c>
      <c r="P57" s="541">
        <f t="shared" si="23"/>
        <v>0</v>
      </c>
      <c r="Q57" s="541">
        <f t="shared" si="23"/>
        <v>0</v>
      </c>
      <c r="R57" s="499">
        <f t="shared" si="17"/>
        <v>31.163318859461366</v>
      </c>
    </row>
    <row r="58" spans="1:18" ht="25" customHeight="1" x14ac:dyDescent="0.2">
      <c r="A58" s="47"/>
      <c r="C58" s="496" t="str">
        <f>CONCATENATE(VLOOKUP(D58,Vehiculos[[PLACA]:[MODELO]],4,0)," ",VLOOKUP(D58,Vehiculos[[PLACA]:[MODELO]],2,0)," ",VLOOKUP(D58,Vehiculos[[PLACA]:[MODELO]],3,0))</f>
        <v>RIGIDO CAMIÓN RIGIDO HINO</v>
      </c>
      <c r="D58" s="496" t="s">
        <v>213</v>
      </c>
      <c r="E58" s="455"/>
      <c r="F58" s="541">
        <f t="shared" ref="F58:Q58" si="24">IFERROR(F87/F179,0)</f>
        <v>7.2406779661016953</v>
      </c>
      <c r="G58" s="541">
        <f t="shared" si="24"/>
        <v>4.9976190476190476</v>
      </c>
      <c r="H58" s="541">
        <f t="shared" si="24"/>
        <v>2.882857142857143</v>
      </c>
      <c r="I58" s="541">
        <f t="shared" si="24"/>
        <v>11.196721311475409</v>
      </c>
      <c r="J58" s="541">
        <f t="shared" si="24"/>
        <v>11.249180327868853</v>
      </c>
      <c r="K58" s="541">
        <f t="shared" si="24"/>
        <v>10.465573770491803</v>
      </c>
      <c r="L58" s="541">
        <f t="shared" si="24"/>
        <v>10.21311475409836</v>
      </c>
      <c r="M58" s="541">
        <f t="shared" si="24"/>
        <v>11.989655172413793</v>
      </c>
      <c r="N58" s="541">
        <f t="shared" si="24"/>
        <v>7.0624466240521722</v>
      </c>
      <c r="O58" s="541">
        <f t="shared" si="24"/>
        <v>9.6350285853632105</v>
      </c>
      <c r="P58" s="541">
        <f t="shared" si="24"/>
        <v>9.3932584269662929</v>
      </c>
      <c r="Q58" s="541">
        <f t="shared" si="24"/>
        <v>9.0880829015544045</v>
      </c>
      <c r="R58" s="499">
        <f t="shared" si="17"/>
        <v>105.41421603086218</v>
      </c>
    </row>
    <row r="59" spans="1:18" ht="25" customHeight="1" x14ac:dyDescent="0.2">
      <c r="A59" s="47"/>
      <c r="C59" s="496" t="str">
        <f>CONCATENATE(VLOOKUP(D59,Vehiculos[[PLACA]:[MODELO]],3,0)," ",VLOOKUP(D59,Vehiculos[[PLACA]:[MODELO]],4,0)," ",VLOOKUP(D59,Vehiculos[[PLACA]:[MODELO]],3,0))</f>
        <v>QINGLING CABEZAL QINGLING</v>
      </c>
      <c r="D59" s="496" t="s">
        <v>403</v>
      </c>
      <c r="E59" s="557"/>
      <c r="F59" s="541">
        <f t="shared" ref="F59:Q59" si="25">IFERROR(F88/F180,0)</f>
        <v>0</v>
      </c>
      <c r="G59" s="500">
        <f t="shared" si="25"/>
        <v>0</v>
      </c>
      <c r="H59" s="500">
        <f t="shared" si="25"/>
        <v>0</v>
      </c>
      <c r="I59" s="500">
        <f t="shared" si="25"/>
        <v>0</v>
      </c>
      <c r="J59" s="500">
        <f t="shared" si="25"/>
        <v>0</v>
      </c>
      <c r="K59" s="541">
        <f t="shared" si="25"/>
        <v>5.915</v>
      </c>
      <c r="L59" s="541">
        <f t="shared" si="25"/>
        <v>9.6597014925373141</v>
      </c>
      <c r="M59" s="541">
        <f t="shared" si="25"/>
        <v>7.8078124999999998</v>
      </c>
      <c r="N59" s="541">
        <f t="shared" si="25"/>
        <v>7.8083203413473381</v>
      </c>
      <c r="O59" s="541">
        <f t="shared" si="25"/>
        <v>5.9703900423176686</v>
      </c>
      <c r="P59" s="541">
        <f t="shared" si="25"/>
        <v>6.650972682119205</v>
      </c>
      <c r="Q59" s="500">
        <f t="shared" si="25"/>
        <v>5.6534023723876974</v>
      </c>
      <c r="R59" s="499">
        <f>SUM(F59:Q59)</f>
        <v>49.465599430709219</v>
      </c>
    </row>
    <row r="60" spans="1:18" ht="25" customHeight="1" x14ac:dyDescent="0.2">
      <c r="A60" s="47"/>
      <c r="C60" s="496" t="str">
        <f>CONCATENATE(VLOOKUP(D60,Vehiculos[[PLACA]:[MODELO]],4,0)," ",VLOOKUP(D60,Vehiculos[[PLACA]:[MODELO]],2,0)," ",VLOOKUP(D60,Vehiculos[[PLACA]:[MODELO]],3,0))</f>
        <v>DMAX CAMIONETA CHEVROLET</v>
      </c>
      <c r="D60" s="496" t="s">
        <v>286</v>
      </c>
      <c r="E60" s="455"/>
      <c r="F60" s="541">
        <f t="shared" ref="F60:Q60" si="26">IFERROR(F89/F181,0)</f>
        <v>11.705515220990955</v>
      </c>
      <c r="G60" s="541">
        <f t="shared" si="26"/>
        <v>3.785537700865266</v>
      </c>
      <c r="H60" s="541">
        <f t="shared" si="26"/>
        <v>55.539499036608866</v>
      </c>
      <c r="I60" s="541">
        <f t="shared" si="26"/>
        <v>44.986763732627395</v>
      </c>
      <c r="J60" s="541">
        <f t="shared" si="26"/>
        <v>37.184933446615688</v>
      </c>
      <c r="K60" s="541">
        <f t="shared" si="26"/>
        <v>37.782312925170068</v>
      </c>
      <c r="L60" s="541">
        <f t="shared" si="26"/>
        <v>39.94176170832322</v>
      </c>
      <c r="M60" s="541">
        <f t="shared" si="26"/>
        <v>39.402016456136288</v>
      </c>
      <c r="N60" s="541">
        <f t="shared" si="26"/>
        <v>34.93130374616981</v>
      </c>
      <c r="O60" s="541">
        <f t="shared" si="26"/>
        <v>41.480781806292235</v>
      </c>
      <c r="P60" s="541">
        <f t="shared" si="26"/>
        <v>35.8426005132592</v>
      </c>
      <c r="Q60" s="541">
        <f t="shared" si="26"/>
        <v>27.542372881355927</v>
      </c>
      <c r="R60" s="499">
        <f t="shared" si="17"/>
        <v>410.12539917441484</v>
      </c>
    </row>
    <row r="61" spans="1:18" ht="25" customHeight="1" x14ac:dyDescent="0.2">
      <c r="A61" s="47"/>
      <c r="C61" s="496" t="str">
        <f>CONCATENATE(VLOOKUP(D61,Vehiculos[[PLACA]:[MODELO]],3,0)," ",VLOOKUP(D61,Vehiculos[[PLACA]:[MODELO]],4,0)," ",VLOOKUP(D61,Vehiculos[[PLACA]:[MODELO]],3,0))</f>
        <v>DAF CABEZAL DAF</v>
      </c>
      <c r="D61" s="496" t="s">
        <v>473</v>
      </c>
      <c r="E61" s="557"/>
      <c r="F61" s="541"/>
      <c r="G61" s="500"/>
      <c r="H61" s="500"/>
      <c r="I61" s="500"/>
      <c r="J61" s="500"/>
      <c r="K61" s="500"/>
      <c r="L61" s="500"/>
      <c r="M61" s="500"/>
      <c r="N61" s="560"/>
      <c r="O61" s="541">
        <f>IFERROR(O91/O182,0)</f>
        <v>4.6727681565347741</v>
      </c>
      <c r="P61" s="560">
        <f>IFERROR(P91/P182,0)</f>
        <v>13.45587305029912</v>
      </c>
      <c r="Q61" s="541">
        <f>IFERROR(Q91/Q182,0)</f>
        <v>6.2461174382487785</v>
      </c>
      <c r="R61" s="499">
        <f t="shared" si="17"/>
        <v>24.374758645082672</v>
      </c>
    </row>
    <row r="62" spans="1:18" ht="25" customHeight="1" x14ac:dyDescent="0.2">
      <c r="A62" s="47"/>
      <c r="C62" s="496" t="str">
        <f>CONCATENATE(VLOOKUP(D62,Vehiculos[[PLACA]:[MODELO]],4,0)," ",VLOOKUP(D62,Vehiculos[[PLACA]:[MODELO]],2,0)," ",VLOOKUP(D62,Vehiculos[[PLACA]:[MODELO]],3,0))</f>
        <v>CABEZAL ARTICULADO DAF</v>
      </c>
      <c r="D62" s="496" t="s">
        <v>350</v>
      </c>
      <c r="E62" s="455"/>
      <c r="F62" s="541">
        <f t="shared" ref="F62:Q62" si="27">IFERROR(F90/F183,0)</f>
        <v>0</v>
      </c>
      <c r="G62" s="541">
        <f t="shared" si="27"/>
        <v>0</v>
      </c>
      <c r="H62" s="541">
        <f t="shared" si="27"/>
        <v>0</v>
      </c>
      <c r="I62" s="541">
        <f t="shared" si="27"/>
        <v>0</v>
      </c>
      <c r="J62" s="541">
        <f t="shared" si="27"/>
        <v>24.792187260951604</v>
      </c>
      <c r="K62" s="541">
        <f t="shared" si="27"/>
        <v>0</v>
      </c>
      <c r="L62" s="541">
        <f t="shared" si="27"/>
        <v>0</v>
      </c>
      <c r="M62" s="541">
        <f t="shared" si="27"/>
        <v>5.6223885394187052</v>
      </c>
      <c r="N62" s="541">
        <f t="shared" si="27"/>
        <v>5.6125849886681776</v>
      </c>
      <c r="O62" s="541">
        <f t="shared" si="27"/>
        <v>5.5458331487306713</v>
      </c>
      <c r="P62" s="541">
        <f t="shared" si="27"/>
        <v>5.422348311521918</v>
      </c>
      <c r="Q62" s="541">
        <f t="shared" si="27"/>
        <v>6.3114625408560858</v>
      </c>
      <c r="R62" s="499">
        <f t="shared" si="17"/>
        <v>53.306804790147154</v>
      </c>
    </row>
    <row r="63" spans="1:18" ht="25" customHeight="1" x14ac:dyDescent="0.2">
      <c r="A63" s="47"/>
      <c r="C63" s="496" t="str">
        <f>CONCATENATE(VLOOKUP(D63,Vehiculos[[PLACA]:[MODELO]],3,0)," ",VLOOKUP(D63,Vehiculos[[PLACA]:[MODELO]],4,0)," ",VLOOKUP(D63,Vehiculos[[PLACA]:[MODELO]],3,0))</f>
        <v>DAF CABEZAL DAF</v>
      </c>
      <c r="D63" s="496" t="s">
        <v>509</v>
      </c>
      <c r="E63" s="557"/>
      <c r="F63" s="541">
        <f>IFERROR(F93/F185,0)</f>
        <v>0</v>
      </c>
      <c r="G63" s="500">
        <f>IFERROR(G93/G185,0)</f>
        <v>0</v>
      </c>
      <c r="H63" s="500">
        <f>IFERROR(H93/H185,0)</f>
        <v>0</v>
      </c>
      <c r="I63" s="500">
        <f>IFERROR(I93/I185,0)</f>
        <v>0</v>
      </c>
      <c r="J63" s="500"/>
      <c r="K63" s="500">
        <f>IFERROR(K93/K185,0)</f>
        <v>1.5009606147934678E-2</v>
      </c>
      <c r="L63" s="500">
        <f>IFERROR(L93/L185,0)</f>
        <v>0</v>
      </c>
      <c r="M63" s="500"/>
      <c r="N63" s="500">
        <f>IFERROR(N93/N185,0)</f>
        <v>0</v>
      </c>
      <c r="O63" s="500"/>
      <c r="P63" s="500"/>
      <c r="Q63" s="541">
        <f>IFERROR(Q92/Q184,0)</f>
        <v>5.9038534400142639</v>
      </c>
      <c r="R63" s="499">
        <f>SUM(F63:Q63)</f>
        <v>5.9188630461621985</v>
      </c>
    </row>
    <row r="64" spans="1:18" ht="25" customHeight="1" x14ac:dyDescent="0.2">
      <c r="A64" s="47"/>
      <c r="C64" s="496" t="str">
        <f>CONCATENATE(VLOOKUP(D64,Vehiculos[[PLACA]:[MODELO]],4,0)," ",VLOOKUP(D64,Vehiculos[[PLACA]:[MODELO]],2,0)," ",VLOOKUP(D64,Vehiculos[[PLACA]:[MODELO]],3,0))</f>
        <v>CABEZAL ARTICULADO HINO</v>
      </c>
      <c r="D64" s="496" t="s">
        <v>376</v>
      </c>
      <c r="E64" s="455"/>
      <c r="F64" s="541">
        <f t="shared" ref="F64:Q64" si="28">IFERROR(F93/F185,0)</f>
        <v>0</v>
      </c>
      <c r="G64" s="541">
        <f t="shared" si="28"/>
        <v>0</v>
      </c>
      <c r="H64" s="541">
        <f t="shared" si="28"/>
        <v>0</v>
      </c>
      <c r="I64" s="541">
        <f t="shared" si="28"/>
        <v>0</v>
      </c>
      <c r="J64" s="541">
        <f t="shared" si="28"/>
        <v>0.61531531531531514</v>
      </c>
      <c r="K64" s="541">
        <f t="shared" si="28"/>
        <v>1.5009606147934678E-2</v>
      </c>
      <c r="L64" s="541">
        <f t="shared" si="28"/>
        <v>0</v>
      </c>
      <c r="M64" s="541">
        <f t="shared" si="28"/>
        <v>0</v>
      </c>
      <c r="N64" s="541">
        <f t="shared" si="28"/>
        <v>0</v>
      </c>
      <c r="O64" s="541">
        <f t="shared" si="28"/>
        <v>0</v>
      </c>
      <c r="P64" s="541">
        <f t="shared" si="28"/>
        <v>0</v>
      </c>
      <c r="Q64" s="541">
        <f t="shared" si="28"/>
        <v>0</v>
      </c>
      <c r="R64" s="499">
        <f t="shared" si="17"/>
        <v>0.63032492146324981</v>
      </c>
    </row>
    <row r="65" spans="1:18" ht="25" customHeight="1" x14ac:dyDescent="0.2">
      <c r="A65" s="47"/>
      <c r="C65" s="496" t="str">
        <f>CONCATENATE(VLOOKUP(D65,Vehiculos[[PLACA]:[MODELO]],3,0)," ",VLOOKUP(D65,Vehiculos[[PLACA]:[MODELO]],4,0)," ",VLOOKUP(D65,Vehiculos[[PLACA]:[MODELO]],3,0))</f>
        <v>VACUUM 160 BARRILES VACUUM</v>
      </c>
      <c r="D65" s="496" t="s">
        <v>306</v>
      </c>
      <c r="E65" s="455"/>
      <c r="F65" s="541">
        <f t="shared" ref="F65:Q65" si="29">IFERROR(F94/F186,0)</f>
        <v>1.9876627827278961</v>
      </c>
      <c r="G65" s="541">
        <f t="shared" si="29"/>
        <v>3.7925241495170074</v>
      </c>
      <c r="H65" s="541">
        <f t="shared" si="29"/>
        <v>3.4482758620689653</v>
      </c>
      <c r="I65" s="541">
        <f t="shared" si="29"/>
        <v>2.0955121863476931</v>
      </c>
      <c r="J65" s="541">
        <f t="shared" si="29"/>
        <v>1.2653349604984261</v>
      </c>
      <c r="K65" s="541">
        <f t="shared" si="29"/>
        <v>1.5084852294154616</v>
      </c>
      <c r="L65" s="541">
        <f t="shared" si="29"/>
        <v>0</v>
      </c>
      <c r="M65" s="541">
        <f t="shared" si="29"/>
        <v>0</v>
      </c>
      <c r="N65" s="541">
        <f t="shared" si="29"/>
        <v>0</v>
      </c>
      <c r="O65" s="541">
        <f t="shared" si="29"/>
        <v>0.71061014457240868</v>
      </c>
      <c r="P65" s="541">
        <f t="shared" si="29"/>
        <v>1.4918726341572033</v>
      </c>
      <c r="Q65" s="541">
        <f t="shared" si="29"/>
        <v>0</v>
      </c>
      <c r="R65" s="499">
        <f t="shared" si="17"/>
        <v>16.300277949305062</v>
      </c>
    </row>
    <row r="66" spans="1:18" ht="25" customHeight="1" x14ac:dyDescent="0.2">
      <c r="A66" s="47"/>
      <c r="C66" s="496" t="str">
        <f>CONCATENATE(VLOOKUP(D66,Vehiculos[[PLACA]:[MODELO]],3,0)," ",VLOOKUP(D66,Vehiculos[[PLACA]:[MODELO]],4,0)," ",VLOOKUP(D66,Vehiculos[[PLACA]:[MODELO]],3,0))</f>
        <v>VACUUM 160 BARRILES VACUUM</v>
      </c>
      <c r="D66" s="496" t="s">
        <v>307</v>
      </c>
      <c r="E66" s="455"/>
      <c r="F66" s="541">
        <f t="shared" ref="F66:Q66" si="30">IFERROR(F95/F187,0)</f>
        <v>3.4398699891657638</v>
      </c>
      <c r="G66" s="541">
        <f t="shared" si="30"/>
        <v>2.2911780624210714</v>
      </c>
      <c r="H66" s="541">
        <f t="shared" si="30"/>
        <v>1.6638935108153079</v>
      </c>
      <c r="I66" s="541">
        <f t="shared" si="30"/>
        <v>1.401584399756246</v>
      </c>
      <c r="J66" s="541">
        <f t="shared" si="30"/>
        <v>2.0554066130473636</v>
      </c>
      <c r="K66" s="541">
        <f t="shared" si="30"/>
        <v>1.8553374563054585</v>
      </c>
      <c r="L66" s="541">
        <f t="shared" si="30"/>
        <v>2.7079303675048356</v>
      </c>
      <c r="M66" s="541">
        <f t="shared" si="30"/>
        <v>2.3744292237442925</v>
      </c>
      <c r="N66" s="541">
        <f t="shared" si="30"/>
        <v>1.811338508586215</v>
      </c>
      <c r="O66" s="541">
        <f t="shared" si="30"/>
        <v>1.7174903610234842</v>
      </c>
      <c r="P66" s="541">
        <f t="shared" si="30"/>
        <v>1.7942583732057418</v>
      </c>
      <c r="Q66" s="541">
        <f t="shared" si="30"/>
        <v>2.0348268440618273</v>
      </c>
      <c r="R66" s="499">
        <f t="shared" si="17"/>
        <v>25.14754370963761</v>
      </c>
    </row>
    <row r="67" spans="1:18" ht="25" customHeight="1" x14ac:dyDescent="0.2">
      <c r="A67" s="47"/>
      <c r="C67" s="496" t="str">
        <f>CONCATENATE(VLOOKUP(D67,Vehiculos[[PLACA]:[MODELO]],3,0)," ",VLOOKUP(D67,Vehiculos[[PLACA]:[MODELO]],4,0)," ",VLOOKUP(D67,Vehiculos[[PLACA]:[MODELO]],3,0))</f>
        <v>VACUUM 200 BARRILES VACUUM</v>
      </c>
      <c r="D67" s="496" t="s">
        <v>308</v>
      </c>
      <c r="E67" s="455"/>
      <c r="F67" s="541">
        <f t="shared" ref="F67:Q67" si="31">IFERROR(F96/F188,0)</f>
        <v>2.2413375333171799</v>
      </c>
      <c r="G67" s="541">
        <f t="shared" si="31"/>
        <v>3.1418092909535464</v>
      </c>
      <c r="H67" s="541">
        <f t="shared" si="31"/>
        <v>3.015484922575387</v>
      </c>
      <c r="I67" s="541">
        <f t="shared" si="31"/>
        <v>1.6804733727810655</v>
      </c>
      <c r="J67" s="541">
        <f t="shared" si="31"/>
        <v>2.3199251637043967</v>
      </c>
      <c r="K67" s="541">
        <f t="shared" si="31"/>
        <v>1.921927052190997</v>
      </c>
      <c r="L67" s="541">
        <f t="shared" si="31"/>
        <v>2.2381756756756759</v>
      </c>
      <c r="M67" s="541">
        <f t="shared" si="31"/>
        <v>3.7791355510296447</v>
      </c>
      <c r="N67" s="541">
        <f t="shared" si="31"/>
        <v>1.7355793772332824</v>
      </c>
      <c r="O67" s="541">
        <f t="shared" si="31"/>
        <v>1.5139681586061882</v>
      </c>
      <c r="P67" s="541">
        <f t="shared" si="31"/>
        <v>2.0099038741625401</v>
      </c>
      <c r="Q67" s="541">
        <f t="shared" si="31"/>
        <v>1.9296589165584799</v>
      </c>
      <c r="R67" s="499">
        <f t="shared" si="17"/>
        <v>27.527378888788384</v>
      </c>
    </row>
    <row r="68" spans="1:18" ht="25" customHeight="1" x14ac:dyDescent="0.2">
      <c r="A68" s="47"/>
      <c r="C68" s="496" t="str">
        <f>CONCATENATE(VLOOKUP(D68,Vehiculos[[PLACA]:[MODELO]],3,0)," ",VLOOKUP(D68,Vehiculos[[PLACA]:[MODELO]],4,0)," ",VLOOKUP(D68,Vehiculos[[PLACA]:[MODELO]],3,0))</f>
        <v>VACUUM 160 BARRILES VACUUM</v>
      </c>
      <c r="D68" s="496" t="s">
        <v>311</v>
      </c>
      <c r="E68" s="455"/>
      <c r="F68" s="541">
        <f t="shared" ref="F68:Q68" si="32">IFERROR(F97/F189,0)</f>
        <v>2.5112107623318383</v>
      </c>
      <c r="G68" s="541">
        <f t="shared" si="32"/>
        <v>2.0259319286871964</v>
      </c>
      <c r="H68" s="541">
        <f t="shared" si="32"/>
        <v>1.5883821193555709</v>
      </c>
      <c r="I68" s="541">
        <f t="shared" si="32"/>
        <v>1.5151515151515154</v>
      </c>
      <c r="J68" s="541">
        <f t="shared" si="32"/>
        <v>4</v>
      </c>
      <c r="K68" s="541">
        <f t="shared" si="32"/>
        <v>0</v>
      </c>
      <c r="L68" s="541">
        <f t="shared" si="32"/>
        <v>0</v>
      </c>
      <c r="M68" s="541">
        <f t="shared" si="32"/>
        <v>0</v>
      </c>
      <c r="N68" s="541">
        <f t="shared" si="32"/>
        <v>0</v>
      </c>
      <c r="O68" s="541">
        <f t="shared" si="32"/>
        <v>1.3843954555714393</v>
      </c>
      <c r="P68" s="541">
        <f t="shared" si="32"/>
        <v>0</v>
      </c>
      <c r="Q68" s="541">
        <f t="shared" si="32"/>
        <v>0</v>
      </c>
      <c r="R68" s="499">
        <f t="shared" si="17"/>
        <v>13.025071781097562</v>
      </c>
    </row>
    <row r="69" spans="1:18" ht="25" customHeight="1" x14ac:dyDescent="0.2">
      <c r="A69" s="47"/>
      <c r="C69" s="496" t="str">
        <f>CONCATENATE(VLOOKUP(D69,Vehiculos[[PLACA]:[MODELO]],3,0)," ",VLOOKUP(D69,Vehiculos[[PLACA]:[MODELO]],4,0)," ",VLOOKUP(D69,Vehiculos[[PLACA]:[MODELO]],3,0))</f>
        <v>VACUUM 160 BARRILES VACUUM</v>
      </c>
      <c r="D69" s="496" t="s">
        <v>312</v>
      </c>
      <c r="E69" s="455"/>
      <c r="F69" s="541">
        <f t="shared" ref="F69:Q69" si="33">IFERROR(F98/F190,0)</f>
        <v>0.34582132564841495</v>
      </c>
      <c r="G69" s="541">
        <f t="shared" si="33"/>
        <v>1.5320151892104228</v>
      </c>
      <c r="H69" s="541">
        <f t="shared" si="33"/>
        <v>0.12584704743465636</v>
      </c>
      <c r="I69" s="541">
        <f t="shared" si="33"/>
        <v>8.0321285140562249E-2</v>
      </c>
      <c r="J69" s="541">
        <f t="shared" si="33"/>
        <v>1.1085626911314985</v>
      </c>
      <c r="K69" s="541">
        <f t="shared" si="33"/>
        <v>1.2605042016806722</v>
      </c>
      <c r="L69" s="541">
        <f t="shared" si="33"/>
        <v>1.088875809299588</v>
      </c>
      <c r="M69" s="541">
        <f t="shared" si="33"/>
        <v>1.6350084154844911</v>
      </c>
      <c r="N69" s="541">
        <f t="shared" si="33"/>
        <v>1.4589905362776023</v>
      </c>
      <c r="O69" s="541">
        <f t="shared" si="33"/>
        <v>0.88888888888888884</v>
      </c>
      <c r="P69" s="541">
        <f t="shared" si="33"/>
        <v>1.7131388430936851</v>
      </c>
      <c r="Q69" s="541">
        <f t="shared" si="33"/>
        <v>1.7176764522173642</v>
      </c>
      <c r="R69" s="499">
        <f t="shared" si="17"/>
        <v>12.955650685507848</v>
      </c>
    </row>
    <row r="70" spans="1:18" ht="25" customHeight="1" x14ac:dyDescent="0.2">
      <c r="A70" s="47"/>
      <c r="C70" s="496" t="str">
        <f>CONCATENATE(VLOOKUP(D70,Vehiculos[[PLACA]:[MODELO]],3,0)," ",VLOOKUP(D70,Vehiculos[[PLACA]:[MODELO]],4,0)," ",VLOOKUP(D70,Vehiculos[[PLACA]:[MODELO]],3,0))</f>
        <v>VACUUM 160 BARRILES VACUUM</v>
      </c>
      <c r="D70" s="496" t="s">
        <v>313</v>
      </c>
      <c r="E70" s="455"/>
      <c r="F70" s="541">
        <f t="shared" ref="F70:Q70" si="34">IFERROR(F99/F191,0)</f>
        <v>1.7743114794053176</v>
      </c>
      <c r="G70" s="541">
        <f t="shared" si="34"/>
        <v>2.0034843205574915</v>
      </c>
      <c r="H70" s="541">
        <f t="shared" si="34"/>
        <v>0</v>
      </c>
      <c r="I70" s="541">
        <f t="shared" si="34"/>
        <v>0.25510204081632654</v>
      </c>
      <c r="J70" s="541">
        <f t="shared" si="34"/>
        <v>0</v>
      </c>
      <c r="K70" s="541">
        <f t="shared" si="34"/>
        <v>0</v>
      </c>
      <c r="L70" s="541">
        <f t="shared" si="34"/>
        <v>0</v>
      </c>
      <c r="M70" s="541">
        <f t="shared" si="34"/>
        <v>0</v>
      </c>
      <c r="N70" s="541">
        <f t="shared" si="34"/>
        <v>0</v>
      </c>
      <c r="O70" s="541">
        <f t="shared" si="34"/>
        <v>0</v>
      </c>
      <c r="P70" s="541">
        <f t="shared" si="34"/>
        <v>0</v>
      </c>
      <c r="Q70" s="541">
        <f t="shared" si="34"/>
        <v>0</v>
      </c>
      <c r="R70" s="499">
        <f t="shared" si="17"/>
        <v>4.0328978407791354</v>
      </c>
    </row>
    <row r="71" spans="1:18" ht="25" customHeight="1" x14ac:dyDescent="0.2">
      <c r="A71" s="47"/>
      <c r="C71" s="496" t="str">
        <f>CONCATENATE(VLOOKUP(D71,Vehiculos[[PLACA]:[MODELO]],3,0)," ",VLOOKUP(D71,Vehiculos[[PLACA]:[MODELO]],4,0)," ",VLOOKUP(D71,Vehiculos[[PLACA]:[MODELO]],3,0))</f>
        <v>VACUUM 160 BARRILES VACUUM</v>
      </c>
      <c r="D71" s="496" t="s">
        <v>318</v>
      </c>
      <c r="E71" s="455"/>
      <c r="F71" s="541">
        <f t="shared" ref="F71:Q71" si="35">IFERROR(F100/F192,0)</f>
        <v>0</v>
      </c>
      <c r="G71" s="541">
        <f t="shared" si="35"/>
        <v>0</v>
      </c>
      <c r="H71" s="541">
        <f t="shared" si="35"/>
        <v>0</v>
      </c>
      <c r="I71" s="541">
        <f t="shared" si="35"/>
        <v>1.4551482777675446</v>
      </c>
      <c r="J71" s="541">
        <f t="shared" si="35"/>
        <v>1.6844833171363784</v>
      </c>
      <c r="K71" s="541">
        <f t="shared" si="35"/>
        <v>1.5323496027241772</v>
      </c>
      <c r="L71" s="541">
        <f t="shared" si="35"/>
        <v>0.97731239092495636</v>
      </c>
      <c r="M71" s="541">
        <f t="shared" si="35"/>
        <v>1.945648725811568</v>
      </c>
      <c r="N71" s="541">
        <f t="shared" si="35"/>
        <v>1.328060881892114</v>
      </c>
      <c r="O71" s="541">
        <f t="shared" si="35"/>
        <v>1.3732044448459664</v>
      </c>
      <c r="P71" s="541">
        <f t="shared" si="35"/>
        <v>1.441860465116279</v>
      </c>
      <c r="Q71" s="541">
        <f t="shared" si="35"/>
        <v>1.3709926811668902</v>
      </c>
      <c r="R71" s="499">
        <f t="shared" si="17"/>
        <v>13.109060787385872</v>
      </c>
    </row>
    <row r="72" spans="1:18" ht="25" customHeight="1" x14ac:dyDescent="0.2">
      <c r="A72" s="47"/>
      <c r="C72" s="496" t="str">
        <f>CONCATENATE(VLOOKUP(D72,Vehiculos[[PLACA]:[MODELO]],3,0)," ",VLOOKUP(D72,Vehiculos[[PLACA]:[MODELO]],4,0)," ",VLOOKUP(D72,Vehiculos[[PLACA]:[MODELO]],3,0))</f>
        <v>VACUUM 160 BARRILES VACUUM</v>
      </c>
      <c r="D72" s="496" t="s">
        <v>320</v>
      </c>
      <c r="E72" s="455"/>
      <c r="F72" s="541">
        <f t="shared" ref="F72:Q72" si="36">IFERROR(F101/F193,0)</f>
        <v>0</v>
      </c>
      <c r="G72" s="541">
        <f t="shared" si="36"/>
        <v>0</v>
      </c>
      <c r="H72" s="541">
        <f t="shared" si="36"/>
        <v>1.2</v>
      </c>
      <c r="I72" s="541">
        <f t="shared" si="36"/>
        <v>1.2206526554117243</v>
      </c>
      <c r="J72" s="541">
        <f t="shared" si="36"/>
        <v>1.220264619181463</v>
      </c>
      <c r="K72" s="541">
        <f t="shared" si="36"/>
        <v>1.3503917300147845</v>
      </c>
      <c r="L72" s="541">
        <f t="shared" si="36"/>
        <v>1.4156079854809438</v>
      </c>
      <c r="M72" s="541">
        <f t="shared" si="36"/>
        <v>1.5944997074312464</v>
      </c>
      <c r="N72" s="541">
        <f t="shared" si="36"/>
        <v>1.1198149413805794</v>
      </c>
      <c r="O72" s="541">
        <f t="shared" si="36"/>
        <v>1.1498340445708866</v>
      </c>
      <c r="P72" s="541">
        <f t="shared" si="36"/>
        <v>1.4220963172804533</v>
      </c>
      <c r="Q72" s="541">
        <f t="shared" si="36"/>
        <v>1.4624031430754121</v>
      </c>
      <c r="R72" s="499">
        <f t="shared" si="17"/>
        <v>13.155565143827491</v>
      </c>
    </row>
    <row r="73" spans="1:18" ht="25" customHeight="1" x14ac:dyDescent="0.2">
      <c r="A73" s="47"/>
      <c r="C73" s="496" t="str">
        <f>CONCATENATE(VLOOKUP(D73,Vehiculos[[PLACA]:[MODELO]],3,0)," ",VLOOKUP(D73,Vehiculos[[PLACA]:[MODELO]],4,0)," ",VLOOKUP(D73,Vehiculos[[PLACA]:[MODELO]],3,0))</f>
        <v>VACUUM 160 BARRILES VACUUM</v>
      </c>
      <c r="D73" s="496" t="s">
        <v>352</v>
      </c>
      <c r="E73" s="455"/>
      <c r="F73" s="541">
        <f>IFERROR(F102/F194,0)</f>
        <v>0</v>
      </c>
      <c r="G73" s="541">
        <f>IFERROR(G102/G194,0)</f>
        <v>0</v>
      </c>
      <c r="H73" s="541">
        <f>IFERROR(H102/H194,0)</f>
        <v>0</v>
      </c>
      <c r="I73" s="541">
        <f>IFERROR(I102/I194,0)</f>
        <v>0</v>
      </c>
      <c r="J73" s="500"/>
      <c r="K73" s="541">
        <f>IFERROR(K102/K194,0)</f>
        <v>0.69498191467517489</v>
      </c>
      <c r="L73" s="541">
        <f>IFERROR(L102/L194,0)</f>
        <v>0</v>
      </c>
      <c r="M73" s="500"/>
      <c r="N73" s="541">
        <f>IFERROR(N102/N194,0)</f>
        <v>0.42966684294024327</v>
      </c>
      <c r="O73" s="500"/>
      <c r="P73" s="500"/>
      <c r="Q73" s="541">
        <f>IFERROR(Q102/Q194,0)</f>
        <v>1.1331682545011963</v>
      </c>
      <c r="R73" s="499">
        <f t="shared" si="17"/>
        <v>2.2578170121166146</v>
      </c>
    </row>
    <row r="74" spans="1:18" ht="21" x14ac:dyDescent="0.2">
      <c r="A74" s="47"/>
      <c r="C74" s="496" t="str">
        <f>CONCATENATE(VLOOKUP(D74,Vehiculos[[PLACA]:[MODELO]],3,0)," ",VLOOKUP(D74,Vehiculos[[PLACA]:[MODELO]],4,0)," ",VLOOKUP(D74,Vehiculos[[PLACA]:[MODELO]],3,0))</f>
        <v>VACUUM 200 BARRILES VACUUM</v>
      </c>
      <c r="D74" s="496" t="s">
        <v>414</v>
      </c>
      <c r="E74" s="557"/>
      <c r="F74" s="541">
        <f>IFERROR(F104/F195,0)</f>
        <v>0</v>
      </c>
      <c r="G74" s="500">
        <f>IFERROR(G104/G195,0)</f>
        <v>0</v>
      </c>
      <c r="H74" s="500">
        <f>IFERROR(H104/H195,0)</f>
        <v>0</v>
      </c>
      <c r="I74" s="500">
        <f>IFERROR(I104/I195,0)</f>
        <v>0</v>
      </c>
      <c r="J74" s="500"/>
      <c r="K74" s="500">
        <f>IFERROR(K104/K195,0)</f>
        <v>0</v>
      </c>
      <c r="L74" s="500">
        <f>IFERROR(L104/L195,0)</f>
        <v>0</v>
      </c>
      <c r="M74" s="500"/>
      <c r="N74" s="500">
        <f>IFERROR(N104/N195,0)</f>
        <v>0</v>
      </c>
      <c r="O74" s="500"/>
      <c r="P74" s="500"/>
      <c r="Q74" s="500">
        <f>IFERROR(Q104/Q195,0)</f>
        <v>0</v>
      </c>
      <c r="R74" s="499">
        <f t="shared" si="17"/>
        <v>0</v>
      </c>
    </row>
    <row r="75" spans="1:18" x14ac:dyDescent="0.2">
      <c r="A75" s="47"/>
    </row>
    <row r="76" spans="1:18" ht="23" x14ac:dyDescent="0.2">
      <c r="A76" s="47"/>
      <c r="C76" s="456" t="s">
        <v>392</v>
      </c>
    </row>
    <row r="77" spans="1:18" x14ac:dyDescent="0.2">
      <c r="A77" s="47"/>
    </row>
    <row r="78" spans="1:18" ht="21" x14ac:dyDescent="0.2">
      <c r="A78" s="47"/>
      <c r="C78" s="429" t="s">
        <v>384</v>
      </c>
      <c r="D78" s="429" t="s">
        <v>71</v>
      </c>
      <c r="E78" s="429" t="s">
        <v>161</v>
      </c>
      <c r="F78" s="118" t="s">
        <v>53</v>
      </c>
      <c r="G78" s="118" t="s">
        <v>54</v>
      </c>
      <c r="H78" s="118" t="s">
        <v>55</v>
      </c>
      <c r="I78" s="118" t="s">
        <v>56</v>
      </c>
      <c r="J78" s="118" t="s">
        <v>57</v>
      </c>
      <c r="K78" s="118" t="s">
        <v>58</v>
      </c>
      <c r="L78" s="118" t="s">
        <v>59</v>
      </c>
      <c r="M78" s="118" t="s">
        <v>60</v>
      </c>
      <c r="N78" s="118" t="s">
        <v>402</v>
      </c>
      <c r="O78" s="118" t="s">
        <v>62</v>
      </c>
      <c r="P78" s="118" t="s">
        <v>63</v>
      </c>
      <c r="Q78" s="118" t="s">
        <v>64</v>
      </c>
      <c r="R78" s="119" t="s">
        <v>155</v>
      </c>
    </row>
    <row r="79" spans="1:18" ht="25" customHeight="1" x14ac:dyDescent="0.2">
      <c r="A79" s="47"/>
      <c r="C79" s="496" t="str">
        <f>CONCATENATE(VLOOKUP(D79,Vehiculos[[PLACA]:[MODELO]],4,0)," ",VLOOKUP(D79,Vehiculos[[PLACA]:[MODELO]],2,0)," ",VLOOKUP(D79,Vehiculos[[PLACA]:[MODELO]],3,0))</f>
        <v>CABEZAL ARTICULADO SHACMAN</v>
      </c>
      <c r="D79" s="496" t="s">
        <v>204</v>
      </c>
      <c r="E79" s="133"/>
      <c r="F79" s="500">
        <f>SUMIFS(Rutas[Kms Recorridos],Rutas[Placa Vehiculo],IF($D79="","*",$D79),Rutas[Fecha de Llegada],"&gt;="&amp;F$3,Rutas[Fecha de Llegada],"&lt;="&amp;F$4)</f>
        <v>774</v>
      </c>
      <c r="G79" s="500">
        <f>SUMIFS(Rutas[Kms Recorridos],Rutas[Placa Vehiculo],IF($D79="","*",$D79),Rutas[Fecha de Llegada],"&gt;="&amp;G$3,Rutas[Fecha de Llegada],"&lt;="&amp;G$4)</f>
        <v>453</v>
      </c>
      <c r="H79" s="500">
        <f>SUMIFS(Rutas[Kms Recorridos],Rutas[Placa Vehiculo],IF($D79="","*",$D79),Rutas[Fecha de Llegada],"&gt;="&amp;H$3,Rutas[Fecha de Llegada],"&lt;="&amp;H$4)</f>
        <v>1637</v>
      </c>
      <c r="I79" s="500">
        <f>SUMIFS(Rutas[Kms Recorridos],Rutas[Placa Vehiculo],IF($D79="","*",$D79),Rutas[Fecha de Llegada],"&gt;="&amp;I$3,Rutas[Fecha de Llegada],"&lt;="&amp;I$4)</f>
        <v>1811</v>
      </c>
      <c r="J79" s="500">
        <f>SUMIFS(Rutas[Kms Recorridos],Rutas[Placa Vehiculo],IF($D79="","*",$D79),Rutas[Fecha de Llegada],"&gt;="&amp;J$3,Rutas[Fecha de Llegada],"&lt;="&amp;J$4)</f>
        <v>3263</v>
      </c>
      <c r="K79" s="500">
        <f>SUMIFS(Rutas[Kms Recorridos],Rutas[Placa Vehiculo],IF($D79="","*",$D79),Rutas[Fecha de Llegada],"&gt;="&amp;K$3,Rutas[Fecha de Llegada],"&lt;="&amp;K$4)</f>
        <v>1789</v>
      </c>
      <c r="L79" s="500">
        <f>SUMIFS(Rutas[Kms Recorridos],Rutas[Placa Vehiculo],IF($D79="","*",$D79),Rutas[Fecha de Llegada],"&gt;="&amp;L$3,Rutas[Fecha de Llegada],"&lt;="&amp;L$4)</f>
        <v>2334</v>
      </c>
      <c r="M79" s="500">
        <f>SUMIFS(Rutas[Kms Recorridos],Rutas[Placa Vehiculo],IF($D79="","*",$D79),Rutas[Fecha de Llegada],"&gt;="&amp;M$3,Rutas[Fecha de Llegada],"&lt;="&amp;M$4)</f>
        <v>2333</v>
      </c>
      <c r="N79" s="500">
        <f>SUMIFS(Rutas[Kms Recorridos],Rutas[Placa Vehiculo],IF($D79="","*",$D79),Rutas[Fecha de Llegada],"&gt;="&amp;N$3,Rutas[Fecha de Llegada],"&lt;="&amp;N$4)</f>
        <v>2059</v>
      </c>
      <c r="O79" s="500">
        <f>SUMIFS(Rutas[Kms Recorridos],Rutas[Placa Vehiculo],IF($D79="","*",$D79),Rutas[Fecha de Llegada],"&gt;="&amp;O$3,Rutas[Fecha de Llegada],"&lt;="&amp;O$4)</f>
        <v>2799</v>
      </c>
      <c r="P79" s="500">
        <f>SUMIFS(Rutas[Kms Recorridos],Rutas[Placa Vehiculo],IF($D79="","*",$D79),Rutas[Fecha de Llegada],"&gt;="&amp;P$3,Rutas[Fecha de Llegada],"&lt;="&amp;P$4)</f>
        <v>1480</v>
      </c>
      <c r="Q79" s="500">
        <f>SUMIFS(Rutas[Kms Recorridos],Rutas[Placa Vehiculo],IF($D79="","*",$D79),Rutas[Fecha de Llegada],"&gt;="&amp;Q$3,Rutas[Fecha de Llegada],"&lt;="&amp;Q$4)</f>
        <v>2112</v>
      </c>
      <c r="R79" s="499">
        <f>SUM(F79:Q79)</f>
        <v>22844</v>
      </c>
    </row>
    <row r="80" spans="1:18" ht="25" customHeight="1" x14ac:dyDescent="0.2">
      <c r="A80" s="47"/>
      <c r="C80" s="496" t="str">
        <f>CONCATENATE(VLOOKUP(D80,Vehiculos[[PLACA]:[MODELO]],4,0)," ",VLOOKUP(D80,Vehiculos[[PLACA]:[MODELO]],2,0)," ",VLOOKUP(D80,Vehiculos[[PLACA]:[MODELO]],3,0))</f>
        <v>CABEZAL ARTICULADO SHACMAN</v>
      </c>
      <c r="D80" s="496" t="s">
        <v>207</v>
      </c>
      <c r="E80" s="455"/>
      <c r="F80" s="500">
        <f>SUMIFS(Rutas[Kms Recorridos],Rutas[Placa Vehiculo],IF($D80="","*",$D80),Rutas[Fecha de Llegada],"&gt;="&amp;F$3,Rutas[Fecha de Llegada],"&lt;="&amp;F$4)</f>
        <v>1807</v>
      </c>
      <c r="G80" s="500">
        <f>SUMIFS(Rutas[Kms Recorridos],Rutas[Placa Vehiculo],IF($D80="","*",$D80),Rutas[Fecha de Llegada],"&gt;="&amp;G$3,Rutas[Fecha de Llegada],"&lt;="&amp;G$4)</f>
        <v>505</v>
      </c>
      <c r="H80" s="500">
        <f>SUMIFS(Rutas[Kms Recorridos],Rutas[Placa Vehiculo],IF($D80="","*",$D80),Rutas[Fecha de Llegada],"&gt;="&amp;H$3,Rutas[Fecha de Llegada],"&lt;="&amp;H$4)</f>
        <v>1528</v>
      </c>
      <c r="I80" s="500">
        <f>SUMIFS(Rutas[Kms Recorridos],Rutas[Placa Vehiculo],IF($D80="","*",$D80),Rutas[Fecha de Llegada],"&gt;="&amp;I$3,Rutas[Fecha de Llegada],"&lt;="&amp;I$4)</f>
        <v>1244</v>
      </c>
      <c r="J80" s="500">
        <f>SUMIFS(Rutas[Kms Recorridos],Rutas[Placa Vehiculo],IF($D80="","*",$D80),Rutas[Fecha de Llegada],"&gt;="&amp;J$3,Rutas[Fecha de Llegada],"&lt;="&amp;J$4)</f>
        <v>6461</v>
      </c>
      <c r="K80" s="500">
        <f>SUMIFS(Rutas[Kms Recorridos],Rutas[Placa Vehiculo],IF($D80="","*",$D80),Rutas[Fecha de Llegada],"&gt;="&amp;K$3,Rutas[Fecha de Llegada],"&lt;="&amp;K$4)</f>
        <v>4208</v>
      </c>
      <c r="L80" s="500">
        <f>SUMIFS(Rutas[Kms Recorridos],Rutas[Placa Vehiculo],IF($D80="","*",$D80),Rutas[Fecha de Llegada],"&gt;="&amp;L$3,Rutas[Fecha de Llegada],"&lt;="&amp;L$4)</f>
        <v>2052</v>
      </c>
      <c r="M80" s="500">
        <f>SUMIFS(Rutas[Kms Recorridos],Rutas[Placa Vehiculo],IF($D80="","*",$D80),Rutas[Fecha de Llegada],"&gt;="&amp;M$3,Rutas[Fecha de Llegada],"&lt;="&amp;M$4)</f>
        <v>1940</v>
      </c>
      <c r="N80" s="500">
        <f>SUMIFS(Rutas[Kms Recorridos],Rutas[Placa Vehiculo],IF($D80="","*",$D80),Rutas[Fecha de Llegada],"&gt;="&amp;N$3,Rutas[Fecha de Llegada],"&lt;="&amp;N$4)</f>
        <v>0</v>
      </c>
      <c r="O80" s="500">
        <f>SUMIFS(Rutas[Kms Recorridos],Rutas[Placa Vehiculo],IF($D80="","*",$D80),Rutas[Fecha de Llegada],"&gt;="&amp;O$3,Rutas[Fecha de Llegada],"&lt;="&amp;O$4)</f>
        <v>0</v>
      </c>
      <c r="P80" s="500">
        <f>SUMIFS(Rutas[Kms Recorridos],Rutas[Placa Vehiculo],IF($D80="","*",$D80),Rutas[Fecha de Llegada],"&gt;="&amp;P$3,Rutas[Fecha de Llegada],"&lt;="&amp;P$4)</f>
        <v>0</v>
      </c>
      <c r="Q80" s="500">
        <f>SUMIFS(Rutas[Kms Recorridos],Rutas[Placa Vehiculo],IF($D80="","*",$D80),Rutas[Fecha de Llegada],"&gt;="&amp;Q$3,Rutas[Fecha de Llegada],"&lt;="&amp;Q$4)</f>
        <v>0</v>
      </c>
      <c r="R80" s="499">
        <f t="shared" ref="R80:R103" si="37">SUM(F80:Q80)</f>
        <v>19745</v>
      </c>
    </row>
    <row r="81" spans="1:18" ht="25" customHeight="1" x14ac:dyDescent="0.2">
      <c r="A81" s="47"/>
      <c r="C81" s="496" t="str">
        <f>CONCATENATE(VLOOKUP(D81,Vehiculos[[PLACA]:[MODELO]],4,0)," ",VLOOKUP(D81,Vehiculos[[PLACA]:[MODELO]],2,0)," ",VLOOKUP(D81,Vehiculos[[PLACA]:[MODELO]],3,0))</f>
        <v>CABEZAL ARTICULADO DAF</v>
      </c>
      <c r="D81" s="496" t="s">
        <v>208</v>
      </c>
      <c r="E81" s="455"/>
      <c r="F81" s="500">
        <f>SUMIFS(Rutas[Kms Recorridos],Rutas[Placa Vehiculo],IF($D81="","*",$D81),Rutas[Fecha de Llegada],"&gt;="&amp;F$3,Rutas[Fecha de Llegada],"&lt;="&amp;F$4)</f>
        <v>3627</v>
      </c>
      <c r="G81" s="500">
        <f>SUMIFS(Rutas[Kms Recorridos],Rutas[Placa Vehiculo],IF($D81="","*",$D81),Rutas[Fecha de Llegada],"&gt;="&amp;G$3,Rutas[Fecha de Llegada],"&lt;="&amp;G$4)</f>
        <v>4077</v>
      </c>
      <c r="H81" s="500">
        <f>SUMIFS(Rutas[Kms Recorridos],Rutas[Placa Vehiculo],IF($D81="","*",$D81),Rutas[Fecha de Llegada],"&gt;="&amp;H$3,Rutas[Fecha de Llegada],"&lt;="&amp;H$4)</f>
        <v>4876</v>
      </c>
      <c r="I81" s="500">
        <f>SUMIFS(Rutas[Kms Recorridos],Rutas[Placa Vehiculo],IF($D81="","*",$D81),Rutas[Fecha de Llegada],"&gt;="&amp;I$3,Rutas[Fecha de Llegada],"&lt;="&amp;I$4)</f>
        <v>5838</v>
      </c>
      <c r="J81" s="500">
        <f>SUMIFS(Rutas[Kms Recorridos],Rutas[Placa Vehiculo],IF($D81="","*",$D81),Rutas[Fecha de Llegada],"&gt;="&amp;J$3,Rutas[Fecha de Llegada],"&lt;="&amp;J$4)</f>
        <v>8193</v>
      </c>
      <c r="K81" s="500">
        <f>SUMIFS(Rutas[Kms Recorridos],Rutas[Placa Vehiculo],IF($D81="","*",$D81),Rutas[Fecha de Llegada],"&gt;="&amp;K$3,Rutas[Fecha de Llegada],"&lt;="&amp;K$4)</f>
        <v>4583</v>
      </c>
      <c r="L81" s="500">
        <f>SUMIFS(Rutas[Kms Recorridos],Rutas[Placa Vehiculo],IF($D81="","*",$D81),Rutas[Fecha de Llegada],"&gt;="&amp;L$3,Rutas[Fecha de Llegada],"&lt;="&amp;L$4)</f>
        <v>1589</v>
      </c>
      <c r="M81" s="500">
        <f>SUMIFS(Rutas[Kms Recorridos],Rutas[Placa Vehiculo],IF($D81="","*",$D81),Rutas[Fecha de Llegada],"&gt;="&amp;M$3,Rutas[Fecha de Llegada],"&lt;="&amp;M$4)</f>
        <v>5741</v>
      </c>
      <c r="N81" s="500">
        <f>SUMIFS(Rutas[Kms Recorridos],Rutas[Placa Vehiculo],IF($D81="","*",$D81),Rutas[Fecha de Llegada],"&gt;="&amp;N$3,Rutas[Fecha de Llegada],"&lt;="&amp;N$4)</f>
        <v>4392</v>
      </c>
      <c r="O81" s="500">
        <f>SUMIFS(Rutas[Kms Recorridos],Rutas[Placa Vehiculo],IF($D81="","*",$D81),Rutas[Fecha de Llegada],"&gt;="&amp;O$3,Rutas[Fecha de Llegada],"&lt;="&amp;O$4)</f>
        <v>5876</v>
      </c>
      <c r="P81" s="500">
        <f>SUMIFS(Rutas[Kms Recorridos],Rutas[Placa Vehiculo],IF($D81="","*",$D81),Rutas[Fecha de Llegada],"&gt;="&amp;P$3,Rutas[Fecha de Llegada],"&lt;="&amp;P$4)</f>
        <v>5040</v>
      </c>
      <c r="Q81" s="500">
        <f>SUMIFS(Rutas[Kms Recorridos],Rutas[Placa Vehiculo],IF($D81="","*",$D81),Rutas[Fecha de Llegada],"&gt;="&amp;Q$3,Rutas[Fecha de Llegada],"&lt;="&amp;Q$4)</f>
        <v>5022</v>
      </c>
      <c r="R81" s="499">
        <f t="shared" si="37"/>
        <v>58854</v>
      </c>
    </row>
    <row r="82" spans="1:18" ht="25" customHeight="1" x14ac:dyDescent="0.2">
      <c r="A82" s="47"/>
      <c r="C82" s="496" t="str">
        <f>CONCATENATE(VLOOKUP(D82,Vehiculos[[PLACA]:[MODELO]],4,0)," ",VLOOKUP(D82,Vehiculos[[PLACA]:[MODELO]],2,0)," ",VLOOKUP(D82,Vehiculos[[PLACA]:[MODELO]],3,0))</f>
        <v>CABEZAL ARTICULADO DAF</v>
      </c>
      <c r="D82" s="496" t="s">
        <v>209</v>
      </c>
      <c r="E82" s="455"/>
      <c r="F82" s="500">
        <f>SUMIFS(Rutas[Kms Recorridos],Rutas[Placa Vehiculo],IF($D82="","*",$D82),Rutas[Fecha de Llegada],"&gt;="&amp;F$3,Rutas[Fecha de Llegada],"&lt;="&amp;F$4)</f>
        <v>1019</v>
      </c>
      <c r="G82" s="500">
        <f>SUMIFS(Rutas[Kms Recorridos],Rutas[Placa Vehiculo],IF($D82="","*",$D82),Rutas[Fecha de Llegada],"&gt;="&amp;G$3,Rutas[Fecha de Llegada],"&lt;="&amp;G$4)</f>
        <v>5500</v>
      </c>
      <c r="H82" s="500">
        <f>SUMIFS(Rutas[Kms Recorridos],Rutas[Placa Vehiculo],IF($D82="","*",$D82),Rutas[Fecha de Llegada],"&gt;="&amp;H$3,Rutas[Fecha de Llegada],"&lt;="&amp;H$4)</f>
        <v>3759</v>
      </c>
      <c r="I82" s="500">
        <f>SUMIFS(Rutas[Kms Recorridos],Rutas[Placa Vehiculo],IF($D82="","*",$D82),Rutas[Fecha de Llegada],"&gt;="&amp;I$3,Rutas[Fecha de Llegada],"&lt;="&amp;I$4)</f>
        <v>5895</v>
      </c>
      <c r="J82" s="500">
        <f>SUMIFS(Rutas[Kms Recorridos],Rutas[Placa Vehiculo],IF($D82="","*",$D82),Rutas[Fecha de Llegada],"&gt;="&amp;J$3,Rutas[Fecha de Llegada],"&lt;="&amp;J$4)</f>
        <v>10263</v>
      </c>
      <c r="K82" s="500">
        <f>SUMIFS(Rutas[Kms Recorridos],Rutas[Placa Vehiculo],IF($D82="","*",$D82),Rutas[Fecha de Llegada],"&gt;="&amp;K$3,Rutas[Fecha de Llegada],"&lt;="&amp;K$4)</f>
        <v>4466</v>
      </c>
      <c r="L82" s="500">
        <f>SUMIFS(Rutas[Kms Recorridos],Rutas[Placa Vehiculo],IF($D82="","*",$D82),Rutas[Fecha de Llegada],"&gt;="&amp;L$3,Rutas[Fecha de Llegada],"&lt;="&amp;L$4)</f>
        <v>1420</v>
      </c>
      <c r="M82" s="500">
        <f>SUMIFS(Rutas[Kms Recorridos],Rutas[Placa Vehiculo],IF($D82="","*",$D82),Rutas[Fecha de Llegada],"&gt;="&amp;M$3,Rutas[Fecha de Llegada],"&lt;="&amp;M$4)</f>
        <v>4963</v>
      </c>
      <c r="N82" s="500">
        <f>SUMIFS(Rutas[Kms Recorridos],Rutas[Placa Vehiculo],IF($D82="","*",$D82),Rutas[Fecha de Llegada],"&gt;="&amp;N$3,Rutas[Fecha de Llegada],"&lt;="&amp;N$4)</f>
        <v>4706</v>
      </c>
      <c r="O82" s="500">
        <f>SUMIFS(Rutas[Kms Recorridos],Rutas[Placa Vehiculo],IF($D82="","*",$D82),Rutas[Fecha de Llegada],"&gt;="&amp;O$3,Rutas[Fecha de Llegada],"&lt;="&amp;O$4)</f>
        <v>4988</v>
      </c>
      <c r="P82" s="500">
        <f>SUMIFS(Rutas[Kms Recorridos],Rutas[Placa Vehiculo],IF($D82="","*",$D82),Rutas[Fecha de Llegada],"&gt;="&amp;P$3,Rutas[Fecha de Llegada],"&lt;="&amp;P$4)</f>
        <v>5140</v>
      </c>
      <c r="Q82" s="500">
        <f>SUMIFS(Rutas[Kms Recorridos],Rutas[Placa Vehiculo],IF($D82="","*",$D82),Rutas[Fecha de Llegada],"&gt;="&amp;Q$3,Rutas[Fecha de Llegada],"&lt;="&amp;Q$4)</f>
        <v>3488</v>
      </c>
      <c r="R82" s="499">
        <f t="shared" si="37"/>
        <v>55607</v>
      </c>
    </row>
    <row r="83" spans="1:18" ht="25" customHeight="1" x14ac:dyDescent="0.2">
      <c r="A83" s="47"/>
      <c r="C83" s="496" t="str">
        <f>CONCATENATE(VLOOKUP(D83,Vehiculos[[PLACA]:[MODELO]],4,0)," ",VLOOKUP(D83,Vehiculos[[PLACA]:[MODELO]],2,0)," ",VLOOKUP(D83,Vehiculos[[PLACA]:[MODELO]],3,0))</f>
        <v>CABEZAL ARTICULADO DAF</v>
      </c>
      <c r="D83" s="496" t="s">
        <v>210</v>
      </c>
      <c r="E83" s="455"/>
      <c r="F83" s="500">
        <f>SUMIFS(Rutas[Kms Recorridos],Rutas[Placa Vehiculo],IF($D83="","*",$D83),Rutas[Fecha de Llegada],"&gt;="&amp;F$3,Rutas[Fecha de Llegada],"&lt;="&amp;F$4)</f>
        <v>298</v>
      </c>
      <c r="G83" s="500">
        <f>SUMIFS(Rutas[Kms Recorridos],Rutas[Placa Vehiculo],IF($D83="","*",$D83),Rutas[Fecha de Llegada],"&gt;="&amp;G$3,Rutas[Fecha de Llegada],"&lt;="&amp;G$4)</f>
        <v>388</v>
      </c>
      <c r="H83" s="500">
        <f>SUMIFS(Rutas[Kms Recorridos],Rutas[Placa Vehiculo],IF($D83="","*",$D83),Rutas[Fecha de Llegada],"&gt;="&amp;H$3,Rutas[Fecha de Llegada],"&lt;="&amp;H$4)</f>
        <v>5035</v>
      </c>
      <c r="I83" s="500">
        <f>SUMIFS(Rutas[Kms Recorridos],Rutas[Placa Vehiculo],IF($D83="","*",$D83),Rutas[Fecha de Llegada],"&gt;="&amp;I$3,Rutas[Fecha de Llegada],"&lt;="&amp;I$4)</f>
        <v>5813</v>
      </c>
      <c r="J83" s="500">
        <f>SUMIFS(Rutas[Kms Recorridos],Rutas[Placa Vehiculo],IF($D83="","*",$D83),Rutas[Fecha de Llegada],"&gt;="&amp;J$3,Rutas[Fecha de Llegada],"&lt;="&amp;J$4)</f>
        <v>9852</v>
      </c>
      <c r="K83" s="500">
        <f>SUMIFS(Rutas[Kms Recorridos],Rutas[Placa Vehiculo],IF($D83="","*",$D83),Rutas[Fecha de Llegada],"&gt;="&amp;K$3,Rutas[Fecha de Llegada],"&lt;="&amp;K$4)</f>
        <v>4994</v>
      </c>
      <c r="L83" s="500">
        <f>SUMIFS(Rutas[Kms Recorridos],Rutas[Placa Vehiculo],IF($D83="","*",$D83),Rutas[Fecha de Llegada],"&gt;="&amp;L$3,Rutas[Fecha de Llegada],"&lt;="&amp;L$4)</f>
        <v>2430</v>
      </c>
      <c r="M83" s="500">
        <f>SUMIFS(Rutas[Kms Recorridos],Rutas[Placa Vehiculo],IF($D83="","*",$D83),Rutas[Fecha de Llegada],"&gt;="&amp;M$3,Rutas[Fecha de Llegada],"&lt;="&amp;M$4)</f>
        <v>4626</v>
      </c>
      <c r="N83" s="500">
        <f>SUMIFS(Rutas[Kms Recorridos],Rutas[Placa Vehiculo],IF($D83="","*",$D83),Rutas[Fecha de Llegada],"&gt;="&amp;N$3,Rutas[Fecha de Llegada],"&lt;="&amp;N$4)</f>
        <v>5002</v>
      </c>
      <c r="O83" s="500">
        <f>SUMIFS(Rutas[Kms Recorridos],Rutas[Placa Vehiculo],IF($D83="","*",$D83),Rutas[Fecha de Llegada],"&gt;="&amp;O$3,Rutas[Fecha de Llegada],"&lt;="&amp;O$4)</f>
        <v>5200</v>
      </c>
      <c r="P83" s="500">
        <f>SUMIFS(Rutas[Kms Recorridos],Rutas[Placa Vehiculo],IF($D83="","*",$D83),Rutas[Fecha de Llegada],"&gt;="&amp;P$3,Rutas[Fecha de Llegada],"&lt;="&amp;P$4)</f>
        <v>5264</v>
      </c>
      <c r="Q83" s="500">
        <f>SUMIFS(Rutas[Kms Recorridos],Rutas[Placa Vehiculo],IF($D83="","*",$D83),Rutas[Fecha de Llegada],"&gt;="&amp;Q$3,Rutas[Fecha de Llegada],"&lt;="&amp;Q$4)</f>
        <v>4996</v>
      </c>
      <c r="R83" s="499">
        <f t="shared" si="37"/>
        <v>53898</v>
      </c>
    </row>
    <row r="84" spans="1:18" ht="25" customHeight="1" x14ac:dyDescent="0.2">
      <c r="A84" s="47"/>
      <c r="C84" s="496" t="str">
        <f>CONCATENATE(VLOOKUP(D84,Vehiculos[[PLACA]:[MODELO]],4,0)," ",VLOOKUP(D84,Vehiculos[[PLACA]:[MODELO]],2,0)," ",VLOOKUP(D84,Vehiculos[[PLACA]:[MODELO]],3,0))</f>
        <v>RIGIDO CAMIÓN RIGIDO HINO</v>
      </c>
      <c r="D84" s="496" t="s">
        <v>365</v>
      </c>
      <c r="E84" s="455"/>
      <c r="F84" s="500">
        <f>SUMIFS(Rutas[Kms Recorridos],Rutas[Placa Vehiculo],IF($D84="","*",$D84),Rutas[Fecha de Llegada],"&gt;="&amp;F$3,Rutas[Fecha de Llegada],"&lt;="&amp;F$4)</f>
        <v>1548</v>
      </c>
      <c r="G84" s="500">
        <f>SUMIFS(Rutas[Kms Recorridos],Rutas[Placa Vehiculo],IF($D84="","*",$D84),Rutas[Fecha de Llegada],"&gt;="&amp;G$3,Rutas[Fecha de Llegada],"&lt;="&amp;G$4)</f>
        <v>1594</v>
      </c>
      <c r="H84" s="500">
        <f>SUMIFS(Rutas[Kms Recorridos],Rutas[Placa Vehiculo],IF($D84="","*",$D84),Rutas[Fecha de Llegada],"&gt;="&amp;H$3,Rutas[Fecha de Llegada],"&lt;="&amp;H$4)</f>
        <v>1159</v>
      </c>
      <c r="I84" s="500">
        <f>SUMIFS(Rutas[Kms Recorridos],Rutas[Placa Vehiculo],IF($D84="","*",$D84),Rutas[Fecha de Llegada],"&gt;="&amp;I$3,Rutas[Fecha de Llegada],"&lt;="&amp;I$4)</f>
        <v>2021</v>
      </c>
      <c r="J84" s="500">
        <f>SUMIFS(Rutas[Kms Recorridos],Rutas[Placa Vehiculo],IF($D84="","*",$D84),Rutas[Fecha de Llegada],"&gt;="&amp;J$3,Rutas[Fecha de Llegada],"&lt;="&amp;J$4)</f>
        <v>2534</v>
      </c>
      <c r="K84" s="500">
        <f>SUMIFS(Rutas[Kms Recorridos],Rutas[Placa Vehiculo],IF($D84="","*",$D84),Rutas[Fecha de Llegada],"&gt;="&amp;K$3,Rutas[Fecha de Llegada],"&lt;="&amp;K$4)</f>
        <v>2139</v>
      </c>
      <c r="L84" s="500">
        <f>SUMIFS(Rutas[Kms Recorridos],Rutas[Placa Vehiculo],IF($D84="","*",$D84),Rutas[Fecha de Llegada],"&gt;="&amp;L$3,Rutas[Fecha de Llegada],"&lt;="&amp;L$4)</f>
        <v>1547</v>
      </c>
      <c r="M84" s="500">
        <f>SUMIFS(Rutas[Kms Recorridos],Rutas[Placa Vehiculo],IF($D84="","*",$D84),Rutas[Fecha de Llegada],"&gt;="&amp;M$3,Rutas[Fecha de Llegada],"&lt;="&amp;M$4)</f>
        <v>1746</v>
      </c>
      <c r="N84" s="500">
        <f>SUMIFS(Rutas[Kms Recorridos],Rutas[Placa Vehiculo],IF($D84="","*",$D84),Rutas[Fecha de Llegada],"&gt;="&amp;N$3,Rutas[Fecha de Llegada],"&lt;="&amp;N$4)</f>
        <v>1889</v>
      </c>
      <c r="O84" s="500">
        <f>SUMIFS(Rutas[Kms Recorridos],Rutas[Placa Vehiculo],IF($D84="","*",$D84),Rutas[Fecha de Llegada],"&gt;="&amp;O$3,Rutas[Fecha de Llegada],"&lt;="&amp;O$4)</f>
        <v>1653</v>
      </c>
      <c r="P84" s="500">
        <f>SUMIFS(Rutas[Kms Recorridos],Rutas[Placa Vehiculo],IF($D84="","*",$D84),Rutas[Fecha de Llegada],"&gt;="&amp;P$3,Rutas[Fecha de Llegada],"&lt;="&amp;P$4)</f>
        <v>1725</v>
      </c>
      <c r="Q84" s="500">
        <f>SUMIFS(Rutas[Kms Recorridos],Rutas[Placa Vehiculo],IF($D84="","*",$D84),Rutas[Fecha de Llegada],"&gt;="&amp;Q$3,Rutas[Fecha de Llegada],"&lt;="&amp;Q$4)</f>
        <v>2026</v>
      </c>
      <c r="R84" s="499">
        <f t="shared" si="37"/>
        <v>21581</v>
      </c>
    </row>
    <row r="85" spans="1:18" ht="25" customHeight="1" x14ac:dyDescent="0.2">
      <c r="A85" s="47"/>
      <c r="C85" s="496" t="str">
        <f>CONCATENATE(VLOOKUP(D85,Vehiculos[[PLACA]:[MODELO]],4,0)," ",VLOOKUP(D85,Vehiculos[[PLACA]:[MODELO]],2,0)," ",VLOOKUP(D85,Vehiculos[[PLACA]:[MODELO]],3,0))</f>
        <v>CABEZAL ARTICULADO SHACMAN</v>
      </c>
      <c r="D85" s="496" t="s">
        <v>211</v>
      </c>
      <c r="E85" s="455"/>
      <c r="F85" s="500">
        <f>SUMIFS(Rutas[Kms Recorridos],Rutas[Placa Vehiculo],IF($D85="","*",$D85),Rutas[Fecha de Llegada],"&gt;="&amp;F$3,Rutas[Fecha de Llegada],"&lt;="&amp;F$4)</f>
        <v>1431</v>
      </c>
      <c r="G85" s="500">
        <f>SUMIFS(Rutas[Kms Recorridos],Rutas[Placa Vehiculo],IF($D85="","*",$D85),Rutas[Fecha de Llegada],"&gt;="&amp;G$3,Rutas[Fecha de Llegada],"&lt;="&amp;G$4)</f>
        <v>439</v>
      </c>
      <c r="H85" s="500">
        <f>SUMIFS(Rutas[Kms Recorridos],Rutas[Placa Vehiculo],IF($D85="","*",$D85),Rutas[Fecha de Llegada],"&gt;="&amp;H$3,Rutas[Fecha de Llegada],"&lt;="&amp;H$4)</f>
        <v>1310</v>
      </c>
      <c r="I85" s="500">
        <f>SUMIFS(Rutas[Kms Recorridos],Rutas[Placa Vehiculo],IF($D85="","*",$D85),Rutas[Fecha de Llegada],"&gt;="&amp;I$3,Rutas[Fecha de Llegada],"&lt;="&amp;I$4)</f>
        <v>699</v>
      </c>
      <c r="J85" s="500">
        <f>SUMIFS(Rutas[Kms Recorridos],Rutas[Placa Vehiculo],IF($D85="","*",$D85),Rutas[Fecha de Llegada],"&gt;="&amp;J$3,Rutas[Fecha de Llegada],"&lt;="&amp;J$4)</f>
        <v>3298</v>
      </c>
      <c r="K85" s="500">
        <f>SUMIFS(Rutas[Kms Recorridos],Rutas[Placa Vehiculo],IF($D85="","*",$D85),Rutas[Fecha de Llegada],"&gt;="&amp;K$3,Rutas[Fecha de Llegada],"&lt;="&amp;K$4)</f>
        <v>2454</v>
      </c>
      <c r="L85" s="500">
        <f>SUMIFS(Rutas[Kms Recorridos],Rutas[Placa Vehiculo],IF($D85="","*",$D85),Rutas[Fecha de Llegada],"&gt;="&amp;L$3,Rutas[Fecha de Llegada],"&lt;="&amp;L$4)</f>
        <v>1194</v>
      </c>
      <c r="M85" s="500">
        <f>SUMIFS(Rutas[Kms Recorridos],Rutas[Placa Vehiculo],IF($D85="","*",$D85),Rutas[Fecha de Llegada],"&gt;="&amp;M$3,Rutas[Fecha de Llegada],"&lt;="&amp;M$4)</f>
        <v>0</v>
      </c>
      <c r="N85" s="500">
        <f>SUMIFS(Rutas[Kms Recorridos],Rutas[Placa Vehiculo],IF($D85="","*",$D85),Rutas[Fecha de Llegada],"&gt;="&amp;N$3,Rutas[Fecha de Llegada],"&lt;="&amp;N$4)</f>
        <v>4758</v>
      </c>
      <c r="O85" s="500">
        <f>SUMIFS(Rutas[Kms Recorridos],Rutas[Placa Vehiculo],IF($D85="","*",$D85),Rutas[Fecha de Llegada],"&gt;="&amp;O$3,Rutas[Fecha de Llegada],"&lt;="&amp;O$4)</f>
        <v>3744</v>
      </c>
      <c r="P85" s="500">
        <f>SUMIFS(Rutas[Kms Recorridos],Rutas[Placa Vehiculo],IF($D85="","*",$D85),Rutas[Fecha de Llegada],"&gt;="&amp;P$3,Rutas[Fecha de Llegada],"&lt;="&amp;P$4)</f>
        <v>5162</v>
      </c>
      <c r="Q85" s="500">
        <f>SUMIFS(Rutas[Kms Recorridos],Rutas[Placa Vehiculo],IF($D85="","*",$D85),Rutas[Fecha de Llegada],"&gt;="&amp;Q$3,Rutas[Fecha de Llegada],"&lt;="&amp;Q$4)</f>
        <v>3088</v>
      </c>
      <c r="R85" s="499">
        <f t="shared" si="37"/>
        <v>27577</v>
      </c>
    </row>
    <row r="86" spans="1:18" ht="25" customHeight="1" x14ac:dyDescent="0.2">
      <c r="A86" s="47"/>
      <c r="C86" s="496" t="str">
        <f>CONCATENATE(VLOOKUP(D86,Vehiculos[[PLACA]:[MODELO]],4,0)," ",VLOOKUP(D86,Vehiculos[[PLACA]:[MODELO]],2,0)," ",VLOOKUP(D86,Vehiculos[[PLACA]:[MODELO]],3,0))</f>
        <v>CABEZAL ARTICULADO HINO</v>
      </c>
      <c r="D86" s="496" t="s">
        <v>212</v>
      </c>
      <c r="E86" s="455"/>
      <c r="F86" s="500">
        <f>SUMIFS(Rutas[Kms Recorridos],Rutas[Placa Vehiculo],IF($D86="","*",$D86),Rutas[Fecha de Llegada],"&gt;="&amp;F$3,Rutas[Fecha de Llegada],"&lt;="&amp;F$4)</f>
        <v>2945</v>
      </c>
      <c r="G86" s="500">
        <f>SUMIFS(Rutas[Kms Recorridos],Rutas[Placa Vehiculo],IF($D86="","*",$D86),Rutas[Fecha de Llegada],"&gt;="&amp;G$3,Rutas[Fecha de Llegada],"&lt;="&amp;G$4)</f>
        <v>0</v>
      </c>
      <c r="H86" s="500">
        <f>SUMIFS(Rutas[Kms Recorridos],Rutas[Placa Vehiculo],IF($D86="","*",$D86),Rutas[Fecha de Llegada],"&gt;="&amp;H$3,Rutas[Fecha de Llegada],"&lt;="&amp;H$4)</f>
        <v>2207</v>
      </c>
      <c r="I86" s="500">
        <f>SUMIFS(Rutas[Kms Recorridos],Rutas[Placa Vehiculo],IF($D86="","*",$D86),Rutas[Fecha de Llegada],"&gt;="&amp;I$3,Rutas[Fecha de Llegada],"&lt;="&amp;I$4)</f>
        <v>3472</v>
      </c>
      <c r="J86" s="500">
        <f>SUMIFS(Rutas[Kms Recorridos],Rutas[Placa Vehiculo],IF($D86="","*",$D86),Rutas[Fecha de Llegada],"&gt;="&amp;J$3,Rutas[Fecha de Llegada],"&lt;="&amp;J$4)</f>
        <v>5704</v>
      </c>
      <c r="K86" s="500">
        <f>SUMIFS(Rutas[Kms Recorridos],Rutas[Placa Vehiculo],IF($D86="","*",$D86),Rutas[Fecha de Llegada],"&gt;="&amp;K$3,Rutas[Fecha de Llegada],"&lt;="&amp;K$4)</f>
        <v>4084</v>
      </c>
      <c r="L86" s="500">
        <f>SUMIFS(Rutas[Kms Recorridos],Rutas[Placa Vehiculo],IF($D86="","*",$D86),Rutas[Fecha de Llegada],"&gt;="&amp;L$3,Rutas[Fecha de Llegada],"&lt;="&amp;L$4)</f>
        <v>716</v>
      </c>
      <c r="M86" s="500">
        <f>SUMIFS(Rutas[Kms Recorridos],Rutas[Placa Vehiculo],IF($D86="","*",$D86),Rutas[Fecha de Llegada],"&gt;="&amp;M$3,Rutas[Fecha de Llegada],"&lt;="&amp;M$4)</f>
        <v>4437</v>
      </c>
      <c r="N86" s="500">
        <f>SUMIFS(Rutas[Kms Recorridos],Rutas[Placa Vehiculo],IF($D86="","*",$D86),Rutas[Fecha de Llegada],"&gt;="&amp;N$3,Rutas[Fecha de Llegada],"&lt;="&amp;N$4)</f>
        <v>0</v>
      </c>
      <c r="O86" s="500">
        <f>SUMIFS(Rutas[Kms Recorridos],Rutas[Placa Vehiculo],IF($D86="","*",$D86),Rutas[Fecha de Llegada],"&gt;="&amp;O$3,Rutas[Fecha de Llegada],"&lt;="&amp;O$4)</f>
        <v>0</v>
      </c>
      <c r="P86" s="500">
        <f>SUMIFS(Rutas[Kms Recorridos],Rutas[Placa Vehiculo],IF($D86="","*",$D86),Rutas[Fecha de Llegada],"&gt;="&amp;P$3,Rutas[Fecha de Llegada],"&lt;="&amp;P$4)</f>
        <v>0</v>
      </c>
      <c r="Q86" s="500">
        <f>SUMIFS(Rutas[Kms Recorridos],Rutas[Placa Vehiculo],IF($D86="","*",$D86),Rutas[Fecha de Llegada],"&gt;="&amp;Q$3,Rutas[Fecha de Llegada],"&lt;="&amp;Q$4)</f>
        <v>0</v>
      </c>
      <c r="R86" s="499">
        <f t="shared" si="37"/>
        <v>23565</v>
      </c>
    </row>
    <row r="87" spans="1:18" ht="25" customHeight="1" x14ac:dyDescent="0.2">
      <c r="A87" s="47"/>
      <c r="C87" s="496" t="str">
        <f>CONCATENATE(VLOOKUP(D87,Vehiculos[[PLACA]:[MODELO]],4,0)," ",VLOOKUP(D87,Vehiculos[[PLACA]:[MODELO]],2,0)," ",VLOOKUP(D87,Vehiculos[[PLACA]:[MODELO]],3,0))</f>
        <v>RIGIDO CAMIÓN RIGIDO HINO</v>
      </c>
      <c r="D87" s="496" t="s">
        <v>213</v>
      </c>
      <c r="E87" s="455"/>
      <c r="F87" s="500">
        <f>SUMIFS(Rutas[Kms Recorridos],Rutas[Placa Vehiculo],IF($D87="","*",$D87),Rutas[Fecha de Llegada],"&gt;="&amp;F$3,Rutas[Fecha de Llegada],"&lt;="&amp;F$4)</f>
        <v>2136</v>
      </c>
      <c r="G87" s="500">
        <f>SUMIFS(Rutas[Kms Recorridos],Rutas[Placa Vehiculo],IF($D87="","*",$D87),Rutas[Fecha de Llegada],"&gt;="&amp;G$3,Rutas[Fecha de Llegada],"&lt;="&amp;G$4)</f>
        <v>2099</v>
      </c>
      <c r="H87" s="500">
        <f>SUMIFS(Rutas[Kms Recorridos],Rutas[Placa Vehiculo],IF($D87="","*",$D87),Rutas[Fecha de Llegada],"&gt;="&amp;H$3,Rutas[Fecha de Llegada],"&lt;="&amp;H$4)</f>
        <v>1009</v>
      </c>
      <c r="I87" s="500">
        <f>SUMIFS(Rutas[Kms Recorridos],Rutas[Placa Vehiculo],IF($D87="","*",$D87),Rutas[Fecha de Llegada],"&gt;="&amp;I$3,Rutas[Fecha de Llegada],"&lt;="&amp;I$4)</f>
        <v>3415</v>
      </c>
      <c r="J87" s="500">
        <f>SUMIFS(Rutas[Kms Recorridos],Rutas[Placa Vehiculo],IF($D87="","*",$D87),Rutas[Fecha de Llegada],"&gt;="&amp;J$3,Rutas[Fecha de Llegada],"&lt;="&amp;J$4)</f>
        <v>3431</v>
      </c>
      <c r="K87" s="500">
        <f>SUMIFS(Rutas[Kms Recorridos],Rutas[Placa Vehiculo],IF($D87="","*",$D87),Rutas[Fecha de Llegada],"&gt;="&amp;K$3,Rutas[Fecha de Llegada],"&lt;="&amp;K$4)</f>
        <v>3192</v>
      </c>
      <c r="L87" s="500">
        <f>SUMIFS(Rutas[Kms Recorridos],Rutas[Placa Vehiculo],IF($D87="","*",$D87),Rutas[Fecha de Llegada],"&gt;="&amp;L$3,Rutas[Fecha de Llegada],"&lt;="&amp;L$4)</f>
        <v>3115</v>
      </c>
      <c r="M87" s="500">
        <f>SUMIFS(Rutas[Kms Recorridos],Rutas[Placa Vehiculo],IF($D87="","*",$D87),Rutas[Fecha de Llegada],"&gt;="&amp;M$3,Rutas[Fecha de Llegada],"&lt;="&amp;M$4)</f>
        <v>3477</v>
      </c>
      <c r="N87" s="500">
        <f>SUMIFS(Rutas[Kms Recorridos],Rutas[Placa Vehiculo],IF($D87="","*",$D87),Rutas[Fecha de Llegada],"&gt;="&amp;N$3,Rutas[Fecha de Llegada],"&lt;="&amp;N$4)</f>
        <v>2729</v>
      </c>
      <c r="O87" s="500">
        <f>SUMIFS(Rutas[Kms Recorridos],Rutas[Placa Vehiculo],IF($D87="","*",$D87),Rutas[Fecha de Llegada],"&gt;="&amp;O$3,Rutas[Fecha de Llegada],"&lt;="&amp;O$4)</f>
        <v>3556</v>
      </c>
      <c r="P87" s="500">
        <f>SUMIFS(Rutas[Kms Recorridos],Rutas[Placa Vehiculo],IF($D87="","*",$D87),Rutas[Fecha de Llegada],"&gt;="&amp;P$3,Rutas[Fecha de Llegada],"&lt;="&amp;P$4)</f>
        <v>4180</v>
      </c>
      <c r="Q87" s="500">
        <f>SUMIFS(Rutas[Kms Recorridos],Rutas[Placa Vehiculo],IF($D87="","*",$D87),Rutas[Fecha de Llegada],"&gt;="&amp;Q$3,Rutas[Fecha de Llegada],"&lt;="&amp;Q$4)</f>
        <v>3508</v>
      </c>
      <c r="R87" s="499">
        <f t="shared" si="37"/>
        <v>35847</v>
      </c>
    </row>
    <row r="88" spans="1:18" ht="25" customHeight="1" x14ac:dyDescent="0.2">
      <c r="A88" s="47"/>
      <c r="C88" s="496" t="str">
        <f>CONCATENATE(VLOOKUP(D88,Vehiculos[[PLACA]:[MODELO]],3,0)," ",VLOOKUP(D88,Vehiculos[[PLACA]:[MODELO]],4,0)," ",VLOOKUP(D88,Vehiculos[[PLACA]:[MODELO]],3,0))</f>
        <v>QINGLING CABEZAL QINGLING</v>
      </c>
      <c r="D88" s="496" t="s">
        <v>403</v>
      </c>
      <c r="E88" s="557"/>
      <c r="F88" s="500">
        <f>SUMIFS(Rutas[Kms Recorridos],Rutas[Placa Vehiculo],IF($D88="","*",$D88),Rutas[Fecha de Llegada],"&gt;="&amp;F$3,Rutas[Fecha de Llegada],"&lt;="&amp;F$4)</f>
        <v>0</v>
      </c>
      <c r="G88" s="500">
        <f>SUMIFS(Rutas[Kms Recorridos],Rutas[Placa Vehiculo],IF($D88="","*",$D88),Rutas[Fecha de Llegada],"&gt;="&amp;G$3,Rutas[Fecha de Llegada],"&lt;="&amp;G$4)</f>
        <v>0</v>
      </c>
      <c r="H88" s="500">
        <f>SUMIFS(Rutas[Kms Recorridos],Rutas[Placa Vehiculo],IF($D88="","*",$D88),Rutas[Fecha de Llegada],"&gt;="&amp;H$3,Rutas[Fecha de Llegada],"&lt;="&amp;H$4)</f>
        <v>0</v>
      </c>
      <c r="I88" s="500">
        <f>SUMIFS(Rutas[Kms Recorridos],Rutas[Placa Vehiculo],IF($D88="","*",$D88),Rutas[Fecha de Llegada],"&gt;="&amp;I$3,Rutas[Fecha de Llegada],"&lt;="&amp;I$4)</f>
        <v>0</v>
      </c>
      <c r="J88" s="500">
        <f>SUMIFS(Rutas[Kms Recorridos],Rutas[Placa Vehiculo],IF($D88="","*",$D88),Rutas[Fecha de Llegada],"&gt;="&amp;J$3,Rutas[Fecha de Llegada],"&lt;="&amp;J$4)</f>
        <v>0</v>
      </c>
      <c r="K88" s="500">
        <f>SUMIFS(Rutas[Kms Recorridos],Rutas[Placa Vehiculo],IF($D88="","*",$D88),Rutas[Fecha de Llegada],"&gt;="&amp;K$3,Rutas[Fecha de Llegada],"&lt;="&amp;K$4)</f>
        <v>3549</v>
      </c>
      <c r="L88" s="500">
        <f>SUMIFS(Rutas[Kms Recorridos],Rutas[Placa Vehiculo],IF($D88="","*",$D88),Rutas[Fecha de Llegada],"&gt;="&amp;L$3,Rutas[Fecha de Llegada],"&lt;="&amp;L$4)</f>
        <v>6472</v>
      </c>
      <c r="M88" s="500">
        <f>SUMIFS(Rutas[Kms Recorridos],Rutas[Placa Vehiculo],IF($D88="","*",$D88),Rutas[Fecha de Llegada],"&gt;="&amp;M$3,Rutas[Fecha de Llegada],"&lt;="&amp;M$4)</f>
        <v>4997</v>
      </c>
      <c r="N88" s="500">
        <f>SUMIFS(Rutas[Kms Recorridos],Rutas[Placa Vehiculo],IF($D88="","*",$D88),Rutas[Fecha de Llegada],"&gt;="&amp;N$3,Rutas[Fecha de Llegada],"&lt;="&amp;N$4)</f>
        <v>4758</v>
      </c>
      <c r="O88" s="500">
        <f>SUMIFS(Rutas[Kms Recorridos],Rutas[Placa Vehiculo],IF($D88="","*",$D88),Rutas[Fecha de Llegada],"&gt;="&amp;O$3,Rutas[Fecha de Llegada],"&lt;="&amp;O$4)</f>
        <v>4811</v>
      </c>
      <c r="P88" s="500">
        <f>SUMIFS(Rutas[Kms Recorridos],Rutas[Placa Vehiculo],IF($D88="","*",$D88),Rutas[Fecha de Llegada],"&gt;="&amp;P$3,Rutas[Fecha de Llegada],"&lt;="&amp;P$4)</f>
        <v>5142</v>
      </c>
      <c r="Q88" s="500">
        <f>SUMIFS(Rutas[Kms Recorridos],Rutas[Placa Vehiculo],IF($D88="","*",$D88),Rutas[Fecha de Llegada],"&gt;="&amp;Q$3,Rutas[Fecha de Llegada],"&lt;="&amp;Q$4)</f>
        <v>4542</v>
      </c>
      <c r="R88" s="499">
        <f>SUM(F88:Q88)</f>
        <v>34271</v>
      </c>
    </row>
    <row r="89" spans="1:18" ht="25" customHeight="1" x14ac:dyDescent="0.2">
      <c r="A89" s="47"/>
      <c r="C89" s="496" t="str">
        <f>CONCATENATE(VLOOKUP(D89,Vehiculos[[PLACA]:[MODELO]],4,0)," ",VLOOKUP(D89,Vehiculos[[PLACA]:[MODELO]],2,0)," ",VLOOKUP(D89,Vehiculos[[PLACA]:[MODELO]],3,0))</f>
        <v>DMAX CAMIONETA CHEVROLET</v>
      </c>
      <c r="D89" s="496" t="s">
        <v>286</v>
      </c>
      <c r="E89" s="455"/>
      <c r="F89" s="500">
        <f>SUMIFS(Rutas[Kms Recorridos],Rutas[Placa Vehiculo],IF($D89="","*",$D89),Rutas[Fecha de Llegada],"&gt;="&amp;F$3,Rutas[Fecha de Llegada],"&lt;="&amp;F$4)</f>
        <v>919</v>
      </c>
      <c r="G89" s="500">
        <f>SUMIFS(Rutas[Kms Recorridos],Rutas[Placa Vehiculo],IF($D89="","*",$D89),Rutas[Fecha de Llegada],"&gt;="&amp;G$3,Rutas[Fecha de Llegada],"&lt;="&amp;G$4)</f>
        <v>245</v>
      </c>
      <c r="H89" s="500">
        <f>SUMIFS(Rutas[Kms Recorridos],Rutas[Placa Vehiculo],IF($D89="","*",$D89),Rutas[Fecha de Llegada],"&gt;="&amp;H$3,Rutas[Fecha de Llegada],"&lt;="&amp;H$4)</f>
        <v>3459</v>
      </c>
      <c r="I89" s="500">
        <f>SUMIFS(Rutas[Kms Recorridos],Rutas[Placa Vehiculo],IF($D89="","*",$D89),Rutas[Fecha de Llegada],"&gt;="&amp;I$3,Rutas[Fecha de Llegada],"&lt;="&amp;I$4)</f>
        <v>2719</v>
      </c>
      <c r="J89" s="500">
        <f>SUMIFS(Rutas[Kms Recorridos],Rutas[Placa Vehiculo],IF($D89="","*",$D89),Rutas[Fecha de Llegada],"&gt;="&amp;J$3,Rutas[Fecha de Llegada],"&lt;="&amp;J$4)</f>
        <v>2626</v>
      </c>
      <c r="K89" s="500">
        <f>SUMIFS(Rutas[Kms Recorridos],Rutas[Placa Vehiculo],IF($D89="","*",$D89),Rutas[Fecha de Llegada],"&gt;="&amp;K$3,Rutas[Fecha de Llegada],"&lt;="&amp;K$4)</f>
        <v>2777</v>
      </c>
      <c r="L89" s="500">
        <f>SUMIFS(Rutas[Kms Recorridos],Rutas[Placa Vehiculo],IF($D89="","*",$D89),Rutas[Fecha de Llegada],"&gt;="&amp;L$3,Rutas[Fecha de Llegada],"&lt;="&amp;L$4)</f>
        <v>3292</v>
      </c>
      <c r="M89" s="500">
        <f>SUMIFS(Rutas[Kms Recorridos],Rutas[Placa Vehiculo],IF($D89="","*",$D89),Rutas[Fecha de Llegada],"&gt;="&amp;M$3,Rutas[Fecha de Llegada],"&lt;="&amp;M$4)</f>
        <v>3400</v>
      </c>
      <c r="N89" s="500">
        <f>SUMIFS(Rutas[Kms Recorridos],Rutas[Placa Vehiculo],IF($D89="","*",$D89),Rutas[Fecha de Llegada],"&gt;="&amp;N$3,Rutas[Fecha de Llegada],"&lt;="&amp;N$4)</f>
        <v>3534</v>
      </c>
      <c r="O89" s="500">
        <f>SUMIFS(Rutas[Kms Recorridos],Rutas[Placa Vehiculo],IF($D89="","*",$D89),Rutas[Fecha de Llegada],"&gt;="&amp;O$3,Rutas[Fecha de Llegada],"&lt;="&amp;O$4)</f>
        <v>5709</v>
      </c>
      <c r="P89" s="500">
        <f>SUMIFS(Rutas[Kms Recorridos],Rutas[Placa Vehiculo],IF($D89="","*",$D89),Rutas[Fecha de Llegada],"&gt;="&amp;P$3,Rutas[Fecha de Llegada],"&lt;="&amp;P$4)</f>
        <v>3771</v>
      </c>
      <c r="Q89" s="500">
        <f>SUMIFS(Rutas[Kms Recorridos],Rutas[Placa Vehiculo],IF($D89="","*",$D89),Rutas[Fecha de Llegada],"&gt;="&amp;Q$3,Rutas[Fecha de Llegada],"&lt;="&amp;Q$4)</f>
        <v>2015</v>
      </c>
      <c r="R89" s="499">
        <f t="shared" si="37"/>
        <v>34466</v>
      </c>
    </row>
    <row r="90" spans="1:18" ht="25" customHeight="1" x14ac:dyDescent="0.2">
      <c r="A90" s="47"/>
      <c r="C90" s="496" t="str">
        <f>CONCATENATE(VLOOKUP(D90,Vehiculos[[PLACA]:[MODELO]],4,0)," ",VLOOKUP(D90,Vehiculos[[PLACA]:[MODELO]],2,0)," ",VLOOKUP(D90,Vehiculos[[PLACA]:[MODELO]],3,0))</f>
        <v>CABEZAL ARTICULADO DAF</v>
      </c>
      <c r="D90" s="496" t="s">
        <v>350</v>
      </c>
      <c r="E90" s="455"/>
      <c r="F90" s="500">
        <f>SUMIFS(Rutas[Kms Recorridos],Rutas[Placa Vehiculo],IF($D90="","*",$D90),Rutas[Fecha de Llegada],"&gt;="&amp;F$3,Rutas[Fecha de Llegada],"&lt;="&amp;F$4)</f>
        <v>0</v>
      </c>
      <c r="G90" s="500">
        <f>SUMIFS(Rutas[Kms Recorridos],Rutas[Placa Vehiculo],IF($D90="","*",$D90),Rutas[Fecha de Llegada],"&gt;="&amp;G$3,Rutas[Fecha de Llegada],"&lt;="&amp;G$4)</f>
        <v>0</v>
      </c>
      <c r="H90" s="500">
        <f>SUMIFS(Rutas[Kms Recorridos],Rutas[Placa Vehiculo],IF($D90="","*",$D90),Rutas[Fecha de Llegada],"&gt;="&amp;H$3,Rutas[Fecha de Llegada],"&lt;="&amp;H$4)</f>
        <v>0</v>
      </c>
      <c r="I90" s="500">
        <f>SUMIFS(Rutas[Kms Recorridos],Rutas[Placa Vehiculo],IF($D90="","*",$D90),Rutas[Fecha de Llegada],"&gt;="&amp;I$3,Rutas[Fecha de Llegada],"&lt;="&amp;I$4)</f>
        <v>0</v>
      </c>
      <c r="J90" s="500">
        <f>SUMIFS(Rutas[Kms Recorridos],Rutas[Placa Vehiculo],IF($D90="","*",$D90),Rutas[Fecha de Llegada],"&gt;="&amp;J$3,Rutas[Fecha de Llegada],"&lt;="&amp;J$4)</f>
        <v>9723</v>
      </c>
      <c r="K90" s="500">
        <f>SUMIFS(Rutas[Kms Recorridos],Rutas[Placa Vehiculo],IF($D90="","*",$D90),Rutas[Fecha de Llegada],"&gt;="&amp;K$3,Rutas[Fecha de Llegada],"&lt;="&amp;K$4)</f>
        <v>0</v>
      </c>
      <c r="L90" s="500">
        <f>SUMIFS(Rutas[Kms Recorridos],Rutas[Placa Vehiculo],IF($D90="","*",$D90),Rutas[Fecha de Llegada],"&gt;="&amp;L$3,Rutas[Fecha de Llegada],"&lt;="&amp;L$4)</f>
        <v>0</v>
      </c>
      <c r="M90" s="500">
        <f>SUMIFS(Rutas[Kms Recorridos],Rutas[Placa Vehiculo],IF($D90="","*",$D90),Rutas[Fecha de Llegada],"&gt;="&amp;M$3,Rutas[Fecha de Llegada],"&lt;="&amp;M$4)</f>
        <v>2449</v>
      </c>
      <c r="N90" s="500">
        <f>SUMIFS(Rutas[Kms Recorridos],Rutas[Placa Vehiculo],IF($D90="","*",$D90),Rutas[Fecha de Llegada],"&gt;="&amp;N$3,Rutas[Fecha de Llegada],"&lt;="&amp;N$4)</f>
        <v>4210</v>
      </c>
      <c r="O90" s="500">
        <f>SUMIFS(Rutas[Kms Recorridos],Rutas[Placa Vehiculo],IF($D90="","*",$D90),Rutas[Fecha de Llegada],"&gt;="&amp;O$3,Rutas[Fecha de Llegada],"&lt;="&amp;O$4)</f>
        <v>5007</v>
      </c>
      <c r="P90" s="500">
        <f>SUMIFS(Rutas[Kms Recorridos],Rutas[Placa Vehiculo],IF($D90="","*",$D90),Rutas[Fecha de Llegada],"&gt;="&amp;P$3,Rutas[Fecha de Llegada],"&lt;="&amp;P$4)</f>
        <v>4740</v>
      </c>
      <c r="Q90" s="500">
        <f>SUMIFS(Rutas[Kms Recorridos],Rutas[Placa Vehiculo],IF($D90="","*",$D90),Rutas[Fecha de Llegada],"&gt;="&amp;Q$3,Rutas[Fecha de Llegada],"&lt;="&amp;Q$4)</f>
        <v>4422</v>
      </c>
      <c r="R90" s="499">
        <f t="shared" si="37"/>
        <v>30551</v>
      </c>
    </row>
    <row r="91" spans="1:18" ht="25" customHeight="1" x14ac:dyDescent="0.2">
      <c r="A91" s="47"/>
      <c r="C91" s="496" t="str">
        <f>CONCATENATE(VLOOKUP(D91,Vehiculos[[PLACA]:[MODELO]],3,0)," ",VLOOKUP(D91,Vehiculos[[PLACA]:[MODELO]],4,0)," ",VLOOKUP(D91,Vehiculos[[PLACA]:[MODELO]],3,0))</f>
        <v>DAF CABEZAL DAF</v>
      </c>
      <c r="D91" s="496" t="s">
        <v>473</v>
      </c>
      <c r="E91" s="557"/>
      <c r="F91" s="500">
        <f>SUMIFS(Rutas[Kms Recorridos],Rutas[Placa Vehiculo],IF($D91="","*",$D91),Rutas[Fecha de Llegada],"&gt;="&amp;F$3,Rutas[Fecha de Llegada],"&lt;="&amp;F$4)</f>
        <v>0</v>
      </c>
      <c r="G91" s="500">
        <f>SUMIFS(Rutas[Kms Recorridos],Rutas[Placa Vehiculo],IF($D91="","*",$D91),Rutas[Fecha de Llegada],"&gt;="&amp;G$3,Rutas[Fecha de Llegada],"&lt;="&amp;G$4)</f>
        <v>0</v>
      </c>
      <c r="H91" s="500">
        <f>SUMIFS(Rutas[Kms Recorridos],Rutas[Placa Vehiculo],IF($D91="","*",$D91),Rutas[Fecha de Llegada],"&gt;="&amp;H$3,Rutas[Fecha de Llegada],"&lt;="&amp;H$4)</f>
        <v>0</v>
      </c>
      <c r="I91" s="500">
        <f>SUMIFS(Rutas[Kms Recorridos],Rutas[Placa Vehiculo],IF($D91="","*",$D91),Rutas[Fecha de Llegada],"&gt;="&amp;I$3,Rutas[Fecha de Llegada],"&lt;="&amp;I$4)</f>
        <v>0</v>
      </c>
      <c r="J91" s="500">
        <f>SUMIFS(Rutas[Kms Recorridos],Rutas[Placa Vehiculo],IF($D91="","*",$D91),Rutas[Fecha de Llegada],"&gt;="&amp;J$3,Rutas[Fecha de Llegada],"&lt;="&amp;J$4)</f>
        <v>0</v>
      </c>
      <c r="K91" s="500">
        <f>SUMIFS(Rutas[Kms Recorridos],Rutas[Placa Vehiculo],IF($D91="","*",$D91),Rutas[Fecha de Llegada],"&gt;="&amp;K$3,Rutas[Fecha de Llegada],"&lt;="&amp;K$4)</f>
        <v>0</v>
      </c>
      <c r="L91" s="500">
        <f>SUMIFS(Rutas[Kms Recorridos],Rutas[Placa Vehiculo],IF($D91="","*",$D91),Rutas[Fecha de Llegada],"&gt;="&amp;L$3,Rutas[Fecha de Llegada],"&lt;="&amp;L$4)</f>
        <v>0</v>
      </c>
      <c r="M91" s="500">
        <f>SUMIFS(Rutas[Kms Recorridos],Rutas[Placa Vehiculo],IF($D91="","*",$D91),Rutas[Fecha de Llegada],"&gt;="&amp;M$3,Rutas[Fecha de Llegada],"&lt;="&amp;M$4)</f>
        <v>0</v>
      </c>
      <c r="N91" s="500">
        <f>SUMIFS(Rutas[Kms Recorridos],Rutas[Placa Vehiculo],IF($D91="","*",$D91),Rutas[Fecha de Llegada],"&gt;="&amp;N$3,Rutas[Fecha de Llegada],"&lt;="&amp;N$4)</f>
        <v>0</v>
      </c>
      <c r="O91" s="500">
        <f>SUMIFS(Rutas[Kms Recorridos],Rutas[Placa Vehiculo],IF($D91="","*",$D91),Rutas[Fecha de Llegada],"&gt;="&amp;O$3,Rutas[Fecha de Llegada],"&lt;="&amp;O$4)</f>
        <v>2369</v>
      </c>
      <c r="P91" s="500">
        <f>SUMIFS(Rutas[Kms Recorridos],Rutas[Placa Vehiculo],IF($D91="","*",$D91),Rutas[Fecha de Llegada],"&gt;="&amp;P$3,Rutas[Fecha de Llegada],"&lt;="&amp;P$4)</f>
        <v>7445</v>
      </c>
      <c r="Q91" s="500">
        <f>SUMIFS(Rutas[Kms Recorridos],Rutas[Placa Vehiculo],IF($D91="","*",$D91),Rutas[Fecha de Llegada],"&gt;="&amp;Q$3,Rutas[Fecha de Llegada],"&lt;="&amp;Q$4)</f>
        <v>4223</v>
      </c>
      <c r="R91" s="499">
        <f>SUM(F91:Q91)</f>
        <v>14037</v>
      </c>
    </row>
    <row r="92" spans="1:18" ht="25" customHeight="1" x14ac:dyDescent="0.2">
      <c r="A92" s="47"/>
      <c r="C92" s="496" t="str">
        <f>CONCATENATE(VLOOKUP(D92,Vehiculos[[PLACA]:[MODELO]],3,0)," ",VLOOKUP(D92,Vehiculos[[PLACA]:[MODELO]],4,0)," ",VLOOKUP(D92,Vehiculos[[PLACA]:[MODELO]],3,0))</f>
        <v>DAF CABEZAL DAF</v>
      </c>
      <c r="D92" s="496" t="s">
        <v>509</v>
      </c>
      <c r="E92" s="557"/>
      <c r="F92" s="500">
        <f>SUMIFS(Rutas[Kms Recorridos],Rutas[Placa Vehiculo],IF($D92="","*",$D92),Rutas[Fecha de Llegada],"&gt;="&amp;F$3,Rutas[Fecha de Llegada],"&lt;="&amp;F$4)</f>
        <v>0</v>
      </c>
      <c r="G92" s="500">
        <f>SUMIFS(Rutas[Kms Recorridos],Rutas[Placa Vehiculo],IF($D92="","*",$D92),Rutas[Fecha de Llegada],"&gt;="&amp;G$3,Rutas[Fecha de Llegada],"&lt;="&amp;G$4)</f>
        <v>0</v>
      </c>
      <c r="H92" s="500">
        <f>SUMIFS(Rutas[Kms Recorridos],Rutas[Placa Vehiculo],IF($D92="","*",$D92),Rutas[Fecha de Llegada],"&gt;="&amp;H$3,Rutas[Fecha de Llegada],"&lt;="&amp;H$4)</f>
        <v>0</v>
      </c>
      <c r="I92" s="500">
        <f>SUMIFS(Rutas[Kms Recorridos],Rutas[Placa Vehiculo],IF($D92="","*",$D92),Rutas[Fecha de Llegada],"&gt;="&amp;I$3,Rutas[Fecha de Llegada],"&lt;="&amp;I$4)</f>
        <v>0</v>
      </c>
      <c r="J92" s="500">
        <f>SUMIFS(Rutas[Kms Recorridos],Rutas[Placa Vehiculo],IF($D92="","*",$D92),Rutas[Fecha de Llegada],"&gt;="&amp;J$3,Rutas[Fecha de Llegada],"&lt;="&amp;J$4)</f>
        <v>0</v>
      </c>
      <c r="K92" s="500">
        <f>SUMIFS(Rutas[Kms Recorridos],Rutas[Placa Vehiculo],IF($D92="","*",$D92),Rutas[Fecha de Llegada],"&gt;="&amp;K$3,Rutas[Fecha de Llegada],"&lt;="&amp;K$4)</f>
        <v>0</v>
      </c>
      <c r="L92" s="500">
        <f>SUMIFS(Rutas[Kms Recorridos],Rutas[Placa Vehiculo],IF($D92="","*",$D92),Rutas[Fecha de Llegada],"&gt;="&amp;L$3,Rutas[Fecha de Llegada],"&lt;="&amp;L$4)</f>
        <v>0</v>
      </c>
      <c r="M92" s="500">
        <f>SUMIFS(Rutas[Kms Recorridos],Rutas[Placa Vehiculo],IF($D92="","*",$D92),Rutas[Fecha de Llegada],"&gt;="&amp;M$3,Rutas[Fecha de Llegada],"&lt;="&amp;M$4)</f>
        <v>0</v>
      </c>
      <c r="N92" s="500">
        <f>SUMIFS(Rutas[Kms Recorridos],Rutas[Placa Vehiculo],IF($D92="","*",$D92),Rutas[Fecha de Llegada],"&gt;="&amp;N$3,Rutas[Fecha de Llegada],"&lt;="&amp;N$4)</f>
        <v>0</v>
      </c>
      <c r="O92" s="500">
        <f>SUMIFS(Rutas[Kms Recorridos],Rutas[Placa Vehiculo],IF($D92="","*",$D92),Rutas[Fecha de Llegada],"&gt;="&amp;O$3,Rutas[Fecha de Llegada],"&lt;="&amp;O$4)</f>
        <v>0</v>
      </c>
      <c r="P92" s="500">
        <f>SUMIFS(Rutas[Kms Recorridos],Rutas[Placa Vehiculo],IF($D92="","*",$D92),Rutas[Fecha de Llegada],"&gt;="&amp;P$3,Rutas[Fecha de Llegada],"&lt;="&amp;P$4)</f>
        <v>0</v>
      </c>
      <c r="Q92" s="500">
        <f>SUMIFS(Rutas[Kms Recorridos],Rutas[Placa Vehiculo],IF($D92="","*",$D92),Rutas[Fecha de Llegada],"&gt;="&amp;Q$3,Rutas[Fecha de Llegada],"&lt;="&amp;Q$4)</f>
        <v>5298</v>
      </c>
      <c r="R92" s="499">
        <f>SUM(F92:Q92)</f>
        <v>5298</v>
      </c>
    </row>
    <row r="93" spans="1:18" ht="25" customHeight="1" x14ac:dyDescent="0.2">
      <c r="A93" s="47"/>
      <c r="C93" s="496" t="str">
        <f>CONCATENATE(VLOOKUP(D93,Vehiculos[[PLACA]:[MODELO]],4,0)," ",VLOOKUP(D93,Vehiculos[[PLACA]:[MODELO]],2,0)," ",VLOOKUP(D93,Vehiculos[[PLACA]:[MODELO]],3,0))</f>
        <v>CABEZAL ARTICULADO HINO</v>
      </c>
      <c r="D93" s="496" t="s">
        <v>376</v>
      </c>
      <c r="E93" s="455"/>
      <c r="F93" s="500">
        <f>SUMIFS(Rutas[Kms Recorridos],Rutas[Placa Vehiculo],IF($D93="","*",$D93),Rutas[Fecha de Llegada],"&gt;="&amp;F$3,Rutas[Fecha de Llegada],"&lt;="&amp;F$4)</f>
        <v>0</v>
      </c>
      <c r="G93" s="500">
        <f>SUMIFS(Rutas[Kms Recorridos],Rutas[Placa Vehiculo],IF($D93="","*",$D93),Rutas[Fecha de Llegada],"&gt;="&amp;G$3,Rutas[Fecha de Llegada],"&lt;="&amp;G$4)</f>
        <v>0</v>
      </c>
      <c r="H93" s="500">
        <f>SUMIFS(Rutas[Kms Recorridos],Rutas[Placa Vehiculo],IF($D93="","*",$D93),Rutas[Fecha de Llegada],"&gt;="&amp;H$3,Rutas[Fecha de Llegada],"&lt;="&amp;H$4)</f>
        <v>0</v>
      </c>
      <c r="I93" s="500">
        <f>SUMIFS(Rutas[Kms Recorridos],Rutas[Placa Vehiculo],IF($D93="","*",$D93),Rutas[Fecha de Llegada],"&gt;="&amp;I$3,Rutas[Fecha de Llegada],"&lt;="&amp;I$4)</f>
        <v>0</v>
      </c>
      <c r="J93" s="500">
        <f>SUMIFS(Rutas[Kms Recorridos],Rutas[Placa Vehiculo],IF($D93="","*",$D93),Rutas[Fecha de Llegada],"&gt;="&amp;J$3,Rutas[Fecha de Llegada],"&lt;="&amp;J$4)</f>
        <v>683</v>
      </c>
      <c r="K93" s="500">
        <f>SUMIFS(Rutas[Kms Recorridos],Rutas[Placa Vehiculo],IF($D93="","*",$D93),Rutas[Fecha de Llegada],"&gt;="&amp;K$3,Rutas[Fecha de Llegada],"&lt;="&amp;K$4)</f>
        <v>5</v>
      </c>
      <c r="L93" s="500">
        <f>SUMIFS(Rutas[Kms Recorridos],Rutas[Placa Vehiculo],IF($D93="","*",$D93),Rutas[Fecha de Llegada],"&gt;="&amp;L$3,Rutas[Fecha de Llegada],"&lt;="&amp;L$4)</f>
        <v>0</v>
      </c>
      <c r="M93" s="500">
        <f>SUMIFS(Rutas[Kms Recorridos],Rutas[Placa Vehiculo],IF($D93="","*",$D93),Rutas[Fecha de Llegada],"&gt;="&amp;M$3,Rutas[Fecha de Llegada],"&lt;="&amp;M$4)</f>
        <v>0</v>
      </c>
      <c r="N93" s="500">
        <f>SUMIFS(Rutas[Kms Recorridos],Rutas[Placa Vehiculo],IF($D93="","*",$D93),Rutas[Fecha de Llegada],"&gt;="&amp;N$3,Rutas[Fecha de Llegada],"&lt;="&amp;N$4)</f>
        <v>0</v>
      </c>
      <c r="O93" s="500">
        <f>SUMIFS(Rutas[Kms Recorridos],Rutas[Placa Vehiculo],IF($D93="","*",$D93),Rutas[Fecha de Llegada],"&gt;="&amp;O$3,Rutas[Fecha de Llegada],"&lt;="&amp;O$4)</f>
        <v>0</v>
      </c>
      <c r="P93" s="500">
        <f>SUMIFS(Rutas[Kms Recorridos],Rutas[Placa Vehiculo],IF($D93="","*",$D93),Rutas[Fecha de Llegada],"&gt;="&amp;P$3,Rutas[Fecha de Llegada],"&lt;="&amp;P$4)</f>
        <v>0</v>
      </c>
      <c r="Q93" s="500">
        <f>SUMIFS(Rutas[Kms Recorridos],Rutas[Placa Vehiculo],IF($D93="","*",$D93),Rutas[Fecha de Llegada],"&gt;="&amp;Q$3,Rutas[Fecha de Llegada],"&lt;="&amp;Q$4)</f>
        <v>0</v>
      </c>
      <c r="R93" s="499">
        <f t="shared" si="37"/>
        <v>688</v>
      </c>
    </row>
    <row r="94" spans="1:18" ht="25" customHeight="1" x14ac:dyDescent="0.2">
      <c r="A94" s="47"/>
      <c r="C94" s="496" t="str">
        <f>CONCATENATE(VLOOKUP(D94,Vehiculos[[PLACA]:[MODELO]],3,0)," ",VLOOKUP(D94,Vehiculos[[PLACA]:[MODELO]],4,0)," ",VLOOKUP(D94,Vehiculos[[PLACA]:[MODELO]],3,0))</f>
        <v>VACUUM 160 BARRILES VACUUM</v>
      </c>
      <c r="D94" s="496" t="s">
        <v>306</v>
      </c>
      <c r="E94" s="455"/>
      <c r="F94" s="500">
        <f>SUMIFS(Rutas[Kms Recorridos],Rutas[Placa Vehiculo],IF($D94="","*",$D94),Rutas[Fecha de Llegada],"&gt;="&amp;F$3,Rutas[Fecha de Llegada],"&lt;="&amp;F$4)</f>
        <v>87</v>
      </c>
      <c r="G94" s="500">
        <f>SUMIFS(Rutas[Kms Recorridos],Rutas[Placa Vehiculo],IF($D94="","*",$D94),Rutas[Fecha de Llegada],"&gt;="&amp;G$3,Rutas[Fecha de Llegada],"&lt;="&amp;G$4)</f>
        <v>90.299999999999955</v>
      </c>
      <c r="H94" s="500">
        <f>SUMIFS(Rutas[Kms Recorridos],Rutas[Placa Vehiculo],IF($D94="","*",$D94),Rutas[Fecha de Llegada],"&gt;="&amp;H$3,Rutas[Fecha de Llegada],"&lt;="&amp;H$4)</f>
        <v>133</v>
      </c>
      <c r="I94" s="500">
        <f>SUMIFS(Rutas[Kms Recorridos],Rutas[Placa Vehiculo],IF($D94="","*",$D94),Rutas[Fecha de Llegada],"&gt;="&amp;I$3,Rutas[Fecha de Llegada],"&lt;="&amp;I$4)</f>
        <v>233</v>
      </c>
      <c r="J94" s="500">
        <f>SUMIFS(Rutas[Kms Recorridos],Rutas[Placa Vehiculo],IF($D94="","*",$D94),Rutas[Fecha de Llegada],"&gt;="&amp;J$3,Rutas[Fecha de Llegada],"&lt;="&amp;J$4)</f>
        <v>197</v>
      </c>
      <c r="K94" s="500">
        <f>SUMIFS(Rutas[Kms Recorridos],Rutas[Placa Vehiculo],IF($D94="","*",$D94),Rutas[Fecha de Llegada],"&gt;="&amp;K$3,Rutas[Fecha de Llegada],"&lt;="&amp;K$4)</f>
        <v>216</v>
      </c>
      <c r="L94" s="500">
        <f>SUMIFS(Rutas[Kms Recorridos],Rutas[Placa Vehiculo],IF($D94="","*",$D94),Rutas[Fecha de Llegada],"&gt;="&amp;L$3,Rutas[Fecha de Llegada],"&lt;="&amp;L$4)</f>
        <v>0</v>
      </c>
      <c r="M94" s="500">
        <f>SUMIFS(Rutas[Kms Recorridos],Rutas[Placa Vehiculo],IF($D94="","*",$D94),Rutas[Fecha de Llegada],"&gt;="&amp;M$3,Rutas[Fecha de Llegada],"&lt;="&amp;M$4)</f>
        <v>0</v>
      </c>
      <c r="N94" s="500">
        <f>SUMIFS(Rutas[Kms Recorridos],Rutas[Placa Vehiculo],IF($D94="","*",$D94),Rutas[Fecha de Llegada],"&gt;="&amp;N$3,Rutas[Fecha de Llegada],"&lt;="&amp;N$4)</f>
        <v>0</v>
      </c>
      <c r="O94" s="500">
        <f>SUMIFS(Rutas[Kms Recorridos],Rutas[Placa Vehiculo],IF($D94="","*",$D94),Rutas[Fecha de Llegada],"&gt;="&amp;O$3,Rutas[Fecha de Llegada],"&lt;="&amp;O$4)</f>
        <v>29</v>
      </c>
      <c r="P94" s="500">
        <f>SUMIFS(Rutas[Kms Recorridos],Rutas[Placa Vehiculo],IF($D94="","*",$D94),Rutas[Fecha de Llegada],"&gt;="&amp;P$3,Rutas[Fecha de Llegada],"&lt;="&amp;P$4)</f>
        <v>67</v>
      </c>
      <c r="Q94" s="500">
        <f>SUMIFS(Rutas[Kms Recorridos],Rutas[Placa Vehiculo],IF($D94="","*",$D94),Rutas[Fecha de Llegada],"&gt;="&amp;Q$3,Rutas[Fecha de Llegada],"&lt;="&amp;Q$4)</f>
        <v>0</v>
      </c>
      <c r="R94" s="499">
        <f t="shared" si="37"/>
        <v>1052.3</v>
      </c>
    </row>
    <row r="95" spans="1:18" ht="25" customHeight="1" x14ac:dyDescent="0.2">
      <c r="A95" s="47"/>
      <c r="C95" s="496" t="str">
        <f>CONCATENATE(VLOOKUP(D95,Vehiculos[[PLACA]:[MODELO]],3,0)," ",VLOOKUP(D95,Vehiculos[[PLACA]:[MODELO]],4,0)," ",VLOOKUP(D95,Vehiculos[[PLACA]:[MODELO]],3,0))</f>
        <v>VACUUM 160 BARRILES VACUUM</v>
      </c>
      <c r="D95" s="496" t="s">
        <v>307</v>
      </c>
      <c r="E95" s="455"/>
      <c r="F95" s="500">
        <f>SUMIFS(Rutas[Kms Recorridos],Rutas[Placa Vehiculo],IF($D95="","*",$D95),Rutas[Fecha de Llegada],"&gt;="&amp;F$3,Rutas[Fecha de Llegada],"&lt;="&amp;F$4)</f>
        <v>127</v>
      </c>
      <c r="G95" s="500">
        <f>SUMIFS(Rutas[Kms Recorridos],Rutas[Placa Vehiculo],IF($D95="","*",$D95),Rutas[Fecha de Llegada],"&gt;="&amp;G$3,Rutas[Fecha de Llegada],"&lt;="&amp;G$4)</f>
        <v>127</v>
      </c>
      <c r="H95" s="500">
        <f>SUMIFS(Rutas[Kms Recorridos],Rutas[Placa Vehiculo],IF($D95="","*",$D95),Rutas[Fecha de Llegada],"&gt;="&amp;H$3,Rutas[Fecha de Llegada],"&lt;="&amp;H$4)</f>
        <v>90</v>
      </c>
      <c r="I95" s="500">
        <f>SUMIFS(Rutas[Kms Recorridos],Rutas[Placa Vehiculo],IF($D95="","*",$D95),Rutas[Fecha de Llegada],"&gt;="&amp;I$3,Rutas[Fecha de Llegada],"&lt;="&amp;I$4)</f>
        <v>69</v>
      </c>
      <c r="J95" s="500">
        <f>SUMIFS(Rutas[Kms Recorridos],Rutas[Placa Vehiculo],IF($D95="","*",$D95),Rutas[Fecha de Llegada],"&gt;="&amp;J$3,Rutas[Fecha de Llegada],"&lt;="&amp;J$4)</f>
        <v>92</v>
      </c>
      <c r="K95" s="500">
        <f>SUMIFS(Rutas[Kms Recorridos],Rutas[Placa Vehiculo],IF($D95="","*",$D95),Rutas[Fecha de Llegada],"&gt;="&amp;K$3,Rutas[Fecha de Llegada],"&lt;="&amp;K$4)</f>
        <v>69</v>
      </c>
      <c r="L95" s="500">
        <f>SUMIFS(Rutas[Kms Recorridos],Rutas[Placa Vehiculo],IF($D95="","*",$D95),Rutas[Fecha de Llegada],"&gt;="&amp;L$3,Rutas[Fecha de Llegada],"&lt;="&amp;L$4)</f>
        <v>28</v>
      </c>
      <c r="M95" s="500">
        <f>SUMIFS(Rutas[Kms Recorridos],Rutas[Placa Vehiculo],IF($D95="","*",$D95),Rutas[Fecha de Llegada],"&gt;="&amp;M$3,Rutas[Fecha de Llegada],"&lt;="&amp;M$4)</f>
        <v>104</v>
      </c>
      <c r="N95" s="500">
        <f>SUMIFS(Rutas[Kms Recorridos],Rutas[Placa Vehiculo],IF($D95="","*",$D95),Rutas[Fecha de Llegada],"&gt;="&amp;N$3,Rutas[Fecha de Llegada],"&lt;="&amp;N$4)</f>
        <v>77</v>
      </c>
      <c r="O95" s="500">
        <f>SUMIFS(Rutas[Kms Recorridos],Rutas[Placa Vehiculo],IF($D95="","*",$D95),Rutas[Fecha de Llegada],"&gt;="&amp;O$3,Rutas[Fecha de Llegada],"&lt;="&amp;O$4)</f>
        <v>98</v>
      </c>
      <c r="P95" s="500">
        <f>SUMIFS(Rutas[Kms Recorridos],Rutas[Placa Vehiculo],IF($D95="","*",$D95),Rutas[Fecha de Llegada],"&gt;="&amp;P$3,Rutas[Fecha de Llegada],"&lt;="&amp;P$4)</f>
        <v>45</v>
      </c>
      <c r="Q95" s="500">
        <f>SUMIFS(Rutas[Kms Recorridos],Rutas[Placa Vehiculo],IF($D95="","*",$D95),Rutas[Fecha de Llegada],"&gt;="&amp;Q$3,Rutas[Fecha de Llegada],"&lt;="&amp;Q$4)</f>
        <v>104</v>
      </c>
      <c r="R95" s="499">
        <f t="shared" si="37"/>
        <v>1030</v>
      </c>
    </row>
    <row r="96" spans="1:18" ht="25" customHeight="1" x14ac:dyDescent="0.2">
      <c r="A96" s="47"/>
      <c r="C96" s="496" t="str">
        <f>CONCATENATE(VLOOKUP(D96,Vehiculos[[PLACA]:[MODELO]],3,0)," ",VLOOKUP(D96,Vehiculos[[PLACA]:[MODELO]],4,0)," ",VLOOKUP(D96,Vehiculos[[PLACA]:[MODELO]],3,0))</f>
        <v>VACUUM 200 BARRILES VACUUM</v>
      </c>
      <c r="D96" s="496" t="s">
        <v>308</v>
      </c>
      <c r="E96" s="455"/>
      <c r="F96" s="500">
        <f>SUMIFS(Rutas[Kms Recorridos],Rutas[Placa Vehiculo],IF($D96="","*",$D96),Rutas[Fecha de Llegada],"&gt;="&amp;F$3,Rutas[Fecha de Llegada],"&lt;="&amp;F$4)</f>
        <v>185</v>
      </c>
      <c r="G96" s="500">
        <f>SUMIFS(Rutas[Kms Recorridos],Rutas[Placa Vehiculo],IF($D96="","*",$D96),Rutas[Fecha de Llegada],"&gt;="&amp;G$3,Rutas[Fecha de Llegada],"&lt;="&amp;G$4)</f>
        <v>77.100000000000023</v>
      </c>
      <c r="H96" s="500">
        <f>SUMIFS(Rutas[Kms Recorridos],Rutas[Placa Vehiculo],IF($D96="","*",$D96),Rutas[Fecha de Llegada],"&gt;="&amp;H$3,Rutas[Fecha de Llegada],"&lt;="&amp;H$4)</f>
        <v>74</v>
      </c>
      <c r="I96" s="500">
        <f>SUMIFS(Rutas[Kms Recorridos],Rutas[Placa Vehiculo],IF($D96="","*",$D96),Rutas[Fecha de Llegada],"&gt;="&amp;I$3,Rutas[Fecha de Llegada],"&lt;="&amp;I$4)</f>
        <v>71</v>
      </c>
      <c r="J96" s="500">
        <f>SUMIFS(Rutas[Kms Recorridos],Rutas[Placa Vehiculo],IF($D96="","*",$D96),Rutas[Fecha de Llegada],"&gt;="&amp;J$3,Rutas[Fecha de Llegada],"&lt;="&amp;J$4)</f>
        <v>124</v>
      </c>
      <c r="K96" s="500">
        <f>SUMIFS(Rutas[Kms Recorridos],Rutas[Placa Vehiculo],IF($D96="","*",$D96),Rutas[Fecha de Llegada],"&gt;="&amp;K$3,Rutas[Fecha de Llegada],"&lt;="&amp;K$4)</f>
        <v>225</v>
      </c>
      <c r="L96" s="500">
        <f>SUMIFS(Rutas[Kms Recorridos],Rutas[Placa Vehiculo],IF($D96="","*",$D96),Rutas[Fecha de Llegada],"&gt;="&amp;L$3,Rutas[Fecha de Llegada],"&lt;="&amp;L$4)</f>
        <v>53</v>
      </c>
      <c r="M96" s="500">
        <f>SUMIFS(Rutas[Kms Recorridos],Rutas[Placa Vehiculo],IF($D96="","*",$D96),Rutas[Fecha de Llegada],"&gt;="&amp;M$3,Rutas[Fecha de Llegada],"&lt;="&amp;M$4)</f>
        <v>167</v>
      </c>
      <c r="N96" s="500">
        <f>SUMIFS(Rutas[Kms Recorridos],Rutas[Placa Vehiculo],IF($D96="","*",$D96),Rutas[Fecha de Llegada],"&gt;="&amp;N$3,Rutas[Fecha de Llegada],"&lt;="&amp;N$4)</f>
        <v>272</v>
      </c>
      <c r="O96" s="500">
        <f>SUMIFS(Rutas[Kms Recorridos],Rutas[Placa Vehiculo],IF($D96="","*",$D96),Rutas[Fecha de Llegada],"&gt;="&amp;O$3,Rutas[Fecha de Llegada],"&lt;="&amp;O$4)</f>
        <v>252</v>
      </c>
      <c r="P96" s="500">
        <f>SUMIFS(Rutas[Kms Recorridos],Rutas[Placa Vehiculo],IF($D96="","*",$D96),Rutas[Fecha de Llegada],"&gt;="&amp;P$3,Rutas[Fecha de Llegada],"&lt;="&amp;P$4)</f>
        <v>276</v>
      </c>
      <c r="Q96" s="500">
        <f>SUMIFS(Rutas[Kms Recorridos],Rutas[Placa Vehiculo],IF($D96="","*",$D96),Rutas[Fecha de Llegada],"&gt;="&amp;Q$3,Rutas[Fecha de Llegada],"&lt;="&amp;Q$4)</f>
        <v>327</v>
      </c>
      <c r="R96" s="499">
        <f t="shared" si="37"/>
        <v>2103.1</v>
      </c>
    </row>
    <row r="97" spans="1:24" ht="25" customHeight="1" x14ac:dyDescent="0.2">
      <c r="A97" s="47"/>
      <c r="C97" s="496" t="str">
        <f>CONCATENATE(VLOOKUP(D97,Vehiculos[[PLACA]:[MODELO]],3,0)," ",VLOOKUP(D97,Vehiculos[[PLACA]:[MODELO]],4,0)," ",VLOOKUP(D97,Vehiculos[[PLACA]:[MODELO]],3,0))</f>
        <v>VACUUM 160 BARRILES VACUUM</v>
      </c>
      <c r="D97" s="496" t="s">
        <v>311</v>
      </c>
      <c r="E97" s="455"/>
      <c r="F97" s="500">
        <f>SUMIFS(Rutas[Kms Recorridos],Rutas[Placa Vehiculo],IF($D97="","*",$D97),Rutas[Fecha de Llegada],"&gt;="&amp;F$3,Rutas[Fecha de Llegada],"&lt;="&amp;F$4)</f>
        <v>28</v>
      </c>
      <c r="G97" s="500">
        <f>SUMIFS(Rutas[Kms Recorridos],Rutas[Placa Vehiculo],IF($D97="","*",$D97),Rutas[Fecha de Llegada],"&gt;="&amp;G$3,Rutas[Fecha de Llegada],"&lt;="&amp;G$4)</f>
        <v>175</v>
      </c>
      <c r="H97" s="500">
        <f>SUMIFS(Rutas[Kms Recorridos],Rutas[Placa Vehiculo],IF($D97="","*",$D97),Rutas[Fecha de Llegada],"&gt;="&amp;H$3,Rutas[Fecha de Llegada],"&lt;="&amp;H$4)</f>
        <v>140</v>
      </c>
      <c r="I97" s="500">
        <f>SUMIFS(Rutas[Kms Recorridos],Rutas[Placa Vehiculo],IF($D97="","*",$D97),Rutas[Fecha de Llegada],"&gt;="&amp;I$3,Rutas[Fecha de Llegada],"&lt;="&amp;I$4)</f>
        <v>197</v>
      </c>
      <c r="J97" s="500">
        <f>SUMIFS(Rutas[Kms Recorridos],Rutas[Placa Vehiculo],IF($D97="","*",$D97),Rutas[Fecha de Llegada],"&gt;="&amp;J$3,Rutas[Fecha de Llegada],"&lt;="&amp;J$4)</f>
        <v>40</v>
      </c>
      <c r="K97" s="500">
        <f>SUMIFS(Rutas[Kms Recorridos],Rutas[Placa Vehiculo],IF($D97="","*",$D97),Rutas[Fecha de Llegada],"&gt;="&amp;K$3,Rutas[Fecha de Llegada],"&lt;="&amp;K$4)</f>
        <v>0</v>
      </c>
      <c r="L97" s="500">
        <f>SUMIFS(Rutas[Kms Recorridos],Rutas[Placa Vehiculo],IF($D97="","*",$D97),Rutas[Fecha de Llegada],"&gt;="&amp;L$3,Rutas[Fecha de Llegada],"&lt;="&amp;L$4)</f>
        <v>0</v>
      </c>
      <c r="M97" s="500">
        <f>SUMIFS(Rutas[Kms Recorridos],Rutas[Placa Vehiculo],IF($D97="","*",$D97),Rutas[Fecha de Llegada],"&gt;="&amp;M$3,Rutas[Fecha de Llegada],"&lt;="&amp;M$4)</f>
        <v>0</v>
      </c>
      <c r="N97" s="500">
        <f>SUMIFS(Rutas[Kms Recorridos],Rutas[Placa Vehiculo],IF($D97="","*",$D97),Rutas[Fecha de Llegada],"&gt;="&amp;N$3,Rutas[Fecha de Llegada],"&lt;="&amp;N$4)</f>
        <v>0</v>
      </c>
      <c r="O97" s="500">
        <f>SUMIFS(Rutas[Kms Recorridos],Rutas[Placa Vehiculo],IF($D97="","*",$D97),Rutas[Fecha de Llegada],"&gt;="&amp;O$3,Rutas[Fecha de Llegada],"&lt;="&amp;O$4)</f>
        <v>184</v>
      </c>
      <c r="P97" s="500">
        <f>SUMIFS(Rutas[Kms Recorridos],Rutas[Placa Vehiculo],IF($D97="","*",$D97),Rutas[Fecha de Llegada],"&gt;="&amp;P$3,Rutas[Fecha de Llegada],"&lt;="&amp;P$4)</f>
        <v>0</v>
      </c>
      <c r="Q97" s="500">
        <f>SUMIFS(Rutas[Kms Recorridos],Rutas[Placa Vehiculo],IF($D97="","*",$D97),Rutas[Fecha de Llegada],"&gt;="&amp;Q$3,Rutas[Fecha de Llegada],"&lt;="&amp;Q$4)</f>
        <v>0</v>
      </c>
      <c r="R97" s="499">
        <f t="shared" si="37"/>
        <v>764</v>
      </c>
    </row>
    <row r="98" spans="1:24" ht="25" customHeight="1" x14ac:dyDescent="0.2">
      <c r="A98" s="47"/>
      <c r="C98" s="496" t="str">
        <f>CONCATENATE(VLOOKUP(D98,Vehiculos[[PLACA]:[MODELO]],3,0)," ",VLOOKUP(D98,Vehiculos[[PLACA]:[MODELO]],4,0)," ",VLOOKUP(D98,Vehiculos[[PLACA]:[MODELO]],3,0))</f>
        <v>VACUUM 160 BARRILES VACUUM</v>
      </c>
      <c r="D98" s="496" t="s">
        <v>312</v>
      </c>
      <c r="E98" s="455"/>
      <c r="F98" s="500">
        <f>SUMIFS(Rutas[Kms Recorridos],Rutas[Placa Vehiculo],IF($D98="","*",$D98),Rutas[Fecha de Llegada],"&gt;="&amp;F$3,Rutas[Fecha de Llegada],"&lt;="&amp;F$4)</f>
        <v>24</v>
      </c>
      <c r="G98" s="500">
        <f>SUMIFS(Rutas[Kms Recorridos],Rutas[Placa Vehiculo],IF($D98="","*",$D98),Rutas[Fecha de Llegada],"&gt;="&amp;G$3,Rutas[Fecha de Llegada],"&lt;="&amp;G$4)</f>
        <v>117</v>
      </c>
      <c r="H98" s="500">
        <f>SUMIFS(Rutas[Kms Recorridos],Rutas[Placa Vehiculo],IF($D98="","*",$D98),Rutas[Fecha de Llegada],"&gt;="&amp;H$3,Rutas[Fecha de Llegada],"&lt;="&amp;H$4)</f>
        <v>13</v>
      </c>
      <c r="I98" s="500">
        <f>SUMIFS(Rutas[Kms Recorridos],Rutas[Placa Vehiculo],IF($D98="","*",$D98),Rutas[Fecha de Llegada],"&gt;="&amp;I$3,Rutas[Fecha de Llegada],"&lt;="&amp;I$4)</f>
        <v>3</v>
      </c>
      <c r="J98" s="500">
        <f>SUMIFS(Rutas[Kms Recorridos],Rutas[Placa Vehiculo],IF($D98="","*",$D98),Rutas[Fecha de Llegada],"&gt;="&amp;J$3,Rutas[Fecha de Llegada],"&lt;="&amp;J$4)</f>
        <v>145</v>
      </c>
      <c r="K98" s="500">
        <f>SUMIFS(Rutas[Kms Recorridos],Rutas[Placa Vehiculo],IF($D98="","*",$D98),Rutas[Fecha de Llegada],"&gt;="&amp;K$3,Rutas[Fecha de Llegada],"&lt;="&amp;K$4)</f>
        <v>18</v>
      </c>
      <c r="L98" s="500">
        <f>SUMIFS(Rutas[Kms Recorridos],Rutas[Placa Vehiculo],IF($D98="","*",$D98),Rutas[Fecha de Llegada],"&gt;="&amp;L$3,Rutas[Fecha de Llegada],"&lt;="&amp;L$4)</f>
        <v>37</v>
      </c>
      <c r="M98" s="500">
        <f>SUMIFS(Rutas[Kms Recorridos],Rutas[Placa Vehiculo],IF($D98="","*",$D98),Rutas[Fecha de Llegada],"&gt;="&amp;M$3,Rutas[Fecha de Llegada],"&lt;="&amp;M$4)</f>
        <v>204</v>
      </c>
      <c r="N98" s="500">
        <f>SUMIFS(Rutas[Kms Recorridos],Rutas[Placa Vehiculo],IF($D98="","*",$D98),Rutas[Fecha de Llegada],"&gt;="&amp;N$3,Rutas[Fecha de Llegada],"&lt;="&amp;N$4)</f>
        <v>222</v>
      </c>
      <c r="O98" s="500">
        <f>SUMIFS(Rutas[Kms Recorridos],Rutas[Placa Vehiculo],IF($D98="","*",$D98),Rutas[Fecha de Llegada],"&gt;="&amp;O$3,Rutas[Fecha de Llegada],"&lt;="&amp;O$4)</f>
        <v>16</v>
      </c>
      <c r="P98" s="500">
        <f>SUMIFS(Rutas[Kms Recorridos],Rutas[Placa Vehiculo],IF($D98="","*",$D98),Rutas[Fecha de Llegada],"&gt;="&amp;P$3,Rutas[Fecha de Llegada],"&lt;="&amp;P$4)</f>
        <v>239</v>
      </c>
      <c r="Q98" s="500">
        <f>SUMIFS(Rutas[Kms Recorridos],Rutas[Placa Vehiculo],IF($D98="","*",$D98),Rutas[Fecha de Llegada],"&gt;="&amp;Q$3,Rutas[Fecha de Llegada],"&lt;="&amp;Q$4)</f>
        <v>275</v>
      </c>
      <c r="R98" s="499">
        <f t="shared" si="37"/>
        <v>1313</v>
      </c>
    </row>
    <row r="99" spans="1:24" ht="25" customHeight="1" x14ac:dyDescent="0.2">
      <c r="A99" s="47"/>
      <c r="C99" s="496" t="str">
        <f>CONCATENATE(VLOOKUP(D99,Vehiculos[[PLACA]:[MODELO]],3,0)," ",VLOOKUP(D99,Vehiculos[[PLACA]:[MODELO]],4,0)," ",VLOOKUP(D99,Vehiculos[[PLACA]:[MODELO]],3,0))</f>
        <v>VACUUM 160 BARRILES VACUUM</v>
      </c>
      <c r="D99" s="496" t="s">
        <v>313</v>
      </c>
      <c r="E99" s="455"/>
      <c r="F99" s="500">
        <f>SUMIFS(Rutas[Kms Recorridos],Rutas[Placa Vehiculo],IF($D99="","*",$D99),Rutas[Fecha de Llegada],"&gt;="&amp;F$3,Rutas[Fecha de Llegada],"&lt;="&amp;F$4)</f>
        <v>72.800000000000182</v>
      </c>
      <c r="G99" s="500">
        <f>SUMIFS(Rutas[Kms Recorridos],Rutas[Placa Vehiculo],IF($D99="","*",$D99),Rutas[Fecha de Llegada],"&gt;="&amp;G$3,Rutas[Fecha de Llegada],"&lt;="&amp;G$4)</f>
        <v>115</v>
      </c>
      <c r="H99" s="500">
        <f>SUMIFS(Rutas[Kms Recorridos],Rutas[Placa Vehiculo],IF($D99="","*",$D99),Rutas[Fecha de Llegada],"&gt;="&amp;H$3,Rutas[Fecha de Llegada],"&lt;="&amp;H$4)</f>
        <v>0</v>
      </c>
      <c r="I99" s="500">
        <f>SUMIFS(Rutas[Kms Recorridos],Rutas[Placa Vehiculo],IF($D99="","*",$D99),Rutas[Fecha de Llegada],"&gt;="&amp;I$3,Rutas[Fecha de Llegada],"&lt;="&amp;I$4)</f>
        <v>4</v>
      </c>
      <c r="J99" s="500">
        <f>SUMIFS(Rutas[Kms Recorridos],Rutas[Placa Vehiculo],IF($D99="","*",$D99),Rutas[Fecha de Llegada],"&gt;="&amp;J$3,Rutas[Fecha de Llegada],"&lt;="&amp;J$4)</f>
        <v>0</v>
      </c>
      <c r="K99" s="500">
        <f>SUMIFS(Rutas[Kms Recorridos],Rutas[Placa Vehiculo],IF($D99="","*",$D99),Rutas[Fecha de Llegada],"&gt;="&amp;K$3,Rutas[Fecha de Llegada],"&lt;="&amp;K$4)</f>
        <v>0</v>
      </c>
      <c r="L99" s="500">
        <f>SUMIFS(Rutas[Kms Recorridos],Rutas[Placa Vehiculo],IF($D99="","*",$D99),Rutas[Fecha de Llegada],"&gt;="&amp;L$3,Rutas[Fecha de Llegada],"&lt;="&amp;L$4)</f>
        <v>0</v>
      </c>
      <c r="M99" s="500">
        <f>SUMIFS(Rutas[Kms Recorridos],Rutas[Placa Vehiculo],IF($D99="","*",$D99),Rutas[Fecha de Llegada],"&gt;="&amp;M$3,Rutas[Fecha de Llegada],"&lt;="&amp;M$4)</f>
        <v>0</v>
      </c>
      <c r="N99" s="500">
        <f>SUMIFS(Rutas[Kms Recorridos],Rutas[Placa Vehiculo],IF($D99="","*",$D99),Rutas[Fecha de Llegada],"&gt;="&amp;N$3,Rutas[Fecha de Llegada],"&lt;="&amp;N$4)</f>
        <v>0</v>
      </c>
      <c r="O99" s="500">
        <f>SUMIFS(Rutas[Kms Recorridos],Rutas[Placa Vehiculo],IF($D99="","*",$D99),Rutas[Fecha de Llegada],"&gt;="&amp;O$3,Rutas[Fecha de Llegada],"&lt;="&amp;O$4)</f>
        <v>0</v>
      </c>
      <c r="P99" s="500">
        <f>SUMIFS(Rutas[Kms Recorridos],Rutas[Placa Vehiculo],IF($D99="","*",$D99),Rutas[Fecha de Llegada],"&gt;="&amp;P$3,Rutas[Fecha de Llegada],"&lt;="&amp;P$4)</f>
        <v>0</v>
      </c>
      <c r="Q99" s="500">
        <f>SUMIFS(Rutas[Kms Recorridos],Rutas[Placa Vehiculo],IF($D99="","*",$D99),Rutas[Fecha de Llegada],"&gt;="&amp;Q$3,Rutas[Fecha de Llegada],"&lt;="&amp;Q$4)</f>
        <v>0</v>
      </c>
      <c r="R99" s="499">
        <f t="shared" si="37"/>
        <v>191.80000000000018</v>
      </c>
    </row>
    <row r="100" spans="1:24" ht="25" customHeight="1" x14ac:dyDescent="0.2">
      <c r="A100" s="47"/>
      <c r="C100" s="496" t="str">
        <f>CONCATENATE(VLOOKUP(D100,Vehiculos[[PLACA]:[MODELO]],3,0)," ",VLOOKUP(D100,Vehiculos[[PLACA]:[MODELO]],4,0)," ",VLOOKUP(D100,Vehiculos[[PLACA]:[MODELO]],3,0))</f>
        <v>VACUUM 160 BARRILES VACUUM</v>
      </c>
      <c r="D100" s="496" t="s">
        <v>318</v>
      </c>
      <c r="E100" s="455"/>
      <c r="F100" s="500">
        <f>SUMIFS(Rutas[Kms Recorridos],Rutas[Placa Vehiculo],IF($D100="","*",$D100),Rutas[Fecha de Llegada],"&gt;="&amp;F$3,Rutas[Fecha de Llegada],"&lt;="&amp;F$4)</f>
        <v>0</v>
      </c>
      <c r="G100" s="500">
        <f>SUMIFS(Rutas[Kms Recorridos],Rutas[Placa Vehiculo],IF($D100="","*",$D100),Rutas[Fecha de Llegada],"&gt;="&amp;G$3,Rutas[Fecha de Llegada],"&lt;="&amp;G$4)</f>
        <v>0</v>
      </c>
      <c r="H100" s="500">
        <f>SUMIFS(Rutas[Kms Recorridos],Rutas[Placa Vehiculo],IF($D100="","*",$D100),Rutas[Fecha de Llegada],"&gt;="&amp;H$3,Rutas[Fecha de Llegada],"&lt;="&amp;H$4)</f>
        <v>0</v>
      </c>
      <c r="I100" s="500">
        <f>SUMIFS(Rutas[Kms Recorridos],Rutas[Placa Vehiculo],IF($D100="","*",$D100),Rutas[Fecha de Llegada],"&gt;="&amp;I$3,Rutas[Fecha de Llegada],"&lt;="&amp;I$4)</f>
        <v>79</v>
      </c>
      <c r="J100" s="500">
        <f>SUMIFS(Rutas[Kms Recorridos],Rutas[Placa Vehiculo],IF($D100="","*",$D100),Rutas[Fecha de Llegada],"&gt;="&amp;J$3,Rutas[Fecha de Llegada],"&lt;="&amp;J$4)</f>
        <v>104</v>
      </c>
      <c r="K100" s="500">
        <f>SUMIFS(Rutas[Kms Recorridos],Rutas[Placa Vehiculo],IF($D100="","*",$D100),Rutas[Fecha de Llegada],"&gt;="&amp;K$3,Rutas[Fecha de Llegada],"&lt;="&amp;K$4)</f>
        <v>162</v>
      </c>
      <c r="L100" s="500">
        <f>SUMIFS(Rutas[Kms Recorridos],Rutas[Placa Vehiculo],IF($D100="","*",$D100),Rutas[Fecha de Llegada],"&gt;="&amp;L$3,Rutas[Fecha de Llegada],"&lt;="&amp;L$4)</f>
        <v>28</v>
      </c>
      <c r="M100" s="500">
        <f>SUMIFS(Rutas[Kms Recorridos],Rutas[Placa Vehiculo],IF($D100="","*",$D100),Rutas[Fecha de Llegada],"&gt;="&amp;M$3,Rutas[Fecha de Llegada],"&lt;="&amp;M$4)</f>
        <v>184</v>
      </c>
      <c r="N100" s="500">
        <f>SUMIFS(Rutas[Kms Recorridos],Rutas[Placa Vehiculo],IF($D100="","*",$D100),Rutas[Fecha de Llegada],"&gt;="&amp;N$3,Rutas[Fecha de Llegada],"&lt;="&amp;N$4)</f>
        <v>178</v>
      </c>
      <c r="O100" s="500">
        <f>SUMIFS(Rutas[Kms Recorridos],Rutas[Placa Vehiculo],IF($D100="","*",$D100),Rutas[Fecha de Llegada],"&gt;="&amp;O$3,Rutas[Fecha de Llegada],"&lt;="&amp;O$4)</f>
        <v>152</v>
      </c>
      <c r="P100" s="500">
        <f>SUMIFS(Rutas[Kms Recorridos],Rutas[Placa Vehiculo],IF($D100="","*",$D100),Rutas[Fecha de Llegada],"&gt;="&amp;P$3,Rutas[Fecha de Llegada],"&lt;="&amp;P$4)</f>
        <v>124</v>
      </c>
      <c r="Q100" s="500">
        <f>SUMIFS(Rutas[Kms Recorridos],Rutas[Placa Vehiculo],IF($D100="","*",$D100),Rutas[Fecha de Llegada],"&gt;="&amp;Q$3,Rutas[Fecha de Llegada],"&lt;="&amp;Q$4)</f>
        <v>133</v>
      </c>
      <c r="R100" s="499">
        <f t="shared" si="37"/>
        <v>1144</v>
      </c>
    </row>
    <row r="101" spans="1:24" ht="25" customHeight="1" x14ac:dyDescent="0.2">
      <c r="A101" s="47"/>
      <c r="C101" s="496" t="str">
        <f>CONCATENATE(VLOOKUP(D101,Vehiculos[[PLACA]:[MODELO]],3,0)," ",VLOOKUP(D101,Vehiculos[[PLACA]:[MODELO]],4,0)," ",VLOOKUP(D101,Vehiculos[[PLACA]:[MODELO]],3,0))</f>
        <v>VACUUM 160 BARRILES VACUUM</v>
      </c>
      <c r="D101" s="496" t="s">
        <v>320</v>
      </c>
      <c r="E101" s="455"/>
      <c r="F101" s="500">
        <f>SUMIFS(Rutas[Kms Recorridos],Rutas[Placa Vehiculo],IF($D101="","*",$D101),Rutas[Fecha de Llegada],"&gt;="&amp;F$3,Rutas[Fecha de Llegada],"&lt;="&amp;F$4)</f>
        <v>0</v>
      </c>
      <c r="G101" s="500">
        <f>SUMIFS(Rutas[Kms Recorridos],Rutas[Placa Vehiculo],IF($D101="","*",$D101),Rutas[Fecha de Llegada],"&gt;="&amp;G$3,Rutas[Fecha de Llegada],"&lt;="&amp;G$4)</f>
        <v>0</v>
      </c>
      <c r="H101" s="500">
        <f>SUMIFS(Rutas[Kms Recorridos],Rutas[Placa Vehiculo],IF($D101="","*",$D101),Rutas[Fecha de Llegada],"&gt;="&amp;H$3,Rutas[Fecha de Llegada],"&lt;="&amp;H$4)</f>
        <v>12</v>
      </c>
      <c r="I101" s="500">
        <f>SUMIFS(Rutas[Kms Recorridos],Rutas[Placa Vehiculo],IF($D101="","*",$D101),Rutas[Fecha de Llegada],"&gt;="&amp;I$3,Rutas[Fecha de Llegada],"&lt;="&amp;I$4)</f>
        <v>248</v>
      </c>
      <c r="J101" s="500">
        <f>SUMIFS(Rutas[Kms Recorridos],Rutas[Placa Vehiculo],IF($D101="","*",$D101),Rutas[Fecha de Llegada],"&gt;="&amp;J$3,Rutas[Fecha de Llegada],"&lt;="&amp;J$4)</f>
        <v>178</v>
      </c>
      <c r="K101" s="500">
        <f>SUMIFS(Rutas[Kms Recorridos],Rutas[Placa Vehiculo],IF($D101="","*",$D101),Rutas[Fecha de Llegada],"&gt;="&amp;K$3,Rutas[Fecha de Llegada],"&lt;="&amp;K$4)</f>
        <v>232</v>
      </c>
      <c r="L101" s="500">
        <f>SUMIFS(Rutas[Kms Recorridos],Rutas[Placa Vehiculo],IF($D101="","*",$D101),Rutas[Fecha de Llegada],"&gt;="&amp;L$3,Rutas[Fecha de Llegada],"&lt;="&amp;L$4)</f>
        <v>39</v>
      </c>
      <c r="M101" s="500">
        <f>SUMIFS(Rutas[Kms Recorridos],Rutas[Placa Vehiculo],IF($D101="","*",$D101),Rutas[Fecha de Llegada],"&gt;="&amp;M$3,Rutas[Fecha de Llegada],"&lt;="&amp;M$4)</f>
        <v>218</v>
      </c>
      <c r="N101" s="500">
        <f>SUMIFS(Rutas[Kms Recorridos],Rutas[Placa Vehiculo],IF($D101="","*",$D101),Rutas[Fecha de Llegada],"&gt;="&amp;N$3,Rutas[Fecha de Llegada],"&lt;="&amp;N$4)</f>
        <v>213</v>
      </c>
      <c r="O101" s="500">
        <f>SUMIFS(Rutas[Kms Recorridos],Rutas[Placa Vehiculo],IF($D101="","*",$D101),Rutas[Fecha de Llegada],"&gt;="&amp;O$3,Rutas[Fecha de Llegada],"&lt;="&amp;O$4)</f>
        <v>194</v>
      </c>
      <c r="P101" s="500">
        <f>SUMIFS(Rutas[Kms Recorridos],Rutas[Placa Vehiculo],IF($D101="","*",$D101),Rutas[Fecha de Llegada],"&gt;="&amp;P$3,Rutas[Fecha de Llegada],"&lt;="&amp;P$4)</f>
        <v>251</v>
      </c>
      <c r="Q101" s="500">
        <f>SUMIFS(Rutas[Kms Recorridos],Rutas[Placa Vehiculo],IF($D101="","*",$D101),Rutas[Fecha de Llegada],"&gt;="&amp;Q$3,Rutas[Fecha de Llegada],"&lt;="&amp;Q$4)</f>
        <v>268</v>
      </c>
      <c r="R101" s="499">
        <f t="shared" si="37"/>
        <v>1853</v>
      </c>
    </row>
    <row r="102" spans="1:24" ht="25" customHeight="1" x14ac:dyDescent="0.2">
      <c r="A102" s="47"/>
      <c r="C102" s="496" t="str">
        <f>CONCATENATE(VLOOKUP(D102,Vehiculos[[PLACA]:[MODELO]],3,0)," ",VLOOKUP(D102,Vehiculos[[PLACA]:[MODELO]],4,0)," ",VLOOKUP(D102,Vehiculos[[PLACA]:[MODELO]],3,0))</f>
        <v>VACUUM 160 BARRILES VACUUM</v>
      </c>
      <c r="D102" s="496" t="s">
        <v>352</v>
      </c>
      <c r="E102" s="455"/>
      <c r="F102" s="500">
        <f>SUMIFS(Rutas[Kms Recorridos],Rutas[Placa Vehiculo],IF($D102="","*",$D102),Rutas[Fecha de Llegada],"&gt;="&amp;F$3,Rutas[Fecha de Llegada],"&lt;="&amp;F$4)</f>
        <v>0</v>
      </c>
      <c r="G102" s="500">
        <f>SUMIFS(Rutas[Kms Recorridos],Rutas[Placa Vehiculo],IF($D102="","*",$D102),Rutas[Fecha de Llegada],"&gt;="&amp;G$3,Rutas[Fecha de Llegada],"&lt;="&amp;G$4)</f>
        <v>0</v>
      </c>
      <c r="H102" s="500">
        <f>SUMIFS(Rutas[Kms Recorridos],Rutas[Placa Vehiculo],IF($D102="","*",$D102),Rutas[Fecha de Llegada],"&gt;="&amp;H$3,Rutas[Fecha de Llegada],"&lt;="&amp;H$4)</f>
        <v>0</v>
      </c>
      <c r="I102" s="500">
        <f>SUMIFS(Rutas[Kms Recorridos],Rutas[Placa Vehiculo],IF($D102="","*",$D102),Rutas[Fecha de Llegada],"&gt;="&amp;I$3,Rutas[Fecha de Llegada],"&lt;="&amp;I$4)</f>
        <v>0</v>
      </c>
      <c r="J102" s="500">
        <f>SUMIFS(Rutas[Kms Recorridos],Rutas[Placa Vehiculo],IF($D102="","*",$D102),Rutas[Fecha de Llegada],"&gt;="&amp;J$3,Rutas[Fecha de Llegada],"&lt;="&amp;J$4)</f>
        <v>83</v>
      </c>
      <c r="K102" s="500">
        <f>SUMIFS(Rutas[Kms Recorridos],Rutas[Placa Vehiculo],IF($D102="","*",$D102),Rutas[Fecha de Llegada],"&gt;="&amp;K$3,Rutas[Fecha de Llegada],"&lt;="&amp;K$4)</f>
        <v>44</v>
      </c>
      <c r="L102" s="500">
        <f>SUMIFS(Rutas[Kms Recorridos],Rutas[Placa Vehiculo],IF($D102="","*",$D102),Rutas[Fecha de Llegada],"&gt;="&amp;L$3,Rutas[Fecha de Llegada],"&lt;="&amp;L$4)</f>
        <v>2</v>
      </c>
      <c r="M102" s="500">
        <f>SUMIFS(Rutas[Kms Recorridos],Rutas[Placa Vehiculo],IF($D102="","*",$D102),Rutas[Fecha de Llegada],"&gt;="&amp;M$3,Rutas[Fecha de Llegada],"&lt;="&amp;M$4)</f>
        <v>1077</v>
      </c>
      <c r="N102" s="500">
        <f>SUMIFS(Rutas[Kms Recorridos],Rutas[Placa Vehiculo],IF($D102="","*",$D102),Rutas[Fecha de Llegada],"&gt;="&amp;N$3,Rutas[Fecha de Llegada],"&lt;="&amp;N$4)</f>
        <v>65</v>
      </c>
      <c r="O102" s="500">
        <f>SUMIFS(Rutas[Kms Recorridos],Rutas[Placa Vehiculo],IF($D102="","*",$D102),Rutas[Fecha de Llegada],"&gt;="&amp;O$3,Rutas[Fecha de Llegada],"&lt;="&amp;O$4)</f>
        <v>227</v>
      </c>
      <c r="P102" s="500">
        <f>SUMIFS(Rutas[Kms Recorridos],Rutas[Placa Vehiculo],IF($D102="","*",$D102),Rutas[Fecha de Llegada],"&gt;="&amp;P$3,Rutas[Fecha de Llegada],"&lt;="&amp;P$4)</f>
        <v>258</v>
      </c>
      <c r="Q102" s="500">
        <f>SUMIFS(Rutas[Kms Recorridos],Rutas[Placa Vehiculo],IF($D102="","*",$D102),Rutas[Fecha de Llegada],"&gt;="&amp;Q$3,Rutas[Fecha de Llegada],"&lt;="&amp;Q$4)</f>
        <v>270</v>
      </c>
      <c r="R102" s="499">
        <f t="shared" si="37"/>
        <v>2026</v>
      </c>
    </row>
    <row r="103" spans="1:24" ht="21" x14ac:dyDescent="0.2">
      <c r="A103" s="47"/>
      <c r="C103" s="496" t="str">
        <f>CONCATENATE(VLOOKUP(D103,Vehiculos[[PLACA]:[MODELO]],3,0)," ",VLOOKUP(D103,Vehiculos[[PLACA]:[MODELO]],4,0)," ",VLOOKUP(D103,Vehiculos[[PLACA]:[MODELO]],3,0))</f>
        <v>VACUUM 200 BARRILES VACUUM</v>
      </c>
      <c r="D103" s="496" t="s">
        <v>414</v>
      </c>
      <c r="E103" s="557"/>
      <c r="F103" s="500">
        <f>SUMIFS(Rutas[Kms Recorridos],Rutas[Placa Vehiculo],IF($D103="","*",$D103),Rutas[Fecha de Llegada],"&gt;="&amp;F$3,Rutas[Fecha de Llegada],"&lt;="&amp;F$4)</f>
        <v>0</v>
      </c>
      <c r="G103" s="500">
        <f>SUMIFS(Rutas[Kms Recorridos],Rutas[Placa Vehiculo],IF($D103="","*",$D103),Rutas[Fecha de Llegada],"&gt;="&amp;G$3,Rutas[Fecha de Llegada],"&lt;="&amp;G$4)</f>
        <v>0</v>
      </c>
      <c r="H103" s="500">
        <f>SUMIFS(Rutas[Kms Recorridos],Rutas[Placa Vehiculo],IF($D103="","*",$D103),Rutas[Fecha de Llegada],"&gt;="&amp;H$3,Rutas[Fecha de Llegada],"&lt;="&amp;H$4)</f>
        <v>0</v>
      </c>
      <c r="I103" s="500">
        <f>SUMIFS(Rutas[Kms Recorridos],Rutas[Placa Vehiculo],IF($D103="","*",$D103),Rutas[Fecha de Llegada],"&gt;="&amp;I$3,Rutas[Fecha de Llegada],"&lt;="&amp;I$4)</f>
        <v>0</v>
      </c>
      <c r="J103" s="500">
        <f>SUMIFS(Rutas[Kms Recorridos],Rutas[Placa Vehiculo],IF($D103="","*",$D103),Rutas[Fecha de Llegada],"&gt;="&amp;J$3,Rutas[Fecha de Llegada],"&lt;="&amp;J$4)</f>
        <v>0</v>
      </c>
      <c r="K103" s="500">
        <f>SUMIFS(Rutas[Kms Recorridos],Rutas[Placa Vehiculo],IF($D103="","*",$D103),Rutas[Fecha de Llegada],"&gt;="&amp;K$3,Rutas[Fecha de Llegada],"&lt;="&amp;K$4)</f>
        <v>33</v>
      </c>
      <c r="L103" s="500">
        <f>SUMIFS(Rutas[Kms Recorridos],Rutas[Placa Vehiculo],IF($D103="","*",$D103),Rutas[Fecha de Llegada],"&gt;="&amp;L$3,Rutas[Fecha de Llegada],"&lt;="&amp;L$4)</f>
        <v>22</v>
      </c>
      <c r="M103" s="500">
        <f>SUMIFS(Rutas[Kms Recorridos],Rutas[Placa Vehiculo],IF($D103="","*",$D103),Rutas[Fecha de Llegada],"&gt;="&amp;M$3,Rutas[Fecha de Llegada],"&lt;="&amp;M$4)</f>
        <v>74</v>
      </c>
      <c r="N103" s="500">
        <f>SUMIFS(Rutas[Kms Recorridos],Rutas[Placa Vehiculo],IF($D103="","*",$D103),Rutas[Fecha de Llegada],"&gt;="&amp;N$3,Rutas[Fecha de Llegada],"&lt;="&amp;N$4)</f>
        <v>67</v>
      </c>
      <c r="O103" s="500">
        <f>SUMIFS(Rutas[Kms Recorridos],Rutas[Placa Vehiculo],IF($D103="","*",$D103),Rutas[Fecha de Llegada],"&gt;="&amp;O$3,Rutas[Fecha de Llegada],"&lt;="&amp;O$4)</f>
        <v>62</v>
      </c>
      <c r="P103" s="500">
        <f>SUMIFS(Rutas[Kms Recorridos],Rutas[Placa Vehiculo],IF($D103="","*",$D103),Rutas[Fecha de Llegada],"&gt;="&amp;P$3,Rutas[Fecha de Llegada],"&lt;="&amp;P$4)</f>
        <v>58</v>
      </c>
      <c r="Q103" s="500">
        <f>SUMIFS(Rutas[Kms Recorridos],Rutas[Placa Vehiculo],IF($D103="","*",$D103),Rutas[Fecha de Llegada],"&gt;="&amp;Q$3,Rutas[Fecha de Llegada],"&lt;="&amp;Q$4)</f>
        <v>49</v>
      </c>
      <c r="R103" s="499">
        <f t="shared" si="37"/>
        <v>365</v>
      </c>
    </row>
    <row r="104" spans="1:24" x14ac:dyDescent="0.2">
      <c r="A104" s="47"/>
    </row>
    <row r="105" spans="1:24" x14ac:dyDescent="0.2">
      <c r="A105" s="47"/>
    </row>
    <row r="106" spans="1:24" x14ac:dyDescent="0.2">
      <c r="A106" s="47"/>
    </row>
    <row r="107" spans="1:24" ht="23" x14ac:dyDescent="0.2">
      <c r="A107" s="47"/>
      <c r="C107" s="457" t="s">
        <v>393</v>
      </c>
    </row>
    <row r="108" spans="1:24" x14ac:dyDescent="0.2">
      <c r="A108" s="47"/>
      <c r="V108" t="s">
        <v>399</v>
      </c>
      <c r="W108" t="s">
        <v>400</v>
      </c>
      <c r="X108" t="s">
        <v>401</v>
      </c>
    </row>
    <row r="109" spans="1:24" ht="25" customHeight="1" x14ac:dyDescent="0.2">
      <c r="A109" s="47"/>
      <c r="C109" s="459" t="s">
        <v>384</v>
      </c>
      <c r="D109" s="460" t="s">
        <v>71</v>
      </c>
      <c r="E109" s="460" t="s">
        <v>161</v>
      </c>
      <c r="F109" s="461" t="s">
        <v>53</v>
      </c>
      <c r="G109" s="461" t="s">
        <v>54</v>
      </c>
      <c r="H109" s="461" t="s">
        <v>55</v>
      </c>
      <c r="I109" s="461" t="s">
        <v>56</v>
      </c>
      <c r="J109" s="461" t="s">
        <v>57</v>
      </c>
      <c r="K109" s="461" t="s">
        <v>58</v>
      </c>
      <c r="L109" s="461" t="s">
        <v>59</v>
      </c>
      <c r="M109" s="461" t="s">
        <v>60</v>
      </c>
      <c r="N109" s="461" t="s">
        <v>402</v>
      </c>
      <c r="O109" s="461" t="s">
        <v>62</v>
      </c>
      <c r="P109" s="461" t="s">
        <v>63</v>
      </c>
      <c r="Q109" s="461" t="s">
        <v>64</v>
      </c>
      <c r="R109" s="462" t="s">
        <v>155</v>
      </c>
      <c r="V109" t="s">
        <v>53</v>
      </c>
      <c r="W109">
        <f>F$137</f>
        <v>11</v>
      </c>
      <c r="X109" s="543">
        <v>10</v>
      </c>
    </row>
    <row r="110" spans="1:24" ht="25" customHeight="1" x14ac:dyDescent="0.2">
      <c r="A110" s="47"/>
      <c r="C110" s="497" t="s">
        <v>385</v>
      </c>
      <c r="D110" s="498" t="s">
        <v>204</v>
      </c>
      <c r="E110" s="464"/>
      <c r="F110" s="501">
        <f>COUNTIFS(Mantenimiento[Tipo],"Preventivo",Mantenimiento[Placa Vehiculo],IF($D110="","*",$D110),Mantenimiento[Fecha Entrada],"&gt;="&amp;F$3,Mantenimiento[Fecha Entrada],"&lt;="&amp;F$4)</f>
        <v>1</v>
      </c>
      <c r="G110" s="501">
        <f>COUNTIFS(Mantenimiento[Tipo],"Preventivo",Mantenimiento[Placa Vehiculo],IF($D110="","*",$D110),Mantenimiento[Fecha Entrada],"&gt;="&amp;G$3,Mantenimiento[Fecha Entrada],"&lt;="&amp;G$4)</f>
        <v>1</v>
      </c>
      <c r="H110" s="502">
        <f>COUNTIFS(Mantenimiento[Tipo],"Preventivo",Mantenimiento[Placa Vehiculo],IF($D110="","*",$D110),Mantenimiento[Fecha Entrada],"&gt;="&amp;H$3,Mantenimiento[Fecha Entrada],"&lt;="&amp;H$4)</f>
        <v>0</v>
      </c>
      <c r="I110" s="501">
        <f>COUNTIFS(Mantenimiento[Tipo],"Preventivo",Mantenimiento[Placa Vehiculo],IF($D110="","*",$D110),Mantenimiento[Fecha Entrada],"&gt;="&amp;I$3,Mantenimiento[Fecha Entrada],"&lt;="&amp;I$4)</f>
        <v>0</v>
      </c>
      <c r="J110" s="501">
        <f>COUNTIFS(Mantenimiento[Tipo],"Preventivo",Mantenimiento[Placa Vehiculo],IF($D110="","*",$D110),Mantenimiento[Fecha Entrada],"&gt;="&amp;J$3,Mantenimiento[Fecha Entrada],"&lt;="&amp;J$4)</f>
        <v>0</v>
      </c>
      <c r="K110" s="501">
        <f>COUNTIFS(Mantenimiento[Tipo],"Preventivo",Mantenimiento[Placa Vehiculo],IF($D110="","*",$D110),Mantenimiento[Fecha Entrada],"&gt;="&amp;K$3,Mantenimiento[Fecha Entrada],"&lt;="&amp;K$4)</f>
        <v>1</v>
      </c>
      <c r="L110" s="501">
        <f>COUNTIFS(Mantenimiento[Tipo],"Preventivo",Mantenimiento[Placa Vehiculo],IF($D110="","*",$D110),Mantenimiento[Fecha Entrada],"&gt;="&amp;L$3,Mantenimiento[Fecha Entrada],"&lt;="&amp;L$4)</f>
        <v>0</v>
      </c>
      <c r="M110" s="501">
        <f>COUNTIFS(Mantenimiento[Tipo],"Preventivo",Mantenimiento[Placa Vehiculo],IF($D110="","*",$D110),Mantenimiento[Fecha Entrada],"&gt;="&amp;M$3,Mantenimiento[Fecha Entrada],"&lt;="&amp;M$4)</f>
        <v>0</v>
      </c>
      <c r="N110" s="501">
        <f>COUNTIFS(Mantenimiento[Tipo],"Preventivo",Mantenimiento[Placa Vehiculo],IF($D110="","*",$D110),Mantenimiento[Fecha Entrada],"&gt;="&amp;N$3,Mantenimiento[Fecha Entrada],"&lt;="&amp;N$4)</f>
        <v>1</v>
      </c>
      <c r="O110" s="501">
        <f>COUNTIFS(Mantenimiento[Tipo],"Preventivo",Mantenimiento[Placa Vehiculo],IF($D110="","*",$D110),Mantenimiento[Fecha Entrada],"&gt;="&amp;O$3,Mantenimiento[Fecha Entrada],"&lt;="&amp;O$4)</f>
        <v>0</v>
      </c>
      <c r="P110" s="501">
        <f>COUNTIFS(Mantenimiento[Tipo],"Preventivo",Mantenimiento[Placa Vehiculo],IF($D110="","*",$D110),Mantenimiento[Fecha Entrada],"&gt;="&amp;P$3,Mantenimiento[Fecha Entrada],"&lt;="&amp;P$4)</f>
        <v>0</v>
      </c>
      <c r="Q110" s="501">
        <f>COUNTIFS(Mantenimiento[Tipo],"Preventivo",Mantenimiento[Placa Vehiculo],IF($D110="","*",$D110),Mantenimiento[Fecha Entrada],"&gt;="&amp;Q$3,Mantenimiento[Fecha Entrada],"&lt;="&amp;Q$4)</f>
        <v>0</v>
      </c>
      <c r="R110" s="506">
        <f>SUM(F110:Q110)</f>
        <v>4</v>
      </c>
      <c r="V110" t="s">
        <v>54</v>
      </c>
      <c r="W110">
        <f>G$137</f>
        <v>10</v>
      </c>
      <c r="X110" s="543">
        <v>10</v>
      </c>
    </row>
    <row r="111" spans="1:24" ht="25" customHeight="1" x14ac:dyDescent="0.2">
      <c r="A111" s="47"/>
      <c r="C111" s="497" t="s">
        <v>385</v>
      </c>
      <c r="D111" s="498" t="s">
        <v>207</v>
      </c>
      <c r="E111" s="464"/>
      <c r="F111" s="501">
        <f>COUNTIFS(Mantenimiento[Tipo],"Preventivo",Mantenimiento[Placa Vehiculo],IF($D80="","*",$D80),Mantenimiento[Fecha Entrada],"&gt;="&amp;F$3,Mantenimiento[Fecha Entrada],"&lt;="&amp;F$4)</f>
        <v>1</v>
      </c>
      <c r="G111" s="501">
        <f>COUNTIFS(Mantenimiento[Tipo],"Preventivo",Mantenimiento[Placa Vehiculo],IF($D111="","*",$D111),Mantenimiento[Fecha Entrada],"&gt;="&amp;G$3,Mantenimiento[Fecha Entrada],"&lt;="&amp;G$4)</f>
        <v>0</v>
      </c>
      <c r="H111" s="502">
        <f>COUNTIFS(Mantenimiento[Tipo],"Preventivo",Mantenimiento[Placa Vehiculo],IF($D111="","*",$D111),Mantenimiento[Fecha Entrada],"&gt;="&amp;H$3,Mantenimiento[Fecha Entrada],"&lt;="&amp;H$4)</f>
        <v>0</v>
      </c>
      <c r="I111" s="501">
        <f>COUNTIFS(Mantenimiento[Tipo],"Preventivo",Mantenimiento[Placa Vehiculo],IF($D111="","*",$D111),Mantenimiento[Fecha Entrada],"&gt;="&amp;I$3,Mantenimiento[Fecha Entrada],"&lt;="&amp;I$4)</f>
        <v>1</v>
      </c>
      <c r="J111" s="501">
        <f>COUNTIFS(Mantenimiento[Tipo],"Preventivo",Mantenimiento[Placa Vehiculo],IF($D111="","*",$D111),Mantenimiento[Fecha Entrada],"&gt;="&amp;J$3,Mantenimiento[Fecha Entrada],"&lt;="&amp;J$4)</f>
        <v>0</v>
      </c>
      <c r="K111" s="501">
        <f>COUNTIFS(Mantenimiento[Tipo],"Preventivo",Mantenimiento[Placa Vehiculo],IF($D111="","*",$D111),Mantenimiento[Fecha Entrada],"&gt;="&amp;K$3,Mantenimiento[Fecha Entrada],"&lt;="&amp;K$4)</f>
        <v>1</v>
      </c>
      <c r="L111" s="501">
        <f>COUNTIFS(Mantenimiento[Tipo],"Preventivo",Mantenimiento[Placa Vehiculo],IF($D111="","*",$D111),Mantenimiento[Fecha Entrada],"&gt;="&amp;L$3,Mantenimiento[Fecha Entrada],"&lt;="&amp;L$4)</f>
        <v>0</v>
      </c>
      <c r="M111" s="501">
        <f>COUNTIFS(Mantenimiento[Tipo],"Preventivo",Mantenimiento[Placa Vehiculo],IF($D111="","*",$D111),Mantenimiento[Fecha Entrada],"&gt;="&amp;M$3,Mantenimiento[Fecha Entrada],"&lt;="&amp;M$4)</f>
        <v>0</v>
      </c>
      <c r="N111" s="501">
        <f>COUNTIFS(Mantenimiento[Tipo],"Preventivo",Mantenimiento[Placa Vehiculo],IF($D111="","*",$D111),Mantenimiento[Fecha Entrada],"&gt;="&amp;N$3,Mantenimiento[Fecha Entrada],"&lt;="&amp;N$4)</f>
        <v>0</v>
      </c>
      <c r="O111" s="501">
        <f>COUNTIFS(Mantenimiento[Tipo],"Preventivo",Mantenimiento[Placa Vehiculo],IF($D111="","*",$D111),Mantenimiento[Fecha Entrada],"&gt;="&amp;O$3,Mantenimiento[Fecha Entrada],"&lt;="&amp;O$4)</f>
        <v>0</v>
      </c>
      <c r="P111" s="501">
        <f>COUNTIFS(Mantenimiento[Tipo],"Preventivo",Mantenimiento[Placa Vehiculo],IF($D111="","*",$D111),Mantenimiento[Fecha Entrada],"&gt;="&amp;P$3,Mantenimiento[Fecha Entrada],"&lt;="&amp;P$4)</f>
        <v>0</v>
      </c>
      <c r="Q111" s="501">
        <f>COUNTIFS(Mantenimiento[Tipo],"Preventivo",Mantenimiento[Placa Vehiculo],IF($D111="","*",$D111),Mantenimiento[Fecha Entrada],"&gt;="&amp;Q$3,Mantenimiento[Fecha Entrada],"&lt;="&amp;Q$4)</f>
        <v>0</v>
      </c>
      <c r="R111" s="506">
        <f t="shared" ref="R111:R136" si="38">SUM(F111:Q111)</f>
        <v>3</v>
      </c>
      <c r="V111" t="s">
        <v>55</v>
      </c>
      <c r="W111">
        <f>H$137</f>
        <v>3</v>
      </c>
      <c r="X111" s="543">
        <v>10</v>
      </c>
    </row>
    <row r="112" spans="1:24" ht="25" customHeight="1" x14ac:dyDescent="0.2">
      <c r="A112" s="47"/>
      <c r="C112" s="497" t="s">
        <v>386</v>
      </c>
      <c r="D112" s="498" t="s">
        <v>208</v>
      </c>
      <c r="E112" s="464"/>
      <c r="F112" s="501">
        <f>COUNTIFS(Mantenimiento[Tipo],"Preventivo",Mantenimiento[Placa Vehiculo],IF($D81="","*",$D81),Mantenimiento[Fecha Entrada],"&gt;="&amp;F$3,Mantenimiento[Fecha Entrada],"&lt;="&amp;F$4)</f>
        <v>0</v>
      </c>
      <c r="G112" s="501">
        <f>COUNTIFS(Mantenimiento[Tipo],"Preventivo",Mantenimiento[Placa Vehiculo],IF($D112="","*",$D112),Mantenimiento[Fecha Entrada],"&gt;="&amp;G$3,Mantenimiento[Fecha Entrada],"&lt;="&amp;G$4)</f>
        <v>1</v>
      </c>
      <c r="H112" s="502">
        <f>COUNTIFS(Mantenimiento[Tipo],"Preventivo",Mantenimiento[Placa Vehiculo],IF($D112="","*",$D112),Mantenimiento[Fecha Entrada],"&gt;="&amp;H$3,Mantenimiento[Fecha Entrada],"&lt;="&amp;H$4)</f>
        <v>0</v>
      </c>
      <c r="I112" s="501">
        <f>COUNTIFS(Mantenimiento[Tipo],"Preventivo",Mantenimiento[Placa Vehiculo],IF($D112="","*",$D112),Mantenimiento[Fecha Entrada],"&gt;="&amp;I$3,Mantenimiento[Fecha Entrada],"&lt;="&amp;I$4)</f>
        <v>1</v>
      </c>
      <c r="J112" s="501">
        <f>COUNTIFS(Mantenimiento[Tipo],"Preventivo",Mantenimiento[Placa Vehiculo],IF($D112="","*",$D112),Mantenimiento[Fecha Entrada],"&gt;="&amp;J$3,Mantenimiento[Fecha Entrada],"&lt;="&amp;J$4)</f>
        <v>1</v>
      </c>
      <c r="K112" s="501">
        <f>COUNTIFS(Mantenimiento[Tipo],"Preventivo",Mantenimiento[Placa Vehiculo],IF($D112="","*",$D112),Mantenimiento[Fecha Entrada],"&gt;="&amp;K$3,Mantenimiento[Fecha Entrada],"&lt;="&amp;K$4)</f>
        <v>1</v>
      </c>
      <c r="L112" s="501">
        <f>COUNTIFS(Mantenimiento[Tipo],"Preventivo",Mantenimiento[Placa Vehiculo],IF($D112="","*",$D112),Mantenimiento[Fecha Entrada],"&gt;="&amp;L$3,Mantenimiento[Fecha Entrada],"&lt;="&amp;L$4)</f>
        <v>0</v>
      </c>
      <c r="M112" s="501">
        <f>COUNTIFS(Mantenimiento[Tipo],"Preventivo",Mantenimiento[Placa Vehiculo],IF($D112="","*",$D112),Mantenimiento[Fecha Entrada],"&gt;="&amp;M$3,Mantenimiento[Fecha Entrada],"&lt;="&amp;M$4)</f>
        <v>1</v>
      </c>
      <c r="N112" s="501">
        <f>COUNTIFS(Mantenimiento[Tipo],"Preventivo",Mantenimiento[Placa Vehiculo],IF($D112="","*",$D112),Mantenimiento[Fecha Entrada],"&gt;="&amp;N$3,Mantenimiento[Fecha Entrada],"&lt;="&amp;N$4)</f>
        <v>0</v>
      </c>
      <c r="O112" s="501">
        <f>COUNTIFS(Mantenimiento[Tipo],"Preventivo",Mantenimiento[Placa Vehiculo],IF($D112="","*",$D112),Mantenimiento[Fecha Entrada],"&gt;="&amp;O$3,Mantenimiento[Fecha Entrada],"&lt;="&amp;O$4)</f>
        <v>1</v>
      </c>
      <c r="P112" s="501">
        <f>COUNTIFS(Mantenimiento[Tipo],"Preventivo",Mantenimiento[Placa Vehiculo],IF($D112="","*",$D112),Mantenimiento[Fecha Entrada],"&gt;="&amp;P$3,Mantenimiento[Fecha Entrada],"&lt;="&amp;P$4)</f>
        <v>1</v>
      </c>
      <c r="Q112" s="501">
        <f>COUNTIFS(Mantenimiento[Tipo],"Preventivo",Mantenimiento[Placa Vehiculo],IF($D112="","*",$D112),Mantenimiento[Fecha Entrada],"&gt;="&amp;Q$3,Mantenimiento[Fecha Entrada],"&lt;="&amp;Q$4)</f>
        <v>0</v>
      </c>
      <c r="R112" s="506">
        <f t="shared" si="38"/>
        <v>7</v>
      </c>
      <c r="V112" t="s">
        <v>56</v>
      </c>
      <c r="W112">
        <f>I$137</f>
        <v>12</v>
      </c>
      <c r="X112" s="543">
        <v>12</v>
      </c>
    </row>
    <row r="113" spans="1:24" ht="25" customHeight="1" x14ac:dyDescent="0.2">
      <c r="A113" s="47"/>
      <c r="C113" s="497" t="s">
        <v>386</v>
      </c>
      <c r="D113" s="498" t="s">
        <v>209</v>
      </c>
      <c r="E113" s="464"/>
      <c r="F113" s="501">
        <f>COUNTIFS(Mantenimiento[Tipo],"Preventivo",Mantenimiento[Placa Vehiculo],IF($D82="","*",$D82),Mantenimiento[Fecha Entrada],"&gt;="&amp;F$3,Mantenimiento[Fecha Entrada],"&lt;="&amp;F$4)</f>
        <v>0</v>
      </c>
      <c r="G113" s="501">
        <f>COUNTIFS(Mantenimiento[Tipo],"Preventivo",Mantenimiento[Placa Vehiculo],IF($D113="","*",$D113),Mantenimiento[Fecha Entrada],"&gt;="&amp;G$3,Mantenimiento[Fecha Entrada],"&lt;="&amp;G$4)</f>
        <v>1</v>
      </c>
      <c r="H113" s="502">
        <f>COUNTIFS(Mantenimiento[Tipo],"Preventivo",Mantenimiento[Placa Vehiculo],IF($D113="","*",$D113),Mantenimiento[Fecha Entrada],"&gt;="&amp;H$3,Mantenimiento[Fecha Entrada],"&lt;="&amp;H$4)</f>
        <v>0</v>
      </c>
      <c r="I113" s="501">
        <f>COUNTIFS(Mantenimiento[Tipo],"Preventivo",Mantenimiento[Placa Vehiculo],IF($D113="","*",$D113),Mantenimiento[Fecha Entrada],"&gt;="&amp;I$3,Mantenimiento[Fecha Entrada],"&lt;="&amp;I$4)</f>
        <v>1</v>
      </c>
      <c r="J113" s="501">
        <f>COUNTIFS(Mantenimiento[Tipo],"Preventivo",Mantenimiento[Placa Vehiculo],IF($D113="","*",$D113),Mantenimiento[Fecha Entrada],"&gt;="&amp;J$3,Mantenimiento[Fecha Entrada],"&lt;="&amp;J$4)</f>
        <v>1</v>
      </c>
      <c r="K113" s="501">
        <f>COUNTIFS(Mantenimiento[Tipo],"Preventivo",Mantenimiento[Placa Vehiculo],IF($D113="","*",$D113),Mantenimiento[Fecha Entrada],"&gt;="&amp;K$3,Mantenimiento[Fecha Entrada],"&lt;="&amp;K$4)</f>
        <v>1</v>
      </c>
      <c r="L113" s="501">
        <f>COUNTIFS(Mantenimiento[Tipo],"Preventivo",Mantenimiento[Placa Vehiculo],IF($D113="","*",$D113),Mantenimiento[Fecha Entrada],"&gt;="&amp;L$3,Mantenimiento[Fecha Entrada],"&lt;="&amp;L$4)</f>
        <v>0</v>
      </c>
      <c r="M113" s="501">
        <f>COUNTIFS(Mantenimiento[Tipo],"Preventivo",Mantenimiento[Placa Vehiculo],IF($D113="","*",$D113),Mantenimiento[Fecha Entrada],"&gt;="&amp;M$3,Mantenimiento[Fecha Entrada],"&lt;="&amp;M$4)</f>
        <v>1</v>
      </c>
      <c r="N113" s="501">
        <f>COUNTIFS(Mantenimiento[Tipo],"Preventivo",Mantenimiento[Placa Vehiculo],IF($D113="","*",$D113),Mantenimiento[Fecha Entrada],"&gt;="&amp;N$3,Mantenimiento[Fecha Entrada],"&lt;="&amp;N$4)</f>
        <v>0</v>
      </c>
      <c r="O113" s="501">
        <f>COUNTIFS(Mantenimiento[Tipo],"Preventivo",Mantenimiento[Placa Vehiculo],IF($D113="","*",$D113),Mantenimiento[Fecha Entrada],"&gt;="&amp;O$3,Mantenimiento[Fecha Entrada],"&lt;="&amp;O$4)</f>
        <v>1</v>
      </c>
      <c r="P113" s="501">
        <f>COUNTIFS(Mantenimiento[Tipo],"Preventivo",Mantenimiento[Placa Vehiculo],IF($D113="","*",$D113),Mantenimiento[Fecha Entrada],"&gt;="&amp;P$3,Mantenimiento[Fecha Entrada],"&lt;="&amp;P$4)</f>
        <v>1</v>
      </c>
      <c r="Q113" s="501">
        <f>COUNTIFS(Mantenimiento[Tipo],"Preventivo",Mantenimiento[Placa Vehiculo],IF($D113="","*",$D113),Mantenimiento[Fecha Entrada],"&gt;="&amp;Q$3,Mantenimiento[Fecha Entrada],"&lt;="&amp;Q$4)</f>
        <v>0</v>
      </c>
      <c r="R113" s="506">
        <f t="shared" si="38"/>
        <v>7</v>
      </c>
      <c r="V113" t="s">
        <v>57</v>
      </c>
      <c r="W113">
        <f>J$137</f>
        <v>11</v>
      </c>
      <c r="X113" s="543">
        <v>10</v>
      </c>
    </row>
    <row r="114" spans="1:24" ht="25" customHeight="1" x14ac:dyDescent="0.2">
      <c r="A114" s="47"/>
      <c r="C114" s="497" t="s">
        <v>386</v>
      </c>
      <c r="D114" s="498" t="s">
        <v>210</v>
      </c>
      <c r="E114" s="464"/>
      <c r="F114" s="501">
        <f>COUNTIFS(Mantenimiento[Tipo],"Preventivo",Mantenimiento[Placa Vehiculo],IF($D83="","*",$D83),Mantenimiento[Fecha Entrada],"&gt;="&amp;F$3,Mantenimiento[Fecha Entrada],"&lt;="&amp;F$4)</f>
        <v>0</v>
      </c>
      <c r="G114" s="501">
        <f>COUNTIFS(Mantenimiento[Tipo],"Preventivo",Mantenimiento[Placa Vehiculo],IF($D114="","*",$D114),Mantenimiento[Fecha Entrada],"&gt;="&amp;G$3,Mantenimiento[Fecha Entrada],"&lt;="&amp;G$4)</f>
        <v>1</v>
      </c>
      <c r="H114" s="502">
        <f>COUNTIFS(Mantenimiento[Tipo],"Preventivo",Mantenimiento[Placa Vehiculo],IF($D114="","*",$D114),Mantenimiento[Fecha Entrada],"&gt;="&amp;H$3,Mantenimiento[Fecha Entrada],"&lt;="&amp;H$4)</f>
        <v>0</v>
      </c>
      <c r="I114" s="501">
        <f>COUNTIFS(Mantenimiento[Tipo],"Preventivo",Mantenimiento[Placa Vehiculo],IF($D114="","*",$D114),Mantenimiento[Fecha Entrada],"&gt;="&amp;I$3,Mantenimiento[Fecha Entrada],"&lt;="&amp;I$4)</f>
        <v>1</v>
      </c>
      <c r="J114" s="501">
        <f>COUNTIFS(Mantenimiento[Tipo],"Preventivo",Mantenimiento[Placa Vehiculo],IF($D114="","*",$D114),Mantenimiento[Fecha Entrada],"&gt;="&amp;J$3,Mantenimiento[Fecha Entrada],"&lt;="&amp;J$4)</f>
        <v>1</v>
      </c>
      <c r="K114" s="501">
        <f>COUNTIFS(Mantenimiento[Tipo],"Preventivo",Mantenimiento[Placa Vehiculo],IF($D114="","*",$D114),Mantenimiento[Fecha Entrada],"&gt;="&amp;K$3,Mantenimiento[Fecha Entrada],"&lt;="&amp;K$4)</f>
        <v>1</v>
      </c>
      <c r="L114" s="501">
        <f>COUNTIFS(Mantenimiento[Tipo],"Preventivo",Mantenimiento[Placa Vehiculo],IF($D114="","*",$D114),Mantenimiento[Fecha Entrada],"&gt;="&amp;L$3,Mantenimiento[Fecha Entrada],"&lt;="&amp;L$4)</f>
        <v>0</v>
      </c>
      <c r="M114" s="501">
        <f>COUNTIFS(Mantenimiento[Tipo],"Preventivo",Mantenimiento[Placa Vehiculo],IF($D114="","*",$D114),Mantenimiento[Fecha Entrada],"&gt;="&amp;M$3,Mantenimiento[Fecha Entrada],"&lt;="&amp;M$4)</f>
        <v>1</v>
      </c>
      <c r="N114" s="501">
        <f>COUNTIFS(Mantenimiento[Tipo],"Preventivo",Mantenimiento[Placa Vehiculo],IF($D114="","*",$D114),Mantenimiento[Fecha Entrada],"&gt;="&amp;N$3,Mantenimiento[Fecha Entrada],"&lt;="&amp;N$4)</f>
        <v>0</v>
      </c>
      <c r="O114" s="501">
        <f>COUNTIFS(Mantenimiento[Tipo],"Preventivo",Mantenimiento[Placa Vehiculo],IF($D114="","*",$D114),Mantenimiento[Fecha Entrada],"&gt;="&amp;O$3,Mantenimiento[Fecha Entrada],"&lt;="&amp;O$4)</f>
        <v>1</v>
      </c>
      <c r="P114" s="501">
        <f>COUNTIFS(Mantenimiento[Tipo],"Preventivo",Mantenimiento[Placa Vehiculo],IF($D114="","*",$D114),Mantenimiento[Fecha Entrada],"&gt;="&amp;P$3,Mantenimiento[Fecha Entrada],"&lt;="&amp;P$4)</f>
        <v>1</v>
      </c>
      <c r="Q114" s="501">
        <f>COUNTIFS(Mantenimiento[Tipo],"Preventivo",Mantenimiento[Placa Vehiculo],IF($D114="","*",$D114),Mantenimiento[Fecha Entrada],"&gt;="&amp;Q$3,Mantenimiento[Fecha Entrada],"&lt;="&amp;Q$4)</f>
        <v>0</v>
      </c>
      <c r="R114" s="506">
        <f t="shared" si="38"/>
        <v>7</v>
      </c>
      <c r="V114" t="s">
        <v>58</v>
      </c>
      <c r="W114">
        <f>K$137</f>
        <v>18</v>
      </c>
      <c r="X114" s="543">
        <v>12</v>
      </c>
    </row>
    <row r="115" spans="1:24" ht="25" customHeight="1" x14ac:dyDescent="0.2">
      <c r="A115" s="47"/>
      <c r="C115" s="497" t="s">
        <v>387</v>
      </c>
      <c r="D115" s="498" t="s">
        <v>365</v>
      </c>
      <c r="E115" s="464"/>
      <c r="F115" s="501">
        <f>COUNTIFS(Mantenimiento[Tipo],"Preventivo",Mantenimiento[Placa Vehiculo],IF($D84="","*",$D84),Mantenimiento[Fecha Entrada],"&gt;="&amp;F$3,Mantenimiento[Fecha Entrada],"&lt;="&amp;F$4)</f>
        <v>1</v>
      </c>
      <c r="G115" s="501">
        <f>COUNTIFS(Mantenimiento[Tipo],"Preventivo",Mantenimiento[Placa Vehiculo],IF($D115="","*",$D115),Mantenimiento[Fecha Entrada],"&gt;="&amp;G$3,Mantenimiento[Fecha Entrada],"&lt;="&amp;G$4)</f>
        <v>1</v>
      </c>
      <c r="H115" s="502">
        <f>COUNTIFS(Mantenimiento[Tipo],"Preventivo",Mantenimiento[Placa Vehiculo],IF($D115="","*",$D115),Mantenimiento[Fecha Entrada],"&gt;="&amp;H$3,Mantenimiento[Fecha Entrada],"&lt;="&amp;H$4)</f>
        <v>0</v>
      </c>
      <c r="I115" s="501">
        <f>COUNTIFS(Mantenimiento[Tipo],"Preventivo",Mantenimiento[Placa Vehiculo],IF($D115="","*",$D115),Mantenimiento[Fecha Entrada],"&gt;="&amp;I$3,Mantenimiento[Fecha Entrada],"&lt;="&amp;I$4)</f>
        <v>0</v>
      </c>
      <c r="J115" s="501">
        <f>COUNTIFS(Mantenimiento[Tipo],"Preventivo",Mantenimiento[Placa Vehiculo],IF($D115="","*",$D115),Mantenimiento[Fecha Entrada],"&gt;="&amp;J$3,Mantenimiento[Fecha Entrada],"&lt;="&amp;J$4)</f>
        <v>0</v>
      </c>
      <c r="K115" s="501">
        <f>COUNTIFS(Mantenimiento[Tipo],"Preventivo",Mantenimiento[Placa Vehiculo],IF($D115="","*",$D115),Mantenimiento[Fecha Entrada],"&gt;="&amp;K$3,Mantenimiento[Fecha Entrada],"&lt;="&amp;K$4)</f>
        <v>1</v>
      </c>
      <c r="L115" s="501">
        <f>COUNTIFS(Mantenimiento[Tipo],"Preventivo",Mantenimiento[Placa Vehiculo],IF($D115="","*",$D115),Mantenimiento[Fecha Entrada],"&gt;="&amp;L$3,Mantenimiento[Fecha Entrada],"&lt;="&amp;L$4)</f>
        <v>0</v>
      </c>
      <c r="M115" s="501">
        <f>COUNTIFS(Mantenimiento[Tipo],"Preventivo",Mantenimiento[Placa Vehiculo],IF($D115="","*",$D115),Mantenimiento[Fecha Entrada],"&gt;="&amp;M$3,Mantenimiento[Fecha Entrada],"&lt;="&amp;M$4)</f>
        <v>0</v>
      </c>
      <c r="N115" s="501">
        <f>COUNTIFS(Mantenimiento[Tipo],"Preventivo",Mantenimiento[Placa Vehiculo],IF($D115="","*",$D115),Mantenimiento[Fecha Entrada],"&gt;="&amp;N$3,Mantenimiento[Fecha Entrada],"&lt;="&amp;N$4)</f>
        <v>0</v>
      </c>
      <c r="O115" s="501">
        <f>COUNTIFS(Mantenimiento[Tipo],"Preventivo",Mantenimiento[Placa Vehiculo],IF($D115="","*",$D115),Mantenimiento[Fecha Entrada],"&gt;="&amp;O$3,Mantenimiento[Fecha Entrada],"&lt;="&amp;O$4)</f>
        <v>1</v>
      </c>
      <c r="P115" s="501">
        <f>COUNTIFS(Mantenimiento[Tipo],"Preventivo",Mantenimiento[Placa Vehiculo],IF($D115="","*",$D115),Mantenimiento[Fecha Entrada],"&gt;="&amp;P$3,Mantenimiento[Fecha Entrada],"&lt;="&amp;P$4)</f>
        <v>0</v>
      </c>
      <c r="Q115" s="501">
        <f>COUNTIFS(Mantenimiento[Tipo],"Preventivo",Mantenimiento[Placa Vehiculo],IF($D115="","*",$D115),Mantenimiento[Fecha Entrada],"&gt;="&amp;Q$3,Mantenimiento[Fecha Entrada],"&lt;="&amp;Q$4)</f>
        <v>0</v>
      </c>
      <c r="R115" s="506">
        <f t="shared" si="38"/>
        <v>4</v>
      </c>
      <c r="V115" t="s">
        <v>59</v>
      </c>
      <c r="W115">
        <f>L$137</f>
        <v>4</v>
      </c>
      <c r="X115" s="543">
        <v>10</v>
      </c>
    </row>
    <row r="116" spans="1:24" ht="25" customHeight="1" x14ac:dyDescent="0.2">
      <c r="A116" s="47"/>
      <c r="C116" s="497" t="s">
        <v>385</v>
      </c>
      <c r="D116" s="498" t="s">
        <v>211</v>
      </c>
      <c r="E116" s="464"/>
      <c r="F116" s="501">
        <f>COUNTIFS(Mantenimiento[Tipo],"Preventivo",Mantenimiento[Placa Vehiculo],IF($D85="","*",$D85),Mantenimiento[Fecha Entrada],"&gt;="&amp;F$3,Mantenimiento[Fecha Entrada],"&lt;="&amp;F$4)</f>
        <v>1</v>
      </c>
      <c r="G116" s="501">
        <f>COUNTIFS(Mantenimiento[Tipo],"Preventivo",Mantenimiento[Placa Vehiculo],IF($D116="","*",$D116),Mantenimiento[Fecha Entrada],"&gt;="&amp;G$3,Mantenimiento[Fecha Entrada],"&lt;="&amp;G$4)</f>
        <v>0</v>
      </c>
      <c r="H116" s="501">
        <f>COUNTIFS(Mantenimiento[Tipo],"Preventivo",Mantenimiento[Placa Vehiculo],IF($D116="","*",$D116),Mantenimiento[Fecha Entrada],"&gt;="&amp;H$3,Mantenimiento[Fecha Entrada],"&lt;="&amp;H$4)</f>
        <v>1</v>
      </c>
      <c r="I116" s="501">
        <f>COUNTIFS(Mantenimiento[Tipo],"Preventivo",Mantenimiento[Placa Vehiculo],IF($D116="","*",$D116),Mantenimiento[Fecha Entrada],"&gt;="&amp;I$3,Mantenimiento[Fecha Entrada],"&lt;="&amp;I$4)</f>
        <v>0</v>
      </c>
      <c r="J116" s="501">
        <f>COUNTIFS(Mantenimiento[Tipo],"Preventivo",Mantenimiento[Placa Vehiculo],IF($D116="","*",$D116),Mantenimiento[Fecha Entrada],"&gt;="&amp;J$3,Mantenimiento[Fecha Entrada],"&lt;="&amp;J$4)</f>
        <v>1</v>
      </c>
      <c r="K116" s="501">
        <f>COUNTIFS(Mantenimiento[Tipo],"Preventivo",Mantenimiento[Placa Vehiculo],IF($D116="","*",$D116),Mantenimiento[Fecha Entrada],"&gt;="&amp;K$3,Mantenimiento[Fecha Entrada],"&lt;="&amp;K$4)</f>
        <v>0</v>
      </c>
      <c r="L116" s="501">
        <f>COUNTIFS(Mantenimiento[Tipo],"Preventivo",Mantenimiento[Placa Vehiculo],IF($D116="","*",$D116),Mantenimiento[Fecha Entrada],"&gt;="&amp;L$3,Mantenimiento[Fecha Entrada],"&lt;="&amp;L$4)</f>
        <v>0</v>
      </c>
      <c r="M116" s="501">
        <f>COUNTIFS(Mantenimiento[Tipo],"Preventivo",Mantenimiento[Placa Vehiculo],IF($D116="","*",$D116),Mantenimiento[Fecha Entrada],"&gt;="&amp;M$3,Mantenimiento[Fecha Entrada],"&lt;="&amp;M$4)</f>
        <v>1</v>
      </c>
      <c r="N116" s="501">
        <f>COUNTIFS(Mantenimiento[Tipo],"Preventivo",Mantenimiento[Placa Vehiculo],IF($D116="","*",$D116),Mantenimiento[Fecha Entrada],"&gt;="&amp;N$3,Mantenimiento[Fecha Entrada],"&lt;="&amp;N$4)</f>
        <v>0</v>
      </c>
      <c r="O116" s="501">
        <f>COUNTIFS(Mantenimiento[Tipo],"Preventivo",Mantenimiento[Placa Vehiculo],IF($D116="","*",$D116),Mantenimiento[Fecha Entrada],"&gt;="&amp;O$3,Mantenimiento[Fecha Entrada],"&lt;="&amp;O$4)</f>
        <v>1</v>
      </c>
      <c r="P116" s="501">
        <f>COUNTIFS(Mantenimiento[Tipo],"Preventivo",Mantenimiento[Placa Vehiculo],IF($D116="","*",$D116),Mantenimiento[Fecha Entrada],"&gt;="&amp;P$3,Mantenimiento[Fecha Entrada],"&lt;="&amp;P$4)</f>
        <v>0</v>
      </c>
      <c r="Q116" s="501">
        <f>COUNTIFS(Mantenimiento[Tipo],"Preventivo",Mantenimiento[Placa Vehiculo],IF($D116="","*",$D116),Mantenimiento[Fecha Entrada],"&gt;="&amp;Q$3,Mantenimiento[Fecha Entrada],"&lt;="&amp;Q$4)</f>
        <v>1</v>
      </c>
      <c r="R116" s="506">
        <f t="shared" si="38"/>
        <v>6</v>
      </c>
      <c r="V116" t="s">
        <v>60</v>
      </c>
      <c r="W116">
        <f>M$137</f>
        <v>13</v>
      </c>
      <c r="X116" s="543">
        <v>13</v>
      </c>
    </row>
    <row r="117" spans="1:24" ht="25" customHeight="1" x14ac:dyDescent="0.2">
      <c r="A117" s="47"/>
      <c r="C117" s="497" t="s">
        <v>388</v>
      </c>
      <c r="D117" s="498" t="s">
        <v>212</v>
      </c>
      <c r="E117" s="464"/>
      <c r="F117" s="501">
        <f>COUNTIFS(Mantenimiento[Tipo],"Preventivo",Mantenimiento[Placa Vehiculo],IF($D86="","*",$D86),Mantenimiento[Fecha Entrada],"&gt;="&amp;F$3,Mantenimiento[Fecha Entrada],"&lt;="&amp;F$4)</f>
        <v>0</v>
      </c>
      <c r="G117" s="501">
        <f>COUNTIFS(Mantenimiento[Tipo],"Preventivo",Mantenimiento[Placa Vehiculo],IF($D117="","*",$D117),Mantenimiento[Fecha Entrada],"&gt;="&amp;G$3,Mantenimiento[Fecha Entrada],"&lt;="&amp;G$4)</f>
        <v>1</v>
      </c>
      <c r="H117" s="502">
        <f>COUNTIFS(Mantenimiento[Tipo],"Preventivo",Mantenimiento[Placa Vehiculo],IF($D117="","*",$D117),Mantenimiento[Fecha Entrada],"&gt;="&amp;H$3,Mantenimiento[Fecha Entrada],"&lt;="&amp;H$4)</f>
        <v>0</v>
      </c>
      <c r="I117" s="501">
        <f>COUNTIFS(Mantenimiento[Tipo],"Preventivo",Mantenimiento[Placa Vehiculo],IF($D117="","*",$D117),Mantenimiento[Fecha Entrada],"&gt;="&amp;I$3,Mantenimiento[Fecha Entrada],"&lt;="&amp;I$4)</f>
        <v>1</v>
      </c>
      <c r="J117" s="501">
        <f>COUNTIFS(Mantenimiento[Tipo],"Preventivo",Mantenimiento[Placa Vehiculo],IF($D117="","*",$D117),Mantenimiento[Fecha Entrada],"&gt;="&amp;J$3,Mantenimiento[Fecha Entrada],"&lt;="&amp;J$4)</f>
        <v>1</v>
      </c>
      <c r="K117" s="501">
        <f>COUNTIFS(Mantenimiento[Tipo],"Preventivo",Mantenimiento[Placa Vehiculo],IF($D117="","*",$D117),Mantenimiento[Fecha Entrada],"&gt;="&amp;K$3,Mantenimiento[Fecha Entrada],"&lt;="&amp;K$4)</f>
        <v>1</v>
      </c>
      <c r="L117" s="501">
        <f>COUNTIFS(Mantenimiento[Tipo],"Preventivo",Mantenimiento[Placa Vehiculo],IF($D117="","*",$D117),Mantenimiento[Fecha Entrada],"&gt;="&amp;L$3,Mantenimiento[Fecha Entrada],"&lt;="&amp;L$4)</f>
        <v>0</v>
      </c>
      <c r="M117" s="501">
        <f>COUNTIFS(Mantenimiento[Tipo],"Preventivo",Mantenimiento[Placa Vehiculo],IF($D117="","*",$D117),Mantenimiento[Fecha Entrada],"&gt;="&amp;M$3,Mantenimiento[Fecha Entrada],"&lt;="&amp;M$4)</f>
        <v>1</v>
      </c>
      <c r="N117" s="501">
        <f>COUNTIFS(Mantenimiento[Tipo],"Preventivo",Mantenimiento[Placa Vehiculo],IF($D117="","*",$D117),Mantenimiento[Fecha Entrada],"&gt;="&amp;N$3,Mantenimiento[Fecha Entrada],"&lt;="&amp;N$4)</f>
        <v>0</v>
      </c>
      <c r="O117" s="501">
        <f>COUNTIFS(Mantenimiento[Tipo],"Preventivo",Mantenimiento[Placa Vehiculo],IF($D117="","*",$D117),Mantenimiento[Fecha Entrada],"&gt;="&amp;O$3,Mantenimiento[Fecha Entrada],"&lt;="&amp;O$4)</f>
        <v>0</v>
      </c>
      <c r="P117" s="501">
        <f>COUNTIFS(Mantenimiento[Tipo],"Preventivo",Mantenimiento[Placa Vehiculo],IF($D117="","*",$D117),Mantenimiento[Fecha Entrada],"&gt;="&amp;P$3,Mantenimiento[Fecha Entrada],"&lt;="&amp;P$4)</f>
        <v>0</v>
      </c>
      <c r="Q117" s="501">
        <f>COUNTIFS(Mantenimiento[Tipo],"Preventivo",Mantenimiento[Placa Vehiculo],IF($D117="","*",$D117),Mantenimiento[Fecha Entrada],"&gt;="&amp;Q$3,Mantenimiento[Fecha Entrada],"&lt;="&amp;Q$4)</f>
        <v>0</v>
      </c>
      <c r="R117" s="506">
        <f t="shared" si="38"/>
        <v>5</v>
      </c>
      <c r="V117" t="s">
        <v>402</v>
      </c>
      <c r="W117">
        <f>N$137</f>
        <v>9</v>
      </c>
      <c r="X117" s="543">
        <v>9</v>
      </c>
    </row>
    <row r="118" spans="1:24" ht="25" customHeight="1" x14ac:dyDescent="0.2">
      <c r="A118" s="47"/>
      <c r="C118" s="497" t="s">
        <v>387</v>
      </c>
      <c r="D118" s="498" t="s">
        <v>213</v>
      </c>
      <c r="E118" s="464"/>
      <c r="F118" s="501">
        <f>COUNTIFS(Mantenimiento[Tipo],"Preventivo",Mantenimiento[Placa Vehiculo],IF($D87="","*",$D87),Mantenimiento[Fecha Entrada],"&gt;="&amp;F$3,Mantenimiento[Fecha Entrada],"&lt;="&amp;F$4)</f>
        <v>1</v>
      </c>
      <c r="G118" s="501">
        <f>COUNTIFS(Mantenimiento[Tipo],"Preventivo",Mantenimiento[Placa Vehiculo],IF($D118="","*",$D118),Mantenimiento[Fecha Entrada],"&gt;="&amp;G$3,Mantenimiento[Fecha Entrada],"&lt;="&amp;G$4)</f>
        <v>1</v>
      </c>
      <c r="H118" s="502">
        <f>COUNTIFS(Mantenimiento[Tipo],"Preventivo",Mantenimiento[Placa Vehiculo],IF($D118="","*",$D118),Mantenimiento[Fecha Entrada],"&gt;="&amp;H$3,Mantenimiento[Fecha Entrada],"&lt;="&amp;H$4)</f>
        <v>0</v>
      </c>
      <c r="I118" s="501">
        <f>COUNTIFS(Mantenimiento[Tipo],"Preventivo",Mantenimiento[Placa Vehiculo],IF($D118="","*",$D118),Mantenimiento[Fecha Entrada],"&gt;="&amp;I$3,Mantenimiento[Fecha Entrada],"&lt;="&amp;I$4)</f>
        <v>1</v>
      </c>
      <c r="J118" s="501">
        <f>COUNTIFS(Mantenimiento[Tipo],"Preventivo",Mantenimiento[Placa Vehiculo],IF($D118="","*",$D118),Mantenimiento[Fecha Entrada],"&gt;="&amp;J$3,Mantenimiento[Fecha Entrada],"&lt;="&amp;J$4)</f>
        <v>0</v>
      </c>
      <c r="K118" s="501">
        <f>COUNTIFS(Mantenimiento[Tipo],"Preventivo",Mantenimiento[Placa Vehiculo],IF($D118="","*",$D118),Mantenimiento[Fecha Entrada],"&gt;="&amp;K$3,Mantenimiento[Fecha Entrada],"&lt;="&amp;K$4)</f>
        <v>1</v>
      </c>
      <c r="L118" s="501">
        <f>COUNTIFS(Mantenimiento[Tipo],"Preventivo",Mantenimiento[Placa Vehiculo],IF($D118="","*",$D118),Mantenimiento[Fecha Entrada],"&gt;="&amp;L$3,Mantenimiento[Fecha Entrada],"&lt;="&amp;L$4)</f>
        <v>1</v>
      </c>
      <c r="M118" s="501">
        <f>COUNTIFS(Mantenimiento[Tipo],"Preventivo",Mantenimiento[Placa Vehiculo],IF($D118="","*",$D118),Mantenimiento[Fecha Entrada],"&gt;="&amp;M$3,Mantenimiento[Fecha Entrada],"&lt;="&amp;M$4)</f>
        <v>1</v>
      </c>
      <c r="N118" s="501">
        <f>COUNTIFS(Mantenimiento[Tipo],"Preventivo",Mantenimiento[Placa Vehiculo],IF($D118="","*",$D118),Mantenimiento[Fecha Entrada],"&gt;="&amp;N$3,Mantenimiento[Fecha Entrada],"&lt;="&amp;N$4)</f>
        <v>1</v>
      </c>
      <c r="O118" s="501">
        <f>COUNTIFS(Mantenimiento[Tipo],"Preventivo",Mantenimiento[Placa Vehiculo],IF($D118="","*",$D118),Mantenimiento[Fecha Entrada],"&gt;="&amp;O$3,Mantenimiento[Fecha Entrada],"&lt;="&amp;O$4)</f>
        <v>0</v>
      </c>
      <c r="P118" s="501">
        <f>COUNTIFS(Mantenimiento[Tipo],"Preventivo",Mantenimiento[Placa Vehiculo],IF($D118="","*",$D118),Mantenimiento[Fecha Entrada],"&gt;="&amp;P$3,Mantenimiento[Fecha Entrada],"&lt;="&amp;P$4)</f>
        <v>1</v>
      </c>
      <c r="Q118" s="501">
        <f>COUNTIFS(Mantenimiento[Tipo],"Preventivo",Mantenimiento[Placa Vehiculo],IF($D118="","*",$D118),Mantenimiento[Fecha Entrada],"&gt;="&amp;Q$3,Mantenimiento[Fecha Entrada],"&lt;="&amp;Q$4)</f>
        <v>1</v>
      </c>
      <c r="R118" s="506">
        <f t="shared" si="38"/>
        <v>9</v>
      </c>
      <c r="V118" t="s">
        <v>62</v>
      </c>
      <c r="W118">
        <f>O$137</f>
        <v>13</v>
      </c>
      <c r="X118" s="543">
        <f>COUNT(A118:V118)</f>
        <v>13</v>
      </c>
    </row>
    <row r="119" spans="1:24" ht="25" customHeight="1" x14ac:dyDescent="0.2">
      <c r="A119" s="47"/>
      <c r="C119" s="497" t="s">
        <v>385</v>
      </c>
      <c r="D119" s="498" t="s">
        <v>280</v>
      </c>
      <c r="E119" s="464"/>
      <c r="F119" s="501">
        <f>COUNTIFS(Mantenimiento[Tipo],"Preventivo",Mantenimiento[Placa Vehiculo],IF(#REF!="","*",#REF!),Mantenimiento[Fecha Entrada],"&gt;="&amp;F$3,Mantenimiento[Fecha Entrada],"&lt;="&amp;F$4)</f>
        <v>0</v>
      </c>
      <c r="G119" s="501">
        <f>COUNTIFS(Mantenimiento[Tipo],"Preventivo",Mantenimiento[Placa Vehiculo],IF($D119="","*",$D119),Mantenimiento[Fecha Entrada],"&gt;="&amp;G$3,Mantenimiento[Fecha Entrada],"&lt;="&amp;G$4)</f>
        <v>0</v>
      </c>
      <c r="H119" s="502">
        <f>COUNTIFS(Mantenimiento[Tipo],"Preventivo",Mantenimiento[Placa Vehiculo],IF($D119="","*",$D119),Mantenimiento[Fecha Entrada],"&gt;="&amp;H$3,Mantenimiento[Fecha Entrada],"&lt;="&amp;H$4)</f>
        <v>0</v>
      </c>
      <c r="I119" s="501">
        <f>COUNTIFS(Mantenimiento[Tipo],"Preventivo",Mantenimiento[Placa Vehiculo],IF($D119="","*",$D119),Mantenimiento[Fecha Entrada],"&gt;="&amp;I$3,Mantenimiento[Fecha Entrada],"&lt;="&amp;I$4)</f>
        <v>0</v>
      </c>
      <c r="J119" s="501">
        <f>COUNTIFS(Mantenimiento[Tipo],"Preventivo",Mantenimiento[Placa Vehiculo],IF($D119="","*",$D119),Mantenimiento[Fecha Entrada],"&gt;="&amp;J$3,Mantenimiento[Fecha Entrada],"&lt;="&amp;J$4)</f>
        <v>0</v>
      </c>
      <c r="K119" s="501">
        <f>COUNTIFS(Mantenimiento[Tipo],"Preventivo",Mantenimiento[Placa Vehiculo],IF($D119="","*",$D119),Mantenimiento[Fecha Entrada],"&gt;="&amp;K$3,Mantenimiento[Fecha Entrada],"&lt;="&amp;K$4)</f>
        <v>0</v>
      </c>
      <c r="L119" s="501">
        <f>COUNTIFS(Mantenimiento[Tipo],"Preventivo",Mantenimiento[Placa Vehiculo],IF($D119="","*",$D119),Mantenimiento[Fecha Entrada],"&gt;="&amp;L$3,Mantenimiento[Fecha Entrada],"&lt;="&amp;L$4)</f>
        <v>0</v>
      </c>
      <c r="M119" s="501">
        <f>COUNTIFS(Mantenimiento[Tipo],"Preventivo",Mantenimiento[Placa Vehiculo],IF($D119="","*",$D119),Mantenimiento[Fecha Entrada],"&gt;="&amp;M$3,Mantenimiento[Fecha Entrada],"&lt;="&amp;M$4)</f>
        <v>0</v>
      </c>
      <c r="N119" s="501">
        <f>COUNTIFS(Mantenimiento[Tipo],"Preventivo",Mantenimiento[Placa Vehiculo],IF($D119="","*",$D119),Mantenimiento[Fecha Entrada],"&gt;="&amp;N$3,Mantenimiento[Fecha Entrada],"&lt;="&amp;N$4)</f>
        <v>0</v>
      </c>
      <c r="O119" s="501">
        <f>COUNTIFS(Mantenimiento[Tipo],"Preventivo",Mantenimiento[Placa Vehiculo],IF($D119="","*",$D119),Mantenimiento[Fecha Entrada],"&gt;="&amp;O$3,Mantenimiento[Fecha Entrada],"&lt;="&amp;O$4)</f>
        <v>0</v>
      </c>
      <c r="P119" s="501">
        <f>COUNTIFS(Mantenimiento[Tipo],"Preventivo",Mantenimiento[Placa Vehiculo],IF($D119="","*",$D119),Mantenimiento[Fecha Entrada],"&gt;="&amp;P$3,Mantenimiento[Fecha Entrada],"&lt;="&amp;P$4)</f>
        <v>0</v>
      </c>
      <c r="Q119" s="501">
        <f>COUNTIFS(Mantenimiento[Tipo],"Preventivo",Mantenimiento[Placa Vehiculo],IF($D119="","*",$D119),Mantenimiento[Fecha Entrada],"&gt;="&amp;Q$3,Mantenimiento[Fecha Entrada],"&lt;="&amp;Q$4)</f>
        <v>0</v>
      </c>
      <c r="R119" s="506">
        <f t="shared" si="38"/>
        <v>0</v>
      </c>
      <c r="V119" t="s">
        <v>63</v>
      </c>
      <c r="W119">
        <f>P$137</f>
        <v>10</v>
      </c>
      <c r="X119" s="543">
        <v>9</v>
      </c>
    </row>
    <row r="120" spans="1:24" ht="25" customHeight="1" x14ac:dyDescent="0.2">
      <c r="A120" s="47"/>
      <c r="C120" s="497" t="s">
        <v>389</v>
      </c>
      <c r="D120" s="498" t="s">
        <v>286</v>
      </c>
      <c r="E120" s="464"/>
      <c r="F120" s="501">
        <f>COUNTIFS(Mantenimiento[Tipo],"Preventivo",Mantenimiento[Placa Vehiculo],IF($D89="","*",$D89),Mantenimiento[Fecha Entrada],"&gt;="&amp;F$3,Mantenimiento[Fecha Entrada],"&lt;="&amp;F$4)</f>
        <v>1</v>
      </c>
      <c r="G120" s="501">
        <f>COUNTIFS(Mantenimiento[Tipo],"Preventivo",Mantenimiento[Placa Vehiculo],IF($D120="","*",$D120),Mantenimiento[Fecha Entrada],"&gt;="&amp;G$3,Mantenimiento[Fecha Entrada],"&lt;="&amp;G$4)</f>
        <v>1</v>
      </c>
      <c r="H120" s="502">
        <f>COUNTIFS(Mantenimiento[Tipo],"Preventivo",Mantenimiento[Placa Vehiculo],IF($D120="","*",$D120),Mantenimiento[Fecha Entrada],"&gt;="&amp;H$3,Mantenimiento[Fecha Entrada],"&lt;="&amp;H$4)</f>
        <v>0</v>
      </c>
      <c r="I120" s="501">
        <f>COUNTIFS(Mantenimiento[Tipo],"Preventivo",Mantenimiento[Placa Vehiculo],IF($D120="","*",$D120),Mantenimiento[Fecha Entrada],"&gt;="&amp;I$3,Mantenimiento[Fecha Entrada],"&lt;="&amp;I$4)</f>
        <v>1</v>
      </c>
      <c r="J120" s="501">
        <f>COUNTIFS(Mantenimiento[Tipo],"Preventivo",Mantenimiento[Placa Vehiculo],IF($D120="","*",$D120),Mantenimiento[Fecha Entrada],"&gt;="&amp;J$3,Mantenimiento[Fecha Entrada],"&lt;="&amp;J$4)</f>
        <v>0</v>
      </c>
      <c r="K120" s="501">
        <f>COUNTIFS(Mantenimiento[Tipo],"Preventivo",Mantenimiento[Placa Vehiculo],IF($D120="","*",$D120),Mantenimiento[Fecha Entrada],"&gt;="&amp;K$3,Mantenimiento[Fecha Entrada],"&lt;="&amp;K$4)</f>
        <v>1</v>
      </c>
      <c r="L120" s="501">
        <f>COUNTIFS(Mantenimiento[Tipo],"Preventivo",Mantenimiento[Placa Vehiculo],IF($D120="","*",$D120),Mantenimiento[Fecha Entrada],"&gt;="&amp;L$3,Mantenimiento[Fecha Entrada],"&lt;="&amp;L$4)</f>
        <v>0</v>
      </c>
      <c r="M120" s="501">
        <f>COUNTIFS(Mantenimiento[Tipo],"Preventivo",Mantenimiento[Placa Vehiculo],IF($D120="","*",$D120),Mantenimiento[Fecha Entrada],"&gt;="&amp;M$3,Mantenimiento[Fecha Entrada],"&lt;="&amp;M$4)</f>
        <v>1</v>
      </c>
      <c r="N120" s="501">
        <f>COUNTIFS(Mantenimiento[Tipo],"Preventivo",Mantenimiento[Placa Vehiculo],IF($D120="","*",$D120),Mantenimiento[Fecha Entrada],"&gt;="&amp;N$3,Mantenimiento[Fecha Entrada],"&lt;="&amp;N$4)</f>
        <v>0</v>
      </c>
      <c r="O120" s="501">
        <f>COUNTIFS(Mantenimiento[Tipo],"Preventivo",Mantenimiento[Placa Vehiculo],IF($D120="","*",$D120),Mantenimiento[Fecha Entrada],"&gt;="&amp;O$3,Mantenimiento[Fecha Entrada],"&lt;="&amp;O$4)</f>
        <v>2</v>
      </c>
      <c r="P120" s="501">
        <f>COUNTIFS(Mantenimiento[Tipo],"Preventivo",Mantenimiento[Placa Vehiculo],IF($D120="","*",$D120),Mantenimiento[Fecha Entrada],"&gt;="&amp;P$3,Mantenimiento[Fecha Entrada],"&lt;="&amp;P$4)</f>
        <v>1</v>
      </c>
      <c r="Q120" s="501">
        <f>COUNTIFS(Mantenimiento[Tipo],"Preventivo",Mantenimiento[Placa Vehiculo],IF($D120="","*",$D120),Mantenimiento[Fecha Entrada],"&gt;="&amp;Q$3,Mantenimiento[Fecha Entrada],"&lt;="&amp;Q$4)</f>
        <v>0</v>
      </c>
      <c r="R120" s="506">
        <f t="shared" si="38"/>
        <v>8</v>
      </c>
      <c r="V120" t="s">
        <v>64</v>
      </c>
      <c r="W120">
        <f>Q$137</f>
        <v>8</v>
      </c>
      <c r="X120" s="543">
        <v>13</v>
      </c>
    </row>
    <row r="121" spans="1:24" ht="25" customHeight="1" x14ac:dyDescent="0.2">
      <c r="A121" s="47"/>
      <c r="C121" s="497" t="s">
        <v>386</v>
      </c>
      <c r="D121" s="498" t="s">
        <v>509</v>
      </c>
      <c r="E121" s="464"/>
      <c r="F121" s="501">
        <f>COUNTIFS(Mantenimiento[Tipo],"Preventivo",Mantenimiento[Placa Vehiculo],IF($D90="","*",$D90),Mantenimiento[Fecha Entrada],"&gt;="&amp;F$3,Mantenimiento[Fecha Entrada],"&lt;="&amp;F$4)</f>
        <v>0</v>
      </c>
      <c r="G121" s="501">
        <f>COUNTIFS(Mantenimiento[Tipo],"Preventivo",Mantenimiento[Placa Vehiculo],IF($D121="","*",$D121),Mantenimiento[Fecha Entrada],"&gt;="&amp;G$3,Mantenimiento[Fecha Entrada],"&lt;="&amp;G$4)</f>
        <v>0</v>
      </c>
      <c r="H121" s="502">
        <f>COUNTIFS(Mantenimiento[Tipo],"Preventivo",Mantenimiento[Placa Vehiculo],IF($D121="","*",$D121),Mantenimiento[Fecha Entrada],"&gt;="&amp;H$3,Mantenimiento[Fecha Entrada],"&lt;="&amp;H$4)</f>
        <v>0</v>
      </c>
      <c r="I121" s="501">
        <f>COUNTIFS(Mantenimiento[Tipo],"Preventivo",Mantenimiento[Placa Vehiculo],IF($D121="","*",$D121),Mantenimiento[Fecha Entrada],"&gt;="&amp;I$3,Mantenimiento[Fecha Entrada],"&lt;="&amp;I$4)</f>
        <v>0</v>
      </c>
      <c r="J121" s="501">
        <f>COUNTIFS(Mantenimiento[Tipo],"Preventivo",Mantenimiento[Placa Vehiculo],IF($D121="","*",$D121),Mantenimiento[Fecha Entrada],"&gt;="&amp;J$3,Mantenimiento[Fecha Entrada],"&lt;="&amp;J$4)</f>
        <v>0</v>
      </c>
      <c r="K121" s="501">
        <f>COUNTIFS(Mantenimiento[Tipo],"Preventivo",Mantenimiento[Placa Vehiculo],IF($D121="","*",$D121),Mantenimiento[Fecha Entrada],"&gt;="&amp;K$3,Mantenimiento[Fecha Entrada],"&lt;="&amp;K$4)</f>
        <v>0</v>
      </c>
      <c r="L121" s="501">
        <f>COUNTIFS(Mantenimiento[Tipo],"Preventivo",Mantenimiento[Placa Vehiculo],IF($D121="","*",$D121),Mantenimiento[Fecha Entrada],"&gt;="&amp;L$3,Mantenimiento[Fecha Entrada],"&lt;="&amp;L$4)</f>
        <v>0</v>
      </c>
      <c r="M121" s="501">
        <f>COUNTIFS(Mantenimiento[Tipo],"Preventivo",Mantenimiento[Placa Vehiculo],IF($D121="","*",$D121),Mantenimiento[Fecha Entrada],"&gt;="&amp;M$3,Mantenimiento[Fecha Entrada],"&lt;="&amp;M$4)</f>
        <v>0</v>
      </c>
      <c r="N121" s="501">
        <f>COUNTIFS(Mantenimiento[Tipo],"Preventivo",Mantenimiento[Placa Vehiculo],IF($D121="","*",$D121),Mantenimiento[Fecha Entrada],"&gt;="&amp;N$3,Mantenimiento[Fecha Entrada],"&lt;="&amp;N$4)</f>
        <v>0</v>
      </c>
      <c r="O121" s="501">
        <f>COUNTIFS(Mantenimiento[Tipo],"Preventivo",Mantenimiento[Placa Vehiculo],IF($D121="","*",$D121),Mantenimiento[Fecha Entrada],"&gt;="&amp;O$3,Mantenimiento[Fecha Entrada],"&lt;="&amp;O$4)</f>
        <v>0</v>
      </c>
      <c r="P121" s="501">
        <f>COUNTIFS(Mantenimiento[Tipo],"Preventivo",Mantenimiento[Placa Vehiculo],IF($D121="","*",$D121),Mantenimiento[Fecha Entrada],"&gt;="&amp;P$3,Mantenimiento[Fecha Entrada],"&lt;="&amp;P$4)</f>
        <v>0</v>
      </c>
      <c r="Q121" s="501">
        <f>COUNTIFS(Mantenimiento[Tipo],"Preventivo",Mantenimiento[Placa Vehiculo],IF($D121="","*",$D121),Mantenimiento[Fecha Entrada],"&gt;="&amp;Q$3,Mantenimiento[Fecha Entrada],"&lt;="&amp;Q$4)</f>
        <v>0</v>
      </c>
      <c r="R121" s="506">
        <f t="shared" si="38"/>
        <v>0</v>
      </c>
      <c r="X121" s="543"/>
    </row>
    <row r="122" spans="1:24" ht="25" customHeight="1" x14ac:dyDescent="0.2">
      <c r="A122" s="47"/>
      <c r="C122" s="497" t="s">
        <v>386</v>
      </c>
      <c r="D122" s="498" t="s">
        <v>473</v>
      </c>
      <c r="E122" s="464"/>
      <c r="F122" s="501">
        <f>COUNTIFS(Mantenimiento[Tipo],"Preventivo",Mantenimiento[Placa Vehiculo],IF($D91="","*",$D91),Mantenimiento[Fecha Entrada],"&gt;="&amp;F$3,Mantenimiento[Fecha Entrada],"&lt;="&amp;F$4)</f>
        <v>0</v>
      </c>
      <c r="G122" s="501">
        <f>COUNTIFS(Mantenimiento[Tipo],"Preventivo",Mantenimiento[Placa Vehiculo],IF($D122="","*",$D122),Mantenimiento[Fecha Entrada],"&gt;="&amp;G$3,Mantenimiento[Fecha Entrada],"&lt;="&amp;G$4)</f>
        <v>0</v>
      </c>
      <c r="H122" s="502">
        <f>COUNTIFS(Mantenimiento[Tipo],"Preventivo",Mantenimiento[Placa Vehiculo],IF($D122="","*",$D122),Mantenimiento[Fecha Entrada],"&gt;="&amp;H$3,Mantenimiento[Fecha Entrada],"&lt;="&amp;H$4)</f>
        <v>0</v>
      </c>
      <c r="I122" s="501">
        <f>COUNTIFS(Mantenimiento[Tipo],"Preventivo",Mantenimiento[Placa Vehiculo],IF($D122="","*",$D122),Mantenimiento[Fecha Entrada],"&gt;="&amp;I$3,Mantenimiento[Fecha Entrada],"&lt;="&amp;I$4)</f>
        <v>0</v>
      </c>
      <c r="J122" s="501">
        <f>COUNTIFS(Mantenimiento[Tipo],"Preventivo",Mantenimiento[Placa Vehiculo],IF($D122="","*",$D122),Mantenimiento[Fecha Entrada],"&gt;="&amp;J$3,Mantenimiento[Fecha Entrada],"&lt;="&amp;J$4)</f>
        <v>0</v>
      </c>
      <c r="K122" s="501">
        <f>COUNTIFS(Mantenimiento[Tipo],"Preventivo",Mantenimiento[Placa Vehiculo],IF($D122="","*",$D122),Mantenimiento[Fecha Entrada],"&gt;="&amp;K$3,Mantenimiento[Fecha Entrada],"&lt;="&amp;K$4)</f>
        <v>1</v>
      </c>
      <c r="L122" s="501">
        <f>COUNTIFS(Mantenimiento[Tipo],"Preventivo",Mantenimiento[Placa Vehiculo],IF($D122="","*",$D122),Mantenimiento[Fecha Entrada],"&gt;="&amp;L$3,Mantenimiento[Fecha Entrada],"&lt;="&amp;L$4)</f>
        <v>0</v>
      </c>
      <c r="M122" s="501">
        <f>COUNTIFS(Mantenimiento[Tipo],"Preventivo",Mantenimiento[Placa Vehiculo],IF($D122="","*",$D122),Mantenimiento[Fecha Entrada],"&gt;="&amp;M$3,Mantenimiento[Fecha Entrada],"&lt;="&amp;M$4)</f>
        <v>1</v>
      </c>
      <c r="N122" s="501">
        <f>COUNTIFS(Mantenimiento[Tipo],"Preventivo",Mantenimiento[Placa Vehiculo],IF($D122="","*",$D122),Mantenimiento[Fecha Entrada],"&gt;="&amp;N$3,Mantenimiento[Fecha Entrada],"&lt;="&amp;N$4)</f>
        <v>0</v>
      </c>
      <c r="O122" s="501">
        <f>COUNTIFS(Mantenimiento[Tipo],"Preventivo",Mantenimiento[Placa Vehiculo],IF($D122="","*",$D122),Mantenimiento[Fecha Entrada],"&gt;="&amp;O$3,Mantenimiento[Fecha Entrada],"&lt;="&amp;O$4)</f>
        <v>1</v>
      </c>
      <c r="P122" s="501">
        <f>COUNTIFS(Mantenimiento[Tipo],"Preventivo",Mantenimiento[Placa Vehiculo],IF($D122="","*",$D122),Mantenimiento[Fecha Entrada],"&gt;="&amp;P$3,Mantenimiento[Fecha Entrada],"&lt;="&amp;P$4)</f>
        <v>1</v>
      </c>
      <c r="Q122" s="501">
        <f>COUNTIFS(Mantenimiento[Tipo],"Preventivo",Mantenimiento[Placa Vehiculo],IF($D122="","*",$D122),Mantenimiento[Fecha Entrada],"&gt;="&amp;Q$3,Mantenimiento[Fecha Entrada],"&lt;="&amp;Q$4)</f>
        <v>0</v>
      </c>
      <c r="R122" s="506">
        <f t="shared" si="38"/>
        <v>4</v>
      </c>
      <c r="X122" s="543"/>
    </row>
    <row r="123" spans="1:24" ht="25" customHeight="1" x14ac:dyDescent="0.2">
      <c r="A123" s="47"/>
      <c r="C123" s="497" t="s">
        <v>386</v>
      </c>
      <c r="D123" s="498" t="s">
        <v>350</v>
      </c>
      <c r="E123" s="464"/>
      <c r="F123" s="501">
        <f>COUNTIFS(Mantenimiento[Tipo],"Preventivo",Mantenimiento[Placa Vehiculo],IF($D90="","*",$D90),Mantenimiento[Fecha Entrada],"&gt;="&amp;F$3,Mantenimiento[Fecha Entrada],"&lt;="&amp;F$4)</f>
        <v>0</v>
      </c>
      <c r="G123" s="501">
        <f>COUNTIFS(Mantenimiento[Tipo],"Preventivo",Mantenimiento[Placa Vehiculo],IF($D123="","*",$D123),Mantenimiento[Fecha Entrada],"&gt;="&amp;G$3,Mantenimiento[Fecha Entrada],"&lt;="&amp;G$4)</f>
        <v>0</v>
      </c>
      <c r="H123" s="502">
        <f>COUNTIFS(Mantenimiento[Tipo],"Preventivo",Mantenimiento[Placa Vehiculo],IF($D123="","*",$D123),Mantenimiento[Fecha Entrada],"&gt;="&amp;H$3,Mantenimiento[Fecha Entrada],"&lt;="&amp;H$4)</f>
        <v>0</v>
      </c>
      <c r="I123" s="501">
        <f>COUNTIFS(Mantenimiento[Tipo],"Preventivo",Mantenimiento[Placa Vehiculo],IF($D123="","*",$D123),Mantenimiento[Fecha Entrada],"&gt;="&amp;I$3,Mantenimiento[Fecha Entrada],"&lt;="&amp;I$4)</f>
        <v>0</v>
      </c>
      <c r="J123" s="501">
        <f>COUNTIFS(Mantenimiento[Tipo],"Preventivo",Mantenimiento[Placa Vehiculo],IF($D123="","*",$D123),Mantenimiento[Fecha Entrada],"&gt;="&amp;J$3,Mantenimiento[Fecha Entrada],"&lt;="&amp;J$4)</f>
        <v>1</v>
      </c>
      <c r="K123" s="501">
        <f>COUNTIFS(Mantenimiento[Tipo],"Preventivo",Mantenimiento[Placa Vehiculo],IF($D123="","*",$D123),Mantenimiento[Fecha Entrada],"&gt;="&amp;K$3,Mantenimiento[Fecha Entrada],"&lt;="&amp;K$4)</f>
        <v>1</v>
      </c>
      <c r="L123" s="501">
        <f>COUNTIFS(Mantenimiento[Tipo],"Preventivo",Mantenimiento[Placa Vehiculo],IF($D123="","*",$D123),Mantenimiento[Fecha Entrada],"&gt;="&amp;L$3,Mantenimiento[Fecha Entrada],"&lt;="&amp;L$4)</f>
        <v>1</v>
      </c>
      <c r="M123" s="501">
        <f>COUNTIFS(Mantenimiento[Tipo],"Preventivo",Mantenimiento[Placa Vehiculo],IF($D123="","*",$D123),Mantenimiento[Fecha Entrada],"&gt;="&amp;M$3,Mantenimiento[Fecha Entrada],"&lt;="&amp;M$4)</f>
        <v>1</v>
      </c>
      <c r="N123" s="501">
        <f>COUNTIFS(Mantenimiento[Tipo],"Preventivo",Mantenimiento[Placa Vehiculo],IF($D123="","*",$D123),Mantenimiento[Fecha Entrada],"&gt;="&amp;N$3,Mantenimiento[Fecha Entrada],"&lt;="&amp;N$4)</f>
        <v>0</v>
      </c>
      <c r="O123" s="501">
        <f>COUNTIFS(Mantenimiento[Tipo],"Preventivo",Mantenimiento[Placa Vehiculo],IF($D123="","*",$D123),Mantenimiento[Fecha Entrada],"&gt;="&amp;O$3,Mantenimiento[Fecha Entrada],"&lt;="&amp;O$4)</f>
        <v>1</v>
      </c>
      <c r="P123" s="501">
        <f>COUNTIFS(Mantenimiento[Tipo],"Preventivo",Mantenimiento[Placa Vehiculo],IF($D123="","*",$D123),Mantenimiento[Fecha Entrada],"&gt;="&amp;P$3,Mantenimiento[Fecha Entrada],"&lt;="&amp;P$4)</f>
        <v>0</v>
      </c>
      <c r="Q123" s="501">
        <f>COUNTIFS(Mantenimiento[Tipo],"Preventivo",Mantenimiento[Placa Vehiculo],IF($D123="","*",$D123),Mantenimiento[Fecha Entrada],"&gt;="&amp;Q$3,Mantenimiento[Fecha Entrada],"&lt;="&amp;Q$4)</f>
        <v>1</v>
      </c>
      <c r="R123" s="506">
        <f t="shared" si="38"/>
        <v>6</v>
      </c>
    </row>
    <row r="124" spans="1:24" ht="25" customHeight="1" x14ac:dyDescent="0.2">
      <c r="A124" s="47"/>
      <c r="C124" s="497" t="s">
        <v>388</v>
      </c>
      <c r="D124" s="498" t="s">
        <v>376</v>
      </c>
      <c r="E124" s="464"/>
      <c r="F124" s="501">
        <f>COUNTIFS(Mantenimiento[Tipo],"Preventivo",Mantenimiento[Placa Vehiculo],IF($D93="","*",$D93),Mantenimiento[Fecha Entrada],"&gt;="&amp;F$3,Mantenimiento[Fecha Entrada],"&lt;="&amp;F$4)</f>
        <v>1</v>
      </c>
      <c r="G124" s="501">
        <f>COUNTIFS(Mantenimiento[Tipo],"Preventivo",Mantenimiento[Placa Vehiculo],IF($D124="","*",$D124),Mantenimiento[Fecha Entrada],"&gt;="&amp;G$3,Mantenimiento[Fecha Entrada],"&lt;="&amp;G$4)</f>
        <v>0</v>
      </c>
      <c r="H124" s="502">
        <f>COUNTIFS(Mantenimiento[Tipo],"Preventivo",Mantenimiento[Placa Vehiculo],IF($D124="","*",$D124),Mantenimiento[Fecha Entrada],"&gt;="&amp;H$3,Mantenimiento[Fecha Entrada],"&lt;="&amp;H$4)</f>
        <v>0</v>
      </c>
      <c r="I124" s="501">
        <f>COUNTIFS(Mantenimiento[Tipo],"Preventivo",Mantenimiento[Placa Vehiculo],IF($D124="","*",$D124),Mantenimiento[Fecha Entrada],"&gt;="&amp;I$3,Mantenimiento[Fecha Entrada],"&lt;="&amp;I$4)</f>
        <v>1</v>
      </c>
      <c r="J124" s="501">
        <f>COUNTIFS(Mantenimiento[Tipo],"Preventivo",Mantenimiento[Placa Vehiculo],IF($D124="","*",$D124),Mantenimiento[Fecha Entrada],"&gt;="&amp;J$3,Mantenimiento[Fecha Entrada],"&lt;="&amp;J$4)</f>
        <v>0</v>
      </c>
      <c r="K124" s="501">
        <f>COUNTIFS(Mantenimiento[Tipo],"Preventivo",Mantenimiento[Placa Vehiculo],IF($D124="","*",$D124),Mantenimiento[Fecha Entrada],"&gt;="&amp;K$3,Mantenimiento[Fecha Entrada],"&lt;="&amp;K$4)</f>
        <v>0</v>
      </c>
      <c r="L124" s="501">
        <f>COUNTIFS(Mantenimiento[Tipo],"Preventivo",Mantenimiento[Placa Vehiculo],IF($D124="","*",$D124),Mantenimiento[Fecha Entrada],"&gt;="&amp;L$3,Mantenimiento[Fecha Entrada],"&lt;="&amp;L$4)</f>
        <v>0</v>
      </c>
      <c r="M124" s="501">
        <f>COUNTIFS(Mantenimiento[Tipo],"Preventivo",Mantenimiento[Placa Vehiculo],IF($D124="","*",$D124),Mantenimiento[Fecha Entrada],"&gt;="&amp;M$3,Mantenimiento[Fecha Entrada],"&lt;="&amp;M$4)</f>
        <v>0</v>
      </c>
      <c r="N124" s="501">
        <f>COUNTIFS(Mantenimiento[Tipo],"Preventivo",Mantenimiento[Placa Vehiculo],IF($D124="","*",$D124),Mantenimiento[Fecha Entrada],"&gt;="&amp;N$3,Mantenimiento[Fecha Entrada],"&lt;="&amp;N$4)</f>
        <v>0</v>
      </c>
      <c r="O124" s="501">
        <f>COUNTIFS(Mantenimiento[Tipo],"Preventivo",Mantenimiento[Placa Vehiculo],IF($D124="","*",$D124),Mantenimiento[Fecha Entrada],"&gt;="&amp;O$3,Mantenimiento[Fecha Entrada],"&lt;="&amp;O$4)</f>
        <v>0</v>
      </c>
      <c r="P124" s="501">
        <f>COUNTIFS(Mantenimiento[Tipo],"Preventivo",Mantenimiento[Placa Vehiculo],IF($D124="","*",$D124),Mantenimiento[Fecha Entrada],"&gt;="&amp;P$3,Mantenimiento[Fecha Entrada],"&lt;="&amp;P$4)</f>
        <v>0</v>
      </c>
      <c r="Q124" s="501">
        <f>COUNTIFS(Mantenimiento[Tipo],"Preventivo",Mantenimiento[Placa Vehiculo],IF($D124="","*",$D124),Mantenimiento[Fecha Entrada],"&gt;="&amp;Q$3,Mantenimiento[Fecha Entrada],"&lt;="&amp;Q$4)</f>
        <v>0</v>
      </c>
      <c r="R124" s="506">
        <f t="shared" si="38"/>
        <v>2</v>
      </c>
    </row>
    <row r="125" spans="1:24" ht="25" customHeight="1" x14ac:dyDescent="0.2">
      <c r="A125" s="47"/>
      <c r="C125" s="497" t="s">
        <v>390</v>
      </c>
      <c r="D125" s="498" t="s">
        <v>306</v>
      </c>
      <c r="E125" s="464"/>
      <c r="F125" s="501">
        <f>COUNTIFS(Mantenimiento[Tipo],"Preventivo",Mantenimiento[Placa Vehiculo],IF($D94="","*",$D94),Mantenimiento[Fecha Entrada],"&gt;="&amp;F$3,Mantenimiento[Fecha Entrada],"&lt;="&amp;F$4)</f>
        <v>1</v>
      </c>
      <c r="G125" s="501">
        <f>COUNTIFS(Mantenimiento[Tipo],"Preventivo",Mantenimiento[Placa Vehiculo],IF($D125="","*",$D125),Mantenimiento[Fecha Entrada],"&gt;="&amp;G$3,Mantenimiento[Fecha Entrada],"&lt;="&amp;G$4)</f>
        <v>0</v>
      </c>
      <c r="H125" s="501">
        <f>COUNTIFS(Mantenimiento[Tipo],"Preventivo",Mantenimiento[Placa Vehiculo],IF($D125="","*",$D125),Mantenimiento[Fecha Entrada],"&gt;="&amp;H$3,Mantenimiento[Fecha Entrada],"&lt;="&amp;H$4)</f>
        <v>1</v>
      </c>
      <c r="I125" s="501">
        <f>COUNTIFS(Mantenimiento[Tipo],"Preventivo",Mantenimiento[Placa Vehiculo],IF($D125="","*",$D125),Mantenimiento[Fecha Entrada],"&gt;="&amp;I$3,Mantenimiento[Fecha Entrada],"&lt;="&amp;I$4)</f>
        <v>0</v>
      </c>
      <c r="J125" s="501">
        <f>COUNTIFS(Mantenimiento[Tipo],"Preventivo",Mantenimiento[Placa Vehiculo],IF($D125="","*",$D125),Mantenimiento[Fecha Entrada],"&gt;="&amp;J$3,Mantenimiento[Fecha Entrada],"&lt;="&amp;J$4)</f>
        <v>1</v>
      </c>
      <c r="K125" s="501">
        <f>COUNTIFS(Mantenimiento[Tipo],"Preventivo",Mantenimiento[Placa Vehiculo],IF($D125="","*",$D125),Mantenimiento[Fecha Entrada],"&gt;="&amp;K$3,Mantenimiento[Fecha Entrada],"&lt;="&amp;K$4)</f>
        <v>1</v>
      </c>
      <c r="L125" s="501">
        <f>COUNTIFS(Mantenimiento[Tipo],"Preventivo",Mantenimiento[Placa Vehiculo],IF($D125="","*",$D125),Mantenimiento[Fecha Entrada],"&gt;="&amp;L$3,Mantenimiento[Fecha Entrada],"&lt;="&amp;L$4)</f>
        <v>0</v>
      </c>
      <c r="M125" s="501">
        <f>COUNTIFS(Mantenimiento[Tipo],"Preventivo",Mantenimiento[Placa Vehiculo],IF($D125="","*",$D125),Mantenimiento[Fecha Entrada],"&gt;="&amp;M$3,Mantenimiento[Fecha Entrada],"&lt;="&amp;M$4)</f>
        <v>1</v>
      </c>
      <c r="N125" s="501">
        <f>COUNTIFS(Mantenimiento[Tipo],"Preventivo",Mantenimiento[Placa Vehiculo],IF($D125="","*",$D125),Mantenimiento[Fecha Entrada],"&gt;="&amp;N$3,Mantenimiento[Fecha Entrada],"&lt;="&amp;N$4)</f>
        <v>0</v>
      </c>
      <c r="O125" s="501">
        <f>COUNTIFS(Mantenimiento[Tipo],"Preventivo",Mantenimiento[Placa Vehiculo],IF($D125="","*",$D125),Mantenimiento[Fecha Entrada],"&gt;="&amp;O$3,Mantenimiento[Fecha Entrada],"&lt;="&amp;O$4)</f>
        <v>0</v>
      </c>
      <c r="P125" s="501">
        <f>COUNTIFS(Mantenimiento[Tipo],"Preventivo",Mantenimiento[Placa Vehiculo],IF($D125="","*",$D125),Mantenimiento[Fecha Entrada],"&gt;="&amp;P$3,Mantenimiento[Fecha Entrada],"&lt;="&amp;P$4)</f>
        <v>0</v>
      </c>
      <c r="Q125" s="501">
        <f>COUNTIFS(Mantenimiento[Tipo],"Preventivo",Mantenimiento[Placa Vehiculo],IF($D125="","*",$D125),Mantenimiento[Fecha Entrada],"&gt;="&amp;Q$3,Mantenimiento[Fecha Entrada],"&lt;="&amp;Q$4)</f>
        <v>0</v>
      </c>
      <c r="R125" s="506">
        <f t="shared" si="38"/>
        <v>5</v>
      </c>
    </row>
    <row r="126" spans="1:24" ht="25" customHeight="1" x14ac:dyDescent="0.2">
      <c r="A126" s="47"/>
      <c r="C126" s="497" t="s">
        <v>390</v>
      </c>
      <c r="D126" s="498" t="s">
        <v>307</v>
      </c>
      <c r="E126" s="464"/>
      <c r="F126" s="501">
        <f>COUNTIFS(Mantenimiento[Tipo],"Preventivo",Mantenimiento[Placa Vehiculo],IF($D95="","*",$D95),Mantenimiento[Fecha Entrada],"&gt;="&amp;F$3,Mantenimiento[Fecha Entrada],"&lt;="&amp;F$4)</f>
        <v>0</v>
      </c>
      <c r="G126" s="501">
        <f>COUNTIFS(Mantenimiento[Tipo],"Preventivo",Mantenimiento[Placa Vehiculo],IF($D126="","*",$D126),Mantenimiento[Fecha Entrada],"&gt;="&amp;G$3,Mantenimiento[Fecha Entrada],"&lt;="&amp;G$4)</f>
        <v>1</v>
      </c>
      <c r="H126" s="502">
        <f>COUNTIFS(Mantenimiento[Tipo],"Preventivo",Mantenimiento[Placa Vehiculo],IF($D126="","*",$D126),Mantenimiento[Fecha Entrada],"&gt;="&amp;H$3,Mantenimiento[Fecha Entrada],"&lt;="&amp;H$4)</f>
        <v>0</v>
      </c>
      <c r="I126" s="501">
        <f>COUNTIFS(Mantenimiento[Tipo],"Preventivo",Mantenimiento[Placa Vehiculo],IF($D126="","*",$D126),Mantenimiento[Fecha Entrada],"&gt;="&amp;I$3,Mantenimiento[Fecha Entrada],"&lt;="&amp;I$4)</f>
        <v>0</v>
      </c>
      <c r="J126" s="501">
        <f>COUNTIFS(Mantenimiento[Tipo],"Preventivo",Mantenimiento[Placa Vehiculo],IF($D126="","*",$D126),Mantenimiento[Fecha Entrada],"&gt;="&amp;J$3,Mantenimiento[Fecha Entrada],"&lt;="&amp;J$4)</f>
        <v>1</v>
      </c>
      <c r="K126" s="501">
        <f>COUNTIFS(Mantenimiento[Tipo],"Preventivo",Mantenimiento[Placa Vehiculo],IF($D126="","*",$D126),Mantenimiento[Fecha Entrada],"&gt;="&amp;K$3,Mantenimiento[Fecha Entrada],"&lt;="&amp;K$4)</f>
        <v>0</v>
      </c>
      <c r="L126" s="501">
        <f>COUNTIFS(Mantenimiento[Tipo],"Preventivo",Mantenimiento[Placa Vehiculo],IF($D126="","*",$D126),Mantenimiento[Fecha Entrada],"&gt;="&amp;L$3,Mantenimiento[Fecha Entrada],"&lt;="&amp;L$4)</f>
        <v>0</v>
      </c>
      <c r="M126" s="501">
        <f>COUNTIFS(Mantenimiento[Tipo],"Preventivo",Mantenimiento[Placa Vehiculo],IF($D126="","*",$D126),Mantenimiento[Fecha Entrada],"&gt;="&amp;M$3,Mantenimiento[Fecha Entrada],"&lt;="&amp;M$4)</f>
        <v>1</v>
      </c>
      <c r="N126" s="501">
        <f>COUNTIFS(Mantenimiento[Tipo],"Preventivo",Mantenimiento[Placa Vehiculo],IF($D126="","*",$D126),Mantenimiento[Fecha Entrada],"&gt;="&amp;N$3,Mantenimiento[Fecha Entrada],"&lt;="&amp;N$4)</f>
        <v>0</v>
      </c>
      <c r="O126" s="501">
        <f>COUNTIFS(Mantenimiento[Tipo],"Preventivo",Mantenimiento[Placa Vehiculo],IF($D126="","*",$D126),Mantenimiento[Fecha Entrada],"&gt;="&amp;O$3,Mantenimiento[Fecha Entrada],"&lt;="&amp;O$4)</f>
        <v>0</v>
      </c>
      <c r="P126" s="501">
        <f>COUNTIFS(Mantenimiento[Tipo],"Preventivo",Mantenimiento[Placa Vehiculo],IF($D126="","*",$D126),Mantenimiento[Fecha Entrada],"&gt;="&amp;P$3,Mantenimiento[Fecha Entrada],"&lt;="&amp;P$4)</f>
        <v>1</v>
      </c>
      <c r="Q126" s="501">
        <f>COUNTIFS(Mantenimiento[Tipo],"Preventivo",Mantenimiento[Placa Vehiculo],IF($D126="","*",$D126),Mantenimiento[Fecha Entrada],"&gt;="&amp;Q$3,Mantenimiento[Fecha Entrada],"&lt;="&amp;Q$4)</f>
        <v>0</v>
      </c>
      <c r="R126" s="506">
        <f t="shared" si="38"/>
        <v>4</v>
      </c>
    </row>
    <row r="127" spans="1:24" ht="25" customHeight="1" x14ac:dyDescent="0.2">
      <c r="A127" s="47"/>
      <c r="C127" s="497" t="s">
        <v>391</v>
      </c>
      <c r="D127" s="498" t="s">
        <v>308</v>
      </c>
      <c r="E127" s="464"/>
      <c r="F127" s="501">
        <f>COUNTIFS(Mantenimiento[Tipo],"Preventivo",Mantenimiento[Placa Vehiculo],IF($D96="","*",$D96),Mantenimiento[Fecha Entrada],"&gt;="&amp;F$3,Mantenimiento[Fecha Entrada],"&lt;="&amp;F$4)</f>
        <v>1</v>
      </c>
      <c r="G127" s="501">
        <f>COUNTIFS(Mantenimiento[Tipo],"Preventivo",Mantenimiento[Placa Vehiculo],IF($D127="","*",$D127),Mantenimiento[Fecha Entrada],"&gt;="&amp;G$3,Mantenimiento[Fecha Entrada],"&lt;="&amp;G$4)</f>
        <v>0</v>
      </c>
      <c r="H127" s="502">
        <f>COUNTIFS(Mantenimiento[Tipo],"Preventivo",Mantenimiento[Placa Vehiculo],IF($D127="","*",$D127),Mantenimiento[Fecha Entrada],"&gt;="&amp;H$3,Mantenimiento[Fecha Entrada],"&lt;="&amp;H$4)</f>
        <v>0</v>
      </c>
      <c r="I127" s="501">
        <f>COUNTIFS(Mantenimiento[Tipo],"Preventivo",Mantenimiento[Placa Vehiculo],IF($D127="","*",$D127),Mantenimiento[Fecha Entrada],"&gt;="&amp;I$3,Mantenimiento[Fecha Entrada],"&lt;="&amp;I$4)</f>
        <v>0</v>
      </c>
      <c r="J127" s="501">
        <f>COUNTIFS(Mantenimiento[Tipo],"Preventivo",Mantenimiento[Placa Vehiculo],IF($D127="","*",$D127),Mantenimiento[Fecha Entrada],"&gt;="&amp;J$3,Mantenimiento[Fecha Entrada],"&lt;="&amp;J$4)</f>
        <v>1</v>
      </c>
      <c r="K127" s="501">
        <f>COUNTIFS(Mantenimiento[Tipo],"Preventivo",Mantenimiento[Placa Vehiculo],IF($D127="","*",$D127),Mantenimiento[Fecha Entrada],"&gt;="&amp;K$3,Mantenimiento[Fecha Entrada],"&lt;="&amp;K$4)</f>
        <v>1</v>
      </c>
      <c r="L127" s="501">
        <f>COUNTIFS(Mantenimiento[Tipo],"Preventivo",Mantenimiento[Placa Vehiculo],IF($D127="","*",$D127),Mantenimiento[Fecha Entrada],"&gt;="&amp;L$3,Mantenimiento[Fecha Entrada],"&lt;="&amp;L$4)</f>
        <v>0</v>
      </c>
      <c r="M127" s="501">
        <f>COUNTIFS(Mantenimiento[Tipo],"Preventivo",Mantenimiento[Placa Vehiculo],IF($D127="","*",$D127),Mantenimiento[Fecha Entrada],"&gt;="&amp;M$3,Mantenimiento[Fecha Entrada],"&lt;="&amp;M$4)</f>
        <v>1</v>
      </c>
      <c r="N127" s="501">
        <f>COUNTIFS(Mantenimiento[Tipo],"Preventivo",Mantenimiento[Placa Vehiculo],IF($D127="","*",$D127),Mantenimiento[Fecha Entrada],"&gt;="&amp;N$3,Mantenimiento[Fecha Entrada],"&lt;="&amp;N$4)</f>
        <v>1</v>
      </c>
      <c r="O127" s="501">
        <f>COUNTIFS(Mantenimiento[Tipo],"Preventivo",Mantenimiento[Placa Vehiculo],IF($D127="","*",$D127),Mantenimiento[Fecha Entrada],"&gt;="&amp;O$3,Mantenimiento[Fecha Entrada],"&lt;="&amp;O$4)</f>
        <v>1</v>
      </c>
      <c r="P127" s="501">
        <f>COUNTIFS(Mantenimiento[Tipo],"Preventivo",Mantenimiento[Placa Vehiculo],IF($D127="","*",$D127),Mantenimiento[Fecha Entrada],"&gt;="&amp;P$3,Mantenimiento[Fecha Entrada],"&lt;="&amp;P$4)</f>
        <v>1</v>
      </c>
      <c r="Q127" s="501">
        <f>COUNTIFS(Mantenimiento[Tipo],"Preventivo",Mantenimiento[Placa Vehiculo],IF($D127="","*",$D127),Mantenimiento[Fecha Entrada],"&gt;="&amp;Q$3,Mantenimiento[Fecha Entrada],"&lt;="&amp;Q$4)</f>
        <v>1</v>
      </c>
      <c r="R127" s="506">
        <f t="shared" si="38"/>
        <v>8</v>
      </c>
    </row>
    <row r="128" spans="1:24" ht="25" customHeight="1" x14ac:dyDescent="0.2">
      <c r="A128" s="47"/>
      <c r="C128" s="497" t="s">
        <v>390</v>
      </c>
      <c r="D128" s="498" t="s">
        <v>310</v>
      </c>
      <c r="E128" s="464"/>
      <c r="F128" s="501">
        <f>COUNTIFS(Mantenimiento[Tipo],"Preventivo",Mantenimiento[Placa Vehiculo],IF(#REF!="","*",#REF!),Mantenimiento[Fecha Entrada],"&gt;="&amp;F$3,Mantenimiento[Fecha Entrada],"&lt;="&amp;F$4)</f>
        <v>0</v>
      </c>
      <c r="G128" s="501">
        <f>COUNTIFS(Mantenimiento[Tipo],"Preventivo",Mantenimiento[Placa Vehiculo],IF($D128="","*",$D128),Mantenimiento[Fecha Entrada],"&gt;="&amp;G$3,Mantenimiento[Fecha Entrada],"&lt;="&amp;G$4)</f>
        <v>0</v>
      </c>
      <c r="H128" s="502">
        <f>COUNTIFS(Mantenimiento[Tipo],"Preventivo",Mantenimiento[Placa Vehiculo],IF($D128="","*",$D128),Mantenimiento[Fecha Entrada],"&gt;="&amp;H$3,Mantenimiento[Fecha Entrada],"&lt;="&amp;H$4)</f>
        <v>0</v>
      </c>
      <c r="I128" s="501">
        <f>COUNTIFS(Mantenimiento[Tipo],"Preventivo",Mantenimiento[Placa Vehiculo],IF($D128="","*",$D128),Mantenimiento[Fecha Entrada],"&gt;="&amp;I$3,Mantenimiento[Fecha Entrada],"&lt;="&amp;I$4)</f>
        <v>0</v>
      </c>
      <c r="J128" s="501">
        <f>COUNTIFS(Mantenimiento[Tipo],"Preventivo",Mantenimiento[Placa Vehiculo],IF($D128="","*",$D128),Mantenimiento[Fecha Entrada],"&gt;="&amp;J$3,Mantenimiento[Fecha Entrada],"&lt;="&amp;J$4)</f>
        <v>0</v>
      </c>
      <c r="K128" s="501">
        <f>COUNTIFS(Mantenimiento[Tipo],"Preventivo",Mantenimiento[Placa Vehiculo],IF($D128="","*",$D128),Mantenimiento[Fecha Entrada],"&gt;="&amp;K$3,Mantenimiento[Fecha Entrada],"&lt;="&amp;K$4)</f>
        <v>0</v>
      </c>
      <c r="L128" s="501">
        <f>COUNTIFS(Mantenimiento[Tipo],"Preventivo",Mantenimiento[Placa Vehiculo],IF($D128="","*",$D128),Mantenimiento[Fecha Entrada],"&gt;="&amp;L$3,Mantenimiento[Fecha Entrada],"&lt;="&amp;L$4)</f>
        <v>0</v>
      </c>
      <c r="M128" s="501">
        <f>COUNTIFS(Mantenimiento[Tipo],"Preventivo",Mantenimiento[Placa Vehiculo],IF($D128="","*",$D128),Mantenimiento[Fecha Entrada],"&gt;="&amp;M$3,Mantenimiento[Fecha Entrada],"&lt;="&amp;M$4)</f>
        <v>0</v>
      </c>
      <c r="N128" s="501">
        <f>COUNTIFS(Mantenimiento[Tipo],"Preventivo",Mantenimiento[Placa Vehiculo],IF($D128="","*",$D128),Mantenimiento[Fecha Entrada],"&gt;="&amp;N$3,Mantenimiento[Fecha Entrada],"&lt;="&amp;N$4)</f>
        <v>0</v>
      </c>
      <c r="O128" s="501">
        <f>COUNTIFS(Mantenimiento[Tipo],"Preventivo",Mantenimiento[Placa Vehiculo],IF($D128="","*",$D128),Mantenimiento[Fecha Entrada],"&gt;="&amp;O$3,Mantenimiento[Fecha Entrada],"&lt;="&amp;O$4)</f>
        <v>0</v>
      </c>
      <c r="P128" s="501">
        <f>COUNTIFS(Mantenimiento[Tipo],"Preventivo",Mantenimiento[Placa Vehiculo],IF($D128="","*",$D128),Mantenimiento[Fecha Entrada],"&gt;="&amp;P$3,Mantenimiento[Fecha Entrada],"&lt;="&amp;P$4)</f>
        <v>0</v>
      </c>
      <c r="Q128" s="501">
        <f>COUNTIFS(Mantenimiento[Tipo],"Preventivo",Mantenimiento[Placa Vehiculo],IF($D128="","*",$D128),Mantenimiento[Fecha Entrada],"&gt;="&amp;Q$3,Mantenimiento[Fecha Entrada],"&lt;="&amp;Q$4)</f>
        <v>0</v>
      </c>
      <c r="R128" s="506">
        <f t="shared" si="38"/>
        <v>0</v>
      </c>
    </row>
    <row r="129" spans="1:18" ht="25" customHeight="1" x14ac:dyDescent="0.2">
      <c r="A129" s="47"/>
      <c r="C129" s="497" t="s">
        <v>390</v>
      </c>
      <c r="D129" s="498" t="s">
        <v>311</v>
      </c>
      <c r="E129" s="464"/>
      <c r="F129" s="501">
        <f>COUNTIFS(Mantenimiento[Tipo],"Preventivo",Mantenimiento[Placa Vehiculo],IF($D97="","*",$D97),Mantenimiento[Fecha Entrada],"&gt;="&amp;F$3,Mantenimiento[Fecha Entrada],"&lt;="&amp;F$4)</f>
        <v>1</v>
      </c>
      <c r="G129" s="501">
        <f>COUNTIFS(Mantenimiento[Tipo],"Preventivo",Mantenimiento[Placa Vehiculo],IF($D129="","*",$D129),Mantenimiento[Fecha Entrada],"&gt;="&amp;G$3,Mantenimiento[Fecha Entrada],"&lt;="&amp;G$4)</f>
        <v>0</v>
      </c>
      <c r="H129" s="501">
        <f>COUNTIFS(Mantenimiento[Tipo],"Preventivo",Mantenimiento[Placa Vehiculo],IF($D129="","*",$D129),Mantenimiento[Fecha Entrada],"&gt;="&amp;H$3,Mantenimiento[Fecha Entrada],"&lt;="&amp;H$4)</f>
        <v>1</v>
      </c>
      <c r="I129" s="501">
        <f>COUNTIFS(Mantenimiento[Tipo],"Preventivo",Mantenimiento[Placa Vehiculo],IF($D129="","*",$D129),Mantenimiento[Fecha Entrada],"&gt;="&amp;I$3,Mantenimiento[Fecha Entrada],"&lt;="&amp;I$4)</f>
        <v>1</v>
      </c>
      <c r="J129" s="501">
        <f>COUNTIFS(Mantenimiento[Tipo],"Preventivo",Mantenimiento[Placa Vehiculo],IF($D129="","*",$D129),Mantenimiento[Fecha Entrada],"&gt;="&amp;J$3,Mantenimiento[Fecha Entrada],"&lt;="&amp;J$4)</f>
        <v>0</v>
      </c>
      <c r="K129" s="501">
        <f>COUNTIFS(Mantenimiento[Tipo],"Preventivo",Mantenimiento[Placa Vehiculo],IF($D129="","*",$D129),Mantenimiento[Fecha Entrada],"&gt;="&amp;K$3,Mantenimiento[Fecha Entrada],"&lt;="&amp;K$4)</f>
        <v>1</v>
      </c>
      <c r="L129" s="501">
        <f>COUNTIFS(Mantenimiento[Tipo],"Preventivo",Mantenimiento[Placa Vehiculo],IF($D129="","*",$D129),Mantenimiento[Fecha Entrada],"&gt;="&amp;L$3,Mantenimiento[Fecha Entrada],"&lt;="&amp;L$4)</f>
        <v>1</v>
      </c>
      <c r="M129" s="501">
        <f>COUNTIFS(Mantenimiento[Tipo],"Preventivo",Mantenimiento[Placa Vehiculo],IF($D129="","*",$D129),Mantenimiento[Fecha Entrada],"&gt;="&amp;M$3,Mantenimiento[Fecha Entrada],"&lt;="&amp;M$4)</f>
        <v>0</v>
      </c>
      <c r="N129" s="501">
        <f>COUNTIFS(Mantenimiento[Tipo],"Preventivo",Mantenimiento[Placa Vehiculo],IF($D129="","*",$D129),Mantenimiento[Fecha Entrada],"&gt;="&amp;N$3,Mantenimiento[Fecha Entrada],"&lt;="&amp;N$4)</f>
        <v>1</v>
      </c>
      <c r="O129" s="501">
        <f>COUNTIFS(Mantenimiento[Tipo],"Preventivo",Mantenimiento[Placa Vehiculo],IF($D129="","*",$D129),Mantenimiento[Fecha Entrada],"&gt;="&amp;O$3,Mantenimiento[Fecha Entrada],"&lt;="&amp;O$4)</f>
        <v>0</v>
      </c>
      <c r="P129" s="501">
        <f>COUNTIFS(Mantenimiento[Tipo],"Preventivo",Mantenimiento[Placa Vehiculo],IF($D129="","*",$D129),Mantenimiento[Fecha Entrada],"&gt;="&amp;P$3,Mantenimiento[Fecha Entrada],"&lt;="&amp;P$4)</f>
        <v>0</v>
      </c>
      <c r="Q129" s="501">
        <f>COUNTIFS(Mantenimiento[Tipo],"Preventivo",Mantenimiento[Placa Vehiculo],IF($D129="","*",$D129),Mantenimiento[Fecha Entrada],"&gt;="&amp;Q$3,Mantenimiento[Fecha Entrada],"&lt;="&amp;Q$4)</f>
        <v>0</v>
      </c>
      <c r="R129" s="506">
        <f t="shared" si="38"/>
        <v>6</v>
      </c>
    </row>
    <row r="130" spans="1:18" ht="25" customHeight="1" x14ac:dyDescent="0.2">
      <c r="A130" s="47"/>
      <c r="C130" s="497" t="s">
        <v>390</v>
      </c>
      <c r="D130" s="498" t="s">
        <v>312</v>
      </c>
      <c r="E130" s="464"/>
      <c r="F130" s="501">
        <f>COUNTIFS(Mantenimiento[Tipo],"Preventivo",Mantenimiento[Placa Vehiculo],IF($D98="","*",$D98),Mantenimiento[Fecha Entrada],"&gt;="&amp;F$3,Mantenimiento[Fecha Entrada],"&lt;="&amp;F$4)</f>
        <v>1</v>
      </c>
      <c r="G130" s="501">
        <f>COUNTIFS(Mantenimiento[Tipo],"Preventivo",Mantenimiento[Placa Vehiculo],IF($D130="","*",$D130),Mantenimiento[Fecha Entrada],"&gt;="&amp;G$3,Mantenimiento[Fecha Entrada],"&lt;="&amp;G$4)</f>
        <v>0</v>
      </c>
      <c r="H130" s="502">
        <f>COUNTIFS(Mantenimiento[Tipo],"Preventivo",Mantenimiento[Placa Vehiculo],IF($D130="","*",$D130),Mantenimiento[Fecha Entrada],"&gt;="&amp;H$3,Mantenimiento[Fecha Entrada],"&lt;="&amp;H$4)</f>
        <v>0</v>
      </c>
      <c r="I130" s="501">
        <f>COUNTIFS(Mantenimiento[Tipo],"Preventivo",Mantenimiento[Placa Vehiculo],IF($D130="","*",$D130),Mantenimiento[Fecha Entrada],"&gt;="&amp;I$3,Mantenimiento[Fecha Entrada],"&lt;="&amp;I$4)</f>
        <v>0</v>
      </c>
      <c r="J130" s="501">
        <f>COUNTIFS(Mantenimiento[Tipo],"Preventivo",Mantenimiento[Placa Vehiculo],IF($D130="","*",$D130),Mantenimiento[Fecha Entrada],"&gt;="&amp;J$3,Mantenimiento[Fecha Entrada],"&lt;="&amp;J$4)</f>
        <v>0</v>
      </c>
      <c r="K130" s="501">
        <f>COUNTIFS(Mantenimiento[Tipo],"Preventivo",Mantenimiento[Placa Vehiculo],IF($D130="","*",$D130),Mantenimiento[Fecha Entrada],"&gt;="&amp;K$3,Mantenimiento[Fecha Entrada],"&lt;="&amp;K$4)</f>
        <v>1</v>
      </c>
      <c r="L130" s="501">
        <f>COUNTIFS(Mantenimiento[Tipo],"Preventivo",Mantenimiento[Placa Vehiculo],IF($D130="","*",$D130),Mantenimiento[Fecha Entrada],"&gt;="&amp;L$3,Mantenimiento[Fecha Entrada],"&lt;="&amp;L$4)</f>
        <v>0</v>
      </c>
      <c r="M130" s="501">
        <f>COUNTIFS(Mantenimiento[Tipo],"Preventivo",Mantenimiento[Placa Vehiculo],IF($D130="","*",$D130),Mantenimiento[Fecha Entrada],"&gt;="&amp;M$3,Mantenimiento[Fecha Entrada],"&lt;="&amp;M$4)</f>
        <v>1</v>
      </c>
      <c r="N130" s="501">
        <f>COUNTIFS(Mantenimiento[Tipo],"Preventivo",Mantenimiento[Placa Vehiculo],IF($D130="","*",$D130),Mantenimiento[Fecha Entrada],"&gt;="&amp;N$3,Mantenimiento[Fecha Entrada],"&lt;="&amp;N$4)</f>
        <v>1</v>
      </c>
      <c r="O130" s="501">
        <f>COUNTIFS(Mantenimiento[Tipo],"Preventivo",Mantenimiento[Placa Vehiculo],IF($D130="","*",$D130),Mantenimiento[Fecha Entrada],"&gt;="&amp;O$3,Mantenimiento[Fecha Entrada],"&lt;="&amp;O$4)</f>
        <v>0</v>
      </c>
      <c r="P130" s="501">
        <f>COUNTIFS(Mantenimiento[Tipo],"Preventivo",Mantenimiento[Placa Vehiculo],IF($D130="","*",$D130),Mantenimiento[Fecha Entrada],"&gt;="&amp;P$3,Mantenimiento[Fecha Entrada],"&lt;="&amp;P$4)</f>
        <v>1</v>
      </c>
      <c r="Q130" s="501">
        <f>COUNTIFS(Mantenimiento[Tipo],"Preventivo",Mantenimiento[Placa Vehiculo],IF($D130="","*",$D130),Mantenimiento[Fecha Entrada],"&gt;="&amp;Q$3,Mantenimiento[Fecha Entrada],"&lt;="&amp;Q$4)</f>
        <v>1</v>
      </c>
      <c r="R130" s="506">
        <f t="shared" si="38"/>
        <v>6</v>
      </c>
    </row>
    <row r="131" spans="1:18" ht="25" customHeight="1" x14ac:dyDescent="0.2">
      <c r="A131" s="47"/>
      <c r="C131" s="497" t="s">
        <v>390</v>
      </c>
      <c r="D131" s="498" t="s">
        <v>313</v>
      </c>
      <c r="E131" s="464"/>
      <c r="F131" s="501">
        <f>COUNTIFS(Mantenimiento[Tipo],"Preventivo",Mantenimiento[Placa Vehiculo],IF($D99="","*",$D99),Mantenimiento[Fecha Entrada],"&gt;="&amp;F$3,Mantenimiento[Fecha Entrada],"&lt;="&amp;F$4)</f>
        <v>0</v>
      </c>
      <c r="G131" s="501">
        <f>COUNTIFS(Mantenimiento[Tipo],"Preventivo",Mantenimiento[Placa Vehiculo],IF($D131="","*",$D131),Mantenimiento[Fecha Entrada],"&gt;="&amp;G$3,Mantenimiento[Fecha Entrada],"&lt;="&amp;G$4)</f>
        <v>0</v>
      </c>
      <c r="H131" s="502">
        <f>COUNTIFS(Mantenimiento[Tipo],"Preventivo",Mantenimiento[Placa Vehiculo],IF($D131="","*",$D131),Mantenimiento[Fecha Entrada],"&gt;="&amp;H$3,Mantenimiento[Fecha Entrada],"&lt;="&amp;H$4)</f>
        <v>0</v>
      </c>
      <c r="I131" s="501">
        <f>COUNTIFS(Mantenimiento[Tipo],"Preventivo",Mantenimiento[Placa Vehiculo],IF($D131="","*",$D131),Mantenimiento[Fecha Entrada],"&gt;="&amp;I$3,Mantenimiento[Fecha Entrada],"&lt;="&amp;I$4)</f>
        <v>0</v>
      </c>
      <c r="J131" s="501">
        <f>COUNTIFS(Mantenimiento[Tipo],"Preventivo",Mantenimiento[Placa Vehiculo],IF($D131="","*",$D131),Mantenimiento[Fecha Entrada],"&gt;="&amp;J$3,Mantenimiento[Fecha Entrada],"&lt;="&amp;J$4)</f>
        <v>0</v>
      </c>
      <c r="K131" s="501">
        <f>COUNTIFS(Mantenimiento[Tipo],"Preventivo",Mantenimiento[Placa Vehiculo],IF($D131="","*",$D131),Mantenimiento[Fecha Entrada],"&gt;="&amp;K$3,Mantenimiento[Fecha Entrada],"&lt;="&amp;K$4)</f>
        <v>0</v>
      </c>
      <c r="L131" s="501">
        <f>COUNTIFS(Mantenimiento[Tipo],"Preventivo",Mantenimiento[Placa Vehiculo],IF($D131="","*",$D131),Mantenimiento[Fecha Entrada],"&gt;="&amp;L$3,Mantenimiento[Fecha Entrada],"&lt;="&amp;L$4)</f>
        <v>0</v>
      </c>
      <c r="M131" s="501">
        <f>COUNTIFS(Mantenimiento[Tipo],"Preventivo",Mantenimiento[Placa Vehiculo],IF($D131="","*",$D131),Mantenimiento[Fecha Entrada],"&gt;="&amp;M$3,Mantenimiento[Fecha Entrada],"&lt;="&amp;M$4)</f>
        <v>0</v>
      </c>
      <c r="N131" s="501">
        <f>COUNTIFS(Mantenimiento[Tipo],"Preventivo",Mantenimiento[Placa Vehiculo],IF($D131="","*",$D131),Mantenimiento[Fecha Entrada],"&gt;="&amp;N$3,Mantenimiento[Fecha Entrada],"&lt;="&amp;N$4)</f>
        <v>0</v>
      </c>
      <c r="O131" s="501">
        <f>COUNTIFS(Mantenimiento[Tipo],"Preventivo",Mantenimiento[Placa Vehiculo],IF($D131="","*",$D131),Mantenimiento[Fecha Entrada],"&gt;="&amp;O$3,Mantenimiento[Fecha Entrada],"&lt;="&amp;O$4)</f>
        <v>0</v>
      </c>
      <c r="P131" s="501">
        <f>COUNTIFS(Mantenimiento[Tipo],"Preventivo",Mantenimiento[Placa Vehiculo],IF($D131="","*",$D131),Mantenimiento[Fecha Entrada],"&gt;="&amp;P$3,Mantenimiento[Fecha Entrada],"&lt;="&amp;P$4)</f>
        <v>0</v>
      </c>
      <c r="Q131" s="501">
        <f>COUNTIFS(Mantenimiento[Tipo],"Preventivo",Mantenimiento[Placa Vehiculo],IF($D131="","*",$D131),Mantenimiento[Fecha Entrada],"&gt;="&amp;Q$3,Mantenimiento[Fecha Entrada],"&lt;="&amp;Q$4)</f>
        <v>0</v>
      </c>
      <c r="R131" s="506">
        <f t="shared" si="38"/>
        <v>0</v>
      </c>
    </row>
    <row r="132" spans="1:18" ht="25" customHeight="1" x14ac:dyDescent="0.2">
      <c r="A132" s="47"/>
      <c r="C132" s="497" t="s">
        <v>390</v>
      </c>
      <c r="D132" s="498" t="s">
        <v>318</v>
      </c>
      <c r="E132" s="464"/>
      <c r="F132" s="501">
        <f>COUNTIFS(Mantenimiento[Tipo],"Preventivo",Mantenimiento[Placa Vehiculo],IF($D100="","*",$D100),Mantenimiento[Fecha Entrada],"&gt;="&amp;F$3,Mantenimiento[Fecha Entrada],"&lt;="&amp;F$4)</f>
        <v>0</v>
      </c>
      <c r="G132" s="501">
        <f>COUNTIFS(Mantenimiento[Tipo],"Preventivo",Mantenimiento[Placa Vehiculo],IF($D132="","*",$D132),Mantenimiento[Fecha Entrada],"&gt;="&amp;G$3,Mantenimiento[Fecha Entrada],"&lt;="&amp;G$4)</f>
        <v>0</v>
      </c>
      <c r="H132" s="502">
        <f>COUNTIFS(Mantenimiento[Tipo],"Preventivo",Mantenimiento[Placa Vehiculo],IF($D132="","*",$D132),Mantenimiento[Fecha Entrada],"&gt;="&amp;H$3,Mantenimiento[Fecha Entrada],"&lt;="&amp;H$4)</f>
        <v>0</v>
      </c>
      <c r="I132" s="501">
        <f>COUNTIFS(Mantenimiento[Tipo],"Preventivo",Mantenimiento[Placa Vehiculo],IF($D132="","*",$D132),Mantenimiento[Fecha Entrada],"&gt;="&amp;I$3,Mantenimiento[Fecha Entrada],"&lt;="&amp;I$4)</f>
        <v>1</v>
      </c>
      <c r="J132" s="501">
        <f>COUNTIFS(Mantenimiento[Tipo],"Preventivo",Mantenimiento[Placa Vehiculo],IF($D132="","*",$D132),Mantenimiento[Fecha Entrada],"&gt;="&amp;J$3,Mantenimiento[Fecha Entrada],"&lt;="&amp;J$4)</f>
        <v>0</v>
      </c>
      <c r="K132" s="501">
        <f>COUNTIFS(Mantenimiento[Tipo],"Preventivo",Mantenimiento[Placa Vehiculo],IF($D132="","*",$D132),Mantenimiento[Fecha Entrada],"&gt;="&amp;K$3,Mantenimiento[Fecha Entrada],"&lt;="&amp;K$4)</f>
        <v>1</v>
      </c>
      <c r="L132" s="501">
        <f>COUNTIFS(Mantenimiento[Tipo],"Preventivo",Mantenimiento[Placa Vehiculo],IF($D132="","*",$D132),Mantenimiento[Fecha Entrada],"&gt;="&amp;L$3,Mantenimiento[Fecha Entrada],"&lt;="&amp;L$4)</f>
        <v>0</v>
      </c>
      <c r="M132" s="501">
        <f>COUNTIFS(Mantenimiento[Tipo],"Preventivo",Mantenimiento[Placa Vehiculo],IF($D132="","*",$D132),Mantenimiento[Fecha Entrada],"&gt;="&amp;M$3,Mantenimiento[Fecha Entrada],"&lt;="&amp;M$4)</f>
        <v>0</v>
      </c>
      <c r="N132" s="501">
        <f>COUNTIFS(Mantenimiento[Tipo],"Preventivo",Mantenimiento[Placa Vehiculo],IF($D132="","*",$D132),Mantenimiento[Fecha Entrada],"&gt;="&amp;N$3,Mantenimiento[Fecha Entrada],"&lt;="&amp;N$4)</f>
        <v>1</v>
      </c>
      <c r="O132" s="501">
        <f>COUNTIFS(Mantenimiento[Tipo],"Preventivo",Mantenimiento[Placa Vehiculo],IF($D132="","*",$D132),Mantenimiento[Fecha Entrada],"&gt;="&amp;O$3,Mantenimiento[Fecha Entrada],"&lt;="&amp;O$4)</f>
        <v>1</v>
      </c>
      <c r="P132" s="501">
        <f>COUNTIFS(Mantenimiento[Tipo],"Preventivo",Mantenimiento[Placa Vehiculo],IF($D132="","*",$D132),Mantenimiento[Fecha Entrada],"&gt;="&amp;P$3,Mantenimiento[Fecha Entrada],"&lt;="&amp;P$4)</f>
        <v>0</v>
      </c>
      <c r="Q132" s="501">
        <f>COUNTIFS(Mantenimiento[Tipo],"Preventivo",Mantenimiento[Placa Vehiculo],IF($D132="","*",$D132),Mantenimiento[Fecha Entrada],"&gt;="&amp;Q$3,Mantenimiento[Fecha Entrada],"&lt;="&amp;Q$4)</f>
        <v>1</v>
      </c>
      <c r="R132" s="506">
        <f t="shared" si="38"/>
        <v>5</v>
      </c>
    </row>
    <row r="133" spans="1:18" ht="25" customHeight="1" x14ac:dyDescent="0.2">
      <c r="A133" s="47"/>
      <c r="C133" s="497" t="s">
        <v>390</v>
      </c>
      <c r="D133" s="498" t="s">
        <v>320</v>
      </c>
      <c r="E133" s="464"/>
      <c r="F133" s="501">
        <f>COUNTIFS(Mantenimiento[Tipo],"Preventivo",Mantenimiento[Placa Vehiculo],IF($D101="","*",$D101),Mantenimiento[Fecha Entrada],"&gt;="&amp;F$3,Mantenimiento[Fecha Entrada],"&lt;="&amp;F$4)</f>
        <v>0</v>
      </c>
      <c r="G133" s="501">
        <f>COUNTIFS(Mantenimiento[Tipo],"Preventivo",Mantenimiento[Placa Vehiculo],IF($D133="","*",$D133),Mantenimiento[Fecha Entrada],"&gt;="&amp;G$3,Mantenimiento[Fecha Entrada],"&lt;="&amp;G$4)</f>
        <v>1</v>
      </c>
      <c r="H133" s="502">
        <f>COUNTIFS(Mantenimiento[Tipo],"Preventivo",Mantenimiento[Placa Vehiculo],IF($D133="","*",$D133),Mantenimiento[Fecha Entrada],"&gt;="&amp;H$3,Mantenimiento[Fecha Entrada],"&lt;="&amp;H$4)</f>
        <v>0</v>
      </c>
      <c r="I133" s="501">
        <f>COUNTIFS(Mantenimiento[Tipo],"Preventivo",Mantenimiento[Placa Vehiculo],IF($D133="","*",$D133),Mantenimiento[Fecha Entrada],"&gt;="&amp;I$3,Mantenimiento[Fecha Entrada],"&lt;="&amp;I$4)</f>
        <v>1</v>
      </c>
      <c r="J133" s="501">
        <f>COUNTIFS(Mantenimiento[Tipo],"Preventivo",Mantenimiento[Placa Vehiculo],IF($D133="","*",$D133),Mantenimiento[Fecha Entrada],"&gt;="&amp;J$3,Mantenimiento[Fecha Entrada],"&lt;="&amp;J$4)</f>
        <v>1</v>
      </c>
      <c r="K133" s="501">
        <f>COUNTIFS(Mantenimiento[Tipo],"Preventivo",Mantenimiento[Placa Vehiculo],IF($D133="","*",$D133),Mantenimiento[Fecha Entrada],"&gt;="&amp;K$3,Mantenimiento[Fecha Entrada],"&lt;="&amp;K$4)</f>
        <v>1</v>
      </c>
      <c r="L133" s="501">
        <f>COUNTIFS(Mantenimiento[Tipo],"Preventivo",Mantenimiento[Placa Vehiculo],IF($D133="","*",$D133),Mantenimiento[Fecha Entrada],"&gt;="&amp;L$3,Mantenimiento[Fecha Entrada],"&lt;="&amp;L$4)</f>
        <v>0</v>
      </c>
      <c r="M133" s="501">
        <f>COUNTIFS(Mantenimiento[Tipo],"Preventivo",Mantenimiento[Placa Vehiculo],IF($D133="","*",$D133),Mantenimiento[Fecha Entrada],"&gt;="&amp;M$3,Mantenimiento[Fecha Entrada],"&lt;="&amp;M$4)</f>
        <v>0</v>
      </c>
      <c r="N133" s="501">
        <f>COUNTIFS(Mantenimiento[Tipo],"Preventivo",Mantenimiento[Placa Vehiculo],IF($D133="","*",$D133),Mantenimiento[Fecha Entrada],"&gt;="&amp;N$3,Mantenimiento[Fecha Entrada],"&lt;="&amp;N$4)</f>
        <v>1</v>
      </c>
      <c r="O133" s="501">
        <f>COUNTIFS(Mantenimiento[Tipo],"Preventivo",Mantenimiento[Placa Vehiculo],IF($D133="","*",$D133),Mantenimiento[Fecha Entrada],"&gt;="&amp;O$3,Mantenimiento[Fecha Entrada],"&lt;="&amp;O$4)</f>
        <v>1</v>
      </c>
      <c r="P133" s="501">
        <f>COUNTIFS(Mantenimiento[Tipo],"Preventivo",Mantenimiento[Placa Vehiculo],IF($D133="","*",$D133),Mantenimiento[Fecha Entrada],"&gt;="&amp;P$3,Mantenimiento[Fecha Entrada],"&lt;="&amp;P$4)</f>
        <v>1</v>
      </c>
      <c r="Q133" s="501">
        <f>COUNTIFS(Mantenimiento[Tipo],"Preventivo",Mantenimiento[Placa Vehiculo],IF($D133="","*",$D133),Mantenimiento[Fecha Entrada],"&gt;="&amp;Q$3,Mantenimiento[Fecha Entrada],"&lt;="&amp;Q$4)</f>
        <v>1</v>
      </c>
      <c r="R133" s="506">
        <f t="shared" si="38"/>
        <v>8</v>
      </c>
    </row>
    <row r="134" spans="1:18" ht="25" customHeight="1" x14ac:dyDescent="0.2">
      <c r="A134" s="47"/>
      <c r="C134" s="497" t="s">
        <v>390</v>
      </c>
      <c r="D134" s="498" t="s">
        <v>352</v>
      </c>
      <c r="E134" s="464"/>
      <c r="F134" s="501">
        <f>COUNTIFS(Mantenimiento[Tipo],"Preventivo",Mantenimiento[Placa Vehiculo],IF($D102="","*",$D102),Mantenimiento[Fecha Entrada],"&gt;="&amp;F$3,Mantenimiento[Fecha Entrada],"&lt;="&amp;F$4)</f>
        <v>0</v>
      </c>
      <c r="G134" s="501">
        <f>COUNTIFS(Mantenimiento[Tipo],"Preventivo",Mantenimiento[Placa Vehiculo],IF($D134="","*",$D134),Mantenimiento[Fecha Entrada],"&gt;="&amp;G$3,Mantenimiento[Fecha Entrada],"&lt;="&amp;G$4)</f>
        <v>0</v>
      </c>
      <c r="H134" s="502">
        <f>COUNTIFS(Mantenimiento[Tipo],"Preventivo",Mantenimiento[Placa Vehiculo],IF($D134="","*",$D134),Mantenimiento[Fecha Entrada],"&gt;="&amp;H$3,Mantenimiento[Fecha Entrada],"&lt;="&amp;H$4)</f>
        <v>0</v>
      </c>
      <c r="I134" s="501">
        <f>COUNTIFS(Mantenimiento[Tipo],"Preventivo",Mantenimiento[Placa Vehiculo],IF($D134="","*",$D134),Mantenimiento[Fecha Entrada],"&gt;="&amp;I$3,Mantenimiento[Fecha Entrada],"&lt;="&amp;I$4)</f>
        <v>0</v>
      </c>
      <c r="J134" s="501">
        <f>COUNTIFS(Mantenimiento[Tipo],"Preventivo",Mantenimiento[Placa Vehiculo],IF($D134="","*",$D134),Mantenimiento[Fecha Entrada],"&gt;="&amp;J$3,Mantenimiento[Fecha Entrada],"&lt;="&amp;J$4)</f>
        <v>1</v>
      </c>
      <c r="K134" s="501">
        <f>COUNTIFS(Mantenimiento[Tipo],"Preventivo",Mantenimiento[Placa Vehiculo],IF($D134="","*",$D134),Mantenimiento[Fecha Entrada],"&gt;="&amp;K$3,Mantenimiento[Fecha Entrada],"&lt;="&amp;K$4)</f>
        <v>0</v>
      </c>
      <c r="L134" s="501">
        <f>COUNTIFS(Mantenimiento[Tipo],"Preventivo",Mantenimiento[Placa Vehiculo],IF($D134="","*",$D134),Mantenimiento[Fecha Entrada],"&gt;="&amp;L$3,Mantenimiento[Fecha Entrada],"&lt;="&amp;L$4)</f>
        <v>0</v>
      </c>
      <c r="M134" s="501">
        <f>COUNTIFS(Mantenimiento[Tipo],"Preventivo",Mantenimiento[Placa Vehiculo],IF($D134="","*",$D134),Mantenimiento[Fecha Entrada],"&gt;="&amp;M$3,Mantenimiento[Fecha Entrada],"&lt;="&amp;M$4)</f>
        <v>0</v>
      </c>
      <c r="N134" s="501">
        <f>COUNTIFS(Mantenimiento[Tipo],"Preventivo",Mantenimiento[Placa Vehiculo],IF($D134="","*",$D134),Mantenimiento[Fecha Entrada],"&gt;="&amp;N$3,Mantenimiento[Fecha Entrada],"&lt;="&amp;N$4)</f>
        <v>1</v>
      </c>
      <c r="O134" s="501">
        <f>COUNTIFS(Mantenimiento[Tipo],"Preventivo",Mantenimiento[Placa Vehiculo],IF($D134="","*",$D134),Mantenimiento[Fecha Entrada],"&gt;="&amp;O$3,Mantenimiento[Fecha Entrada],"&lt;="&amp;O$4)</f>
        <v>1</v>
      </c>
      <c r="P134" s="501">
        <f>COUNTIFS(Mantenimiento[Tipo],"Preventivo",Mantenimiento[Placa Vehiculo],IF($D134="","*",$D134),Mantenimiento[Fecha Entrada],"&gt;="&amp;P$3,Mantenimiento[Fecha Entrada],"&lt;="&amp;P$4)</f>
        <v>0</v>
      </c>
      <c r="Q134" s="501">
        <f>COUNTIFS(Mantenimiento[Tipo],"Preventivo",Mantenimiento[Placa Vehiculo],IF($D134="","*",$D134),Mantenimiento[Fecha Entrada],"&gt;="&amp;Q$3,Mantenimiento[Fecha Entrada],"&lt;="&amp;Q$4)</f>
        <v>0</v>
      </c>
      <c r="R134" s="506">
        <f t="shared" si="38"/>
        <v>3</v>
      </c>
    </row>
    <row r="135" spans="1:18" ht="21" x14ac:dyDescent="0.2">
      <c r="A135" s="47"/>
      <c r="C135" s="558" t="s">
        <v>461</v>
      </c>
      <c r="D135" s="559" t="s">
        <v>403</v>
      </c>
      <c r="E135" s="465"/>
      <c r="F135" s="501">
        <f>COUNTIFS(Mantenimiento[Tipo],"Preventivo",Mantenimiento[Placa Vehiculo],IF($D135="","*",$D135),Mantenimiento[Fecha Entrada],"&gt;="&amp;F$3,Mantenimiento[Fecha Entrada],"&lt;="&amp;F$4)</f>
        <v>0</v>
      </c>
      <c r="G135" s="501">
        <f>COUNTIFS(Mantenimiento[Tipo],"Preventivo",Mantenimiento[Placa Vehiculo],IF($D135="","*",$D135),Mantenimiento[Fecha Entrada],"&gt;="&amp;G$3,Mantenimiento[Fecha Entrada],"&lt;="&amp;G$4)</f>
        <v>0</v>
      </c>
      <c r="H135" s="502">
        <f>COUNTIFS(Mantenimiento[Tipo],"Preventivo",Mantenimiento[Placa Vehiculo],IF($D135="","*",$D135),Mantenimiento[Fecha Entrada],"&gt;="&amp;H$3,Mantenimiento[Fecha Entrada],"&lt;="&amp;H$4)</f>
        <v>0</v>
      </c>
      <c r="I135" s="501">
        <f>COUNTIFS(Mantenimiento[Tipo],"Preventivo",Mantenimiento[Placa Vehiculo],IF($D135="","*",$D135),Mantenimiento[Fecha Entrada],"&gt;="&amp;I$3,Mantenimiento[Fecha Entrada],"&lt;="&amp;I$4)</f>
        <v>1</v>
      </c>
      <c r="J135" s="501">
        <f>COUNTIFS(Mantenimiento[Tipo],"Preventivo",Mantenimiento[Placa Vehiculo],IF($D135="","*",$D135),Mantenimiento[Fecha Entrada],"&gt;="&amp;J$3,Mantenimiento[Fecha Entrada],"&lt;="&amp;J$4)</f>
        <v>0</v>
      </c>
      <c r="K135" s="501">
        <f>COUNTIFS(Mantenimiento[Tipo],"Preventivo",Mantenimiento[Placa Vehiculo],IF($D135="","*",$D135),Mantenimiento[Fecha Entrada],"&gt;="&amp;K$3,Mantenimiento[Fecha Entrada],"&lt;="&amp;K$4)</f>
        <v>1</v>
      </c>
      <c r="L135" s="501">
        <f>COUNTIFS(Mantenimiento[Tipo],"Preventivo",Mantenimiento[Placa Vehiculo],IF($D135="","*",$D135),Mantenimiento[Fecha Entrada],"&gt;="&amp;L$3,Mantenimiento[Fecha Entrada],"&lt;="&amp;L$4)</f>
        <v>1</v>
      </c>
      <c r="M135" s="501">
        <f>COUNTIFS(Mantenimiento[Tipo],"Preventivo",Mantenimiento[Placa Vehiculo],IF($D135="","*",$D135),Mantenimiento[Fecha Entrada],"&gt;="&amp;M$3,Mantenimiento[Fecha Entrada],"&lt;="&amp;M$4)</f>
        <v>0</v>
      </c>
      <c r="N135" s="501">
        <f>COUNTIFS(Mantenimiento[Tipo],"Preventivo",Mantenimiento[Placa Vehiculo],IF($D135="","*",$D135),Mantenimiento[Fecha Entrada],"&gt;="&amp;N$3,Mantenimiento[Fecha Entrada],"&lt;="&amp;N$4)</f>
        <v>1</v>
      </c>
      <c r="O135" s="501">
        <f>COUNTIFS(Mantenimiento[Tipo],"Preventivo",Mantenimiento[Placa Vehiculo],IF($D135="","*",$D135),Mantenimiento[Fecha Entrada],"&gt;="&amp;O$3,Mantenimiento[Fecha Entrada],"&lt;="&amp;O$4)</f>
        <v>0</v>
      </c>
      <c r="P135" s="501">
        <f>COUNTIFS(Mantenimiento[Tipo],"Preventivo",Mantenimiento[Placa Vehiculo],IF($D135="","*",$D135),Mantenimiento[Fecha Entrada],"&gt;="&amp;P$3,Mantenimiento[Fecha Entrada],"&lt;="&amp;P$4)</f>
        <v>0</v>
      </c>
      <c r="Q135" s="501">
        <f>COUNTIFS(Mantenimiento[Tipo],"Preventivo",Mantenimiento[Placa Vehiculo],IF($D135="","*",$D135),Mantenimiento[Fecha Entrada],"&gt;="&amp;Q$3,Mantenimiento[Fecha Entrada],"&lt;="&amp;Q$4)</f>
        <v>1</v>
      </c>
      <c r="R135" s="506">
        <f t="shared" si="38"/>
        <v>5</v>
      </c>
    </row>
    <row r="136" spans="1:18" ht="21" x14ac:dyDescent="0.2">
      <c r="A136" s="47"/>
      <c r="C136" s="497" t="s">
        <v>391</v>
      </c>
      <c r="D136" s="498" t="s">
        <v>414</v>
      </c>
      <c r="E136" s="464"/>
      <c r="F136" s="501">
        <f>COUNTIFS(Mantenimiento[Tipo],"Preventivo",Mantenimiento[Placa Vehiculo],IF($D136="","*",$D136),Mantenimiento[Fecha Entrada],"&gt;="&amp;F$3,Mantenimiento[Fecha Entrada],"&lt;="&amp;F$4)</f>
        <v>0</v>
      </c>
      <c r="G136" s="501">
        <f>COUNTIFS(Mantenimiento[Tipo],"Preventivo",Mantenimiento[Placa Vehiculo],IF($D136="","*",$D136),Mantenimiento[Fecha Entrada],"&gt;="&amp;G$3,Mantenimiento[Fecha Entrada],"&lt;="&amp;G$4)</f>
        <v>0</v>
      </c>
      <c r="H136" s="502">
        <f>COUNTIFS(Mantenimiento[Tipo],"Preventivo",Mantenimiento[Placa Vehiculo],IF($D136="","*",$D136),Mantenimiento[Fecha Entrada],"&gt;="&amp;H$3,Mantenimiento[Fecha Entrada],"&lt;="&amp;H$4)</f>
        <v>0</v>
      </c>
      <c r="I136" s="501">
        <f>COUNTIFS(Mantenimiento[Tipo],"Preventivo",Mantenimiento[Placa Vehiculo],IF($D136="","*",$D136),Mantenimiento[Fecha Entrada],"&gt;="&amp;I$3,Mantenimiento[Fecha Entrada],"&lt;="&amp;I$4)</f>
        <v>0</v>
      </c>
      <c r="J136" s="501">
        <f>COUNTIFS(Mantenimiento[Tipo],"Preventivo",Mantenimiento[Placa Vehiculo],IF($D136="","*",$D136),Mantenimiento[Fecha Entrada],"&gt;="&amp;J$3,Mantenimiento[Fecha Entrada],"&lt;="&amp;J$4)</f>
        <v>0</v>
      </c>
      <c r="K136" s="501">
        <f>COUNTIFS(Mantenimiento[Tipo],"Preventivo",Mantenimiento[Placa Vehiculo],IF($D136="","*",$D136),Mantenimiento[Fecha Entrada],"&gt;="&amp;K$3,Mantenimiento[Fecha Entrada],"&lt;="&amp;K$4)</f>
        <v>0</v>
      </c>
      <c r="L136" s="501">
        <f>COUNTIFS(Mantenimiento[Tipo],"Preventivo",Mantenimiento[Placa Vehiculo],IF($D136="","*",$D136),Mantenimiento[Fecha Entrada],"&gt;="&amp;L$3,Mantenimiento[Fecha Entrada],"&lt;="&amp;L$4)</f>
        <v>0</v>
      </c>
      <c r="M136" s="501">
        <f>COUNTIFS(Mantenimiento[Tipo],"Preventivo",Mantenimiento[Placa Vehiculo],IF($D136="","*",$D136),Mantenimiento[Fecha Entrada],"&gt;="&amp;M$3,Mantenimiento[Fecha Entrada],"&lt;="&amp;M$4)</f>
        <v>0</v>
      </c>
      <c r="N136" s="501">
        <f>COUNTIFS(Mantenimiento[Tipo],"Preventivo",Mantenimiento[Placa Vehiculo],IF($D136="","*",$D136),Mantenimiento[Fecha Entrada],"&gt;="&amp;N$3,Mantenimiento[Fecha Entrada],"&lt;="&amp;N$4)</f>
        <v>0</v>
      </c>
      <c r="O136" s="501">
        <f>COUNTIFS(Mantenimiento[Tipo],"Preventivo",Mantenimiento[Placa Vehiculo],IF($D136="","*",$D136),Mantenimiento[Fecha Entrada],"&gt;="&amp;O$3,Mantenimiento[Fecha Entrada],"&lt;="&amp;O$4)</f>
        <v>1</v>
      </c>
      <c r="P136" s="501">
        <f>COUNTIFS(Mantenimiento[Tipo],"Preventivo",Mantenimiento[Placa Vehiculo],IF($D136="","*",$D136),Mantenimiento[Fecha Entrada],"&gt;="&amp;P$3,Mantenimiento[Fecha Entrada],"&lt;="&amp;P$4)</f>
        <v>0</v>
      </c>
      <c r="Q136" s="501">
        <f>COUNTIFS(Mantenimiento[Tipo],"Preventivo",Mantenimiento[Placa Vehiculo],IF($D136="","*",$D136),Mantenimiento[Fecha Entrada],"&gt;="&amp;Q$3,Mantenimiento[Fecha Entrada],"&lt;="&amp;Q$4)</f>
        <v>0</v>
      </c>
      <c r="R136" s="506">
        <f t="shared" si="38"/>
        <v>1</v>
      </c>
    </row>
    <row r="137" spans="1:18" ht="16" x14ac:dyDescent="0.2">
      <c r="A137" s="47"/>
      <c r="F137" s="466">
        <f t="shared" ref="F137:Q137" si="39">COUNTIF(F110:F136,"&gt;0")</f>
        <v>11</v>
      </c>
      <c r="G137" s="466">
        <f t="shared" si="39"/>
        <v>10</v>
      </c>
      <c r="H137" s="466">
        <f t="shared" si="39"/>
        <v>3</v>
      </c>
      <c r="I137" s="466">
        <f t="shared" si="39"/>
        <v>12</v>
      </c>
      <c r="J137" s="466">
        <f t="shared" si="39"/>
        <v>11</v>
      </c>
      <c r="K137" s="466">
        <f t="shared" si="39"/>
        <v>18</v>
      </c>
      <c r="L137" s="466">
        <f t="shared" si="39"/>
        <v>4</v>
      </c>
      <c r="M137" s="466">
        <f t="shared" si="39"/>
        <v>13</v>
      </c>
      <c r="N137" s="466">
        <f t="shared" si="39"/>
        <v>9</v>
      </c>
      <c r="O137" s="466">
        <f t="shared" si="39"/>
        <v>13</v>
      </c>
      <c r="P137" s="466">
        <f>COUNTIF(P110:P136,"&gt;0")</f>
        <v>10</v>
      </c>
      <c r="Q137" s="466">
        <f t="shared" si="39"/>
        <v>8</v>
      </c>
    </row>
    <row r="138" spans="1:18" ht="23" x14ac:dyDescent="0.2">
      <c r="A138" s="47"/>
      <c r="C138" s="457" t="s">
        <v>424</v>
      </c>
    </row>
    <row r="139" spans="1:18" x14ac:dyDescent="0.2">
      <c r="A139" s="47"/>
    </row>
    <row r="140" spans="1:18" ht="25" customHeight="1" x14ac:dyDescent="0.2">
      <c r="A140" s="47"/>
      <c r="C140" s="459" t="s">
        <v>384</v>
      </c>
      <c r="D140" s="460" t="s">
        <v>71</v>
      </c>
      <c r="E140" s="460" t="s">
        <v>161</v>
      </c>
      <c r="F140" s="461" t="s">
        <v>53</v>
      </c>
      <c r="G140" s="461" t="s">
        <v>54</v>
      </c>
      <c r="H140" s="461" t="s">
        <v>55</v>
      </c>
      <c r="I140" s="461" t="s">
        <v>56</v>
      </c>
      <c r="J140" s="461" t="s">
        <v>57</v>
      </c>
      <c r="K140" s="461" t="s">
        <v>58</v>
      </c>
      <c r="L140" s="461" t="s">
        <v>59</v>
      </c>
      <c r="M140" s="461" t="s">
        <v>60</v>
      </c>
      <c r="N140" s="461" t="s">
        <v>402</v>
      </c>
      <c r="O140" s="461" t="s">
        <v>62</v>
      </c>
      <c r="P140" s="461" t="s">
        <v>63</v>
      </c>
      <c r="Q140" s="461" t="s">
        <v>64</v>
      </c>
      <c r="R140" s="462" t="s">
        <v>155</v>
      </c>
    </row>
    <row r="141" spans="1:18" ht="25" customHeight="1" x14ac:dyDescent="0.2">
      <c r="A141" s="47"/>
      <c r="C141" s="497" t="s">
        <v>385</v>
      </c>
      <c r="D141" s="498" t="s">
        <v>204</v>
      </c>
      <c r="E141" s="464"/>
      <c r="F141" s="501">
        <f>COUNTIFS(Mantenimiento[Tipo],"correctivo",Mantenimiento[Placa Vehiculo],IF($D141="","*",$D141),Mantenimiento[Fecha Entrada],"&gt;="&amp;F$3,Mantenimiento[Fecha Entrada],"&lt;="&amp;F$4)</f>
        <v>0</v>
      </c>
      <c r="G141" s="501">
        <f>COUNTIFS(Mantenimiento[Tipo],"correctivo",Mantenimiento[Placa Vehiculo],IF($D141="","*",$D141),Mantenimiento[Fecha Entrada],"&gt;="&amp;G$3,Mantenimiento[Fecha Entrada],"&lt;="&amp;G$4)</f>
        <v>0</v>
      </c>
      <c r="H141" s="502">
        <f>COUNTIFS(Mantenimiento[Tipo],"correctivo",Mantenimiento[Placa Vehiculo],IF($D141="","*",$D141),Mantenimiento[Fecha Entrada],"&gt;="&amp;H$3,Mantenimiento[Fecha Entrada],"&lt;="&amp;H$4)</f>
        <v>0</v>
      </c>
      <c r="I141" s="501">
        <f>COUNTIFS(Mantenimiento[Tipo],"correctivo",Mantenimiento[Placa Vehiculo],IF($D141="","*",$D141),Mantenimiento[Fecha Entrada],"&gt;="&amp;I$3,Mantenimiento[Fecha Entrada],"&lt;="&amp;I$4)</f>
        <v>0</v>
      </c>
      <c r="J141" s="501">
        <f>COUNTIFS(Mantenimiento[Tipo],"correctivo",Mantenimiento[Placa Vehiculo],IF($D141="","*",$D141),Mantenimiento[Fecha Entrada],"&gt;="&amp;J$3,Mantenimiento[Fecha Entrada],"&lt;="&amp;J$4)</f>
        <v>0</v>
      </c>
      <c r="K141" s="501">
        <f>COUNTIFS(Mantenimiento[Tipo],"correctivo",Mantenimiento[Placa Vehiculo],IF($D141="","*",$D141),Mantenimiento[Fecha Entrada],"&gt;="&amp;K$3,Mantenimiento[Fecha Entrada],"&lt;="&amp;K$4)</f>
        <v>0</v>
      </c>
      <c r="L141" s="501">
        <f>COUNTIFS(Mantenimiento[Tipo],"correctivo",Mantenimiento[Placa Vehiculo],IF($D141="","*",$D141),Mantenimiento[Fecha Entrada],"&gt;="&amp;L$3,Mantenimiento[Fecha Entrada],"&lt;="&amp;L$4)</f>
        <v>0</v>
      </c>
      <c r="M141" s="501">
        <f>COUNTIFS(Mantenimiento[Tipo],"correctivo",Mantenimiento[Placa Vehiculo],IF($D141="","*",$D141),Mantenimiento[Fecha Entrada],"&gt;="&amp;M$3,Mantenimiento[Fecha Entrada],"&lt;="&amp;M$4)</f>
        <v>0</v>
      </c>
      <c r="N141" s="501">
        <f>COUNTIFS(Mantenimiento[Tipo],"correctivo",Mantenimiento[Placa Vehiculo],IF($D141="","*",$D141),Mantenimiento[Fecha Entrada],"&gt;="&amp;N$3,Mantenimiento[Fecha Entrada],"&lt;="&amp;N$4)</f>
        <v>0</v>
      </c>
      <c r="O141" s="501">
        <f>COUNTIFS(Mantenimiento[Tipo],"correctivo",Mantenimiento[Placa Vehiculo],IF($D141="","*",$D141),Mantenimiento[Fecha Entrada],"&gt;="&amp;O$3,Mantenimiento[Fecha Entrada],"&lt;="&amp;O$4)</f>
        <v>0</v>
      </c>
      <c r="P141" s="501">
        <f>COUNTIFS(Mantenimiento[Tipo],"correctivo",Mantenimiento[Placa Vehiculo],IF($D141="","*",$D141),Mantenimiento[Fecha Entrada],"&gt;="&amp;P$3,Mantenimiento[Fecha Entrada],"&lt;="&amp;P$4)</f>
        <v>0</v>
      </c>
      <c r="Q141" s="501">
        <f>COUNTIFS(Mantenimiento[Tipo],"correctivo",Mantenimiento[Placa Vehiculo],IF($D141="","*",$D141),Mantenimiento[Fecha Entrada],"&gt;="&amp;Q$3,Mantenimiento[Fecha Entrada],"&lt;="&amp;Q$4)</f>
        <v>3</v>
      </c>
      <c r="R141" s="506">
        <f>SUM(F141:Q141)</f>
        <v>3</v>
      </c>
    </row>
    <row r="142" spans="1:18" ht="25" customHeight="1" x14ac:dyDescent="0.2">
      <c r="A142" s="47"/>
      <c r="C142" s="497" t="s">
        <v>385</v>
      </c>
      <c r="D142" s="498" t="s">
        <v>207</v>
      </c>
      <c r="E142" s="464"/>
      <c r="F142" s="501">
        <f>COUNTIFS(Mantenimiento[Tipo],"correctivo",Mantenimiento[Placa Vehiculo],IF($D111="","*",$D111),Mantenimiento[Fecha Entrada],"&gt;="&amp;F$3,Mantenimiento[Fecha Entrada],"&lt;="&amp;F$4)</f>
        <v>0</v>
      </c>
      <c r="G142" s="501">
        <f>COUNTIFS(Mantenimiento[Tipo],"correctivo",Mantenimiento[Placa Vehiculo],IF($D142="","*",$D142),Mantenimiento[Fecha Entrada],"&gt;="&amp;G$3,Mantenimiento[Fecha Entrada],"&lt;="&amp;G$4)</f>
        <v>0</v>
      </c>
      <c r="H142" s="502">
        <f>COUNTIFS(Mantenimiento[Tipo],"correctivo",Mantenimiento[Placa Vehiculo],IF($D142="","*",$D142),Mantenimiento[Fecha Entrada],"&gt;="&amp;H$3,Mantenimiento[Fecha Entrada],"&lt;="&amp;H$4)</f>
        <v>0</v>
      </c>
      <c r="I142" s="501">
        <f>COUNTIFS(Mantenimiento[Tipo],"correctivo",Mantenimiento[Placa Vehiculo],IF($D142="","*",$D142),Mantenimiento[Fecha Entrada],"&gt;="&amp;I$3,Mantenimiento[Fecha Entrada],"&lt;="&amp;I$4)</f>
        <v>0</v>
      </c>
      <c r="J142" s="501">
        <f>COUNTIFS(Mantenimiento[Tipo],"correctivo",Mantenimiento[Placa Vehiculo],IF($D142="","*",$D142),Mantenimiento[Fecha Entrada],"&gt;="&amp;J$3,Mantenimiento[Fecha Entrada],"&lt;="&amp;J$4)</f>
        <v>0</v>
      </c>
      <c r="K142" s="501">
        <f>COUNTIFS(Mantenimiento[Tipo],"correctivo",Mantenimiento[Placa Vehiculo],IF($D142="","*",$D142),Mantenimiento[Fecha Entrada],"&gt;="&amp;K$3,Mantenimiento[Fecha Entrada],"&lt;="&amp;K$4)</f>
        <v>0</v>
      </c>
      <c r="L142" s="501">
        <f>COUNTIFS(Mantenimiento[Tipo],"correctivo",Mantenimiento[Placa Vehiculo],IF($D142="","*",$D142),Mantenimiento[Fecha Entrada],"&gt;="&amp;L$3,Mantenimiento[Fecha Entrada],"&lt;="&amp;L$4)</f>
        <v>0</v>
      </c>
      <c r="M142" s="501">
        <f>COUNTIFS(Mantenimiento[Tipo],"correctivo",Mantenimiento[Placa Vehiculo],IF($D142="","*",$D142),Mantenimiento[Fecha Entrada],"&gt;="&amp;M$3,Mantenimiento[Fecha Entrada],"&lt;="&amp;M$4)</f>
        <v>0</v>
      </c>
      <c r="N142" s="501">
        <f>COUNTIFS(Mantenimiento[Tipo],"correctivo",Mantenimiento[Placa Vehiculo],IF($D142="","*",$D142),Mantenimiento[Fecha Entrada],"&gt;="&amp;N$3,Mantenimiento[Fecha Entrada],"&lt;="&amp;N$4)</f>
        <v>0</v>
      </c>
      <c r="O142" s="501">
        <f>COUNTIFS(Mantenimiento[Tipo],"correctivo",Mantenimiento[Placa Vehiculo],IF($D142="","*",$D142),Mantenimiento[Fecha Entrada],"&gt;="&amp;O$3,Mantenimiento[Fecha Entrada],"&lt;="&amp;O$4)</f>
        <v>0</v>
      </c>
      <c r="P142" s="501">
        <f>COUNTIFS(Mantenimiento[Tipo],"correctivo",Mantenimiento[Placa Vehiculo],IF($D142="","*",$D142),Mantenimiento[Fecha Entrada],"&gt;="&amp;P$3,Mantenimiento[Fecha Entrada],"&lt;="&amp;P$4)</f>
        <v>0</v>
      </c>
      <c r="Q142" s="501">
        <f>COUNTIFS(Mantenimiento[Tipo],"correctivo",Mantenimiento[Placa Vehiculo],IF($D142="","*",$D142),Mantenimiento[Fecha Entrada],"&gt;="&amp;Q$3,Mantenimiento[Fecha Entrada],"&lt;="&amp;Q$4)</f>
        <v>0</v>
      </c>
      <c r="R142" s="506">
        <f t="shared" ref="R142:R165" si="40">SUM(F142:Q142)</f>
        <v>0</v>
      </c>
    </row>
    <row r="143" spans="1:18" ht="25" customHeight="1" x14ac:dyDescent="0.2">
      <c r="A143" s="47"/>
      <c r="C143" s="497" t="s">
        <v>386</v>
      </c>
      <c r="D143" s="498" t="s">
        <v>208</v>
      </c>
      <c r="E143" s="464"/>
      <c r="F143" s="501">
        <f>COUNTIFS(Mantenimiento[Tipo],"correctivo",Mantenimiento[Placa Vehiculo],IF($D112="","*",$D112),Mantenimiento[Fecha Entrada],"&gt;="&amp;F$3,Mantenimiento[Fecha Entrada],"&lt;="&amp;F$4)</f>
        <v>0</v>
      </c>
      <c r="G143" s="501">
        <f>COUNTIFS(Mantenimiento[Tipo],"correctivo",Mantenimiento[Placa Vehiculo],IF($D143="","*",$D143),Mantenimiento[Fecha Entrada],"&gt;="&amp;G$3,Mantenimiento[Fecha Entrada],"&lt;="&amp;G$4)</f>
        <v>0</v>
      </c>
      <c r="H143" s="502">
        <f>COUNTIFS(Mantenimiento[Tipo],"correctivo",Mantenimiento[Placa Vehiculo],IF($D143="","*",$D143),Mantenimiento[Fecha Entrada],"&gt;="&amp;H$3,Mantenimiento[Fecha Entrada],"&lt;="&amp;H$4)</f>
        <v>0</v>
      </c>
      <c r="I143" s="501">
        <f>COUNTIFS(Mantenimiento[Tipo],"correctivo",Mantenimiento[Placa Vehiculo],IF($D143="","*",$D143),Mantenimiento[Fecha Entrada],"&gt;="&amp;I$3,Mantenimiento[Fecha Entrada],"&lt;="&amp;I$4)</f>
        <v>0</v>
      </c>
      <c r="J143" s="501">
        <f>COUNTIFS(Mantenimiento[Tipo],"correctivo",Mantenimiento[Placa Vehiculo],IF($D143="","*",$D143),Mantenimiento[Fecha Entrada],"&gt;="&amp;J$3,Mantenimiento[Fecha Entrada],"&lt;="&amp;J$4)</f>
        <v>0</v>
      </c>
      <c r="K143" s="501">
        <f>COUNTIFS(Mantenimiento[Tipo],"correctivo",Mantenimiento[Placa Vehiculo],IF($D143="","*",$D143),Mantenimiento[Fecha Entrada],"&gt;="&amp;K$3,Mantenimiento[Fecha Entrada],"&lt;="&amp;K$4)</f>
        <v>0</v>
      </c>
      <c r="L143" s="501">
        <f>COUNTIFS(Mantenimiento[Tipo],"correctivo",Mantenimiento[Placa Vehiculo],IF($D143="","*",$D143),Mantenimiento[Fecha Entrada],"&gt;="&amp;L$3,Mantenimiento[Fecha Entrada],"&lt;="&amp;L$4)</f>
        <v>0</v>
      </c>
      <c r="M143" s="501">
        <f>COUNTIFS(Mantenimiento[Tipo],"correctivo",Mantenimiento[Placa Vehiculo],IF($D143="","*",$D143),Mantenimiento[Fecha Entrada],"&gt;="&amp;M$3,Mantenimiento[Fecha Entrada],"&lt;="&amp;M$4)</f>
        <v>0</v>
      </c>
      <c r="N143" s="501">
        <f>COUNTIFS(Mantenimiento[Tipo],"correctivo",Mantenimiento[Placa Vehiculo],IF($D143="","*",$D143),Mantenimiento[Fecha Entrada],"&gt;="&amp;N$3,Mantenimiento[Fecha Entrada],"&lt;="&amp;N$4)</f>
        <v>1</v>
      </c>
      <c r="O143" s="501">
        <f>COUNTIFS(Mantenimiento[Tipo],"correctivo",Mantenimiento[Placa Vehiculo],IF($D143="","*",$D143),Mantenimiento[Fecha Entrada],"&gt;="&amp;O$3,Mantenimiento[Fecha Entrada],"&lt;="&amp;O$4)</f>
        <v>0</v>
      </c>
      <c r="P143" s="501">
        <f>COUNTIFS(Mantenimiento[Tipo],"correctivo",Mantenimiento[Placa Vehiculo],IF($D143="","*",$D143),Mantenimiento[Fecha Entrada],"&gt;="&amp;P$3,Mantenimiento[Fecha Entrada],"&lt;="&amp;P$4)</f>
        <v>0</v>
      </c>
      <c r="Q143" s="501">
        <f>COUNTIFS(Mantenimiento[Tipo],"correctivo",Mantenimiento[Placa Vehiculo],IF($D143="","*",$D143),Mantenimiento[Fecha Entrada],"&gt;="&amp;Q$3,Mantenimiento[Fecha Entrada],"&lt;="&amp;Q$4)</f>
        <v>1</v>
      </c>
      <c r="R143" s="506">
        <f t="shared" si="40"/>
        <v>2</v>
      </c>
    </row>
    <row r="144" spans="1:18" ht="25" customHeight="1" x14ac:dyDescent="0.2">
      <c r="A144" s="47"/>
      <c r="C144" s="497" t="s">
        <v>386</v>
      </c>
      <c r="D144" s="498" t="s">
        <v>209</v>
      </c>
      <c r="E144" s="464"/>
      <c r="F144" s="501">
        <f>COUNTIFS(Mantenimiento[Tipo],"correctivo",Mantenimiento[Placa Vehiculo],IF($D113="","*",$D113),Mantenimiento[Fecha Entrada],"&gt;="&amp;F$3,Mantenimiento[Fecha Entrada],"&lt;="&amp;F$4)</f>
        <v>0</v>
      </c>
      <c r="G144" s="501">
        <f>COUNTIFS(Mantenimiento[Tipo],"correctivo",Mantenimiento[Placa Vehiculo],IF($D144="","*",$D144),Mantenimiento[Fecha Entrada],"&gt;="&amp;G$3,Mantenimiento[Fecha Entrada],"&lt;="&amp;G$4)</f>
        <v>0</v>
      </c>
      <c r="H144" s="502">
        <f>COUNTIFS(Mantenimiento[Tipo],"correctivo",Mantenimiento[Placa Vehiculo],IF($D144="","*",$D144),Mantenimiento[Fecha Entrada],"&gt;="&amp;H$3,Mantenimiento[Fecha Entrada],"&lt;="&amp;H$4)</f>
        <v>0</v>
      </c>
      <c r="I144" s="501">
        <f>COUNTIFS(Mantenimiento[Tipo],"correctivo",Mantenimiento[Placa Vehiculo],IF($D144="","*",$D144),Mantenimiento[Fecha Entrada],"&gt;="&amp;I$3,Mantenimiento[Fecha Entrada],"&lt;="&amp;I$4)</f>
        <v>0</v>
      </c>
      <c r="J144" s="501">
        <f>COUNTIFS(Mantenimiento[Tipo],"correctivo",Mantenimiento[Placa Vehiculo],IF($D144="","*",$D144),Mantenimiento[Fecha Entrada],"&gt;="&amp;J$3,Mantenimiento[Fecha Entrada],"&lt;="&amp;J$4)</f>
        <v>0</v>
      </c>
      <c r="K144" s="501">
        <f>COUNTIFS(Mantenimiento[Tipo],"correctivo",Mantenimiento[Placa Vehiculo],IF($D144="","*",$D144),Mantenimiento[Fecha Entrada],"&gt;="&amp;K$3,Mantenimiento[Fecha Entrada],"&lt;="&amp;K$4)</f>
        <v>0</v>
      </c>
      <c r="L144" s="501">
        <f>COUNTIFS(Mantenimiento[Tipo],"correctivo",Mantenimiento[Placa Vehiculo],IF($D144="","*",$D144),Mantenimiento[Fecha Entrada],"&gt;="&amp;L$3,Mantenimiento[Fecha Entrada],"&lt;="&amp;L$4)</f>
        <v>0</v>
      </c>
      <c r="M144" s="501">
        <f>COUNTIFS(Mantenimiento[Tipo],"correctivo",Mantenimiento[Placa Vehiculo],IF($D144="","*",$D144),Mantenimiento[Fecha Entrada],"&gt;="&amp;M$3,Mantenimiento[Fecha Entrada],"&lt;="&amp;M$4)</f>
        <v>0</v>
      </c>
      <c r="N144" s="501">
        <f>COUNTIFS(Mantenimiento[Tipo],"correctivo",Mantenimiento[Placa Vehiculo],IF($D144="","*",$D144),Mantenimiento[Fecha Entrada],"&gt;="&amp;N$3,Mantenimiento[Fecha Entrada],"&lt;="&amp;N$4)</f>
        <v>2</v>
      </c>
      <c r="O144" s="501">
        <f>COUNTIFS(Mantenimiento[Tipo],"correctivo",Mantenimiento[Placa Vehiculo],IF($D144="","*",$D144),Mantenimiento[Fecha Entrada],"&gt;="&amp;O$3,Mantenimiento[Fecha Entrada],"&lt;="&amp;O$4)</f>
        <v>3</v>
      </c>
      <c r="P144" s="501">
        <f>COUNTIFS(Mantenimiento[Tipo],"correctivo",Mantenimiento[Placa Vehiculo],IF($D144="","*",$D144),Mantenimiento[Fecha Entrada],"&gt;="&amp;P$3,Mantenimiento[Fecha Entrada],"&lt;="&amp;P$4)</f>
        <v>0</v>
      </c>
      <c r="Q144" s="501">
        <f>COUNTIFS(Mantenimiento[Tipo],"correctivo",Mantenimiento[Placa Vehiculo],IF($D144="","*",$D144),Mantenimiento[Fecha Entrada],"&gt;="&amp;Q$3,Mantenimiento[Fecha Entrada],"&lt;="&amp;Q$4)</f>
        <v>0</v>
      </c>
      <c r="R144" s="506">
        <f t="shared" si="40"/>
        <v>5</v>
      </c>
    </row>
    <row r="145" spans="1:18" ht="25" customHeight="1" x14ac:dyDescent="0.2">
      <c r="A145" s="47"/>
      <c r="C145" s="497" t="s">
        <v>386</v>
      </c>
      <c r="D145" s="498" t="s">
        <v>210</v>
      </c>
      <c r="E145" s="464"/>
      <c r="F145" s="501">
        <f>COUNTIFS(Mantenimiento[Tipo],"correctivo",Mantenimiento[Placa Vehiculo],IF($D114="","*",$D114),Mantenimiento[Fecha Entrada],"&gt;="&amp;F$3,Mantenimiento[Fecha Entrada],"&lt;="&amp;F$4)</f>
        <v>0</v>
      </c>
      <c r="G145" s="501">
        <f>COUNTIFS(Mantenimiento[Tipo],"correctivo",Mantenimiento[Placa Vehiculo],IF($D145="","*",$D145),Mantenimiento[Fecha Entrada],"&gt;="&amp;G$3,Mantenimiento[Fecha Entrada],"&lt;="&amp;G$4)</f>
        <v>0</v>
      </c>
      <c r="H145" s="502">
        <f>COUNTIFS(Mantenimiento[Tipo],"correctivo",Mantenimiento[Placa Vehiculo],IF($D145="","*",$D145),Mantenimiento[Fecha Entrada],"&gt;="&amp;H$3,Mantenimiento[Fecha Entrada],"&lt;="&amp;H$4)</f>
        <v>0</v>
      </c>
      <c r="I145" s="501">
        <f>COUNTIFS(Mantenimiento[Tipo],"correctivo",Mantenimiento[Placa Vehiculo],IF($D145="","*",$D145),Mantenimiento[Fecha Entrada],"&gt;="&amp;I$3,Mantenimiento[Fecha Entrada],"&lt;="&amp;I$4)</f>
        <v>0</v>
      </c>
      <c r="J145" s="501">
        <f>COUNTIFS(Mantenimiento[Tipo],"correctivo",Mantenimiento[Placa Vehiculo],IF($D145="","*",$D145),Mantenimiento[Fecha Entrada],"&gt;="&amp;J$3,Mantenimiento[Fecha Entrada],"&lt;="&amp;J$4)</f>
        <v>0</v>
      </c>
      <c r="K145" s="501">
        <f>COUNTIFS(Mantenimiento[Tipo],"correctivo",Mantenimiento[Placa Vehiculo],IF($D145="","*",$D145),Mantenimiento[Fecha Entrada],"&gt;="&amp;K$3,Mantenimiento[Fecha Entrada],"&lt;="&amp;K$4)</f>
        <v>0</v>
      </c>
      <c r="L145" s="501">
        <f>COUNTIFS(Mantenimiento[Tipo],"correctivo",Mantenimiento[Placa Vehiculo],IF($D145="","*",$D145),Mantenimiento[Fecha Entrada],"&gt;="&amp;L$3,Mantenimiento[Fecha Entrada],"&lt;="&amp;L$4)</f>
        <v>0</v>
      </c>
      <c r="M145" s="501">
        <f>COUNTIFS(Mantenimiento[Tipo],"correctivo",Mantenimiento[Placa Vehiculo],IF($D145="","*",$D145),Mantenimiento[Fecha Entrada],"&gt;="&amp;M$3,Mantenimiento[Fecha Entrada],"&lt;="&amp;M$4)</f>
        <v>0</v>
      </c>
      <c r="N145" s="501">
        <f>COUNTIFS(Mantenimiento[Tipo],"correctivo",Mantenimiento[Placa Vehiculo],IF($D145="","*",$D145),Mantenimiento[Fecha Entrada],"&gt;="&amp;N$3,Mantenimiento[Fecha Entrada],"&lt;="&amp;N$4)</f>
        <v>1</v>
      </c>
      <c r="O145" s="501">
        <f>COUNTIFS(Mantenimiento[Tipo],"correctivo",Mantenimiento[Placa Vehiculo],IF($D145="","*",$D145),Mantenimiento[Fecha Entrada],"&gt;="&amp;O$3,Mantenimiento[Fecha Entrada],"&lt;="&amp;O$4)</f>
        <v>1</v>
      </c>
      <c r="P145" s="501">
        <f>COUNTIFS(Mantenimiento[Tipo],"correctivo",Mantenimiento[Placa Vehiculo],IF($D145="","*",$D145),Mantenimiento[Fecha Entrada],"&gt;="&amp;P$3,Mantenimiento[Fecha Entrada],"&lt;="&amp;P$4)</f>
        <v>0</v>
      </c>
      <c r="Q145" s="501">
        <f>COUNTIFS(Mantenimiento[Tipo],"correctivo",Mantenimiento[Placa Vehiculo],IF($D145="","*",$D145),Mantenimiento[Fecha Entrada],"&gt;="&amp;Q$3,Mantenimiento[Fecha Entrada],"&lt;="&amp;Q$4)</f>
        <v>1</v>
      </c>
      <c r="R145" s="506">
        <f t="shared" si="40"/>
        <v>3</v>
      </c>
    </row>
    <row r="146" spans="1:18" ht="25" customHeight="1" x14ac:dyDescent="0.2">
      <c r="A146" s="47"/>
      <c r="C146" s="497" t="s">
        <v>387</v>
      </c>
      <c r="D146" s="498" t="s">
        <v>365</v>
      </c>
      <c r="E146" s="464"/>
      <c r="F146" s="501">
        <f>COUNTIFS(Mantenimiento[Tipo],"correctivo",Mantenimiento[Placa Vehiculo],IF($D115="","*",$D115),Mantenimiento[Fecha Entrada],"&gt;="&amp;F$3,Mantenimiento[Fecha Entrada],"&lt;="&amp;F$4)</f>
        <v>0</v>
      </c>
      <c r="G146" s="501">
        <f>COUNTIFS(Mantenimiento[Tipo],"correctivo",Mantenimiento[Placa Vehiculo],IF($D146="","*",$D146),Mantenimiento[Fecha Entrada],"&gt;="&amp;G$3,Mantenimiento[Fecha Entrada],"&lt;="&amp;G$4)</f>
        <v>0</v>
      </c>
      <c r="H146" s="502">
        <f>COUNTIFS(Mantenimiento[Tipo],"correctivo",Mantenimiento[Placa Vehiculo],IF($D146="","*",$D146),Mantenimiento[Fecha Entrada],"&gt;="&amp;H$3,Mantenimiento[Fecha Entrada],"&lt;="&amp;H$4)</f>
        <v>0</v>
      </c>
      <c r="I146" s="501">
        <f>COUNTIFS(Mantenimiento[Tipo],"correctivo",Mantenimiento[Placa Vehiculo],IF($D146="","*",$D146),Mantenimiento[Fecha Entrada],"&gt;="&amp;I$3,Mantenimiento[Fecha Entrada],"&lt;="&amp;I$4)</f>
        <v>0</v>
      </c>
      <c r="J146" s="501">
        <f>COUNTIFS(Mantenimiento[Tipo],"correctivo",Mantenimiento[Placa Vehiculo],IF($D146="","*",$D146),Mantenimiento[Fecha Entrada],"&gt;="&amp;J$3,Mantenimiento[Fecha Entrada],"&lt;="&amp;J$4)</f>
        <v>0</v>
      </c>
      <c r="K146" s="501">
        <f>COUNTIFS(Mantenimiento[Tipo],"correctivo",Mantenimiento[Placa Vehiculo],IF($D146="","*",$D146),Mantenimiento[Fecha Entrada],"&gt;="&amp;K$3,Mantenimiento[Fecha Entrada],"&lt;="&amp;K$4)</f>
        <v>0</v>
      </c>
      <c r="L146" s="501">
        <f>COUNTIFS(Mantenimiento[Tipo],"correctivo",Mantenimiento[Placa Vehiculo],IF($D146="","*",$D146),Mantenimiento[Fecha Entrada],"&gt;="&amp;L$3,Mantenimiento[Fecha Entrada],"&lt;="&amp;L$4)</f>
        <v>0</v>
      </c>
      <c r="M146" s="501">
        <f>COUNTIFS(Mantenimiento[Tipo],"correctivo",Mantenimiento[Placa Vehiculo],IF($D146="","*",$D146),Mantenimiento[Fecha Entrada],"&gt;="&amp;M$3,Mantenimiento[Fecha Entrada],"&lt;="&amp;M$4)</f>
        <v>0</v>
      </c>
      <c r="N146" s="501">
        <f>COUNTIFS(Mantenimiento[Tipo],"correctivo",Mantenimiento[Placa Vehiculo],IF($D146="","*",$D146),Mantenimiento[Fecha Entrada],"&gt;="&amp;N$3,Mantenimiento[Fecha Entrada],"&lt;="&amp;N$4)</f>
        <v>0</v>
      </c>
      <c r="O146" s="501">
        <f>COUNTIFS(Mantenimiento[Tipo],"correctivo",Mantenimiento[Placa Vehiculo],IF($D146="","*",$D146),Mantenimiento[Fecha Entrada],"&gt;="&amp;O$3,Mantenimiento[Fecha Entrada],"&lt;="&amp;O$4)</f>
        <v>0</v>
      </c>
      <c r="P146" s="501">
        <f>COUNTIFS(Mantenimiento[Tipo],"correctivo",Mantenimiento[Placa Vehiculo],IF($D146="","*",$D146),Mantenimiento[Fecha Entrada],"&gt;="&amp;P$3,Mantenimiento[Fecha Entrada],"&lt;="&amp;P$4)</f>
        <v>0</v>
      </c>
      <c r="Q146" s="501">
        <f>COUNTIFS(Mantenimiento[Tipo],"correctivo",Mantenimiento[Placa Vehiculo],IF($D146="","*",$D146),Mantenimiento[Fecha Entrada],"&gt;="&amp;Q$3,Mantenimiento[Fecha Entrada],"&lt;="&amp;Q$4)</f>
        <v>0</v>
      </c>
      <c r="R146" s="506">
        <f t="shared" si="40"/>
        <v>0</v>
      </c>
    </row>
    <row r="147" spans="1:18" ht="25" customHeight="1" x14ac:dyDescent="0.2">
      <c r="A147" s="47"/>
      <c r="C147" s="497" t="s">
        <v>385</v>
      </c>
      <c r="D147" s="498" t="s">
        <v>211</v>
      </c>
      <c r="E147" s="464"/>
      <c r="F147" s="501">
        <f>COUNTIFS(Mantenimiento[Tipo],"correctivo",Mantenimiento[Placa Vehiculo],IF($D116="","*",$D116),Mantenimiento[Fecha Entrada],"&gt;="&amp;F$3,Mantenimiento[Fecha Entrada],"&lt;="&amp;F$4)</f>
        <v>0</v>
      </c>
      <c r="G147" s="501">
        <f>COUNTIFS(Mantenimiento[Tipo],"correctivo",Mantenimiento[Placa Vehiculo],IF($D147="","*",$D147),Mantenimiento[Fecha Entrada],"&gt;="&amp;G$3,Mantenimiento[Fecha Entrada],"&lt;="&amp;G$4)</f>
        <v>0</v>
      </c>
      <c r="H147" s="501">
        <f>COUNTIFS(Mantenimiento[Tipo],"correctivo",Mantenimiento[Placa Vehiculo],IF($D147="","*",$D147),Mantenimiento[Fecha Entrada],"&gt;="&amp;H$3,Mantenimiento[Fecha Entrada],"&lt;="&amp;H$4)</f>
        <v>0</v>
      </c>
      <c r="I147" s="501">
        <f>COUNTIFS(Mantenimiento[Tipo],"correctivo",Mantenimiento[Placa Vehiculo],IF($D147="","*",$D147),Mantenimiento[Fecha Entrada],"&gt;="&amp;I$3,Mantenimiento[Fecha Entrada],"&lt;="&amp;I$4)</f>
        <v>0</v>
      </c>
      <c r="J147" s="501">
        <f>COUNTIFS(Mantenimiento[Tipo],"correctivo",Mantenimiento[Placa Vehiculo],IF($D147="","*",$D147),Mantenimiento[Fecha Entrada],"&gt;="&amp;J$3,Mantenimiento[Fecha Entrada],"&lt;="&amp;J$4)</f>
        <v>0</v>
      </c>
      <c r="K147" s="501">
        <f>COUNTIFS(Mantenimiento[Tipo],"correctivo",Mantenimiento[Placa Vehiculo],IF($D147="","*",$D147),Mantenimiento[Fecha Entrada],"&gt;="&amp;K$3,Mantenimiento[Fecha Entrada],"&lt;="&amp;K$4)</f>
        <v>0</v>
      </c>
      <c r="L147" s="501">
        <f>COUNTIFS(Mantenimiento[Tipo],"correctivo",Mantenimiento[Placa Vehiculo],IF($D147="","*",$D147),Mantenimiento[Fecha Entrada],"&gt;="&amp;L$3,Mantenimiento[Fecha Entrada],"&lt;="&amp;L$4)</f>
        <v>0</v>
      </c>
      <c r="M147" s="501">
        <f>COUNTIFS(Mantenimiento[Tipo],"correctivo",Mantenimiento[Placa Vehiculo],IF($D147="","*",$D147),Mantenimiento[Fecha Entrada],"&gt;="&amp;M$3,Mantenimiento[Fecha Entrada],"&lt;="&amp;M$4)</f>
        <v>0</v>
      </c>
      <c r="N147" s="501">
        <f>COUNTIFS(Mantenimiento[Tipo],"correctivo",Mantenimiento[Placa Vehiculo],IF($D147="","*",$D147),Mantenimiento[Fecha Entrada],"&gt;="&amp;N$3,Mantenimiento[Fecha Entrada],"&lt;="&amp;N$4)</f>
        <v>3</v>
      </c>
      <c r="O147" s="501">
        <f>COUNTIFS(Mantenimiento[Tipo],"correctivo",Mantenimiento[Placa Vehiculo],IF($D147="","*",$D147),Mantenimiento[Fecha Entrada],"&gt;="&amp;O$3,Mantenimiento[Fecha Entrada],"&lt;="&amp;O$4)</f>
        <v>1</v>
      </c>
      <c r="P147" s="501">
        <f>COUNTIFS(Mantenimiento[Tipo],"correctivo",Mantenimiento[Placa Vehiculo],IF($D147="","*",$D147),Mantenimiento[Fecha Entrada],"&gt;="&amp;P$3,Mantenimiento[Fecha Entrada],"&lt;="&amp;P$4)</f>
        <v>0</v>
      </c>
      <c r="Q147" s="501">
        <f>COUNTIFS(Mantenimiento[Tipo],"correctivo",Mantenimiento[Placa Vehiculo],IF($D147="","*",$D147),Mantenimiento[Fecha Entrada],"&gt;="&amp;Q$3,Mantenimiento[Fecha Entrada],"&lt;="&amp;Q$4)</f>
        <v>0</v>
      </c>
      <c r="R147" s="506">
        <f t="shared" si="40"/>
        <v>4</v>
      </c>
    </row>
    <row r="148" spans="1:18" ht="25" customHeight="1" x14ac:dyDescent="0.2">
      <c r="A148" s="47"/>
      <c r="C148" s="497" t="s">
        <v>388</v>
      </c>
      <c r="D148" s="498" t="s">
        <v>212</v>
      </c>
      <c r="E148" s="464"/>
      <c r="F148" s="501">
        <f>COUNTIFS(Mantenimiento[Tipo],"correctivo",Mantenimiento[Placa Vehiculo],IF($D117="","*",$D117),Mantenimiento[Fecha Entrada],"&gt;="&amp;F$3,Mantenimiento[Fecha Entrada],"&lt;="&amp;F$4)</f>
        <v>0</v>
      </c>
      <c r="G148" s="501">
        <f>COUNTIFS(Mantenimiento[Tipo],"correctivo",Mantenimiento[Placa Vehiculo],IF($D148="","*",$D148),Mantenimiento[Fecha Entrada],"&gt;="&amp;G$3,Mantenimiento[Fecha Entrada],"&lt;="&amp;G$4)</f>
        <v>0</v>
      </c>
      <c r="H148" s="502">
        <f>COUNTIFS(Mantenimiento[Tipo],"correctivo",Mantenimiento[Placa Vehiculo],IF($D148="","*",$D148),Mantenimiento[Fecha Entrada],"&gt;="&amp;H$3,Mantenimiento[Fecha Entrada],"&lt;="&amp;H$4)</f>
        <v>0</v>
      </c>
      <c r="I148" s="501">
        <f>COUNTIFS(Mantenimiento[Tipo],"correctivo",Mantenimiento[Placa Vehiculo],IF($D148="","*",$D148),Mantenimiento[Fecha Entrada],"&gt;="&amp;I$3,Mantenimiento[Fecha Entrada],"&lt;="&amp;I$4)</f>
        <v>0</v>
      </c>
      <c r="J148" s="501">
        <f>COUNTIFS(Mantenimiento[Tipo],"correctivo",Mantenimiento[Placa Vehiculo],IF($D148="","*",$D148),Mantenimiento[Fecha Entrada],"&gt;="&amp;J$3,Mantenimiento[Fecha Entrada],"&lt;="&amp;J$4)</f>
        <v>0</v>
      </c>
      <c r="K148" s="501">
        <f>COUNTIFS(Mantenimiento[Tipo],"correctivo",Mantenimiento[Placa Vehiculo],IF($D148="","*",$D148),Mantenimiento[Fecha Entrada],"&gt;="&amp;K$3,Mantenimiento[Fecha Entrada],"&lt;="&amp;K$4)</f>
        <v>0</v>
      </c>
      <c r="L148" s="501">
        <f>COUNTIFS(Mantenimiento[Tipo],"correctivo",Mantenimiento[Placa Vehiculo],IF($D148="","*",$D148),Mantenimiento[Fecha Entrada],"&gt;="&amp;L$3,Mantenimiento[Fecha Entrada],"&lt;="&amp;L$4)</f>
        <v>0</v>
      </c>
      <c r="M148" s="501">
        <f>COUNTIFS(Mantenimiento[Tipo],"correctivo",Mantenimiento[Placa Vehiculo],IF($D148="","*",$D148),Mantenimiento[Fecha Entrada],"&gt;="&amp;M$3,Mantenimiento[Fecha Entrada],"&lt;="&amp;M$4)</f>
        <v>0</v>
      </c>
      <c r="N148" s="501">
        <f>COUNTIFS(Mantenimiento[Tipo],"correctivo",Mantenimiento[Placa Vehiculo],IF($D148="","*",$D148),Mantenimiento[Fecha Entrada],"&gt;="&amp;N$3,Mantenimiento[Fecha Entrada],"&lt;="&amp;N$4)</f>
        <v>0</v>
      </c>
      <c r="O148" s="501">
        <f>COUNTIFS(Mantenimiento[Tipo],"correctivo",Mantenimiento[Placa Vehiculo],IF($D148="","*",$D148),Mantenimiento[Fecha Entrada],"&gt;="&amp;O$3,Mantenimiento[Fecha Entrada],"&lt;="&amp;O$4)</f>
        <v>0</v>
      </c>
      <c r="P148" s="501">
        <f>COUNTIFS(Mantenimiento[Tipo],"correctivo",Mantenimiento[Placa Vehiculo],IF($D148="","*",$D148),Mantenimiento[Fecha Entrada],"&gt;="&amp;P$3,Mantenimiento[Fecha Entrada],"&lt;="&amp;P$4)</f>
        <v>0</v>
      </c>
      <c r="Q148" s="501">
        <f>COUNTIFS(Mantenimiento[Tipo],"correctivo",Mantenimiento[Placa Vehiculo],IF($D148="","*",$D148),Mantenimiento[Fecha Entrada],"&gt;="&amp;Q$3,Mantenimiento[Fecha Entrada],"&lt;="&amp;Q$4)</f>
        <v>0</v>
      </c>
      <c r="R148" s="506">
        <f t="shared" si="40"/>
        <v>0</v>
      </c>
    </row>
    <row r="149" spans="1:18" ht="25" customHeight="1" x14ac:dyDescent="0.2">
      <c r="A149" s="47"/>
      <c r="C149" s="497" t="s">
        <v>387</v>
      </c>
      <c r="D149" s="498" t="s">
        <v>213</v>
      </c>
      <c r="E149" s="464"/>
      <c r="F149" s="501">
        <f>COUNTIFS(Mantenimiento[Tipo],"correctivo",Mantenimiento[Placa Vehiculo],IF($D118="","*",$D118),Mantenimiento[Fecha Entrada],"&gt;="&amp;F$3,Mantenimiento[Fecha Entrada],"&lt;="&amp;F$4)</f>
        <v>0</v>
      </c>
      <c r="G149" s="501">
        <f>COUNTIFS(Mantenimiento[Tipo],"correctivo",Mantenimiento[Placa Vehiculo],IF($D149="","*",$D149),Mantenimiento[Fecha Entrada],"&gt;="&amp;G$3,Mantenimiento[Fecha Entrada],"&lt;="&amp;G$4)</f>
        <v>0</v>
      </c>
      <c r="H149" s="502">
        <f>COUNTIFS(Mantenimiento[Tipo],"correctivo",Mantenimiento[Placa Vehiculo],IF($D149="","*",$D149),Mantenimiento[Fecha Entrada],"&gt;="&amp;H$3,Mantenimiento[Fecha Entrada],"&lt;="&amp;H$4)</f>
        <v>0</v>
      </c>
      <c r="I149" s="501">
        <f>COUNTIFS(Mantenimiento[Tipo],"correctivo",Mantenimiento[Placa Vehiculo],IF($D149="","*",$D149),Mantenimiento[Fecha Entrada],"&gt;="&amp;I$3,Mantenimiento[Fecha Entrada],"&lt;="&amp;I$4)</f>
        <v>0</v>
      </c>
      <c r="J149" s="501">
        <f>COUNTIFS(Mantenimiento[Tipo],"correctivo",Mantenimiento[Placa Vehiculo],IF($D149="","*",$D149),Mantenimiento[Fecha Entrada],"&gt;="&amp;J$3,Mantenimiento[Fecha Entrada],"&lt;="&amp;J$4)</f>
        <v>0</v>
      </c>
      <c r="K149" s="501">
        <f>COUNTIFS(Mantenimiento[Tipo],"correctivo",Mantenimiento[Placa Vehiculo],IF($D149="","*",$D149),Mantenimiento[Fecha Entrada],"&gt;="&amp;K$3,Mantenimiento[Fecha Entrada],"&lt;="&amp;K$4)</f>
        <v>0</v>
      </c>
      <c r="L149" s="501">
        <f>COUNTIFS(Mantenimiento[Tipo],"correctivo",Mantenimiento[Placa Vehiculo],IF($D149="","*",$D149),Mantenimiento[Fecha Entrada],"&gt;="&amp;L$3,Mantenimiento[Fecha Entrada],"&lt;="&amp;L$4)</f>
        <v>0</v>
      </c>
      <c r="M149" s="501">
        <f>COUNTIFS(Mantenimiento[Tipo],"correctivo",Mantenimiento[Placa Vehiculo],IF($D149="","*",$D149),Mantenimiento[Fecha Entrada],"&gt;="&amp;M$3,Mantenimiento[Fecha Entrada],"&lt;="&amp;M$4)</f>
        <v>0</v>
      </c>
      <c r="N149" s="501">
        <f>COUNTIFS(Mantenimiento[Tipo],"correctivo",Mantenimiento[Placa Vehiculo],IF($D149="","*",$D149),Mantenimiento[Fecha Entrada],"&gt;="&amp;N$3,Mantenimiento[Fecha Entrada],"&lt;="&amp;N$4)</f>
        <v>0</v>
      </c>
      <c r="O149" s="501">
        <f>COUNTIFS(Mantenimiento[Tipo],"correctivo",Mantenimiento[Placa Vehiculo],IF($D149="","*",$D149),Mantenimiento[Fecha Entrada],"&gt;="&amp;O$3,Mantenimiento[Fecha Entrada],"&lt;="&amp;O$4)</f>
        <v>0</v>
      </c>
      <c r="P149" s="501">
        <f>COUNTIFS(Mantenimiento[Tipo],"correctivo",Mantenimiento[Placa Vehiculo],IF($D149="","*",$D149),Mantenimiento[Fecha Entrada],"&gt;="&amp;P$3,Mantenimiento[Fecha Entrada],"&lt;="&amp;P$4)</f>
        <v>0</v>
      </c>
      <c r="Q149" s="501">
        <f>COUNTIFS(Mantenimiento[Tipo],"correctivo",Mantenimiento[Placa Vehiculo],IF($D149="","*",$D149),Mantenimiento[Fecha Entrada],"&gt;="&amp;Q$3,Mantenimiento[Fecha Entrada],"&lt;="&amp;Q$4)</f>
        <v>0</v>
      </c>
      <c r="R149" s="506">
        <f t="shared" si="40"/>
        <v>0</v>
      </c>
    </row>
    <row r="150" spans="1:18" ht="25" customHeight="1" x14ac:dyDescent="0.2">
      <c r="A150" s="47"/>
      <c r="C150" s="497" t="s">
        <v>461</v>
      </c>
      <c r="D150" s="498" t="s">
        <v>403</v>
      </c>
      <c r="E150" s="464"/>
      <c r="F150" s="501">
        <f>COUNTIFS(Mantenimiento[Tipo],"correctivo",Mantenimiento[Placa Vehiculo],IF($D120="","*",$D120),Mantenimiento[Fecha Entrada],"&gt;="&amp;F$3,Mantenimiento[Fecha Entrada],"&lt;="&amp;F$4)</f>
        <v>0</v>
      </c>
      <c r="G150" s="501">
        <f>COUNTIFS(Mantenimiento[Tipo],"correctivo",Mantenimiento[Placa Vehiculo],IF($D150="","*",$D150),Mantenimiento[Fecha Entrada],"&gt;="&amp;G$3,Mantenimiento[Fecha Entrada],"&lt;="&amp;G$4)</f>
        <v>0</v>
      </c>
      <c r="H150" s="502">
        <f>COUNTIFS(Mantenimiento[Tipo],"correctivo",Mantenimiento[Placa Vehiculo],IF($D150="","*",$D150),Mantenimiento[Fecha Entrada],"&gt;="&amp;H$3,Mantenimiento[Fecha Entrada],"&lt;="&amp;H$4)</f>
        <v>0</v>
      </c>
      <c r="I150" s="501">
        <f>COUNTIFS(Mantenimiento[Tipo],"correctivo",Mantenimiento[Placa Vehiculo],IF($D150="","*",$D150),Mantenimiento[Fecha Entrada],"&gt;="&amp;I$3,Mantenimiento[Fecha Entrada],"&lt;="&amp;I$4)</f>
        <v>0</v>
      </c>
      <c r="J150" s="501">
        <f>COUNTIFS(Mantenimiento[Tipo],"correctivo",Mantenimiento[Placa Vehiculo],IF($D150="","*",$D150),Mantenimiento[Fecha Entrada],"&gt;="&amp;J$3,Mantenimiento[Fecha Entrada],"&lt;="&amp;J$4)</f>
        <v>0</v>
      </c>
      <c r="K150" s="501">
        <f>COUNTIFS(Mantenimiento[Tipo],"correctivo",Mantenimiento[Placa Vehiculo],IF($D150="","*",$D150),Mantenimiento[Fecha Entrada],"&gt;="&amp;K$3,Mantenimiento[Fecha Entrada],"&lt;="&amp;K$4)</f>
        <v>0</v>
      </c>
      <c r="L150" s="501">
        <f>COUNTIFS(Mantenimiento[Tipo],"correctivo",Mantenimiento[Placa Vehiculo],IF($D150="","*",$D150),Mantenimiento[Fecha Entrada],"&gt;="&amp;L$3,Mantenimiento[Fecha Entrada],"&lt;="&amp;L$4)</f>
        <v>0</v>
      </c>
      <c r="M150" s="501">
        <f>COUNTIFS(Mantenimiento[Tipo],"correctivo",Mantenimiento[Placa Vehiculo],IF($D150="","*",$D150),Mantenimiento[Fecha Entrada],"&gt;="&amp;M$3,Mantenimiento[Fecha Entrada],"&lt;="&amp;M$4)</f>
        <v>0</v>
      </c>
      <c r="N150" s="501">
        <f>COUNTIFS(Mantenimiento[Tipo],"correctivo",Mantenimiento[Placa Vehiculo],IF($D150="","*",$D150),Mantenimiento[Fecha Entrada],"&gt;="&amp;N$3,Mantenimiento[Fecha Entrada],"&lt;="&amp;N$4)</f>
        <v>0</v>
      </c>
      <c r="O150" s="501">
        <f>COUNTIFS(Mantenimiento[Tipo],"correctivo",Mantenimiento[Placa Vehiculo],IF($D150="","*",$D150),Mantenimiento[Fecha Entrada],"&gt;="&amp;O$3,Mantenimiento[Fecha Entrada],"&lt;="&amp;O$4)</f>
        <v>0</v>
      </c>
      <c r="P150" s="501">
        <f>COUNTIFS(Mantenimiento[Tipo],"correctivo",Mantenimiento[Placa Vehiculo],IF($D150="","*",$D150),Mantenimiento[Fecha Entrada],"&gt;="&amp;P$3,Mantenimiento[Fecha Entrada],"&lt;="&amp;P$4)</f>
        <v>0</v>
      </c>
      <c r="Q150" s="501">
        <f>COUNTIFS(Mantenimiento[Tipo],"correctivo",Mantenimiento[Placa Vehiculo],IF($D150="","*",$D150),Mantenimiento[Fecha Entrada],"&gt;="&amp;Q$3,Mantenimiento[Fecha Entrada],"&lt;="&amp;Q$4)</f>
        <v>0</v>
      </c>
      <c r="R150" s="506">
        <f t="shared" si="40"/>
        <v>0</v>
      </c>
    </row>
    <row r="151" spans="1:18" ht="25" customHeight="1" x14ac:dyDescent="0.2">
      <c r="A151" s="47"/>
      <c r="C151" s="497" t="s">
        <v>389</v>
      </c>
      <c r="D151" s="498" t="s">
        <v>286</v>
      </c>
      <c r="E151" s="464"/>
      <c r="F151" s="501">
        <f>COUNTIFS(Mantenimiento[Tipo],"correctivo",Mantenimiento[Placa Vehiculo],IF($D120="","*",$D120),Mantenimiento[Fecha Entrada],"&gt;="&amp;F$3,Mantenimiento[Fecha Entrada],"&lt;="&amp;F$4)</f>
        <v>0</v>
      </c>
      <c r="G151" s="501">
        <f>COUNTIFS(Mantenimiento[Tipo],"correctivo",Mantenimiento[Placa Vehiculo],IF($D151="","*",$D151),Mantenimiento[Fecha Entrada],"&gt;="&amp;G$3,Mantenimiento[Fecha Entrada],"&lt;="&amp;G$4)</f>
        <v>0</v>
      </c>
      <c r="H151" s="502">
        <f>COUNTIFS(Mantenimiento[Tipo],"correctivo",Mantenimiento[Placa Vehiculo],IF($D151="","*",$D151),Mantenimiento[Fecha Entrada],"&gt;="&amp;H$3,Mantenimiento[Fecha Entrada],"&lt;="&amp;H$4)</f>
        <v>0</v>
      </c>
      <c r="I151" s="501">
        <f>COUNTIFS(Mantenimiento[Tipo],"correctivo",Mantenimiento[Placa Vehiculo],IF($D151="","*",$D151),Mantenimiento[Fecha Entrada],"&gt;="&amp;I$3,Mantenimiento[Fecha Entrada],"&lt;="&amp;I$4)</f>
        <v>0</v>
      </c>
      <c r="J151" s="501">
        <f>COUNTIFS(Mantenimiento[Tipo],"correctivo",Mantenimiento[Placa Vehiculo],IF($D151="","*",$D151),Mantenimiento[Fecha Entrada],"&gt;="&amp;J$3,Mantenimiento[Fecha Entrada],"&lt;="&amp;J$4)</f>
        <v>0</v>
      </c>
      <c r="K151" s="501">
        <f>COUNTIFS(Mantenimiento[Tipo],"correctivo",Mantenimiento[Placa Vehiculo],IF($D151="","*",$D151),Mantenimiento[Fecha Entrada],"&gt;="&amp;K$3,Mantenimiento[Fecha Entrada],"&lt;="&amp;K$4)</f>
        <v>0</v>
      </c>
      <c r="L151" s="501">
        <f>COUNTIFS(Mantenimiento[Tipo],"correctivo",Mantenimiento[Placa Vehiculo],IF($D151="","*",$D151),Mantenimiento[Fecha Entrada],"&gt;="&amp;L$3,Mantenimiento[Fecha Entrada],"&lt;="&amp;L$4)</f>
        <v>0</v>
      </c>
      <c r="M151" s="501">
        <f>COUNTIFS(Mantenimiento[Tipo],"correctivo",Mantenimiento[Placa Vehiculo],IF($D151="","*",$D151),Mantenimiento[Fecha Entrada],"&gt;="&amp;M$3,Mantenimiento[Fecha Entrada],"&lt;="&amp;M$4)</f>
        <v>0</v>
      </c>
      <c r="N151" s="501">
        <f>COUNTIFS(Mantenimiento[Tipo],"correctivo",Mantenimiento[Placa Vehiculo],IF($D151="","*",$D151),Mantenimiento[Fecha Entrada],"&gt;="&amp;N$3,Mantenimiento[Fecha Entrada],"&lt;="&amp;N$4)</f>
        <v>0</v>
      </c>
      <c r="O151" s="501">
        <f>COUNTIFS(Mantenimiento[Tipo],"correctivo",Mantenimiento[Placa Vehiculo],IF($D151="","*",$D151),Mantenimiento[Fecha Entrada],"&gt;="&amp;O$3,Mantenimiento[Fecha Entrada],"&lt;="&amp;O$4)</f>
        <v>0</v>
      </c>
      <c r="P151" s="501">
        <f>COUNTIFS(Mantenimiento[Tipo],"correctivo",Mantenimiento[Placa Vehiculo],IF($D151="","*",$D151),Mantenimiento[Fecha Entrada],"&gt;="&amp;P$3,Mantenimiento[Fecha Entrada],"&lt;="&amp;P$4)</f>
        <v>0</v>
      </c>
      <c r="Q151" s="501">
        <f>COUNTIFS(Mantenimiento[Tipo],"correctivo",Mantenimiento[Placa Vehiculo],IF($D151="","*",$D151),Mantenimiento[Fecha Entrada],"&gt;="&amp;Q$3,Mantenimiento[Fecha Entrada],"&lt;="&amp;Q$4)</f>
        <v>1</v>
      </c>
      <c r="R151" s="506">
        <f t="shared" si="40"/>
        <v>1</v>
      </c>
    </row>
    <row r="152" spans="1:18" ht="25" customHeight="1" x14ac:dyDescent="0.2">
      <c r="A152" s="47"/>
      <c r="C152" s="497" t="s">
        <v>386</v>
      </c>
      <c r="D152" s="498" t="s">
        <v>350</v>
      </c>
      <c r="E152" s="464"/>
      <c r="F152" s="501">
        <f>COUNTIFS(Mantenimiento[Tipo],"correctivo",Mantenimiento[Placa Vehiculo],IF($D123="","*",$D123),Mantenimiento[Fecha Entrada],"&gt;="&amp;F$3,Mantenimiento[Fecha Entrada],"&lt;="&amp;F$4)</f>
        <v>0</v>
      </c>
      <c r="G152" s="501">
        <f>COUNTIFS(Mantenimiento[Tipo],"correctivo",Mantenimiento[Placa Vehiculo],IF($D152="","*",$D152),Mantenimiento[Fecha Entrada],"&gt;="&amp;G$3,Mantenimiento[Fecha Entrada],"&lt;="&amp;G$4)</f>
        <v>0</v>
      </c>
      <c r="H152" s="502">
        <f>COUNTIFS(Mantenimiento[Tipo],"correctivo",Mantenimiento[Placa Vehiculo],IF($D152="","*",$D152),Mantenimiento[Fecha Entrada],"&gt;="&amp;H$3,Mantenimiento[Fecha Entrada],"&lt;="&amp;H$4)</f>
        <v>0</v>
      </c>
      <c r="I152" s="501">
        <f>COUNTIFS(Mantenimiento[Tipo],"correctivo",Mantenimiento[Placa Vehiculo],IF($D152="","*",$D152),Mantenimiento[Fecha Entrada],"&gt;="&amp;I$3,Mantenimiento[Fecha Entrada],"&lt;="&amp;I$4)</f>
        <v>0</v>
      </c>
      <c r="J152" s="501">
        <f>COUNTIFS(Mantenimiento[Tipo],"correctivo",Mantenimiento[Placa Vehiculo],IF($D152="","*",$D152),Mantenimiento[Fecha Entrada],"&gt;="&amp;J$3,Mantenimiento[Fecha Entrada],"&lt;="&amp;J$4)</f>
        <v>0</v>
      </c>
      <c r="K152" s="501">
        <f>COUNTIFS(Mantenimiento[Tipo],"correctivo",Mantenimiento[Placa Vehiculo],IF($D152="","*",$D152),Mantenimiento[Fecha Entrada],"&gt;="&amp;K$3,Mantenimiento[Fecha Entrada],"&lt;="&amp;K$4)</f>
        <v>0</v>
      </c>
      <c r="L152" s="501">
        <f>COUNTIFS(Mantenimiento[Tipo],"correctivo",Mantenimiento[Placa Vehiculo],IF($D152="","*",$D152),Mantenimiento[Fecha Entrada],"&gt;="&amp;L$3,Mantenimiento[Fecha Entrada],"&lt;="&amp;L$4)</f>
        <v>0</v>
      </c>
      <c r="M152" s="501">
        <f>COUNTIFS(Mantenimiento[Tipo],"correctivo",Mantenimiento[Placa Vehiculo],IF($D152="","*",$D152),Mantenimiento[Fecha Entrada],"&gt;="&amp;M$3,Mantenimiento[Fecha Entrada],"&lt;="&amp;M$4)</f>
        <v>0</v>
      </c>
      <c r="N152" s="501">
        <f>COUNTIFS(Mantenimiento[Tipo],"correctivo",Mantenimiento[Placa Vehiculo],IF($D152="","*",$D152),Mantenimiento[Fecha Entrada],"&gt;="&amp;N$3,Mantenimiento[Fecha Entrada],"&lt;="&amp;N$4)</f>
        <v>0</v>
      </c>
      <c r="O152" s="501">
        <f>COUNTIFS(Mantenimiento[Tipo],"correctivo",Mantenimiento[Placa Vehiculo],IF($D152="","*",$D152),Mantenimiento[Fecha Entrada],"&gt;="&amp;O$3,Mantenimiento[Fecha Entrada],"&lt;="&amp;O$4)</f>
        <v>0</v>
      </c>
      <c r="P152" s="501">
        <f>COUNTIFS(Mantenimiento[Tipo],"correctivo",Mantenimiento[Placa Vehiculo],IF($D152="","*",$D152),Mantenimiento[Fecha Entrada],"&gt;="&amp;P$3,Mantenimiento[Fecha Entrada],"&lt;="&amp;P$4)</f>
        <v>2</v>
      </c>
      <c r="Q152" s="501">
        <f>COUNTIFS(Mantenimiento[Tipo],"correctivo",Mantenimiento[Placa Vehiculo],IF($D152="","*",$D152),Mantenimiento[Fecha Entrada],"&gt;="&amp;Q$3,Mantenimiento[Fecha Entrada],"&lt;="&amp;Q$4)</f>
        <v>0</v>
      </c>
      <c r="R152" s="506">
        <f t="shared" si="40"/>
        <v>2</v>
      </c>
    </row>
    <row r="153" spans="1:18" ht="25" customHeight="1" x14ac:dyDescent="0.2">
      <c r="A153" s="47"/>
      <c r="C153" s="497" t="s">
        <v>386</v>
      </c>
      <c r="D153" s="498" t="s">
        <v>509</v>
      </c>
      <c r="E153" s="464"/>
      <c r="F153" s="501">
        <f>COUNTIFS(Mantenimiento[Tipo],"correctivo",Mantenimiento[Placa Vehiculo],IF($D124="","*",$D124),Mantenimiento[Fecha Entrada],"&gt;="&amp;F$3,Mantenimiento[Fecha Entrada],"&lt;="&amp;F$4)</f>
        <v>0</v>
      </c>
      <c r="G153" s="501">
        <f>COUNTIFS(Mantenimiento[Tipo],"correctivo",Mantenimiento[Placa Vehiculo],IF($D153="","*",$D153),Mantenimiento[Fecha Entrada],"&gt;="&amp;G$3,Mantenimiento[Fecha Entrada],"&lt;="&amp;G$4)</f>
        <v>0</v>
      </c>
      <c r="H153" s="502">
        <f>COUNTIFS(Mantenimiento[Tipo],"correctivo",Mantenimiento[Placa Vehiculo],IF($D153="","*",$D153),Mantenimiento[Fecha Entrada],"&gt;="&amp;H$3,Mantenimiento[Fecha Entrada],"&lt;="&amp;H$4)</f>
        <v>0</v>
      </c>
      <c r="I153" s="501">
        <f>COUNTIFS(Mantenimiento[Tipo],"correctivo",Mantenimiento[Placa Vehiculo],IF($D153="","*",$D153),Mantenimiento[Fecha Entrada],"&gt;="&amp;I$3,Mantenimiento[Fecha Entrada],"&lt;="&amp;I$4)</f>
        <v>0</v>
      </c>
      <c r="J153" s="501">
        <f>COUNTIFS(Mantenimiento[Tipo],"correctivo",Mantenimiento[Placa Vehiculo],IF($D153="","*",$D153),Mantenimiento[Fecha Entrada],"&gt;="&amp;J$3,Mantenimiento[Fecha Entrada],"&lt;="&amp;J$4)</f>
        <v>0</v>
      </c>
      <c r="K153" s="501">
        <f>COUNTIFS(Mantenimiento[Tipo],"correctivo",Mantenimiento[Placa Vehiculo],IF($D153="","*",$D153),Mantenimiento[Fecha Entrada],"&gt;="&amp;K$3,Mantenimiento[Fecha Entrada],"&lt;="&amp;K$4)</f>
        <v>0</v>
      </c>
      <c r="L153" s="501">
        <f>COUNTIFS(Mantenimiento[Tipo],"correctivo",Mantenimiento[Placa Vehiculo],IF($D153="","*",$D153),Mantenimiento[Fecha Entrada],"&gt;="&amp;L$3,Mantenimiento[Fecha Entrada],"&lt;="&amp;L$4)</f>
        <v>0</v>
      </c>
      <c r="M153" s="501">
        <f>COUNTIFS(Mantenimiento[Tipo],"correctivo",Mantenimiento[Placa Vehiculo],IF($D153="","*",$D153),Mantenimiento[Fecha Entrada],"&gt;="&amp;M$3,Mantenimiento[Fecha Entrada],"&lt;="&amp;M$4)</f>
        <v>0</v>
      </c>
      <c r="N153" s="501">
        <f>COUNTIFS(Mantenimiento[Tipo],"correctivo",Mantenimiento[Placa Vehiculo],IF($D153="","*",$D153),Mantenimiento[Fecha Entrada],"&gt;="&amp;N$3,Mantenimiento[Fecha Entrada],"&lt;="&amp;N$4)</f>
        <v>0</v>
      </c>
      <c r="O153" s="501">
        <f>COUNTIFS(Mantenimiento[Tipo],"correctivo",Mantenimiento[Placa Vehiculo],IF($D153="","*",$D153),Mantenimiento[Fecha Entrada],"&gt;="&amp;O$3,Mantenimiento[Fecha Entrada],"&lt;="&amp;O$4)</f>
        <v>0</v>
      </c>
      <c r="P153" s="501">
        <f>COUNTIFS(Mantenimiento[Tipo],"correctivo",Mantenimiento[Placa Vehiculo],IF($D153="","*",$D153),Mantenimiento[Fecha Entrada],"&gt;="&amp;P$3,Mantenimiento[Fecha Entrada],"&lt;="&amp;P$4)</f>
        <v>0</v>
      </c>
      <c r="Q153" s="501">
        <f>COUNTIFS(Mantenimiento[Tipo],"correctivo",Mantenimiento[Placa Vehiculo],IF($D153="","*",$D153),Mantenimiento[Fecha Entrada],"&gt;="&amp;Q$3,Mantenimiento[Fecha Entrada],"&lt;="&amp;Q$4)</f>
        <v>0</v>
      </c>
      <c r="R153" s="506">
        <f t="shared" si="40"/>
        <v>0</v>
      </c>
    </row>
    <row r="154" spans="1:18" ht="25" customHeight="1" x14ac:dyDescent="0.2">
      <c r="A154" s="47"/>
      <c r="C154" s="497" t="s">
        <v>386</v>
      </c>
      <c r="D154" s="498" t="s">
        <v>473</v>
      </c>
      <c r="E154" s="464"/>
      <c r="F154" s="501">
        <f>COUNTIFS(Mantenimiento[Tipo],"correctivo",Mantenimiento[Placa Vehiculo],IF($D125="","*",$D125),Mantenimiento[Fecha Entrada],"&gt;="&amp;F$3,Mantenimiento[Fecha Entrada],"&lt;="&amp;F$4)</f>
        <v>0</v>
      </c>
      <c r="G154" s="501">
        <f>COUNTIFS(Mantenimiento[Tipo],"correctivo",Mantenimiento[Placa Vehiculo],IF($D154="","*",$D154),Mantenimiento[Fecha Entrada],"&gt;="&amp;G$3,Mantenimiento[Fecha Entrada],"&lt;="&amp;G$4)</f>
        <v>0</v>
      </c>
      <c r="H154" s="502">
        <f>COUNTIFS(Mantenimiento[Tipo],"correctivo",Mantenimiento[Placa Vehiculo],IF($D154="","*",$D154),Mantenimiento[Fecha Entrada],"&gt;="&amp;H$3,Mantenimiento[Fecha Entrada],"&lt;="&amp;H$4)</f>
        <v>0</v>
      </c>
      <c r="I154" s="501">
        <f>COUNTIFS(Mantenimiento[Tipo],"correctivo",Mantenimiento[Placa Vehiculo],IF($D154="","*",$D154),Mantenimiento[Fecha Entrada],"&gt;="&amp;I$3,Mantenimiento[Fecha Entrada],"&lt;="&amp;I$4)</f>
        <v>0</v>
      </c>
      <c r="J154" s="501">
        <f>COUNTIFS(Mantenimiento[Tipo],"correctivo",Mantenimiento[Placa Vehiculo],IF($D154="","*",$D154),Mantenimiento[Fecha Entrada],"&gt;="&amp;J$3,Mantenimiento[Fecha Entrada],"&lt;="&amp;J$4)</f>
        <v>0</v>
      </c>
      <c r="K154" s="501">
        <f>COUNTIFS(Mantenimiento[Tipo],"correctivo",Mantenimiento[Placa Vehiculo],IF($D154="","*",$D154),Mantenimiento[Fecha Entrada],"&gt;="&amp;K$3,Mantenimiento[Fecha Entrada],"&lt;="&amp;K$4)</f>
        <v>0</v>
      </c>
      <c r="L154" s="501">
        <f>COUNTIFS(Mantenimiento[Tipo],"correctivo",Mantenimiento[Placa Vehiculo],IF($D154="","*",$D154),Mantenimiento[Fecha Entrada],"&gt;="&amp;L$3,Mantenimiento[Fecha Entrada],"&lt;="&amp;L$4)</f>
        <v>0</v>
      </c>
      <c r="M154" s="501">
        <f>COUNTIFS(Mantenimiento[Tipo],"correctivo",Mantenimiento[Placa Vehiculo],IF($D154="","*",$D154),Mantenimiento[Fecha Entrada],"&gt;="&amp;M$3,Mantenimiento[Fecha Entrada],"&lt;="&amp;M$4)</f>
        <v>0</v>
      </c>
      <c r="N154" s="501">
        <f>COUNTIFS(Mantenimiento[Tipo],"correctivo",Mantenimiento[Placa Vehiculo],IF($D154="","*",$D154),Mantenimiento[Fecha Entrada],"&gt;="&amp;N$3,Mantenimiento[Fecha Entrada],"&lt;="&amp;N$4)</f>
        <v>0</v>
      </c>
      <c r="O154" s="501">
        <f>COUNTIFS(Mantenimiento[Tipo],"correctivo",Mantenimiento[Placa Vehiculo],IF($D154="","*",$D154),Mantenimiento[Fecha Entrada],"&gt;="&amp;O$3,Mantenimiento[Fecha Entrada],"&lt;="&amp;O$4)</f>
        <v>1</v>
      </c>
      <c r="P154" s="501">
        <f>COUNTIFS(Mantenimiento[Tipo],"correctivo",Mantenimiento[Placa Vehiculo],IF($D154="","*",$D154),Mantenimiento[Fecha Entrada],"&gt;="&amp;P$3,Mantenimiento[Fecha Entrada],"&lt;="&amp;P$4)</f>
        <v>1</v>
      </c>
      <c r="Q154" s="501">
        <f>COUNTIFS(Mantenimiento[Tipo],"correctivo",Mantenimiento[Placa Vehiculo],IF($D154="","*",$D154),Mantenimiento[Fecha Entrada],"&gt;="&amp;Q$3,Mantenimiento[Fecha Entrada],"&lt;="&amp;Q$4)</f>
        <v>0</v>
      </c>
      <c r="R154" s="506">
        <f t="shared" si="40"/>
        <v>2</v>
      </c>
    </row>
    <row r="155" spans="1:18" ht="25" customHeight="1" x14ac:dyDescent="0.2">
      <c r="A155" s="47"/>
      <c r="C155" s="497" t="s">
        <v>388</v>
      </c>
      <c r="D155" s="498" t="s">
        <v>376</v>
      </c>
      <c r="E155" s="464"/>
      <c r="F155" s="501">
        <f>COUNTIFS(Mantenimiento[Tipo],"correctivo",Mantenimiento[Placa Vehiculo],IF($D124="","*",$D124),Mantenimiento[Fecha Entrada],"&gt;="&amp;F$3,Mantenimiento[Fecha Entrada],"&lt;="&amp;F$4)</f>
        <v>0</v>
      </c>
      <c r="G155" s="501">
        <f>COUNTIFS(Mantenimiento[Tipo],"correctivo",Mantenimiento[Placa Vehiculo],IF($D155="","*",$D155),Mantenimiento[Fecha Entrada],"&gt;="&amp;G$3,Mantenimiento[Fecha Entrada],"&lt;="&amp;G$4)</f>
        <v>0</v>
      </c>
      <c r="H155" s="502">
        <f>COUNTIFS(Mantenimiento[Tipo],"correctivo",Mantenimiento[Placa Vehiculo],IF($D155="","*",$D155),Mantenimiento[Fecha Entrada],"&gt;="&amp;H$3,Mantenimiento[Fecha Entrada],"&lt;="&amp;H$4)</f>
        <v>0</v>
      </c>
      <c r="I155" s="501">
        <f>COUNTIFS(Mantenimiento[Tipo],"correctivo",Mantenimiento[Placa Vehiculo],IF($D155="","*",$D155),Mantenimiento[Fecha Entrada],"&gt;="&amp;I$3,Mantenimiento[Fecha Entrada],"&lt;="&amp;I$4)</f>
        <v>0</v>
      </c>
      <c r="J155" s="501">
        <f>COUNTIFS(Mantenimiento[Tipo],"correctivo",Mantenimiento[Placa Vehiculo],IF($D155="","*",$D155),Mantenimiento[Fecha Entrada],"&gt;="&amp;J$3,Mantenimiento[Fecha Entrada],"&lt;="&amp;J$4)</f>
        <v>0</v>
      </c>
      <c r="K155" s="501">
        <f>COUNTIFS(Mantenimiento[Tipo],"correctivo",Mantenimiento[Placa Vehiculo],IF($D155="","*",$D155),Mantenimiento[Fecha Entrada],"&gt;="&amp;K$3,Mantenimiento[Fecha Entrada],"&lt;="&amp;K$4)</f>
        <v>0</v>
      </c>
      <c r="L155" s="501">
        <f>COUNTIFS(Mantenimiento[Tipo],"correctivo",Mantenimiento[Placa Vehiculo],IF($D155="","*",$D155),Mantenimiento[Fecha Entrada],"&gt;="&amp;L$3,Mantenimiento[Fecha Entrada],"&lt;="&amp;L$4)</f>
        <v>0</v>
      </c>
      <c r="M155" s="501">
        <f>COUNTIFS(Mantenimiento[Tipo],"correctivo",Mantenimiento[Placa Vehiculo],IF($D155="","*",$D155),Mantenimiento[Fecha Entrada],"&gt;="&amp;M$3,Mantenimiento[Fecha Entrada],"&lt;="&amp;M$4)</f>
        <v>0</v>
      </c>
      <c r="N155" s="501">
        <f>COUNTIFS(Mantenimiento[Tipo],"correctivo",Mantenimiento[Placa Vehiculo],IF($D155="","*",$D155),Mantenimiento[Fecha Entrada],"&gt;="&amp;N$3,Mantenimiento[Fecha Entrada],"&lt;="&amp;N$4)</f>
        <v>0</v>
      </c>
      <c r="O155" s="501">
        <f>COUNTIFS(Mantenimiento[Tipo],"correctivo",Mantenimiento[Placa Vehiculo],IF($D155="","*",$D155),Mantenimiento[Fecha Entrada],"&gt;="&amp;O$3,Mantenimiento[Fecha Entrada],"&lt;="&amp;O$4)</f>
        <v>0</v>
      </c>
      <c r="P155" s="501">
        <f>COUNTIFS(Mantenimiento[Tipo],"correctivo",Mantenimiento[Placa Vehiculo],IF($D155="","*",$D155),Mantenimiento[Fecha Entrada],"&gt;="&amp;P$3,Mantenimiento[Fecha Entrada],"&lt;="&amp;P$4)</f>
        <v>0</v>
      </c>
      <c r="Q155" s="501">
        <f>COUNTIFS(Mantenimiento[Tipo],"correctivo",Mantenimiento[Placa Vehiculo],IF($D155="","*",$D155),Mantenimiento[Fecha Entrada],"&gt;="&amp;Q$3,Mantenimiento[Fecha Entrada],"&lt;="&amp;Q$4)</f>
        <v>0</v>
      </c>
      <c r="R155" s="506">
        <f t="shared" si="40"/>
        <v>0</v>
      </c>
    </row>
    <row r="156" spans="1:18" ht="25" customHeight="1" x14ac:dyDescent="0.2">
      <c r="A156" s="47"/>
      <c r="C156" s="497" t="s">
        <v>390</v>
      </c>
      <c r="D156" s="498" t="s">
        <v>306</v>
      </c>
      <c r="E156" s="464"/>
      <c r="F156" s="501">
        <f>COUNTIFS(Mantenimiento[Tipo],"correctivo",Mantenimiento[Placa Vehiculo],IF($D125="","*",$D125),Mantenimiento[Fecha Entrada],"&gt;="&amp;F$3,Mantenimiento[Fecha Entrada],"&lt;="&amp;F$4)</f>
        <v>0</v>
      </c>
      <c r="G156" s="501">
        <f>COUNTIFS(Mantenimiento[Tipo],"correctivo",Mantenimiento[Placa Vehiculo],IF($D156="","*",$D156),Mantenimiento[Fecha Entrada],"&gt;="&amp;G$3,Mantenimiento[Fecha Entrada],"&lt;="&amp;G$4)</f>
        <v>0</v>
      </c>
      <c r="H156" s="501">
        <f>COUNTIFS(Mantenimiento[Tipo],"correctivo",Mantenimiento[Placa Vehiculo],IF($D156="","*",$D156),Mantenimiento[Fecha Entrada],"&gt;="&amp;H$3,Mantenimiento[Fecha Entrada],"&lt;="&amp;H$4)</f>
        <v>0</v>
      </c>
      <c r="I156" s="501">
        <f>COUNTIFS(Mantenimiento[Tipo],"correctivo",Mantenimiento[Placa Vehiculo],IF($D156="","*",$D156),Mantenimiento[Fecha Entrada],"&gt;="&amp;I$3,Mantenimiento[Fecha Entrada],"&lt;="&amp;I$4)</f>
        <v>0</v>
      </c>
      <c r="J156" s="501">
        <f>COUNTIFS(Mantenimiento[Tipo],"correctivo",Mantenimiento[Placa Vehiculo],IF($D156="","*",$D156),Mantenimiento[Fecha Entrada],"&gt;="&amp;J$3,Mantenimiento[Fecha Entrada],"&lt;="&amp;J$4)</f>
        <v>0</v>
      </c>
      <c r="K156" s="501">
        <f>COUNTIFS(Mantenimiento[Tipo],"correctivo",Mantenimiento[Placa Vehiculo],IF($D156="","*",$D156),Mantenimiento[Fecha Entrada],"&gt;="&amp;K$3,Mantenimiento[Fecha Entrada],"&lt;="&amp;K$4)</f>
        <v>0</v>
      </c>
      <c r="L156" s="501">
        <f>COUNTIFS(Mantenimiento[Tipo],"correctivo",Mantenimiento[Placa Vehiculo],IF($D156="","*",$D156),Mantenimiento[Fecha Entrada],"&gt;="&amp;L$3,Mantenimiento[Fecha Entrada],"&lt;="&amp;L$4)</f>
        <v>0</v>
      </c>
      <c r="M156" s="501">
        <f>COUNTIFS(Mantenimiento[Tipo],"correctivo",Mantenimiento[Placa Vehiculo],IF($D156="","*",$D156),Mantenimiento[Fecha Entrada],"&gt;="&amp;M$3,Mantenimiento[Fecha Entrada],"&lt;="&amp;M$4)</f>
        <v>0</v>
      </c>
      <c r="N156" s="501">
        <f>COUNTIFS(Mantenimiento[Tipo],"correctivo",Mantenimiento[Placa Vehiculo],IF($D156="","*",$D156),Mantenimiento[Fecha Entrada],"&gt;="&amp;N$3,Mantenimiento[Fecha Entrada],"&lt;="&amp;N$4)</f>
        <v>0</v>
      </c>
      <c r="O156" s="501">
        <f>COUNTIFS(Mantenimiento[Tipo],"correctivo",Mantenimiento[Placa Vehiculo],IF($D156="","*",$D156),Mantenimiento[Fecha Entrada],"&gt;="&amp;O$3,Mantenimiento[Fecha Entrada],"&lt;="&amp;O$4)</f>
        <v>0</v>
      </c>
      <c r="P156" s="501">
        <f>COUNTIFS(Mantenimiento[Tipo],"correctivo",Mantenimiento[Placa Vehiculo],IF($D156="","*",$D156),Mantenimiento[Fecha Entrada],"&gt;="&amp;P$3,Mantenimiento[Fecha Entrada],"&lt;="&amp;P$4)</f>
        <v>0</v>
      </c>
      <c r="Q156" s="501">
        <f>COUNTIFS(Mantenimiento[Tipo],"correctivo",Mantenimiento[Placa Vehiculo],IF($D156="","*",$D156),Mantenimiento[Fecha Entrada],"&gt;="&amp;Q$3,Mantenimiento[Fecha Entrada],"&lt;="&amp;Q$4)</f>
        <v>0</v>
      </c>
      <c r="R156" s="506">
        <f t="shared" si="40"/>
        <v>0</v>
      </c>
    </row>
    <row r="157" spans="1:18" ht="25" customHeight="1" x14ac:dyDescent="0.2">
      <c r="A157" s="47"/>
      <c r="C157" s="497" t="s">
        <v>390</v>
      </c>
      <c r="D157" s="498" t="s">
        <v>307</v>
      </c>
      <c r="E157" s="464"/>
      <c r="F157" s="501">
        <f>COUNTIFS(Mantenimiento[Tipo],"correctivo",Mantenimiento[Placa Vehiculo],IF($D126="","*",$D126),Mantenimiento[Fecha Entrada],"&gt;="&amp;F$3,Mantenimiento[Fecha Entrada],"&lt;="&amp;F$4)</f>
        <v>0</v>
      </c>
      <c r="G157" s="501">
        <f>COUNTIFS(Mantenimiento[Tipo],"correctivo",Mantenimiento[Placa Vehiculo],IF($D157="","*",$D157),Mantenimiento[Fecha Entrada],"&gt;="&amp;G$3,Mantenimiento[Fecha Entrada],"&lt;="&amp;G$4)</f>
        <v>0</v>
      </c>
      <c r="H157" s="502">
        <f>COUNTIFS(Mantenimiento[Tipo],"correctivo",Mantenimiento[Placa Vehiculo],IF($D157="","*",$D157),Mantenimiento[Fecha Entrada],"&gt;="&amp;H$3,Mantenimiento[Fecha Entrada],"&lt;="&amp;H$4)</f>
        <v>0</v>
      </c>
      <c r="I157" s="501">
        <f>COUNTIFS(Mantenimiento[Tipo],"correctivo",Mantenimiento[Placa Vehiculo],IF($D157="","*",$D157),Mantenimiento[Fecha Entrada],"&gt;="&amp;I$3,Mantenimiento[Fecha Entrada],"&lt;="&amp;I$4)</f>
        <v>0</v>
      </c>
      <c r="J157" s="501">
        <f>COUNTIFS(Mantenimiento[Tipo],"correctivo",Mantenimiento[Placa Vehiculo],IF($D157="","*",$D157),Mantenimiento[Fecha Entrada],"&gt;="&amp;J$3,Mantenimiento[Fecha Entrada],"&lt;="&amp;J$4)</f>
        <v>0</v>
      </c>
      <c r="K157" s="501">
        <f>COUNTIFS(Mantenimiento[Tipo],"correctivo",Mantenimiento[Placa Vehiculo],IF($D157="","*",$D157),Mantenimiento[Fecha Entrada],"&gt;="&amp;K$3,Mantenimiento[Fecha Entrada],"&lt;="&amp;K$4)</f>
        <v>0</v>
      </c>
      <c r="L157" s="501">
        <f>COUNTIFS(Mantenimiento[Tipo],"correctivo",Mantenimiento[Placa Vehiculo],IF($D157="","*",$D157),Mantenimiento[Fecha Entrada],"&gt;="&amp;L$3,Mantenimiento[Fecha Entrada],"&lt;="&amp;L$4)</f>
        <v>0</v>
      </c>
      <c r="M157" s="501">
        <f>COUNTIFS(Mantenimiento[Tipo],"correctivo",Mantenimiento[Placa Vehiculo],IF($D157="","*",$D157),Mantenimiento[Fecha Entrada],"&gt;="&amp;M$3,Mantenimiento[Fecha Entrada],"&lt;="&amp;M$4)</f>
        <v>0</v>
      </c>
      <c r="N157" s="501">
        <f>COUNTIFS(Mantenimiento[Tipo],"correctivo",Mantenimiento[Placa Vehiculo],IF($D157="","*",$D157),Mantenimiento[Fecha Entrada],"&gt;="&amp;N$3,Mantenimiento[Fecha Entrada],"&lt;="&amp;N$4)</f>
        <v>0</v>
      </c>
      <c r="O157" s="501">
        <f>COUNTIFS(Mantenimiento[Tipo],"correctivo",Mantenimiento[Placa Vehiculo],IF($D157="","*",$D157),Mantenimiento[Fecha Entrada],"&gt;="&amp;O$3,Mantenimiento[Fecha Entrada],"&lt;="&amp;O$4)</f>
        <v>0</v>
      </c>
      <c r="P157" s="501">
        <f>COUNTIFS(Mantenimiento[Tipo],"correctivo",Mantenimiento[Placa Vehiculo],IF($D157="","*",$D157),Mantenimiento[Fecha Entrada],"&gt;="&amp;P$3,Mantenimiento[Fecha Entrada],"&lt;="&amp;P$4)</f>
        <v>0</v>
      </c>
      <c r="Q157" s="501">
        <f>COUNTIFS(Mantenimiento[Tipo],"correctivo",Mantenimiento[Placa Vehiculo],IF($D157="","*",$D157),Mantenimiento[Fecha Entrada],"&gt;="&amp;Q$3,Mantenimiento[Fecha Entrada],"&lt;="&amp;Q$4)</f>
        <v>0</v>
      </c>
      <c r="R157" s="506">
        <f t="shared" si="40"/>
        <v>0</v>
      </c>
    </row>
    <row r="158" spans="1:18" ht="25" customHeight="1" x14ac:dyDescent="0.2">
      <c r="A158" s="47"/>
      <c r="C158" s="497" t="s">
        <v>391</v>
      </c>
      <c r="D158" s="498" t="s">
        <v>308</v>
      </c>
      <c r="E158" s="464"/>
      <c r="F158" s="501">
        <f>COUNTIFS(Mantenimiento[Tipo],"correctivo",Mantenimiento[Placa Vehiculo],IF($D127="","*",$D127),Mantenimiento[Fecha Entrada],"&gt;="&amp;F$3,Mantenimiento[Fecha Entrada],"&lt;="&amp;F$4)</f>
        <v>0</v>
      </c>
      <c r="G158" s="501">
        <f>COUNTIFS(Mantenimiento[Tipo],"correctivo",Mantenimiento[Placa Vehiculo],IF($D158="","*",$D158),Mantenimiento[Fecha Entrada],"&gt;="&amp;G$3,Mantenimiento[Fecha Entrada],"&lt;="&amp;G$4)</f>
        <v>0</v>
      </c>
      <c r="H158" s="502">
        <f>COUNTIFS(Mantenimiento[Tipo],"correctivo",Mantenimiento[Placa Vehiculo],IF($D158="","*",$D158),Mantenimiento[Fecha Entrada],"&gt;="&amp;H$3,Mantenimiento[Fecha Entrada],"&lt;="&amp;H$4)</f>
        <v>0</v>
      </c>
      <c r="I158" s="501">
        <f>COUNTIFS(Mantenimiento[Tipo],"correctivo",Mantenimiento[Placa Vehiculo],IF($D158="","*",$D158),Mantenimiento[Fecha Entrada],"&gt;="&amp;I$3,Mantenimiento[Fecha Entrada],"&lt;="&amp;I$4)</f>
        <v>0</v>
      </c>
      <c r="J158" s="501">
        <f>COUNTIFS(Mantenimiento[Tipo],"correctivo",Mantenimiento[Placa Vehiculo],IF($D158="","*",$D158),Mantenimiento[Fecha Entrada],"&gt;="&amp;J$3,Mantenimiento[Fecha Entrada],"&lt;="&amp;J$4)</f>
        <v>0</v>
      </c>
      <c r="K158" s="501">
        <f>COUNTIFS(Mantenimiento[Tipo],"correctivo",Mantenimiento[Placa Vehiculo],IF($D158="","*",$D158),Mantenimiento[Fecha Entrada],"&gt;="&amp;K$3,Mantenimiento[Fecha Entrada],"&lt;="&amp;K$4)</f>
        <v>0</v>
      </c>
      <c r="L158" s="501">
        <f>COUNTIFS(Mantenimiento[Tipo],"correctivo",Mantenimiento[Placa Vehiculo],IF($D158="","*",$D158),Mantenimiento[Fecha Entrada],"&gt;="&amp;L$3,Mantenimiento[Fecha Entrada],"&lt;="&amp;L$4)</f>
        <v>0</v>
      </c>
      <c r="M158" s="501">
        <f>COUNTIFS(Mantenimiento[Tipo],"correctivo",Mantenimiento[Placa Vehiculo],IF($D158="","*",$D158),Mantenimiento[Fecha Entrada],"&gt;="&amp;M$3,Mantenimiento[Fecha Entrada],"&lt;="&amp;M$4)</f>
        <v>0</v>
      </c>
      <c r="N158" s="501">
        <f>COUNTIFS(Mantenimiento[Tipo],"correctivo",Mantenimiento[Placa Vehiculo],IF($D158="","*",$D158),Mantenimiento[Fecha Entrada],"&gt;="&amp;N$3,Mantenimiento[Fecha Entrada],"&lt;="&amp;N$4)</f>
        <v>5</v>
      </c>
      <c r="O158" s="501">
        <f>COUNTIFS(Mantenimiento[Tipo],"correctivo",Mantenimiento[Placa Vehiculo],IF($D158="","*",$D158),Mantenimiento[Fecha Entrada],"&gt;="&amp;O$3,Mantenimiento[Fecha Entrada],"&lt;="&amp;O$4)</f>
        <v>0</v>
      </c>
      <c r="P158" s="501">
        <f>COUNTIFS(Mantenimiento[Tipo],"correctivo",Mantenimiento[Placa Vehiculo],IF($D158="","*",$D158),Mantenimiento[Fecha Entrada],"&gt;="&amp;P$3,Mantenimiento[Fecha Entrada],"&lt;="&amp;P$4)</f>
        <v>2</v>
      </c>
      <c r="Q158" s="501">
        <f>COUNTIFS(Mantenimiento[Tipo],"correctivo",Mantenimiento[Placa Vehiculo],IF($D158="","*",$D158),Mantenimiento[Fecha Entrada],"&gt;="&amp;Q$3,Mantenimiento[Fecha Entrada],"&lt;="&amp;Q$4)</f>
        <v>1</v>
      </c>
      <c r="R158" s="506">
        <f t="shared" si="40"/>
        <v>8</v>
      </c>
    </row>
    <row r="159" spans="1:18" ht="25" customHeight="1" x14ac:dyDescent="0.2">
      <c r="A159" s="47"/>
      <c r="C159" s="497" t="s">
        <v>390</v>
      </c>
      <c r="D159" s="498" t="s">
        <v>311</v>
      </c>
      <c r="E159" s="464"/>
      <c r="F159" s="501">
        <f>COUNTIFS(Mantenimiento[Tipo],"correctivo",Mantenimiento[Placa Vehiculo],IF($D129="","*",$D129),Mantenimiento[Fecha Entrada],"&gt;="&amp;F$3,Mantenimiento[Fecha Entrada],"&lt;="&amp;F$4)</f>
        <v>0</v>
      </c>
      <c r="G159" s="501">
        <f>COUNTIFS(Mantenimiento[Tipo],"correctivo",Mantenimiento[Placa Vehiculo],IF($D159="","*",$D159),Mantenimiento[Fecha Entrada],"&gt;="&amp;G$3,Mantenimiento[Fecha Entrada],"&lt;="&amp;G$4)</f>
        <v>0</v>
      </c>
      <c r="H159" s="501">
        <f>COUNTIFS(Mantenimiento[Tipo],"correctivo",Mantenimiento[Placa Vehiculo],IF($D159="","*",$D159),Mantenimiento[Fecha Entrada],"&gt;="&amp;H$3,Mantenimiento[Fecha Entrada],"&lt;="&amp;H$4)</f>
        <v>0</v>
      </c>
      <c r="I159" s="501">
        <f>COUNTIFS(Mantenimiento[Tipo],"correctivo",Mantenimiento[Placa Vehiculo],IF($D159="","*",$D159),Mantenimiento[Fecha Entrada],"&gt;="&amp;I$3,Mantenimiento[Fecha Entrada],"&lt;="&amp;I$4)</f>
        <v>0</v>
      </c>
      <c r="J159" s="501">
        <f>COUNTIFS(Mantenimiento[Tipo],"correctivo",Mantenimiento[Placa Vehiculo],IF($D159="","*",$D159),Mantenimiento[Fecha Entrada],"&gt;="&amp;J$3,Mantenimiento[Fecha Entrada],"&lt;="&amp;J$4)</f>
        <v>0</v>
      </c>
      <c r="K159" s="501">
        <f>COUNTIFS(Mantenimiento[Tipo],"correctivo",Mantenimiento[Placa Vehiculo],IF($D159="","*",$D159),Mantenimiento[Fecha Entrada],"&gt;="&amp;K$3,Mantenimiento[Fecha Entrada],"&lt;="&amp;K$4)</f>
        <v>0</v>
      </c>
      <c r="L159" s="501">
        <f>COUNTIFS(Mantenimiento[Tipo],"correctivo",Mantenimiento[Placa Vehiculo],IF($D159="","*",$D159),Mantenimiento[Fecha Entrada],"&gt;="&amp;L$3,Mantenimiento[Fecha Entrada],"&lt;="&amp;L$4)</f>
        <v>0</v>
      </c>
      <c r="M159" s="501">
        <f>COUNTIFS(Mantenimiento[Tipo],"correctivo",Mantenimiento[Placa Vehiculo],IF($D159="","*",$D159),Mantenimiento[Fecha Entrada],"&gt;="&amp;M$3,Mantenimiento[Fecha Entrada],"&lt;="&amp;M$4)</f>
        <v>0</v>
      </c>
      <c r="N159" s="501">
        <f>COUNTIFS(Mantenimiento[Tipo],"correctivo",Mantenimiento[Placa Vehiculo],IF($D159="","*",$D159),Mantenimiento[Fecha Entrada],"&gt;="&amp;N$3,Mantenimiento[Fecha Entrada],"&lt;="&amp;N$4)</f>
        <v>0</v>
      </c>
      <c r="O159" s="501">
        <f>COUNTIFS(Mantenimiento[Tipo],"correctivo",Mantenimiento[Placa Vehiculo],IF($D159="","*",$D159),Mantenimiento[Fecha Entrada],"&gt;="&amp;O$3,Mantenimiento[Fecha Entrada],"&lt;="&amp;O$4)</f>
        <v>1</v>
      </c>
      <c r="P159" s="501">
        <f>COUNTIFS(Mantenimiento[Tipo],"correctivo",Mantenimiento[Placa Vehiculo],IF($D159="","*",$D159),Mantenimiento[Fecha Entrada],"&gt;="&amp;P$3,Mantenimiento[Fecha Entrada],"&lt;="&amp;P$4)</f>
        <v>0</v>
      </c>
      <c r="Q159" s="501">
        <f>COUNTIFS(Mantenimiento[Tipo],"correctivo",Mantenimiento[Placa Vehiculo],IF($D159="","*",$D159),Mantenimiento[Fecha Entrada],"&gt;="&amp;Q$3,Mantenimiento[Fecha Entrada],"&lt;="&amp;Q$4)</f>
        <v>0</v>
      </c>
      <c r="R159" s="506">
        <f t="shared" si="40"/>
        <v>1</v>
      </c>
    </row>
    <row r="160" spans="1:18" ht="25" customHeight="1" x14ac:dyDescent="0.2">
      <c r="A160" s="47"/>
      <c r="C160" s="497" t="s">
        <v>390</v>
      </c>
      <c r="D160" s="498" t="s">
        <v>312</v>
      </c>
      <c r="E160" s="464"/>
      <c r="F160" s="501">
        <f>COUNTIFS(Mantenimiento[Tipo],"correctivo",Mantenimiento[Placa Vehiculo],IF($D130="","*",$D130),Mantenimiento[Fecha Entrada],"&gt;="&amp;F$3,Mantenimiento[Fecha Entrada],"&lt;="&amp;F$4)</f>
        <v>0</v>
      </c>
      <c r="G160" s="501">
        <f>COUNTIFS(Mantenimiento[Tipo],"correctivo",Mantenimiento[Placa Vehiculo],IF($D160="","*",$D160),Mantenimiento[Fecha Entrada],"&gt;="&amp;G$3,Mantenimiento[Fecha Entrada],"&lt;="&amp;G$4)</f>
        <v>0</v>
      </c>
      <c r="H160" s="502">
        <f>COUNTIFS(Mantenimiento[Tipo],"correctivo",Mantenimiento[Placa Vehiculo],IF($D160="","*",$D160),Mantenimiento[Fecha Entrada],"&gt;="&amp;H$3,Mantenimiento[Fecha Entrada],"&lt;="&amp;H$4)</f>
        <v>0</v>
      </c>
      <c r="I160" s="501">
        <f>COUNTIFS(Mantenimiento[Tipo],"correctivo",Mantenimiento[Placa Vehiculo],IF($D160="","*",$D160),Mantenimiento[Fecha Entrada],"&gt;="&amp;I$3,Mantenimiento[Fecha Entrada],"&lt;="&amp;I$4)</f>
        <v>1</v>
      </c>
      <c r="J160" s="501">
        <f>COUNTIFS(Mantenimiento[Tipo],"correctivo",Mantenimiento[Placa Vehiculo],IF($D160="","*",$D160),Mantenimiento[Fecha Entrada],"&gt;="&amp;J$3,Mantenimiento[Fecha Entrada],"&lt;="&amp;J$4)</f>
        <v>0</v>
      </c>
      <c r="K160" s="501">
        <f>COUNTIFS(Mantenimiento[Tipo],"correctivo",Mantenimiento[Placa Vehiculo],IF($D160="","*",$D160),Mantenimiento[Fecha Entrada],"&gt;="&amp;K$3,Mantenimiento[Fecha Entrada],"&lt;="&amp;K$4)</f>
        <v>1</v>
      </c>
      <c r="L160" s="501">
        <f>COUNTIFS(Mantenimiento[Tipo],"correctivo",Mantenimiento[Placa Vehiculo],IF($D160="","*",$D160),Mantenimiento[Fecha Entrada],"&gt;="&amp;L$3,Mantenimiento[Fecha Entrada],"&lt;="&amp;L$4)</f>
        <v>0</v>
      </c>
      <c r="M160" s="501">
        <f>COUNTIFS(Mantenimiento[Tipo],"correctivo",Mantenimiento[Placa Vehiculo],IF($D160="","*",$D160),Mantenimiento[Fecha Entrada],"&gt;="&amp;M$3,Mantenimiento[Fecha Entrada],"&lt;="&amp;M$4)</f>
        <v>0</v>
      </c>
      <c r="N160" s="501">
        <f>COUNTIFS(Mantenimiento[Tipo],"correctivo",Mantenimiento[Placa Vehiculo],IF($D160="","*",$D160),Mantenimiento[Fecha Entrada],"&gt;="&amp;N$3,Mantenimiento[Fecha Entrada],"&lt;="&amp;N$4)</f>
        <v>2</v>
      </c>
      <c r="O160" s="501">
        <f>COUNTIFS(Mantenimiento[Tipo],"correctivo",Mantenimiento[Placa Vehiculo],IF($D160="","*",$D160),Mantenimiento[Fecha Entrada],"&gt;="&amp;O$3,Mantenimiento[Fecha Entrada],"&lt;="&amp;O$4)</f>
        <v>2</v>
      </c>
      <c r="P160" s="501">
        <f>COUNTIFS(Mantenimiento[Tipo],"correctivo",Mantenimiento[Placa Vehiculo],IF($D160="","*",$D160),Mantenimiento[Fecha Entrada],"&gt;="&amp;P$3,Mantenimiento[Fecha Entrada],"&lt;="&amp;P$4)</f>
        <v>1</v>
      </c>
      <c r="Q160" s="501">
        <f>COUNTIFS(Mantenimiento[Tipo],"correctivo",Mantenimiento[Placa Vehiculo],IF($D160="","*",$D160),Mantenimiento[Fecha Entrada],"&gt;="&amp;Q$3,Mantenimiento[Fecha Entrada],"&lt;="&amp;Q$4)</f>
        <v>1</v>
      </c>
      <c r="R160" s="506">
        <f t="shared" si="40"/>
        <v>8</v>
      </c>
    </row>
    <row r="161" spans="1:18" ht="25" customHeight="1" x14ac:dyDescent="0.2">
      <c r="A161" s="47"/>
      <c r="C161" s="497" t="s">
        <v>390</v>
      </c>
      <c r="D161" s="498" t="s">
        <v>313</v>
      </c>
      <c r="E161" s="464"/>
      <c r="F161" s="501">
        <f>COUNTIFS(Mantenimiento[Tipo],"correctivo",Mantenimiento[Placa Vehiculo],IF($D131="","*",$D131),Mantenimiento[Fecha Entrada],"&gt;="&amp;F$3,Mantenimiento[Fecha Entrada],"&lt;="&amp;F$4)</f>
        <v>0</v>
      </c>
      <c r="G161" s="501">
        <f>COUNTIFS(Mantenimiento[Tipo],"correctivo",Mantenimiento[Placa Vehiculo],IF($D161="","*",$D161),Mantenimiento[Fecha Entrada],"&gt;="&amp;G$3,Mantenimiento[Fecha Entrada],"&lt;="&amp;G$4)</f>
        <v>0</v>
      </c>
      <c r="H161" s="502">
        <f>COUNTIFS(Mantenimiento[Tipo],"correctivo",Mantenimiento[Placa Vehiculo],IF($D161="","*",$D161),Mantenimiento[Fecha Entrada],"&gt;="&amp;H$3,Mantenimiento[Fecha Entrada],"&lt;="&amp;H$4)</f>
        <v>0</v>
      </c>
      <c r="I161" s="501">
        <f>COUNTIFS(Mantenimiento[Tipo],"correctivo",Mantenimiento[Placa Vehiculo],IF($D161="","*",$D161),Mantenimiento[Fecha Entrada],"&gt;="&amp;I$3,Mantenimiento[Fecha Entrada],"&lt;="&amp;I$4)</f>
        <v>0</v>
      </c>
      <c r="J161" s="501">
        <f>COUNTIFS(Mantenimiento[Tipo],"correctivo",Mantenimiento[Placa Vehiculo],IF($D161="","*",$D161),Mantenimiento[Fecha Entrada],"&gt;="&amp;J$3,Mantenimiento[Fecha Entrada],"&lt;="&amp;J$4)</f>
        <v>0</v>
      </c>
      <c r="K161" s="501">
        <f>COUNTIFS(Mantenimiento[Tipo],"correctivo",Mantenimiento[Placa Vehiculo],IF($D161="","*",$D161),Mantenimiento[Fecha Entrada],"&gt;="&amp;K$3,Mantenimiento[Fecha Entrada],"&lt;="&amp;K$4)</f>
        <v>0</v>
      </c>
      <c r="L161" s="501">
        <f>COUNTIFS(Mantenimiento[Tipo],"correctivo",Mantenimiento[Placa Vehiculo],IF($D161="","*",$D161),Mantenimiento[Fecha Entrada],"&gt;="&amp;L$3,Mantenimiento[Fecha Entrada],"&lt;="&amp;L$4)</f>
        <v>0</v>
      </c>
      <c r="M161" s="501">
        <f>COUNTIFS(Mantenimiento[Tipo],"correctivo",Mantenimiento[Placa Vehiculo],IF($D161="","*",$D161),Mantenimiento[Fecha Entrada],"&gt;="&amp;M$3,Mantenimiento[Fecha Entrada],"&lt;="&amp;M$4)</f>
        <v>0</v>
      </c>
      <c r="N161" s="501">
        <f>COUNTIFS(Mantenimiento[Tipo],"correctivo",Mantenimiento[Placa Vehiculo],IF($D161="","*",$D161),Mantenimiento[Fecha Entrada],"&gt;="&amp;N$3,Mantenimiento[Fecha Entrada],"&lt;="&amp;N$4)</f>
        <v>0</v>
      </c>
      <c r="O161" s="501">
        <f>COUNTIFS(Mantenimiento[Tipo],"correctivo",Mantenimiento[Placa Vehiculo],IF($D161="","*",$D161),Mantenimiento[Fecha Entrada],"&gt;="&amp;O$3,Mantenimiento[Fecha Entrada],"&lt;="&amp;O$4)</f>
        <v>0</v>
      </c>
      <c r="P161" s="501">
        <f>COUNTIFS(Mantenimiento[Tipo],"correctivo",Mantenimiento[Placa Vehiculo],IF($D161="","*",$D161),Mantenimiento[Fecha Entrada],"&gt;="&amp;P$3,Mantenimiento[Fecha Entrada],"&lt;="&amp;P$4)</f>
        <v>0</v>
      </c>
      <c r="Q161" s="501">
        <f>COUNTIFS(Mantenimiento[Tipo],"correctivo",Mantenimiento[Placa Vehiculo],IF($D161="","*",$D161),Mantenimiento[Fecha Entrada],"&gt;="&amp;Q$3,Mantenimiento[Fecha Entrada],"&lt;="&amp;Q$4)</f>
        <v>0</v>
      </c>
      <c r="R161" s="506">
        <f t="shared" si="40"/>
        <v>0</v>
      </c>
    </row>
    <row r="162" spans="1:18" ht="25" customHeight="1" x14ac:dyDescent="0.2">
      <c r="A162" s="47"/>
      <c r="C162" s="497" t="s">
        <v>390</v>
      </c>
      <c r="D162" s="498" t="s">
        <v>318</v>
      </c>
      <c r="E162" s="464"/>
      <c r="F162" s="501">
        <f>COUNTIFS(Mantenimiento[Tipo],"correctivo",Mantenimiento[Placa Vehiculo],IF($D132="","*",$D132),Mantenimiento[Fecha Entrada],"&gt;="&amp;F$3,Mantenimiento[Fecha Entrada],"&lt;="&amp;F$4)</f>
        <v>0</v>
      </c>
      <c r="G162" s="501">
        <f>COUNTIFS(Mantenimiento[Tipo],"correctivo",Mantenimiento[Placa Vehiculo],IF($D162="","*",$D162),Mantenimiento[Fecha Entrada],"&gt;="&amp;G$3,Mantenimiento[Fecha Entrada],"&lt;="&amp;G$4)</f>
        <v>0</v>
      </c>
      <c r="H162" s="502">
        <f>COUNTIFS(Mantenimiento[Tipo],"correctivo",Mantenimiento[Placa Vehiculo],IF($D162="","*",$D162),Mantenimiento[Fecha Entrada],"&gt;="&amp;H$3,Mantenimiento[Fecha Entrada],"&lt;="&amp;H$4)</f>
        <v>0</v>
      </c>
      <c r="I162" s="501">
        <f>COUNTIFS(Mantenimiento[Tipo],"correctivo",Mantenimiento[Placa Vehiculo],IF($D162="","*",$D162),Mantenimiento[Fecha Entrada],"&gt;="&amp;I$3,Mantenimiento[Fecha Entrada],"&lt;="&amp;I$4)</f>
        <v>0</v>
      </c>
      <c r="J162" s="501">
        <f>COUNTIFS(Mantenimiento[Tipo],"correctivo",Mantenimiento[Placa Vehiculo],IF($D162="","*",$D162),Mantenimiento[Fecha Entrada],"&gt;="&amp;J$3,Mantenimiento[Fecha Entrada],"&lt;="&amp;J$4)</f>
        <v>0</v>
      </c>
      <c r="K162" s="501">
        <f>COUNTIFS(Mantenimiento[Tipo],"correctivo",Mantenimiento[Placa Vehiculo],IF($D162="","*",$D162),Mantenimiento[Fecha Entrada],"&gt;="&amp;K$3,Mantenimiento[Fecha Entrada],"&lt;="&amp;K$4)</f>
        <v>0</v>
      </c>
      <c r="L162" s="501">
        <f>COUNTIFS(Mantenimiento[Tipo],"correctivo",Mantenimiento[Placa Vehiculo],IF($D162="","*",$D162),Mantenimiento[Fecha Entrada],"&gt;="&amp;L$3,Mantenimiento[Fecha Entrada],"&lt;="&amp;L$4)</f>
        <v>0</v>
      </c>
      <c r="M162" s="501">
        <f>COUNTIFS(Mantenimiento[Tipo],"correctivo",Mantenimiento[Placa Vehiculo],IF($D162="","*",$D162),Mantenimiento[Fecha Entrada],"&gt;="&amp;M$3,Mantenimiento[Fecha Entrada],"&lt;="&amp;M$4)</f>
        <v>0</v>
      </c>
      <c r="N162" s="501">
        <f>COUNTIFS(Mantenimiento[Tipo],"correctivo",Mantenimiento[Placa Vehiculo],IF($D162="","*",$D162),Mantenimiento[Fecha Entrada],"&gt;="&amp;N$3,Mantenimiento[Fecha Entrada],"&lt;="&amp;N$4)</f>
        <v>4</v>
      </c>
      <c r="O162" s="501">
        <f>COUNTIFS(Mantenimiento[Tipo],"correctivo",Mantenimiento[Placa Vehiculo],IF($D162="","*",$D162),Mantenimiento[Fecha Entrada],"&gt;="&amp;O$3,Mantenimiento[Fecha Entrada],"&lt;="&amp;O$4)</f>
        <v>2</v>
      </c>
      <c r="P162" s="501">
        <f>COUNTIFS(Mantenimiento[Tipo],"correctivo",Mantenimiento[Placa Vehiculo],IF($D162="","*",$D162),Mantenimiento[Fecha Entrada],"&gt;="&amp;P$3,Mantenimiento[Fecha Entrada],"&lt;="&amp;P$4)</f>
        <v>2</v>
      </c>
      <c r="Q162" s="501">
        <f>COUNTIFS(Mantenimiento[Tipo],"correctivo",Mantenimiento[Placa Vehiculo],IF($D162="","*",$D162),Mantenimiento[Fecha Entrada],"&gt;="&amp;Q$3,Mantenimiento[Fecha Entrada],"&lt;="&amp;Q$4)</f>
        <v>0</v>
      </c>
      <c r="R162" s="506">
        <f t="shared" si="40"/>
        <v>8</v>
      </c>
    </row>
    <row r="163" spans="1:18" ht="25" customHeight="1" x14ac:dyDescent="0.2">
      <c r="A163" s="47"/>
      <c r="C163" s="497" t="s">
        <v>390</v>
      </c>
      <c r="D163" s="498" t="s">
        <v>320</v>
      </c>
      <c r="E163" s="464"/>
      <c r="F163" s="501">
        <f>COUNTIFS(Mantenimiento[Tipo],"correctivo",Mantenimiento[Placa Vehiculo],IF($D133="","*",$D133),Mantenimiento[Fecha Entrada],"&gt;="&amp;F$3,Mantenimiento[Fecha Entrada],"&lt;="&amp;F$4)</f>
        <v>0</v>
      </c>
      <c r="G163" s="501">
        <f>COUNTIFS(Mantenimiento[Tipo],"correctivo",Mantenimiento[Placa Vehiculo],IF($D163="","*",$D163),Mantenimiento[Fecha Entrada],"&gt;="&amp;G$3,Mantenimiento[Fecha Entrada],"&lt;="&amp;G$4)</f>
        <v>0</v>
      </c>
      <c r="H163" s="502">
        <f>COUNTIFS(Mantenimiento[Tipo],"correctivo",Mantenimiento[Placa Vehiculo],IF($D163="","*",$D163),Mantenimiento[Fecha Entrada],"&gt;="&amp;H$3,Mantenimiento[Fecha Entrada],"&lt;="&amp;H$4)</f>
        <v>0</v>
      </c>
      <c r="I163" s="501">
        <f>COUNTIFS(Mantenimiento[Tipo],"correctivo",Mantenimiento[Placa Vehiculo],IF($D163="","*",$D163),Mantenimiento[Fecha Entrada],"&gt;="&amp;I$3,Mantenimiento[Fecha Entrada],"&lt;="&amp;I$4)</f>
        <v>0</v>
      </c>
      <c r="J163" s="501">
        <f>COUNTIFS(Mantenimiento[Tipo],"correctivo",Mantenimiento[Placa Vehiculo],IF($D163="","*",$D163),Mantenimiento[Fecha Entrada],"&gt;="&amp;J$3,Mantenimiento[Fecha Entrada],"&lt;="&amp;J$4)</f>
        <v>0</v>
      </c>
      <c r="K163" s="501">
        <f>COUNTIFS(Mantenimiento[Tipo],"correctivo",Mantenimiento[Placa Vehiculo],IF($D163="","*",$D163),Mantenimiento[Fecha Entrada],"&gt;="&amp;K$3,Mantenimiento[Fecha Entrada],"&lt;="&amp;K$4)</f>
        <v>0</v>
      </c>
      <c r="L163" s="501">
        <f>COUNTIFS(Mantenimiento[Tipo],"correctivo",Mantenimiento[Placa Vehiculo],IF($D163="","*",$D163),Mantenimiento[Fecha Entrada],"&gt;="&amp;L$3,Mantenimiento[Fecha Entrada],"&lt;="&amp;L$4)</f>
        <v>0</v>
      </c>
      <c r="M163" s="501">
        <f>COUNTIFS(Mantenimiento[Tipo],"correctivo",Mantenimiento[Placa Vehiculo],IF($D163="","*",$D163),Mantenimiento[Fecha Entrada],"&gt;="&amp;M$3,Mantenimiento[Fecha Entrada],"&lt;="&amp;M$4)</f>
        <v>0</v>
      </c>
      <c r="N163" s="501">
        <f>COUNTIFS(Mantenimiento[Tipo],"correctivo",Mantenimiento[Placa Vehiculo],IF($D163="","*",$D163),Mantenimiento[Fecha Entrada],"&gt;="&amp;N$3,Mantenimiento[Fecha Entrada],"&lt;="&amp;N$4)</f>
        <v>1</v>
      </c>
      <c r="O163" s="501">
        <f>COUNTIFS(Mantenimiento[Tipo],"correctivo",Mantenimiento[Placa Vehiculo],IF($D163="","*",$D163),Mantenimiento[Fecha Entrada],"&gt;="&amp;O$3,Mantenimiento[Fecha Entrada],"&lt;="&amp;O$4)</f>
        <v>0</v>
      </c>
      <c r="P163" s="501">
        <f>COUNTIFS(Mantenimiento[Tipo],"correctivo",Mantenimiento[Placa Vehiculo],IF($D163="","*",$D163),Mantenimiento[Fecha Entrada],"&gt;="&amp;P$3,Mantenimiento[Fecha Entrada],"&lt;="&amp;P$4)</f>
        <v>2</v>
      </c>
      <c r="Q163" s="501">
        <f>COUNTIFS(Mantenimiento[Tipo],"correctivo",Mantenimiento[Placa Vehiculo],IF($D163="","*",$D163),Mantenimiento[Fecha Entrada],"&gt;="&amp;Q$3,Mantenimiento[Fecha Entrada],"&lt;="&amp;Q$4)</f>
        <v>1</v>
      </c>
      <c r="R163" s="506">
        <f t="shared" si="40"/>
        <v>4</v>
      </c>
    </row>
    <row r="164" spans="1:18" ht="25" customHeight="1" x14ac:dyDescent="0.2">
      <c r="A164" s="47"/>
      <c r="C164" s="497" t="s">
        <v>390</v>
      </c>
      <c r="D164" s="498" t="s">
        <v>352</v>
      </c>
      <c r="E164" s="464"/>
      <c r="F164" s="501">
        <f>COUNTIFS(Mantenimiento[Tipo],"correctivo",Mantenimiento[Placa Vehiculo],IF($D134="","*",$D134),Mantenimiento[Fecha Entrada],"&gt;="&amp;F$3,Mantenimiento[Fecha Entrada],"&lt;="&amp;F$4)</f>
        <v>0</v>
      </c>
      <c r="G164" s="501">
        <f>COUNTIFS(Mantenimiento[Tipo],"correctivo",Mantenimiento[Placa Vehiculo],IF($D164="","*",$D164),Mantenimiento[Fecha Entrada],"&gt;="&amp;G$3,Mantenimiento[Fecha Entrada],"&lt;="&amp;G$4)</f>
        <v>0</v>
      </c>
      <c r="H164" s="502">
        <f>COUNTIFS(Mantenimiento[Tipo],"correctivo",Mantenimiento[Placa Vehiculo],IF($D164="","*",$D164),Mantenimiento[Fecha Entrada],"&gt;="&amp;H$3,Mantenimiento[Fecha Entrada],"&lt;="&amp;H$4)</f>
        <v>0</v>
      </c>
      <c r="I164" s="501">
        <f>COUNTIFS(Mantenimiento[Tipo],"correctivo",Mantenimiento[Placa Vehiculo],IF($D164="","*",$D164),Mantenimiento[Fecha Entrada],"&gt;="&amp;I$3,Mantenimiento[Fecha Entrada],"&lt;="&amp;I$4)</f>
        <v>0</v>
      </c>
      <c r="J164" s="501">
        <f>COUNTIFS(Mantenimiento[Tipo],"correctivo",Mantenimiento[Placa Vehiculo],IF($D164="","*",$D164),Mantenimiento[Fecha Entrada],"&gt;="&amp;J$3,Mantenimiento[Fecha Entrada],"&lt;="&amp;J$4)</f>
        <v>0</v>
      </c>
      <c r="K164" s="501">
        <f>COUNTIFS(Mantenimiento[Tipo],"correctivo",Mantenimiento[Placa Vehiculo],IF($D164="","*",$D164),Mantenimiento[Fecha Entrada],"&gt;="&amp;K$3,Mantenimiento[Fecha Entrada],"&lt;="&amp;K$4)</f>
        <v>0</v>
      </c>
      <c r="L164" s="501">
        <f>COUNTIFS(Mantenimiento[Tipo],"correctivo",Mantenimiento[Placa Vehiculo],IF($D164="","*",$D164),Mantenimiento[Fecha Entrada],"&gt;="&amp;L$3,Mantenimiento[Fecha Entrada],"&lt;="&amp;L$4)</f>
        <v>0</v>
      </c>
      <c r="M164" s="501">
        <f>COUNTIFS(Mantenimiento[Tipo],"correctivo",Mantenimiento[Placa Vehiculo],IF($D164="","*",$D164),Mantenimiento[Fecha Entrada],"&gt;="&amp;M$3,Mantenimiento[Fecha Entrada],"&lt;="&amp;M$4)</f>
        <v>0</v>
      </c>
      <c r="N164" s="501">
        <f>COUNTIFS(Mantenimiento[Tipo],"correctivo",Mantenimiento[Placa Vehiculo],IF($D164="","*",$D164),Mantenimiento[Fecha Entrada],"&gt;="&amp;N$3,Mantenimiento[Fecha Entrada],"&lt;="&amp;N$4)</f>
        <v>3</v>
      </c>
      <c r="O164" s="501">
        <f>COUNTIFS(Mantenimiento[Tipo],"correctivo",Mantenimiento[Placa Vehiculo],IF($D164="","*",$D164),Mantenimiento[Fecha Entrada],"&gt;="&amp;O$3,Mantenimiento[Fecha Entrada],"&lt;="&amp;O$4)</f>
        <v>2</v>
      </c>
      <c r="P164" s="501">
        <f>COUNTIFS(Mantenimiento[Tipo],"correctivo",Mantenimiento[Placa Vehiculo],IF($D164="","*",$D164),Mantenimiento[Fecha Entrada],"&gt;="&amp;P$3,Mantenimiento[Fecha Entrada],"&lt;="&amp;P$4)</f>
        <v>0</v>
      </c>
      <c r="Q164" s="501">
        <f>COUNTIFS(Mantenimiento[Tipo],"correctivo",Mantenimiento[Placa Vehiculo],IF($D164="","*",$D164),Mantenimiento[Fecha Entrada],"&gt;="&amp;Q$3,Mantenimiento[Fecha Entrada],"&lt;="&amp;Q$4)</f>
        <v>0</v>
      </c>
      <c r="R164" s="506">
        <f t="shared" si="40"/>
        <v>5</v>
      </c>
    </row>
    <row r="165" spans="1:18" ht="21" x14ac:dyDescent="0.2">
      <c r="A165" s="47"/>
      <c r="C165" s="558" t="s">
        <v>391</v>
      </c>
      <c r="D165" s="559" t="s">
        <v>414</v>
      </c>
      <c r="E165" s="464"/>
      <c r="F165" s="501">
        <f>COUNTIFS(Mantenimiento[Tipo],"correctivo",Mantenimiento[Placa Vehiculo],IF(#REF!="","*",#REF!),Mantenimiento[Fecha Entrada],"&gt;="&amp;F$3,Mantenimiento[Fecha Entrada],"&lt;="&amp;F$4)</f>
        <v>0</v>
      </c>
      <c r="G165" s="501">
        <f>COUNTIFS(Mantenimiento[Tipo],"correctivo",Mantenimiento[Placa Vehiculo],IF($D165="","*",$D165),Mantenimiento[Fecha Entrada],"&gt;="&amp;G$3,Mantenimiento[Fecha Entrada],"&lt;="&amp;G$4)</f>
        <v>0</v>
      </c>
      <c r="H165" s="502">
        <f>COUNTIFS(Mantenimiento[Tipo],"correctivo",Mantenimiento[Placa Vehiculo],IF($D165="","*",$D165),Mantenimiento[Fecha Entrada],"&gt;="&amp;H$3,Mantenimiento[Fecha Entrada],"&lt;="&amp;H$4)</f>
        <v>0</v>
      </c>
      <c r="I165" s="501">
        <f>COUNTIFS(Mantenimiento[Tipo],"correctivo",Mantenimiento[Placa Vehiculo],IF($D165="","*",$D165),Mantenimiento[Fecha Entrada],"&gt;="&amp;I$3,Mantenimiento[Fecha Entrada],"&lt;="&amp;I$4)</f>
        <v>0</v>
      </c>
      <c r="J165" s="501">
        <f>COUNTIFS(Mantenimiento[Tipo],"correctivo",Mantenimiento[Placa Vehiculo],IF($D165="","*",$D165),Mantenimiento[Fecha Entrada],"&gt;="&amp;J$3,Mantenimiento[Fecha Entrada],"&lt;="&amp;J$4)</f>
        <v>0</v>
      </c>
      <c r="K165" s="501">
        <f>COUNTIFS(Mantenimiento[Tipo],"correctivo",Mantenimiento[Placa Vehiculo],IF($D165="","*",$D165),Mantenimiento[Fecha Entrada],"&gt;="&amp;K$3,Mantenimiento[Fecha Entrada],"&lt;="&amp;K$4)</f>
        <v>0</v>
      </c>
      <c r="L165" s="501">
        <f>COUNTIFS(Mantenimiento[Tipo],"correctivo",Mantenimiento[Placa Vehiculo],IF($D165="","*",$D165),Mantenimiento[Fecha Entrada],"&gt;="&amp;L$3,Mantenimiento[Fecha Entrada],"&lt;="&amp;L$4)</f>
        <v>0</v>
      </c>
      <c r="M165" s="501">
        <f>COUNTIFS(Mantenimiento[Tipo],"correctivo",Mantenimiento[Placa Vehiculo],IF($D165="","*",$D165),Mantenimiento[Fecha Entrada],"&gt;="&amp;M$3,Mantenimiento[Fecha Entrada],"&lt;="&amp;M$4)</f>
        <v>0</v>
      </c>
      <c r="N165" s="501">
        <f>COUNTIFS(Mantenimiento[Tipo],"correctivo",Mantenimiento[Placa Vehiculo],IF($D165="","*",$D165),Mantenimiento[Fecha Entrada],"&gt;="&amp;N$3,Mantenimiento[Fecha Entrada],"&lt;="&amp;N$4)</f>
        <v>0</v>
      </c>
      <c r="O165" s="501">
        <f>COUNTIFS(Mantenimiento[Tipo],"correctivo",Mantenimiento[Placa Vehiculo],IF($D165="","*",$D165),Mantenimiento[Fecha Entrada],"&gt;="&amp;O$3,Mantenimiento[Fecha Entrada],"&lt;="&amp;O$4)</f>
        <v>0</v>
      </c>
      <c r="P165" s="501">
        <f>COUNTIFS(Mantenimiento[Tipo],"correctivo",Mantenimiento[Placa Vehiculo],IF($D165="","*",$D165),Mantenimiento[Fecha Entrada],"&gt;="&amp;P$3,Mantenimiento[Fecha Entrada],"&lt;="&amp;P$4)</f>
        <v>0</v>
      </c>
      <c r="Q165" s="501">
        <f>COUNTIFS(Mantenimiento[Tipo],"correctivo",Mantenimiento[Placa Vehiculo],IF($D165="","*",$D165),Mantenimiento[Fecha Entrada],"&gt;="&amp;Q$3,Mantenimiento[Fecha Entrada],"&lt;="&amp;Q$4)</f>
        <v>0</v>
      </c>
      <c r="R165" s="506">
        <f t="shared" si="40"/>
        <v>0</v>
      </c>
    </row>
    <row r="166" spans="1:18" x14ac:dyDescent="0.2">
      <c r="A166" s="47"/>
    </row>
    <row r="167" spans="1:18" ht="23.25" customHeight="1" x14ac:dyDescent="0.2">
      <c r="A167" s="47"/>
      <c r="F167" s="466">
        <f t="shared" ref="F167:Q167" si="41">COUNTIF(F141:F166,"&gt;0")</f>
        <v>0</v>
      </c>
      <c r="G167" s="466">
        <f t="shared" si="41"/>
        <v>0</v>
      </c>
      <c r="H167" s="466">
        <f t="shared" si="41"/>
        <v>0</v>
      </c>
      <c r="I167" s="466">
        <f t="shared" si="41"/>
        <v>1</v>
      </c>
      <c r="J167" s="466">
        <f t="shared" si="41"/>
        <v>0</v>
      </c>
      <c r="K167" s="466">
        <f t="shared" si="41"/>
        <v>1</v>
      </c>
      <c r="L167" s="466">
        <f t="shared" si="41"/>
        <v>0</v>
      </c>
      <c r="M167" s="466">
        <f t="shared" si="41"/>
        <v>0</v>
      </c>
      <c r="N167" s="466">
        <f t="shared" si="41"/>
        <v>9</v>
      </c>
      <c r="O167" s="466">
        <f t="shared" si="41"/>
        <v>8</v>
      </c>
      <c r="P167" s="466">
        <f>COUNTIF(P141:P165,"&gt;0")</f>
        <v>6</v>
      </c>
      <c r="Q167" s="466">
        <f t="shared" si="41"/>
        <v>7</v>
      </c>
    </row>
    <row r="168" spans="1:18" ht="23" x14ac:dyDescent="0.25">
      <c r="A168" s="47"/>
      <c r="C168" s="458" t="s">
        <v>413</v>
      </c>
    </row>
    <row r="169" spans="1:18" x14ac:dyDescent="0.2">
      <c r="A169" s="47"/>
    </row>
    <row r="170" spans="1:18" ht="25" customHeight="1" x14ac:dyDescent="0.2">
      <c r="A170" s="47"/>
      <c r="C170" s="459" t="s">
        <v>384</v>
      </c>
      <c r="D170" s="460" t="s">
        <v>71</v>
      </c>
      <c r="E170" s="460" t="s">
        <v>161</v>
      </c>
      <c r="F170" s="463" t="s">
        <v>53</v>
      </c>
      <c r="G170" s="463" t="s">
        <v>54</v>
      </c>
      <c r="H170" s="463" t="s">
        <v>55</v>
      </c>
      <c r="I170" s="463" t="s">
        <v>56</v>
      </c>
      <c r="J170" s="463" t="s">
        <v>57</v>
      </c>
      <c r="K170" s="463" t="s">
        <v>58</v>
      </c>
      <c r="L170" s="463" t="s">
        <v>59</v>
      </c>
      <c r="M170" s="463" t="s">
        <v>60</v>
      </c>
      <c r="N170" s="463" t="s">
        <v>402</v>
      </c>
      <c r="O170" s="463" t="s">
        <v>62</v>
      </c>
      <c r="P170" s="463" t="s">
        <v>63</v>
      </c>
      <c r="Q170" s="463" t="s">
        <v>64</v>
      </c>
      <c r="R170" s="462" t="s">
        <v>155</v>
      </c>
    </row>
    <row r="171" spans="1:18" ht="25" customHeight="1" x14ac:dyDescent="0.2">
      <c r="A171" s="47"/>
      <c r="C171" s="497" t="s">
        <v>385</v>
      </c>
      <c r="D171" s="498" t="s">
        <v>204</v>
      </c>
      <c r="E171" s="464"/>
      <c r="F171" s="523">
        <f>SUMIFS(Rutas[Volumen de Combustible (gal)],Rutas[Placa Vehiculo],IF($D79="","*",$D79),Rutas[Fecha de Llegada],"&gt;="&amp;F$3,Rutas[Fecha de Llegada],"&lt;="&amp;F$4)</f>
        <v>331.89</v>
      </c>
      <c r="G171" s="523">
        <f>SUMIFS(Rutas[Volumen de Combustible (gal)],Rutas[Placa Vehiculo],IF($D79="","*",$D79),Rutas[Fecha de Llegada],"&gt;="&amp;G$3,Rutas[Fecha de Llegada],"&lt;="&amp;G$4)</f>
        <v>642.59</v>
      </c>
      <c r="H171" s="523">
        <f>SUMIFS(Rutas[Volumen de Combustible (gal)],Rutas[Placa Vehiculo],IF($D79="","*",$D79),Rutas[Fecha de Llegada],"&gt;="&amp;H$3,Rutas[Fecha de Llegada],"&lt;="&amp;H$4)</f>
        <v>669.06</v>
      </c>
      <c r="I171" s="523">
        <f>SUMIFS(Rutas[Volumen de Combustible (gal)],Rutas[Placa Vehiculo],IF($D79="","*",$D79),Rutas[Fecha de Llegada],"&gt;="&amp;I$3,Rutas[Fecha de Llegada],"&lt;="&amp;I$4)</f>
        <v>362.3</v>
      </c>
      <c r="J171" s="523">
        <f>SUMIFS(Rutas[Volumen de Combustible (gal)],Rutas[Placa Vehiculo],IF($D79="","*",$D79),Rutas[Fecha de Llegada],"&gt;="&amp;J$3,Rutas[Fecha de Llegada],"&lt;="&amp;J$4)</f>
        <v>462.8</v>
      </c>
      <c r="K171" s="504">
        <f>SUMIFS(Rutas[Volumen de Combustible (gal)],Rutas[Placa Vehiculo],IF($D79="","*",$D79),Rutas[Fecha de Llegada],"&gt;="&amp;K$3,Rutas[Fecha de Llegada],"&lt;="&amp;K$4)</f>
        <v>334.93</v>
      </c>
      <c r="L171" s="504">
        <f>SUMIFS(Rutas[Volumen de Combustible (gal)],Rutas[Placa Vehiculo],IF($D79="","*",$D79),Rutas[Fecha de Llegada],"&gt;="&amp;L$3,Rutas[Fecha de Llegada],"&lt;="&amp;L$4)</f>
        <v>340.28</v>
      </c>
      <c r="M171" s="504">
        <f>SUMIFS(Rutas[Volumen de Combustible (gal)],Rutas[Placa Vehiculo],IF($D79="","*",$D79),Rutas[Fecha de Llegada],"&gt;="&amp;M$3,Rutas[Fecha de Llegada],"&lt;="&amp;M$4)</f>
        <v>473.95000000000005</v>
      </c>
      <c r="N171" s="523">
        <f>SUMIFS(Rutas[Volumen de Combustible (gal)],Rutas[Placa Vehiculo],IF($D79="","*",$D79),Rutas[Fecha de Llegada],"&gt;="&amp;N$3,Rutas[Fecha de Llegada],"&lt;="&amp;N$4)</f>
        <v>335.46000000000004</v>
      </c>
      <c r="O171" s="504">
        <f>SUMIFS(Rutas[Volumen de Combustible (gal)],Rutas[Placa Vehiculo],IF($D79="","*",$D79),Rutas[Fecha de Llegada],"&gt;="&amp;O$3,Rutas[Fecha de Llegada],"&lt;="&amp;O$4)</f>
        <v>403.5</v>
      </c>
      <c r="P171" s="523">
        <f>SUMIFS(Rutas[Volumen de Combustible (gal)],Rutas[Placa Vehiculo],IF($D79="","*",$D79),Rutas[Fecha de Llegada],"&gt;="&amp;P$3,Rutas[Fecha de Llegada],"&lt;="&amp;P$4)</f>
        <v>216.49</v>
      </c>
      <c r="Q171" s="523">
        <f>SUMIFS(Rutas[Volumen de Combustible (gal)],Rutas[Placa Vehiculo],IF($D79="","*",$D79),Rutas[Fecha de Llegada],"&gt;="&amp;Q$3,Rutas[Fecha de Llegada],"&lt;="&amp;Q$4)</f>
        <v>314.25</v>
      </c>
      <c r="R171" s="505">
        <f>SUM(F171:Q171)</f>
        <v>4887.4999999999991</v>
      </c>
    </row>
    <row r="172" spans="1:18" ht="25" customHeight="1" x14ac:dyDescent="0.2">
      <c r="A172" s="47"/>
      <c r="C172" s="497" t="s">
        <v>385</v>
      </c>
      <c r="D172" s="498" t="s">
        <v>207</v>
      </c>
      <c r="E172" s="464"/>
      <c r="F172" s="523">
        <f>SUMIFS(Rutas[Volumen de Combustible (gal)],Rutas[Placa Vehiculo],IF($D80="","*",$D80),Rutas[Fecha de Llegada],"&gt;="&amp;F$3,Rutas[Fecha de Llegada],"&lt;="&amp;F$4)</f>
        <v>1320.48</v>
      </c>
      <c r="G172" s="523">
        <f>SUMIFS(Rutas[Volumen de Combustible (gal)],Rutas[Placa Vehiculo],IF($D80="","*",$D80),Rutas[Fecha de Llegada],"&gt;="&amp;G$3,Rutas[Fecha de Llegada],"&lt;="&amp;G$4)</f>
        <v>593.26</v>
      </c>
      <c r="H172" s="523">
        <f>SUMIFS(Rutas[Volumen de Combustible (gal)],Rutas[Placa Vehiculo],IF($D80="","*",$D80),Rutas[Fecha de Llegada],"&gt;="&amp;H$3,Rutas[Fecha de Llegada],"&lt;="&amp;H$4)</f>
        <v>243.35</v>
      </c>
      <c r="I172" s="503">
        <f>SUMIFS(Rutas[Volumen de Combustible (gal)],Rutas[Placa Vehiculo],IF($D80="","*",$D80),Rutas[Fecha de Llegada],"&gt;="&amp;I$3,Rutas[Fecha de Llegada],"&lt;="&amp;I$4)</f>
        <v>305.26</v>
      </c>
      <c r="J172" s="503">
        <f>SUMIFS(Rutas[Volumen de Combustible (gal)],Rutas[Placa Vehiculo],IF($D80="","*",$D80),Rutas[Fecha de Llegada],"&gt;="&amp;J$3,Rutas[Fecha de Llegada],"&lt;="&amp;J$4)</f>
        <v>1050.78</v>
      </c>
      <c r="K172" s="504">
        <f>SUMIFS(Rutas[Volumen de Combustible (gal)],Rutas[Placa Vehiculo],IF($D80="","*",$D80),Rutas[Fecha de Llegada],"&gt;="&amp;K$3,Rutas[Fecha de Llegada],"&lt;="&amp;K$4)</f>
        <v>865.86</v>
      </c>
      <c r="L172" s="523">
        <f>SUMIFS(Rutas[Volumen de Combustible (gal)],Rutas[Placa Vehiculo],IF($D80="","*",$D80),Rutas[Fecha de Llegada],"&gt;="&amp;L$3,Rutas[Fecha de Llegada],"&lt;="&amp;L$4)</f>
        <v>377.15000000000003</v>
      </c>
      <c r="M172" s="523">
        <f>SUMIFS(Rutas[Volumen de Combustible (gal)],Rutas[Placa Vehiculo],IF($D80="","*",$D80),Rutas[Fecha de Llegada],"&gt;="&amp;M$3,Rutas[Fecha de Llegada],"&lt;="&amp;M$4)</f>
        <v>475.76</v>
      </c>
      <c r="N172" s="523">
        <f>SUMIFS(Rutas[Volumen de Combustible (gal)],Rutas[Placa Vehiculo],IF($D80="","*",$D80),Rutas[Fecha de Llegada],"&gt;="&amp;N$3,Rutas[Fecha de Llegada],"&lt;="&amp;N$4)</f>
        <v>0</v>
      </c>
      <c r="O172" s="523">
        <f>SUMIFS(Rutas[Volumen de Combustible (gal)],Rutas[Placa Vehiculo],IF($D80="","*",$D80),Rutas[Fecha de Llegada],"&gt;="&amp;O$3,Rutas[Fecha de Llegada],"&lt;="&amp;O$4)</f>
        <v>0</v>
      </c>
      <c r="P172" s="523">
        <f>SUMIFS(Rutas[Volumen de Combustible (gal)],Rutas[Placa Vehiculo],IF($D80="","*",$D80),Rutas[Fecha de Llegada],"&gt;="&amp;P$3,Rutas[Fecha de Llegada],"&lt;="&amp;P$4)</f>
        <v>0</v>
      </c>
      <c r="Q172" s="523">
        <f>SUMIFS(Rutas[Volumen de Combustible (gal)],Rutas[Placa Vehiculo],IF($D80="","*",$D80),Rutas[Fecha de Llegada],"&gt;="&amp;Q$3,Rutas[Fecha de Llegada],"&lt;="&amp;Q$4)</f>
        <v>0</v>
      </c>
      <c r="R172" s="505">
        <f t="shared" ref="R172:R195" si="42">SUM(F172:Q172)</f>
        <v>5231.8999999999996</v>
      </c>
    </row>
    <row r="173" spans="1:18" ht="25" customHeight="1" x14ac:dyDescent="0.2">
      <c r="A173" s="47"/>
      <c r="C173" s="497" t="s">
        <v>386</v>
      </c>
      <c r="D173" s="498" t="s">
        <v>208</v>
      </c>
      <c r="E173" s="464"/>
      <c r="F173" s="523">
        <f>SUMIFS(Rutas[Volumen de Combustible (gal)],Rutas[Placa Vehiculo],IF($D81="","*",$D81),Rutas[Fecha de Llegada],"&gt;="&amp;F$3,Rutas[Fecha de Llegada],"&lt;="&amp;F$4)</f>
        <v>589.81999999999994</v>
      </c>
      <c r="G173" s="523">
        <f>SUMIFS(Rutas[Volumen de Combustible (gal)],Rutas[Placa Vehiculo],IF($D81="","*",$D81),Rutas[Fecha de Llegada],"&gt;="&amp;G$3,Rutas[Fecha de Llegada],"&lt;="&amp;G$4)</f>
        <v>729.74999999999989</v>
      </c>
      <c r="H173" s="523">
        <f>SUMIFS(Rutas[Volumen de Combustible (gal)],Rutas[Placa Vehiculo],IF($D81="","*",$D81),Rutas[Fecha de Llegada],"&gt;="&amp;H$3,Rutas[Fecha de Llegada],"&lt;="&amp;H$4)</f>
        <v>854.79999999999984</v>
      </c>
      <c r="I173" s="503">
        <f>SUMIFS(Rutas[Volumen de Combustible (gal)],Rutas[Placa Vehiculo],IF($D81="","*",$D81),Rutas[Fecha de Llegada],"&gt;="&amp;I$3,Rutas[Fecha de Llegada],"&lt;="&amp;I$4)</f>
        <v>1168.8300000000002</v>
      </c>
      <c r="J173" s="503">
        <f>SUMIFS(Rutas[Volumen de Combustible (gal)],Rutas[Placa Vehiculo],IF($D81="","*",$D81),Rutas[Fecha de Llegada],"&gt;="&amp;J$3,Rutas[Fecha de Llegada],"&lt;="&amp;J$4)</f>
        <v>1505.1599999999999</v>
      </c>
      <c r="K173" s="504">
        <f>SUMIFS(Rutas[Volumen de Combustible (gal)],Rutas[Placa Vehiculo],IF($D81="","*",$D81),Rutas[Fecha de Llegada],"&gt;="&amp;K$3,Rutas[Fecha de Llegada],"&lt;="&amp;K$4)</f>
        <v>854.80000000000007</v>
      </c>
      <c r="L173" s="523">
        <f>SUMIFS(Rutas[Volumen de Combustible (gal)],Rutas[Placa Vehiculo],IF($D81="","*",$D81),Rutas[Fecha de Llegada],"&gt;="&amp;L$3,Rutas[Fecha de Llegada],"&lt;="&amp;L$4)</f>
        <v>319.5</v>
      </c>
      <c r="M173" s="523">
        <f>SUMIFS(Rutas[Volumen de Combustible (gal)],Rutas[Placa Vehiculo],IF($D81="","*",$D81),Rutas[Fecha de Llegada],"&gt;="&amp;M$3,Rutas[Fecha de Llegada],"&lt;="&amp;M$4)</f>
        <v>1077.06</v>
      </c>
      <c r="N173" s="504">
        <f>SUMIFS(Rutas[Volumen de Combustible (gal)],Rutas[Placa Vehiculo],IF($D81="","*",$D81),Rutas[Fecha de Llegada],"&gt;="&amp;N$3,Rutas[Fecha de Llegada],"&lt;="&amp;N$4)</f>
        <v>788.96</v>
      </c>
      <c r="O173" s="504">
        <f>SUMIFS(Rutas[Volumen de Combustible (gal)],Rutas[Placa Vehiculo],IF($D81="","*",$D81),Rutas[Fecha de Llegada],"&gt;="&amp;O$3,Rutas[Fecha de Llegada],"&lt;="&amp;O$4)</f>
        <v>998.0139999999999</v>
      </c>
      <c r="P173" s="523">
        <f>SUMIFS(Rutas[Volumen de Combustible (gal)],Rutas[Placa Vehiculo],IF($D81="","*",$D81),Rutas[Fecha de Llegada],"&gt;="&amp;P$3,Rutas[Fecha de Llegada],"&lt;="&amp;P$4)</f>
        <v>798.88</v>
      </c>
      <c r="Q173" s="523">
        <f>SUMIFS(Rutas[Volumen de Combustible (gal)],Rutas[Placa Vehiculo],IF($D81="","*",$D81),Rutas[Fecha de Llegada],"&gt;="&amp;Q$3,Rutas[Fecha de Llegada],"&lt;="&amp;Q$4)</f>
        <v>799.96</v>
      </c>
      <c r="R173" s="505">
        <f t="shared" si="42"/>
        <v>10485.534</v>
      </c>
    </row>
    <row r="174" spans="1:18" ht="25" customHeight="1" x14ac:dyDescent="0.2">
      <c r="A174" s="47"/>
      <c r="C174" s="497" t="s">
        <v>386</v>
      </c>
      <c r="D174" s="498" t="s">
        <v>209</v>
      </c>
      <c r="E174" s="464"/>
      <c r="F174" s="523">
        <f>SUMIFS(Rutas[Volumen de Combustible (gal)],Rutas[Placa Vehiculo],IF($D82="","*",$D82),Rutas[Fecha de Llegada],"&gt;="&amp;F$3,Rutas[Fecha de Llegada],"&lt;="&amp;F$4)</f>
        <v>951.15</v>
      </c>
      <c r="G174" s="523">
        <f>SUMIFS(Rutas[Volumen de Combustible (gal)],Rutas[Placa Vehiculo],IF($D82="","*",$D82),Rutas[Fecha de Llegada],"&gt;="&amp;G$3,Rutas[Fecha de Llegada],"&lt;="&amp;G$4)</f>
        <v>809.9899999999999</v>
      </c>
      <c r="H174" s="523">
        <f>SUMIFS(Rutas[Volumen de Combustible (gal)],Rutas[Placa Vehiculo],IF($D82="","*",$D82),Rutas[Fecha de Llegada],"&gt;="&amp;H$3,Rutas[Fecha de Llegada],"&lt;="&amp;H$4)</f>
        <v>809.42</v>
      </c>
      <c r="I174" s="503">
        <f>SUMIFS(Rutas[Volumen de Combustible (gal)],Rutas[Placa Vehiculo],IF($D82="","*",$D82),Rutas[Fecha de Llegada],"&gt;="&amp;I$3,Rutas[Fecha de Llegada],"&lt;="&amp;I$4)</f>
        <v>1126.3999999999999</v>
      </c>
      <c r="J174" s="503">
        <f>SUMIFS(Rutas[Volumen de Combustible (gal)],Rutas[Placa Vehiculo],IF($D82="","*",$D82),Rutas[Fecha de Llegada],"&gt;="&amp;J$3,Rutas[Fecha de Llegada],"&lt;="&amp;J$4)</f>
        <v>1737.8000000000002</v>
      </c>
      <c r="K174" s="504">
        <f>SUMIFS(Rutas[Volumen de Combustible (gal)],Rutas[Placa Vehiculo],IF($D82="","*",$D82),Rutas[Fecha de Llegada],"&gt;="&amp;K$3,Rutas[Fecha de Llegada],"&lt;="&amp;K$4)</f>
        <v>892.02</v>
      </c>
      <c r="L174" s="523">
        <f>SUMIFS(Rutas[Volumen de Combustible (gal)],Rutas[Placa Vehiculo],IF($D82="","*",$D82),Rutas[Fecha de Llegada],"&gt;="&amp;L$3,Rutas[Fecha de Llegada],"&lt;="&amp;L$4)</f>
        <v>242.79</v>
      </c>
      <c r="M174" s="523">
        <f>SUMIFS(Rutas[Volumen de Combustible (gal)],Rutas[Placa Vehiculo],IF($D82="","*",$D82),Rutas[Fecha de Llegada],"&gt;="&amp;M$3,Rutas[Fecha de Llegada],"&lt;="&amp;M$4)</f>
        <v>875.18000000000006</v>
      </c>
      <c r="N174" s="523">
        <f>SUMIFS(Rutas[Volumen de Combustible (gal)],Rutas[Placa Vehiculo],IF($D82="","*",$D82),Rutas[Fecha de Llegada],"&gt;="&amp;N$3,Rutas[Fecha de Llegada],"&lt;="&amp;N$4)</f>
        <v>758.92000000000007</v>
      </c>
      <c r="O174" s="504">
        <f>SUMIFS(Rutas[Volumen de Combustible (gal)],Rutas[Placa Vehiculo],IF($D82="","*",$D82),Rutas[Fecha de Llegada],"&gt;="&amp;O$3,Rutas[Fecha de Llegada],"&lt;="&amp;O$4)</f>
        <v>817.07</v>
      </c>
      <c r="P174" s="523">
        <f>SUMIFS(Rutas[Volumen de Combustible (gal)],Rutas[Placa Vehiculo],IF($D82="","*",$D82),Rutas[Fecha de Llegada],"&gt;="&amp;P$3,Rutas[Fecha de Llegada],"&lt;="&amp;P$4)</f>
        <v>868</v>
      </c>
      <c r="Q174" s="523">
        <f>SUMIFS(Rutas[Volumen de Combustible (gal)],Rutas[Placa Vehiculo],IF($D82="","*",$D82),Rutas[Fecha de Llegada],"&gt;="&amp;Q$3,Rutas[Fecha de Llegada],"&lt;="&amp;Q$4)</f>
        <v>563.5</v>
      </c>
      <c r="R174" s="505">
        <f t="shared" si="42"/>
        <v>10452.240000000002</v>
      </c>
    </row>
    <row r="175" spans="1:18" ht="25" customHeight="1" x14ac:dyDescent="0.2">
      <c r="A175" s="47"/>
      <c r="C175" s="497" t="s">
        <v>386</v>
      </c>
      <c r="D175" s="498" t="s">
        <v>210</v>
      </c>
      <c r="E175" s="464"/>
      <c r="F175" s="523">
        <f>SUMIFS(Rutas[Volumen de Combustible (gal)],Rutas[Placa Vehiculo],IF($D83="","*",$D83),Rutas[Fecha de Llegada],"&gt;="&amp;F$3,Rutas[Fecha de Llegada],"&lt;="&amp;F$4)</f>
        <v>338.29999999999995</v>
      </c>
      <c r="G175" s="523">
        <f>SUMIFS(Rutas[Volumen de Combustible (gal)],Rutas[Placa Vehiculo],IF($D83="","*",$D83),Rutas[Fecha de Llegada],"&gt;="&amp;G$3,Rutas[Fecha de Llegada],"&lt;="&amp;G$4)</f>
        <v>544.94999999999993</v>
      </c>
      <c r="H175" s="523">
        <f>SUMIFS(Rutas[Volumen de Combustible (gal)],Rutas[Placa Vehiculo],IF($D83="","*",$D83),Rutas[Fecha de Llegada],"&gt;="&amp;H$3,Rutas[Fecha de Llegada],"&lt;="&amp;H$4)</f>
        <v>878.2</v>
      </c>
      <c r="I175" s="503">
        <f>SUMIFS(Rutas[Volumen de Combustible (gal)],Rutas[Placa Vehiculo],IF($D83="","*",$D83),Rutas[Fecha de Llegada],"&gt;="&amp;I$3,Rutas[Fecha de Llegada],"&lt;="&amp;I$4)</f>
        <v>1081.6300000000001</v>
      </c>
      <c r="J175" s="503">
        <f>SUMIFS(Rutas[Volumen de Combustible (gal)],Rutas[Placa Vehiculo],IF($D83="","*",$D83),Rutas[Fecha de Llegada],"&gt;="&amp;J$3,Rutas[Fecha de Llegada],"&lt;="&amp;J$4)</f>
        <v>1695.84</v>
      </c>
      <c r="K175" s="504">
        <f>SUMIFS(Rutas[Volumen de Combustible (gal)],Rutas[Placa Vehiculo],IF($D83="","*",$D83),Rutas[Fecha de Llegada],"&gt;="&amp;K$3,Rutas[Fecha de Llegada],"&lt;="&amp;K$4)</f>
        <v>852.86</v>
      </c>
      <c r="L175" s="523">
        <f>SUMIFS(Rutas[Volumen de Combustible (gal)],Rutas[Placa Vehiculo],IF($D83="","*",$D83),Rutas[Fecha de Llegada],"&gt;="&amp;L$3,Rutas[Fecha de Llegada],"&lt;="&amp;L$4)</f>
        <v>403.17</v>
      </c>
      <c r="M175" s="523">
        <f>SUMIFS(Rutas[Volumen de Combustible (gal)],Rutas[Placa Vehiculo],IF($D83="","*",$D83),Rutas[Fecha de Llegada],"&gt;="&amp;M$3,Rutas[Fecha de Llegada],"&lt;="&amp;M$4)</f>
        <v>880.28</v>
      </c>
      <c r="N175" s="523">
        <f>SUMIFS(Rutas[Volumen de Combustible (gal)],Rutas[Placa Vehiculo],IF($D83="","*",$D83),Rutas[Fecha de Llegada],"&gt;="&amp;N$3,Rutas[Fecha de Llegada],"&lt;="&amp;N$4)</f>
        <v>866.56999999999994</v>
      </c>
      <c r="O175" s="523">
        <f>SUMIFS(Rutas[Volumen de Combustible (gal)],Rutas[Placa Vehiculo],IF($D83="","*",$D83),Rutas[Fecha de Llegada],"&gt;="&amp;O$3,Rutas[Fecha de Llegada],"&lt;="&amp;O$4)</f>
        <v>875.7800000000002</v>
      </c>
      <c r="P175" s="523">
        <f>SUMIFS(Rutas[Volumen de Combustible (gal)],Rutas[Placa Vehiculo],IF($D83="","*",$D83),Rutas[Fecha de Llegada],"&gt;="&amp;P$3,Rutas[Fecha de Llegada],"&lt;="&amp;P$4)</f>
        <v>825.12000000000012</v>
      </c>
      <c r="Q175" s="523">
        <f>SUMIFS(Rutas[Volumen de Combustible (gal)],Rutas[Placa Vehiculo],IF($D83="","*",$D83),Rutas[Fecha de Llegada],"&gt;="&amp;Q$3,Rutas[Fecha de Llegada],"&lt;="&amp;Q$4)</f>
        <v>772.4</v>
      </c>
      <c r="R175" s="505">
        <f t="shared" si="42"/>
        <v>10015.1</v>
      </c>
    </row>
    <row r="176" spans="1:18" ht="25" customHeight="1" x14ac:dyDescent="0.2">
      <c r="A176" s="47"/>
      <c r="C176" s="497" t="s">
        <v>387</v>
      </c>
      <c r="D176" s="498" t="s">
        <v>365</v>
      </c>
      <c r="E176" s="464"/>
      <c r="F176" s="523">
        <f>SUMIFS(Rutas[Volumen de Combustible (gal)],Rutas[Placa Vehiculo],IF($D84="","*",$D84),Rutas[Fecha de Llegada],"&gt;="&amp;F$3,Rutas[Fecha de Llegada],"&lt;="&amp;F$4)</f>
        <v>503</v>
      </c>
      <c r="G176" s="523">
        <f>SUMIFS(Rutas[Volumen de Combustible (gal)],Rutas[Placa Vehiculo],IF($D84="","*",$D84),Rutas[Fecha de Llegada],"&gt;="&amp;G$3,Rutas[Fecha de Llegada],"&lt;="&amp;G$4)</f>
        <v>430</v>
      </c>
      <c r="H176" s="523">
        <f>SUMIFS(Rutas[Volumen de Combustible (gal)],Rutas[Placa Vehiculo],IF($D84="","*",$D84),Rutas[Fecha de Llegada],"&gt;="&amp;H$3,Rutas[Fecha de Llegada],"&lt;="&amp;H$4)</f>
        <v>360</v>
      </c>
      <c r="I176" s="523">
        <f>SUMIFS(Rutas[Volumen de Combustible (gal)],Rutas[Placa Vehiculo],IF($D84="","*",$D84),Rutas[Fecha de Llegada],"&gt;="&amp;I$3,Rutas[Fecha de Llegada],"&lt;="&amp;I$4)</f>
        <v>300</v>
      </c>
      <c r="J176" s="523">
        <f>SUMIFS(Rutas[Volumen de Combustible (gal)],Rutas[Placa Vehiculo],IF($D84="","*",$D84),Rutas[Fecha de Llegada],"&gt;="&amp;J$3,Rutas[Fecha de Llegada],"&lt;="&amp;J$4)</f>
        <v>305</v>
      </c>
      <c r="K176" s="504">
        <f>SUMIFS(Rutas[Volumen de Combustible (gal)],Rutas[Placa Vehiculo],IF($D84="","*",$D84),Rutas[Fecha de Llegada],"&gt;="&amp;K$3,Rutas[Fecha de Llegada],"&lt;="&amp;K$4)</f>
        <v>285</v>
      </c>
      <c r="L176" s="523">
        <f>SUMIFS(Rutas[Volumen de Combustible (gal)],Rutas[Placa Vehiculo],IF($D84="","*",$D84),Rutas[Fecha de Llegada],"&gt;="&amp;L$3,Rutas[Fecha de Llegada],"&lt;="&amp;L$4)</f>
        <v>350</v>
      </c>
      <c r="M176" s="523">
        <f>SUMIFS(Rutas[Volumen de Combustible (gal)],Rutas[Placa Vehiculo],IF($D84="","*",$D84),Rutas[Fecha de Llegada],"&gt;="&amp;M$3,Rutas[Fecha de Llegada],"&lt;="&amp;M$4)</f>
        <v>300</v>
      </c>
      <c r="N176" s="523">
        <f>SUMIFS(Rutas[Volumen de Combustible (gal)],Rutas[Placa Vehiculo],IF($D84="","*",$D84),Rutas[Fecha de Llegada],"&gt;="&amp;N$3,Rutas[Fecha de Llegada],"&lt;="&amp;N$4)</f>
        <v>470</v>
      </c>
      <c r="O176" s="523">
        <f>SUMIFS(Rutas[Volumen de Combustible (gal)],Rutas[Placa Vehiculo],IF($D84="","*",$D84),Rutas[Fecha de Llegada],"&gt;="&amp;O$3,Rutas[Fecha de Llegada],"&lt;="&amp;O$4)</f>
        <v>222</v>
      </c>
      <c r="P176" s="523">
        <f>SUMIFS(Rutas[Volumen de Combustible (gal)],Rutas[Placa Vehiculo],IF($D84="","*",$D84),Rutas[Fecha de Llegada],"&gt;="&amp;P$3,Rutas[Fecha de Llegada],"&lt;="&amp;P$4)</f>
        <v>331</v>
      </c>
      <c r="Q176" s="523">
        <f>SUMIFS(Rutas[Volumen de Combustible (gal)],Rutas[Placa Vehiculo],IF($D84="","*",$D84),Rutas[Fecha de Llegada],"&gt;="&amp;Q$3,Rutas[Fecha de Llegada],"&lt;="&amp;Q$4)</f>
        <v>350</v>
      </c>
      <c r="R176" s="505">
        <f t="shared" si="42"/>
        <v>4206</v>
      </c>
    </row>
    <row r="177" spans="1:18" ht="25" customHeight="1" x14ac:dyDescent="0.2">
      <c r="A177" s="47"/>
      <c r="C177" s="497" t="s">
        <v>385</v>
      </c>
      <c r="D177" s="498" t="s">
        <v>211</v>
      </c>
      <c r="E177" s="464"/>
      <c r="F177" s="523">
        <f>SUMIFS(Rutas[Volumen de Combustible (gal)],Rutas[Placa Vehiculo],IF($D85="","*",$D85),Rutas[Fecha de Llegada],"&gt;="&amp;F$3,Rutas[Fecha de Llegada],"&lt;="&amp;F$4)</f>
        <v>773.38</v>
      </c>
      <c r="G177" s="523">
        <f>SUMIFS(Rutas[Volumen de Combustible (gal)],Rutas[Placa Vehiculo],IF($D85="","*",$D85),Rutas[Fecha de Llegada],"&gt;="&amp;G$3,Rutas[Fecha de Llegada],"&lt;="&amp;G$4)</f>
        <v>473.12000000000006</v>
      </c>
      <c r="H177" s="523">
        <f>SUMIFS(Rutas[Volumen de Combustible (gal)],Rutas[Placa Vehiculo],IF($D85="","*",$D85),Rutas[Fecha de Llegada],"&gt;="&amp;H$3,Rutas[Fecha de Llegada],"&lt;="&amp;H$4)</f>
        <v>254.87</v>
      </c>
      <c r="I177" s="523">
        <f>SUMIFS(Rutas[Volumen de Combustible (gal)],Rutas[Placa Vehiculo],IF($D85="","*",$D85),Rutas[Fecha de Llegada],"&gt;="&amp;I$3,Rutas[Fecha de Llegada],"&lt;="&amp;I$4)</f>
        <v>194</v>
      </c>
      <c r="J177" s="523">
        <f>SUMIFS(Rutas[Volumen de Combustible (gal)],Rutas[Placa Vehiculo],IF($D85="","*",$D85),Rutas[Fecha de Llegada],"&gt;="&amp;J$3,Rutas[Fecha de Llegada],"&lt;="&amp;J$4)</f>
        <v>685.52</v>
      </c>
      <c r="K177" s="504">
        <f>SUMIFS(Rutas[Volumen de Combustible (gal)],Rutas[Placa Vehiculo],IF($D85="","*",$D85),Rutas[Fecha de Llegada],"&gt;="&amp;K$3,Rutas[Fecha de Llegada],"&lt;="&amp;K$4)</f>
        <v>438.21000000000004</v>
      </c>
      <c r="L177" s="523">
        <f>SUMIFS(Rutas[Volumen de Combustible (gal)],Rutas[Placa Vehiculo],IF($D85="","*",$D85),Rutas[Fecha de Llegada],"&gt;="&amp;L$3,Rutas[Fecha de Llegada],"&lt;="&amp;L$4)</f>
        <v>237.18</v>
      </c>
      <c r="M177" s="523">
        <f>SUMIFS(Rutas[Volumen de Combustible (gal)],Rutas[Placa Vehiculo],IF($D85="","*",$D85),Rutas[Fecha de Llegada],"&gt;="&amp;M$3,Rutas[Fecha de Llegada],"&lt;="&amp;M$4)</f>
        <v>0</v>
      </c>
      <c r="N177" s="523">
        <f>SUMIFS(Rutas[Volumen de Combustible (gal)],Rutas[Placa Vehiculo],IF($D85="","*",$D85),Rutas[Fecha de Llegada],"&gt;="&amp;N$3,Rutas[Fecha de Llegada],"&lt;="&amp;N$4)</f>
        <v>796.98</v>
      </c>
      <c r="O177" s="523">
        <f>SUMIFS(Rutas[Volumen de Combustible (gal)],Rutas[Placa Vehiculo],IF($D85="","*",$D85),Rutas[Fecha de Llegada],"&gt;="&amp;O$3,Rutas[Fecha de Llegada],"&lt;="&amp;O$4)</f>
        <v>466.53000000000003</v>
      </c>
      <c r="P177" s="523">
        <f>SUMIFS(Rutas[Volumen de Combustible (gal)],Rutas[Placa Vehiculo],IF($D85="","*",$D85),Rutas[Fecha de Llegada],"&gt;="&amp;P$3,Rutas[Fecha de Llegada],"&lt;="&amp;P$4)</f>
        <v>667.41000000000008</v>
      </c>
      <c r="Q177" s="523">
        <f>SUMIFS(Rutas[Volumen de Combustible (gal)],Rutas[Placa Vehiculo],IF($D85="","*",$D85),Rutas[Fecha de Llegada],"&gt;="&amp;Q$3,Rutas[Fecha de Llegada],"&lt;="&amp;Q$4)</f>
        <v>407.87</v>
      </c>
      <c r="R177" s="505">
        <f t="shared" si="42"/>
        <v>5395.07</v>
      </c>
    </row>
    <row r="178" spans="1:18" ht="25" customHeight="1" x14ac:dyDescent="0.2">
      <c r="A178" s="47"/>
      <c r="C178" s="497" t="s">
        <v>388</v>
      </c>
      <c r="D178" s="498" t="s">
        <v>212</v>
      </c>
      <c r="E178" s="464"/>
      <c r="F178" s="523">
        <f>SUMIFS(Rutas[Volumen de Combustible (gal)],Rutas[Placa Vehiculo],IF($D86="","*",$D86),Rutas[Fecha de Llegada],"&gt;="&amp;F$3,Rutas[Fecha de Llegada],"&lt;="&amp;F$4)</f>
        <v>493.48</v>
      </c>
      <c r="G178" s="523">
        <f>SUMIFS(Rutas[Volumen de Combustible (gal)],Rutas[Placa Vehiculo],IF($D86="","*",$D86),Rutas[Fecha de Llegada],"&gt;="&amp;G$3,Rutas[Fecha de Llegada],"&lt;="&amp;G$4)</f>
        <v>0</v>
      </c>
      <c r="H178" s="523">
        <f>SUMIFS(Rutas[Volumen de Combustible (gal)],Rutas[Placa Vehiculo],IF($D86="","*",$D86),Rutas[Fecha de Llegada],"&gt;="&amp;H$3,Rutas[Fecha de Llegada],"&lt;="&amp;H$4)</f>
        <v>455.6099999999999</v>
      </c>
      <c r="I178" s="523">
        <f>SUMIFS(Rutas[Volumen de Combustible (gal)],Rutas[Placa Vehiculo],IF($D86="","*",$D86),Rutas[Fecha de Llegada],"&gt;="&amp;I$3,Rutas[Fecha de Llegada],"&lt;="&amp;I$4)</f>
        <v>916.96000000000015</v>
      </c>
      <c r="J178" s="503">
        <f>SUMIFS(Rutas[Volumen de Combustible (gal)],Rutas[Placa Vehiculo],IF($D86="","*",$D86),Rutas[Fecha de Llegada],"&gt;="&amp;J$3,Rutas[Fecha de Llegada],"&lt;="&amp;J$4)</f>
        <v>1039.54</v>
      </c>
      <c r="K178" s="503">
        <f>SUMIFS(Rutas[Volumen de Combustible (gal)],Rutas[Placa Vehiculo],IF($D86="","*",$D86),Rutas[Fecha de Llegada],"&gt;="&amp;K$3,Rutas[Fecha de Llegada],"&lt;="&amp;K$4)</f>
        <v>1038.97</v>
      </c>
      <c r="L178" s="523">
        <f>SUMIFS(Rutas[Volumen de Combustible (gal)],Rutas[Placa Vehiculo],IF($D86="","*",$D86),Rutas[Fecha de Llegada],"&gt;="&amp;L$3,Rutas[Fecha de Llegada],"&lt;="&amp;L$4)</f>
        <v>217.9</v>
      </c>
      <c r="M178" s="523">
        <f>SUMIFS(Rutas[Volumen de Combustible (gal)],Rutas[Placa Vehiculo],IF($D86="","*",$D86),Rutas[Fecha de Llegada],"&gt;="&amp;M$3,Rutas[Fecha de Llegada],"&lt;="&amp;M$4)</f>
        <v>1149.1100000000001</v>
      </c>
      <c r="N178" s="523">
        <f>SUMIFS(Rutas[Volumen de Combustible (gal)],Rutas[Placa Vehiculo],IF($D86="","*",$D86),Rutas[Fecha de Llegada],"&gt;="&amp;N$3,Rutas[Fecha de Llegada],"&lt;="&amp;N$4)</f>
        <v>0</v>
      </c>
      <c r="O178" s="523">
        <f>SUMIFS(Rutas[Volumen de Combustible (gal)],Rutas[Placa Vehiculo],IF($D86="","*",$D86),Rutas[Fecha de Llegada],"&gt;="&amp;O$3,Rutas[Fecha de Llegada],"&lt;="&amp;O$4)</f>
        <v>0</v>
      </c>
      <c r="P178" s="523">
        <f>SUMIFS(Rutas[Volumen de Combustible (gal)],Rutas[Placa Vehiculo],IF($D86="","*",$D86),Rutas[Fecha de Llegada],"&gt;="&amp;P$3,Rutas[Fecha de Llegada],"&lt;="&amp;P$4)</f>
        <v>0</v>
      </c>
      <c r="Q178" s="523">
        <f>SUMIFS(Rutas[Volumen de Combustible (gal)],Rutas[Placa Vehiculo],IF($D86="","*",$D86),Rutas[Fecha de Llegada],"&gt;="&amp;Q$3,Rutas[Fecha de Llegada],"&lt;="&amp;Q$4)</f>
        <v>0</v>
      </c>
      <c r="R178" s="505">
        <f t="shared" si="42"/>
        <v>5311.57</v>
      </c>
    </row>
    <row r="179" spans="1:18" ht="25" customHeight="1" x14ac:dyDescent="0.2">
      <c r="A179" s="47"/>
      <c r="C179" s="497" t="s">
        <v>387</v>
      </c>
      <c r="D179" s="498" t="s">
        <v>213</v>
      </c>
      <c r="E179" s="464"/>
      <c r="F179" s="523">
        <f>SUMIFS(Rutas[Volumen de Combustible (gal)],Rutas[Placa Vehiculo],IF($D87="","*",$D87),Rutas[Fecha de Llegada],"&gt;="&amp;F$3,Rutas[Fecha de Llegada],"&lt;="&amp;F$4)</f>
        <v>295</v>
      </c>
      <c r="G179" s="523">
        <f>SUMIFS(Rutas[Volumen de Combustible (gal)],Rutas[Placa Vehiculo],IF($D87="","*",$D87),Rutas[Fecha de Llegada],"&gt;="&amp;G$3,Rutas[Fecha de Llegada],"&lt;="&amp;G$4)</f>
        <v>420</v>
      </c>
      <c r="H179" s="523">
        <f>SUMIFS(Rutas[Volumen de Combustible (gal)],Rutas[Placa Vehiculo],IF($D87="","*",$D87),Rutas[Fecha de Llegada],"&gt;="&amp;H$3,Rutas[Fecha de Llegada],"&lt;="&amp;H$4)</f>
        <v>350</v>
      </c>
      <c r="I179" s="503">
        <f>SUMIFS(Rutas[Volumen de Combustible (gal)],Rutas[Placa Vehiculo],IF($D87="","*",$D87),Rutas[Fecha de Llegada],"&gt;="&amp;I$3,Rutas[Fecha de Llegada],"&lt;="&amp;I$4)</f>
        <v>305</v>
      </c>
      <c r="J179" s="503">
        <f>SUMIFS(Rutas[Volumen de Combustible (gal)],Rutas[Placa Vehiculo],IF($D87="","*",$D87),Rutas[Fecha de Llegada],"&gt;="&amp;J$3,Rutas[Fecha de Llegada],"&lt;="&amp;J$4)</f>
        <v>305</v>
      </c>
      <c r="K179" s="504">
        <f>SUMIFS(Rutas[Volumen de Combustible (gal)],Rutas[Placa Vehiculo],IF($D87="","*",$D87),Rutas[Fecha de Llegada],"&gt;="&amp;K$3,Rutas[Fecha de Llegada],"&lt;="&amp;K$4)</f>
        <v>305</v>
      </c>
      <c r="L179" s="523">
        <f>SUMIFS(Rutas[Volumen de Combustible (gal)],Rutas[Placa Vehiculo],IF($D87="","*",$D87),Rutas[Fecha de Llegada],"&gt;="&amp;L$3,Rutas[Fecha de Llegada],"&lt;="&amp;L$4)</f>
        <v>305</v>
      </c>
      <c r="M179" s="523">
        <f>SUMIFS(Rutas[Volumen de Combustible (gal)],Rutas[Placa Vehiculo],IF($D87="","*",$D87),Rutas[Fecha de Llegada],"&gt;="&amp;M$3,Rutas[Fecha de Llegada],"&lt;="&amp;M$4)</f>
        <v>290</v>
      </c>
      <c r="N179" s="523">
        <f>SUMIFS(Rutas[Volumen de Combustible (gal)],Rutas[Placa Vehiculo],IF($D87="","*",$D87),Rutas[Fecha de Llegada],"&gt;="&amp;N$3,Rutas[Fecha de Llegada],"&lt;="&amp;N$4)</f>
        <v>386.41</v>
      </c>
      <c r="O179" s="523">
        <f>SUMIFS(Rutas[Volumen de Combustible (gal)],Rutas[Placa Vehiculo],IF($D87="","*",$D87),Rutas[Fecha de Llegada],"&gt;="&amp;O$3,Rutas[Fecha de Llegada],"&lt;="&amp;O$4)</f>
        <v>369.07</v>
      </c>
      <c r="P179" s="523">
        <f>SUMIFS(Rutas[Volumen de Combustible (gal)],Rutas[Placa Vehiculo],IF($D87="","*",$D87),Rutas[Fecha de Llegada],"&gt;="&amp;P$3,Rutas[Fecha de Llegada],"&lt;="&amp;P$4)</f>
        <v>445</v>
      </c>
      <c r="Q179" s="523">
        <f>SUMIFS(Rutas[Volumen de Combustible (gal)],Rutas[Placa Vehiculo],IF($D87="","*",$D87),Rutas[Fecha de Llegada],"&gt;="&amp;Q$3,Rutas[Fecha de Llegada],"&lt;="&amp;Q$4)</f>
        <v>386</v>
      </c>
      <c r="R179" s="505">
        <f t="shared" si="42"/>
        <v>4161.4799999999996</v>
      </c>
    </row>
    <row r="180" spans="1:18" ht="25" customHeight="1" x14ac:dyDescent="0.2">
      <c r="A180" s="47"/>
      <c r="C180" s="497" t="s">
        <v>461</v>
      </c>
      <c r="D180" s="498" t="s">
        <v>403</v>
      </c>
      <c r="E180" s="464"/>
      <c r="F180" s="523">
        <f>SUMIFS(Rutas[Volumen de Combustible (gal)],Rutas[Placa Vehiculo],IF($D180="","*",$D180),Rutas[Fecha de Llegada],"&gt;="&amp;F$3,Rutas[Fecha de Llegada],"&lt;="&amp;F$4)</f>
        <v>0</v>
      </c>
      <c r="G180" s="523">
        <f>SUMIFS(Rutas[Volumen de Combustible (gal)],Rutas[Placa Vehiculo],IF($D180="","*",$D180),Rutas[Fecha de Llegada],"&gt;="&amp;G$3,Rutas[Fecha de Llegada],"&lt;="&amp;G$4)</f>
        <v>0</v>
      </c>
      <c r="H180" s="523">
        <f>SUMIFS(Rutas[Volumen de Combustible (gal)],Rutas[Placa Vehiculo],IF(#REF!="","*",#REF!),Rutas[Fecha de Llegada],"&gt;="&amp;H$3,Rutas[Fecha de Llegada],"&lt;="&amp;H$4)</f>
        <v>0</v>
      </c>
      <c r="I180" s="503">
        <f>SUMIFS(Rutas[Volumen de Combustible (gal)],Rutas[Placa Vehiculo],IF($D180="","*",$D180),Rutas[Fecha de Llegada],"&gt;="&amp;I$3,Rutas[Fecha de Llegada],"&lt;="&amp;I$4)</f>
        <v>0</v>
      </c>
      <c r="J180" s="503">
        <f>SUMIFS(Rutas[Volumen de Combustible (gal)],Rutas[Placa Vehiculo],IF($D180="","*",$D180),Rutas[Fecha de Llegada],"&gt;="&amp;J$3,Rutas[Fecha de Llegada],"&lt;="&amp;J$4)</f>
        <v>0</v>
      </c>
      <c r="K180" s="504">
        <f>SUMIFS(Rutas[Volumen de Combustible (gal)],Rutas[Placa Vehiculo],IF($D180="","*",$D180),Rutas[Fecha de Llegada],"&gt;="&amp;K$3,Rutas[Fecha de Llegada],"&lt;="&amp;K$4)</f>
        <v>600</v>
      </c>
      <c r="L180" s="523">
        <f>SUMIFS(Rutas[Volumen de Combustible (gal)],Rutas[Placa Vehiculo],IF($D180="","*",$D180),Rutas[Fecha de Llegada],"&gt;="&amp;L$3,Rutas[Fecha de Llegada],"&lt;="&amp;L$4)</f>
        <v>670</v>
      </c>
      <c r="M180" s="523">
        <f>SUMIFS(Rutas[Volumen de Combustible (gal)],Rutas[Placa Vehiculo],IF($D180="","*",$D180),Rutas[Fecha de Llegada],"&gt;="&amp;M$3,Rutas[Fecha de Llegada],"&lt;="&amp;M$4)</f>
        <v>640</v>
      </c>
      <c r="N180" s="523">
        <f>SUMIFS(Rutas[Volumen de Combustible (gal)],Rutas[Placa Vehiculo],IF($D180="","*",$D180),Rutas[Fecha de Llegada],"&gt;="&amp;N$3,Rutas[Fecha de Llegada],"&lt;="&amp;N$4)</f>
        <v>609.34999999999991</v>
      </c>
      <c r="O180" s="523">
        <f>SUMIFS(Rutas[Volumen de Combustible (gal)],Rutas[Placa Vehiculo],IF($D180="","*",$D180),Rutas[Fecha de Llegada],"&gt;="&amp;O$3,Rutas[Fecha de Llegada],"&lt;="&amp;O$4)</f>
        <v>805.81</v>
      </c>
      <c r="P180" s="523">
        <f>SUMIFS(Rutas[Volumen de Combustible (gal)],Rutas[Placa Vehiculo],IF($D180="","*",$D180),Rutas[Fecha de Llegada],"&gt;="&amp;P$3,Rutas[Fecha de Llegada],"&lt;="&amp;P$4)</f>
        <v>773.12</v>
      </c>
      <c r="Q180" s="523">
        <f>SUMIFS(Rutas[Volumen de Combustible (gal)],Rutas[Placa Vehiculo],IF($D180="","*",$D180),Rutas[Fecha de Llegada],"&gt;="&amp;Q$3,Rutas[Fecha de Llegada],"&lt;="&amp;Q$4)</f>
        <v>803.41</v>
      </c>
      <c r="R180" s="505">
        <f t="shared" si="42"/>
        <v>4901.6899999999996</v>
      </c>
    </row>
    <row r="181" spans="1:18" ht="25" customHeight="1" x14ac:dyDescent="0.2">
      <c r="A181" s="47"/>
      <c r="C181" s="497" t="s">
        <v>389</v>
      </c>
      <c r="D181" s="498" t="s">
        <v>286</v>
      </c>
      <c r="E181" s="464"/>
      <c r="F181" s="523">
        <f>SUMIFS(Rutas[Volumen de Combustible (gal)],Rutas[Placa Vehiculo],IF($D89="","*",$D89),Rutas[Fecha de Llegada],"&gt;="&amp;F$3,Rutas[Fecha de Llegada],"&lt;="&amp;F$4)</f>
        <v>78.510000000000005</v>
      </c>
      <c r="G181" s="523">
        <f>SUMIFS(Rutas[Volumen de Combustible (gal)],Rutas[Placa Vehiculo],IF($D89="","*",$D89),Rutas[Fecha de Llegada],"&gt;="&amp;G$3,Rutas[Fecha de Llegada],"&lt;="&amp;G$4)</f>
        <v>64.72</v>
      </c>
      <c r="H181" s="523">
        <f>SUMIFS(Rutas[Volumen de Combustible (gal)],Rutas[Placa Vehiculo],IF($D89="","*",$D89),Rutas[Fecha de Llegada],"&gt;="&amp;H$3,Rutas[Fecha de Llegada],"&lt;="&amp;H$4)</f>
        <v>62.279999999999994</v>
      </c>
      <c r="I181" s="523">
        <f>SUMIFS(Rutas[Volumen de Combustible (gal)],Rutas[Placa Vehiculo],IF($D89="","*",$D89),Rutas[Fecha de Llegada],"&gt;="&amp;I$3,Rutas[Fecha de Llegada],"&lt;="&amp;I$4)</f>
        <v>60.440000000000005</v>
      </c>
      <c r="J181" s="523">
        <f>SUMIFS(Rutas[Volumen de Combustible (gal)],Rutas[Placa Vehiculo],IF($D89="","*",$D89),Rutas[Fecha de Llegada],"&gt;="&amp;J$3,Rutas[Fecha de Llegada],"&lt;="&amp;J$4)</f>
        <v>70.62</v>
      </c>
      <c r="K181" s="523">
        <f>SUMIFS(Rutas[Volumen de Combustible (gal)],Rutas[Placa Vehiculo],IF($D89="","*",$D89),Rutas[Fecha de Llegada],"&gt;="&amp;K$3,Rutas[Fecha de Llegada],"&lt;="&amp;K$4)</f>
        <v>73.5</v>
      </c>
      <c r="L181" s="523">
        <f>SUMIFS(Rutas[Volumen de Combustible (gal)],Rutas[Placa Vehiculo],IF($D89="","*",$D89),Rutas[Fecha de Llegada],"&gt;="&amp;L$3,Rutas[Fecha de Llegada],"&lt;="&amp;L$4)</f>
        <v>82.42</v>
      </c>
      <c r="M181" s="523">
        <f>SUMIFS(Rutas[Volumen de Combustible (gal)],Rutas[Placa Vehiculo],IF($D89="","*",$D89),Rutas[Fecha de Llegada],"&gt;="&amp;M$3,Rutas[Fecha de Llegada],"&lt;="&amp;M$4)</f>
        <v>86.289999999999992</v>
      </c>
      <c r="N181" s="523">
        <f>SUMIFS(Rutas[Volumen de Combustible (gal)],Rutas[Placa Vehiculo],IF($D89="","*",$D89),Rutas[Fecha de Llegada],"&gt;="&amp;N$3,Rutas[Fecha de Llegada],"&lt;="&amp;N$4)</f>
        <v>101.17</v>
      </c>
      <c r="O181" s="504">
        <f>SUMIFS(Rutas[Volumen de Combustible (gal)],Rutas[Placa Vehiculo],IF($D89="","*",$D89),Rutas[Fecha de Llegada],"&gt;="&amp;O$3,Rutas[Fecha de Llegada],"&lt;="&amp;O$4)</f>
        <v>137.63</v>
      </c>
      <c r="P181" s="523">
        <f>SUMIFS(Rutas[Volumen de Combustible (gal)],Rutas[Placa Vehiculo],IF($D89="","*",$D89),Rutas[Fecha de Llegada],"&gt;="&amp;P$3,Rutas[Fecha de Llegada],"&lt;="&amp;P$4)</f>
        <v>105.21</v>
      </c>
      <c r="Q181" s="523">
        <f>SUMIFS(Rutas[Volumen de Combustible (gal)],Rutas[Placa Vehiculo],IF($D89="","*",$D89),Rutas[Fecha de Llegada],"&gt;="&amp;Q$3,Rutas[Fecha de Llegada],"&lt;="&amp;Q$4)</f>
        <v>73.160000000000011</v>
      </c>
      <c r="R181" s="505">
        <f t="shared" si="42"/>
        <v>995.95</v>
      </c>
    </row>
    <row r="182" spans="1:18" ht="25" customHeight="1" x14ac:dyDescent="0.2">
      <c r="A182" s="47"/>
      <c r="C182" s="497" t="s">
        <v>386</v>
      </c>
      <c r="D182" s="498" t="s">
        <v>473</v>
      </c>
      <c r="E182" s="464"/>
      <c r="F182" s="503"/>
      <c r="G182" s="503"/>
      <c r="H182" s="503"/>
      <c r="I182" s="503"/>
      <c r="J182" s="503"/>
      <c r="K182" s="504"/>
      <c r="L182" s="523"/>
      <c r="M182" s="523"/>
      <c r="N182" s="523"/>
      <c r="O182" s="504">
        <f>SUMIFS(Rutas[Volumen de Combustible (gal)],Rutas[Placa Vehiculo],IF($D91="","*",$D91),Rutas[Fecha de Llegada],"&gt;="&amp;O$3,Rutas[Fecha de Llegada],"&lt;="&amp;O$4)</f>
        <v>506.98</v>
      </c>
      <c r="P182" s="523">
        <f>SUMIFS(Rutas[Volumen de Combustible (gal)],Rutas[Placa Vehiculo],IF($D91="","*",$D91),Rutas[Fecha de Llegada],"&gt;="&amp;P$3,Rutas[Fecha de Llegada],"&lt;="&amp;P$4)</f>
        <v>553.29</v>
      </c>
      <c r="Q182" s="523">
        <f>SUMIFS(Rutas[Volumen de Combustible (gal)],Rutas[Placa Vehiculo],IF($D91="","*",$D91),Rutas[Fecha de Llegada],"&gt;="&amp;Q$3,Rutas[Fecha de Llegada],"&lt;="&amp;Q$4)</f>
        <v>676.10000000000014</v>
      </c>
      <c r="R182" s="505">
        <f t="shared" si="42"/>
        <v>1736.3700000000001</v>
      </c>
    </row>
    <row r="183" spans="1:18" ht="25" customHeight="1" x14ac:dyDescent="0.2">
      <c r="A183" s="47"/>
      <c r="C183" s="497" t="s">
        <v>386</v>
      </c>
      <c r="D183" s="498" t="s">
        <v>350</v>
      </c>
      <c r="E183" s="464"/>
      <c r="F183" s="503">
        <f>SUMIFS(Rutas[Volumen de Combustible (gal)],Rutas[Placa Vehiculo],IF($D90="","*",$D90),Rutas[Fecha de Llegada],"&gt;="&amp;F$3,Rutas[Fecha de Llegada],"&lt;="&amp;F$4)</f>
        <v>0</v>
      </c>
      <c r="G183" s="503">
        <f>SUMIFS(Rutas[Volumen de Combustible (gal)],Rutas[Placa Vehiculo],IF($D90="","*",$D90),Rutas[Fecha de Llegada],"&gt;="&amp;G$3,Rutas[Fecha de Llegada],"&lt;="&amp;G$4)</f>
        <v>0</v>
      </c>
      <c r="H183" s="503">
        <f>SUMIFS(Rutas[Volumen de Combustible (gal)],Rutas[Placa Vehiculo],IF($D90="","*",$D90),Rutas[Fecha de Llegada],"&gt;="&amp;H$3,Rutas[Fecha de Llegada],"&lt;="&amp;H$4)</f>
        <v>0</v>
      </c>
      <c r="I183" s="503">
        <f>SUMIFS(Rutas[Volumen de Combustible (gal)],Rutas[Placa Vehiculo],IF($D90="","*",$D90),Rutas[Fecha de Llegada],"&gt;="&amp;I$3,Rutas[Fecha de Llegada],"&lt;="&amp;I$4)</f>
        <v>0</v>
      </c>
      <c r="J183" s="523">
        <f>SUMIFS(Rutas[Volumen de Combustible (gal)],Rutas[Placa Vehiculo],IF($D90="","*",$D90),Rutas[Fecha de Llegada],"&gt;="&amp;J$3,Rutas[Fecha de Llegada],"&lt;="&amp;J$4)</f>
        <v>392.18</v>
      </c>
      <c r="K183" s="504">
        <f>SUMIFS(Rutas[Volumen de Combustible (gal)],Rutas[Placa Vehiculo],IF($D90="","*",$D90),Rutas[Fecha de Llegada],"&gt;="&amp;K$3,Rutas[Fecha de Llegada],"&lt;="&amp;K$4)</f>
        <v>0</v>
      </c>
      <c r="L183" s="523">
        <f>SUMIFS(Rutas[Volumen de Combustible (gal)],Rutas[Placa Vehiculo],IF($D90="","*",$D90),Rutas[Fecha de Llegada],"&gt;="&amp;L$3,Rutas[Fecha de Llegada],"&lt;="&amp;L$4)</f>
        <v>0</v>
      </c>
      <c r="M183" s="523">
        <f>SUMIFS(Rutas[Volumen de Combustible (gal)],Rutas[Placa Vehiculo],IF($D90="","*",$D90),Rutas[Fecha de Llegada],"&gt;="&amp;M$3,Rutas[Fecha de Llegada],"&lt;="&amp;M$4)</f>
        <v>435.58000000000004</v>
      </c>
      <c r="N183" s="523">
        <f>SUMIFS(Rutas[Volumen de Combustible (gal)],Rutas[Placa Vehiculo],IF($D90="","*",$D90),Rutas[Fecha de Llegada],"&gt;="&amp;N$3,Rutas[Fecha de Llegada],"&lt;="&amp;N$4)</f>
        <v>750.1</v>
      </c>
      <c r="O183" s="523">
        <f>SUMIFS(Rutas[Volumen de Combustible (gal)],Rutas[Placa Vehiculo],IF($D90="","*",$D90),Rutas[Fecha de Llegada],"&gt;="&amp;O$3,Rutas[Fecha de Llegada],"&lt;="&amp;O$4)</f>
        <v>902.84000000000015</v>
      </c>
      <c r="P183" s="523">
        <f>SUMIFS(Rutas[Volumen de Combustible (gal)],Rutas[Placa Vehiculo],IF($D90="","*",$D90),Rutas[Fecha de Llegada],"&gt;="&amp;P$3,Rutas[Fecha de Llegada],"&lt;="&amp;P$4)</f>
        <v>874.16000000000008</v>
      </c>
      <c r="Q183" s="523">
        <f>SUMIFS(Rutas[Volumen de Combustible (gal)],Rutas[Placa Vehiculo],IF($D90="","*",$D90),Rutas[Fecha de Llegada],"&gt;="&amp;Q$3,Rutas[Fecha de Llegada],"&lt;="&amp;Q$4)</f>
        <v>700.63000000000011</v>
      </c>
      <c r="R183" s="505">
        <f t="shared" si="42"/>
        <v>4055.4900000000007</v>
      </c>
    </row>
    <row r="184" spans="1:18" ht="25" customHeight="1" x14ac:dyDescent="0.2">
      <c r="A184" s="47"/>
      <c r="C184" s="497" t="s">
        <v>386</v>
      </c>
      <c r="D184" s="498" t="s">
        <v>509</v>
      </c>
      <c r="E184" s="464"/>
      <c r="F184" s="503">
        <f>SUMIFS(Rutas[Volumen de Combustible (gal)],Rutas[Placa Vehiculo],IF($D91="","*",$D91),Rutas[Fecha de Llegada],"&gt;="&amp;F$3,Rutas[Fecha de Llegada],"&lt;="&amp;F$4)</f>
        <v>0</v>
      </c>
      <c r="G184" s="503">
        <f>SUMIFS(Rutas[Volumen de Combustible (gal)],Rutas[Placa Vehiculo],IF($D91="","*",$D91),Rutas[Fecha de Llegada],"&gt;="&amp;G$3,Rutas[Fecha de Llegada],"&lt;="&amp;G$4)</f>
        <v>0</v>
      </c>
      <c r="H184" s="503">
        <f>SUMIFS(Rutas[Volumen de Combustible (gal)],Rutas[Placa Vehiculo],IF($D91="","*",$D91),Rutas[Fecha de Llegada],"&gt;="&amp;H$3,Rutas[Fecha de Llegada],"&lt;="&amp;H$4)</f>
        <v>0</v>
      </c>
      <c r="I184" s="503">
        <f>SUMIFS(Rutas[Volumen de Combustible (gal)],Rutas[Placa Vehiculo],IF($D91="","*",$D91),Rutas[Fecha de Llegada],"&gt;="&amp;I$3,Rutas[Fecha de Llegada],"&lt;="&amp;I$4)</f>
        <v>0</v>
      </c>
      <c r="J184" s="523">
        <f>SUMIFS(Rutas[Volumen de Combustible (gal)],Rutas[Placa Vehiculo],IF($D91="","*",$D91),Rutas[Fecha de Llegada],"&gt;="&amp;J$3,Rutas[Fecha de Llegada],"&lt;="&amp;J$4)</f>
        <v>0</v>
      </c>
      <c r="K184" s="504">
        <f>SUMIFS(Rutas[Volumen de Combustible (gal)],Rutas[Placa Vehiculo],IF($D91="","*",$D91),Rutas[Fecha de Llegada],"&gt;="&amp;K$3,Rutas[Fecha de Llegada],"&lt;="&amp;K$4)</f>
        <v>0</v>
      </c>
      <c r="L184" s="523">
        <f>SUMIFS(Rutas[Volumen de Combustible (gal)],Rutas[Placa Vehiculo],IF($D91="","*",$D91),Rutas[Fecha de Llegada],"&gt;="&amp;L$3,Rutas[Fecha de Llegada],"&lt;="&amp;L$4)</f>
        <v>0</v>
      </c>
      <c r="M184" s="523">
        <f>SUMIFS(Rutas[Volumen de Combustible (gal)],Rutas[Placa Vehiculo],IF($D91="","*",$D91),Rutas[Fecha de Llegada],"&gt;="&amp;M$3,Rutas[Fecha de Llegada],"&lt;="&amp;M$4)</f>
        <v>0</v>
      </c>
      <c r="N184" s="523">
        <f>SUMIFS(Rutas[Volumen de Combustible (gal)],Rutas[Placa Vehiculo],IF($D91="","*",$D91),Rutas[Fecha de Llegada],"&gt;="&amp;N$3,Rutas[Fecha de Llegada],"&lt;="&amp;N$4)</f>
        <v>0</v>
      </c>
      <c r="O184" s="523">
        <f>SUMIFS(Rutas[Volumen de Combustible (gal)],Rutas[Placa Vehiculo],IF($D92="","*",$D92),Rutas[Fecha de Llegada],"&gt;="&amp;O$3,Rutas[Fecha de Llegada],"&lt;="&amp;O$4)</f>
        <v>0</v>
      </c>
      <c r="P184" s="523">
        <f>SUMIFS(Rutas[Volumen de Combustible (gal)],Rutas[Placa Vehiculo],IF($D92="","*",$D92),Rutas[Fecha de Llegada],"&gt;="&amp;P$3,Rutas[Fecha de Llegada],"&lt;="&amp;P$4)</f>
        <v>0</v>
      </c>
      <c r="Q184" s="523">
        <f>SUMIFS(Rutas[Volumen de Combustible (gal)],Rutas[Placa Vehiculo],IF($D92="","*",$D92),Rutas[Fecha de Llegada],"&gt;="&amp;Q$3,Rutas[Fecha de Llegada],"&lt;="&amp;Q$4)</f>
        <v>897.38</v>
      </c>
      <c r="R184" s="505">
        <f t="shared" si="42"/>
        <v>897.38</v>
      </c>
    </row>
    <row r="185" spans="1:18" ht="25" customHeight="1" x14ac:dyDescent="0.2">
      <c r="A185" s="47"/>
      <c r="C185" s="497" t="s">
        <v>388</v>
      </c>
      <c r="D185" s="498" t="s">
        <v>376</v>
      </c>
      <c r="E185" s="464"/>
      <c r="F185" s="503">
        <f>SUMIFS(Rutas[Volumen de Combustible (gal)],Rutas[Placa Vehiculo],IF($D93="","*",$D93),Rutas[Fecha de Llegada],"&gt;="&amp;F$3,Rutas[Fecha de Llegada],"&lt;="&amp;F$4)</f>
        <v>0</v>
      </c>
      <c r="G185" s="503">
        <f>SUMIFS(Rutas[Volumen de Combustible (gal)],Rutas[Placa Vehiculo],IF($D93="","*",$D93),Rutas[Fecha de Llegada],"&gt;="&amp;G$3,Rutas[Fecha de Llegada],"&lt;="&amp;G$4)</f>
        <v>0</v>
      </c>
      <c r="H185" s="503">
        <f>SUMIFS(Rutas[Volumen de Combustible (gal)],Rutas[Placa Vehiculo],IF($D93="","*",$D93),Rutas[Fecha de Llegada],"&gt;="&amp;H$3,Rutas[Fecha de Llegada],"&lt;="&amp;H$4)</f>
        <v>0</v>
      </c>
      <c r="I185" s="503">
        <f>SUMIFS(Rutas[Volumen de Combustible (gal)],Rutas[Placa Vehiculo],IF($D93="","*",$D93),Rutas[Fecha de Llegada],"&gt;="&amp;I$3,Rutas[Fecha de Llegada],"&lt;="&amp;I$4)</f>
        <v>0</v>
      </c>
      <c r="J185" s="503">
        <f>SUMIFS(Rutas[Volumen de Combustible (gal)],Rutas[Placa Vehiculo],IF($D93="","*",$D93),Rutas[Fecha de Llegada],"&gt;="&amp;J$3,Rutas[Fecha de Llegada],"&lt;="&amp;J$4)</f>
        <v>1110.0000000000002</v>
      </c>
      <c r="K185" s="504">
        <f>SUMIFS(Rutas[Volumen de Combustible (gal)],Rutas[Placa Vehiculo],IF($D93="","*",$D93),Rutas[Fecha de Llegada],"&gt;="&amp;K$3,Rutas[Fecha de Llegada],"&lt;="&amp;K$4)</f>
        <v>333.12</v>
      </c>
      <c r="L185" s="523">
        <f>SUMIFS(Rutas[Volumen de Combustible (gal)],Rutas[Placa Vehiculo],IF($D93="","*",$D93),Rutas[Fecha de Llegada],"&gt;="&amp;L$3,Rutas[Fecha de Llegada],"&lt;="&amp;L$4)</f>
        <v>0</v>
      </c>
      <c r="M185" s="523">
        <f>SUMIFS(Rutas[Volumen de Combustible (gal)],Rutas[Placa Vehiculo],IF($D93="","*",$D93),Rutas[Fecha de Llegada],"&gt;="&amp;M$3,Rutas[Fecha de Llegada],"&lt;="&amp;M$4)</f>
        <v>0</v>
      </c>
      <c r="N185" s="523">
        <f>SUMIFS(Rutas[Volumen de Combustible (gal)],Rutas[Placa Vehiculo],IF($D93="","*",$D93),Rutas[Fecha de Llegada],"&gt;="&amp;N$3,Rutas[Fecha de Llegada],"&lt;="&amp;N$4)</f>
        <v>0</v>
      </c>
      <c r="O185" s="523">
        <f>SUMIFS(Rutas[Volumen de Combustible (gal)],Rutas[Placa Vehiculo],IF($D93="","*",$D93),Rutas[Fecha de Llegada],"&gt;="&amp;O$3,Rutas[Fecha de Llegada],"&lt;="&amp;O$4)</f>
        <v>0</v>
      </c>
      <c r="P185" s="523">
        <f>SUMIFS(Rutas[Volumen de Combustible (gal)],Rutas[Placa Vehiculo],IF($D93="","*",$D93),Rutas[Fecha de Llegada],"&gt;="&amp;P$3,Rutas[Fecha de Llegada],"&lt;="&amp;P$4)</f>
        <v>0</v>
      </c>
      <c r="Q185" s="523">
        <f>SUMIFS(Rutas[Volumen de Combustible (gal)],Rutas[Placa Vehiculo],IF($D93="","*",$D93),Rutas[Fecha de Llegada],"&gt;="&amp;Q$3,Rutas[Fecha de Llegada],"&lt;="&amp;Q$4)</f>
        <v>0</v>
      </c>
      <c r="R185" s="505">
        <f t="shared" si="42"/>
        <v>1443.1200000000003</v>
      </c>
    </row>
    <row r="186" spans="1:18" ht="25" customHeight="1" x14ac:dyDescent="0.2">
      <c r="A186" s="47"/>
      <c r="C186" s="497" t="s">
        <v>390</v>
      </c>
      <c r="D186" s="498" t="s">
        <v>306</v>
      </c>
      <c r="E186" s="464"/>
      <c r="F186" s="523">
        <f>SUMIFS(Rutas[Volumen de Combustible (gal)],Rutas[Placa Vehiculo],IF($D94="","*",$D94),Rutas[Fecha de Llegada],"&gt;="&amp;F$3,Rutas[Fecha de Llegada],"&lt;="&amp;F$4)</f>
        <v>43.769999999999996</v>
      </c>
      <c r="G186" s="523">
        <f>SUMIFS(Rutas[Volumen de Combustible (gal)],Rutas[Placa Vehiculo],IF($D94="","*",$D94),Rutas[Fecha de Llegada],"&gt;="&amp;G$3,Rutas[Fecha de Llegada],"&lt;="&amp;G$4)</f>
        <v>23.810000000000002</v>
      </c>
      <c r="H186" s="523">
        <f>SUMIFS(Rutas[Volumen de Combustible (gal)],Rutas[Placa Vehiculo],IF($D94="","*",$D94),Rutas[Fecha de Llegada],"&gt;="&amp;H$3,Rutas[Fecha de Llegada],"&lt;="&amp;H$4)</f>
        <v>38.57</v>
      </c>
      <c r="I186" s="523">
        <f>SUMIFS(Rutas[Volumen de Combustible (gal)],Rutas[Placa Vehiculo],IF($D94="","*",$D94),Rutas[Fecha de Llegada],"&gt;="&amp;I$3,Rutas[Fecha de Llegada],"&lt;="&amp;I$4)</f>
        <v>111.19</v>
      </c>
      <c r="J186" s="523">
        <f>SUMIFS(Rutas[Volumen de Combustible (gal)],Rutas[Placa Vehiculo],IF($D94="","*",$D94),Rutas[Fecha de Llegada],"&gt;="&amp;J$3,Rutas[Fecha de Llegada],"&lt;="&amp;J$4)</f>
        <v>155.69000000000003</v>
      </c>
      <c r="K186" s="504">
        <f>SUMIFS(Rutas[Volumen de Combustible (gal)],Rutas[Placa Vehiculo],IF($D94="","*",$D94),Rutas[Fecha de Llegada],"&gt;="&amp;K$3,Rutas[Fecha de Llegada],"&lt;="&amp;K$4)</f>
        <v>143.19000000000003</v>
      </c>
      <c r="L186" s="523">
        <f>SUMIFS(Rutas[Volumen de Combustible (gal)],Rutas[Placa Vehiculo],IF($D94="","*",$D94),Rutas[Fecha de Llegada],"&gt;="&amp;L$3,Rutas[Fecha de Llegada],"&lt;="&amp;L$4)</f>
        <v>0</v>
      </c>
      <c r="M186" s="523">
        <f>SUMIFS(Rutas[Volumen de Combustible (gal)],Rutas[Placa Vehiculo],IF($D94="","*",$D94),Rutas[Fecha de Llegada],"&gt;="&amp;M$3,Rutas[Fecha de Llegada],"&lt;="&amp;M$4)</f>
        <v>0</v>
      </c>
      <c r="N186" s="523">
        <f>SUMIFS(Rutas[Volumen de Combustible (gal)],Rutas[Placa Vehiculo],IF($D94="","*",$D94),Rutas[Fecha de Llegada],"&gt;="&amp;N$3,Rutas[Fecha de Llegada],"&lt;="&amp;N$4)</f>
        <v>0</v>
      </c>
      <c r="O186" s="523">
        <f>SUMIFS(Rutas[Volumen de Combustible (gal)],Rutas[Placa Vehiculo],IF($D94="","*",$D94),Rutas[Fecha de Llegada],"&gt;="&amp;O$3,Rutas[Fecha de Llegada],"&lt;="&amp;O$4)</f>
        <v>40.81</v>
      </c>
      <c r="P186" s="523">
        <f>SUMIFS(Rutas[Volumen de Combustible (gal)],Rutas[Placa Vehiculo],IF($D94="","*",$D94),Rutas[Fecha de Llegada],"&gt;="&amp;P$3,Rutas[Fecha de Llegada],"&lt;="&amp;P$4)</f>
        <v>44.910000000000004</v>
      </c>
      <c r="Q186" s="523">
        <f>SUMIFS(Rutas[Volumen de Combustible (gal)],Rutas[Placa Vehiculo],IF($D94="","*",$D94),Rutas[Fecha de Llegada],"&gt;="&amp;Q$3,Rutas[Fecha de Llegada],"&lt;="&amp;Q$4)</f>
        <v>0</v>
      </c>
      <c r="R186" s="505">
        <f t="shared" si="42"/>
        <v>601.93999999999994</v>
      </c>
    </row>
    <row r="187" spans="1:18" ht="25" customHeight="1" x14ac:dyDescent="0.2">
      <c r="A187" s="47"/>
      <c r="C187" s="497" t="s">
        <v>390</v>
      </c>
      <c r="D187" s="498" t="s">
        <v>307</v>
      </c>
      <c r="E187" s="464"/>
      <c r="F187" s="523">
        <f>SUMIFS(Rutas[Volumen de Combustible (gal)],Rutas[Placa Vehiculo],IF($D95="","*",$D95),Rutas[Fecha de Llegada],"&gt;="&amp;F$3,Rutas[Fecha de Llegada],"&lt;="&amp;F$4)</f>
        <v>36.92</v>
      </c>
      <c r="G187" s="523">
        <f>SUMIFS(Rutas[Volumen de Combustible (gal)],Rutas[Placa Vehiculo],IF($D95="","*",$D95),Rutas[Fecha de Llegada],"&gt;="&amp;G$3,Rutas[Fecha de Llegada],"&lt;="&amp;G$4)</f>
        <v>55.430000000000007</v>
      </c>
      <c r="H187" s="523">
        <f>SUMIFS(Rutas[Volumen de Combustible (gal)],Rutas[Placa Vehiculo],IF($D95="","*",$D95),Rutas[Fecha de Llegada],"&gt;="&amp;H$3,Rutas[Fecha de Llegada],"&lt;="&amp;H$4)</f>
        <v>54.089999999999996</v>
      </c>
      <c r="I187" s="523">
        <f>SUMIFS(Rutas[Volumen de Combustible (gal)],Rutas[Placa Vehiculo],IF($D95="","*",$D95),Rutas[Fecha de Llegada],"&gt;="&amp;I$3,Rutas[Fecha de Llegada],"&lt;="&amp;I$4)</f>
        <v>49.230000000000004</v>
      </c>
      <c r="J187" s="523">
        <f>SUMIFS(Rutas[Volumen de Combustible (gal)],Rutas[Placa Vehiculo],IF($D95="","*",$D95),Rutas[Fecha de Llegada],"&gt;="&amp;J$3,Rutas[Fecha de Llegada],"&lt;="&amp;J$4)</f>
        <v>44.760000000000005</v>
      </c>
      <c r="K187" s="504">
        <f>SUMIFS(Rutas[Volumen de Combustible (gal)],Rutas[Placa Vehiculo],IF($D95="","*",$D95),Rutas[Fecha de Llegada],"&gt;="&amp;K$3,Rutas[Fecha de Llegada],"&lt;="&amp;K$4)</f>
        <v>37.19</v>
      </c>
      <c r="L187" s="523">
        <f>SUMIFS(Rutas[Volumen de Combustible (gal)],Rutas[Placa Vehiculo],IF($D95="","*",$D95),Rutas[Fecha de Llegada],"&gt;="&amp;L$3,Rutas[Fecha de Llegada],"&lt;="&amp;L$4)</f>
        <v>10.34</v>
      </c>
      <c r="M187" s="523">
        <f>SUMIFS(Rutas[Volumen de Combustible (gal)],Rutas[Placa Vehiculo],IF($D95="","*",$D95),Rutas[Fecha de Llegada],"&gt;="&amp;M$3,Rutas[Fecha de Llegada],"&lt;="&amp;M$4)</f>
        <v>43.8</v>
      </c>
      <c r="N187" s="523">
        <f>SUMIFS(Rutas[Volumen de Combustible (gal)],Rutas[Placa Vehiculo],IF($D95="","*",$D95),Rutas[Fecha de Llegada],"&gt;="&amp;N$3,Rutas[Fecha de Llegada],"&lt;="&amp;N$4)</f>
        <v>42.51</v>
      </c>
      <c r="O187" s="523">
        <f>SUMIFS(Rutas[Volumen de Combustible (gal)],Rutas[Placa Vehiculo],IF($D95="","*",$D95),Rutas[Fecha de Llegada],"&gt;="&amp;O$3,Rutas[Fecha de Llegada],"&lt;="&amp;O$4)</f>
        <v>57.059999999999995</v>
      </c>
      <c r="P187" s="523">
        <f>SUMIFS(Rutas[Volumen de Combustible (gal)],Rutas[Placa Vehiculo],IF($D95="","*",$D95),Rutas[Fecha de Llegada],"&gt;="&amp;P$3,Rutas[Fecha de Llegada],"&lt;="&amp;P$4)</f>
        <v>25.08</v>
      </c>
      <c r="Q187" s="523">
        <f>SUMIFS(Rutas[Volumen de Combustible (gal)],Rutas[Placa Vehiculo],IF($D95="","*",$D95),Rutas[Fecha de Llegada],"&gt;="&amp;Q$3,Rutas[Fecha de Llegada],"&lt;="&amp;Q$4)</f>
        <v>51.11</v>
      </c>
      <c r="R187" s="505">
        <f t="shared" si="42"/>
        <v>507.52</v>
      </c>
    </row>
    <row r="188" spans="1:18" ht="25" customHeight="1" x14ac:dyDescent="0.2">
      <c r="A188" s="47"/>
      <c r="C188" s="497" t="s">
        <v>391</v>
      </c>
      <c r="D188" s="498" t="s">
        <v>308</v>
      </c>
      <c r="E188" s="464"/>
      <c r="F188" s="523">
        <f>SUMIFS(Rutas[Volumen de Combustible (gal)],Rutas[Placa Vehiculo],IF($D96="","*",$D96),Rutas[Fecha de Llegada],"&gt;="&amp;F$3,Rutas[Fecha de Llegada],"&lt;="&amp;F$4)</f>
        <v>82.539999999999992</v>
      </c>
      <c r="G188" s="523">
        <f>SUMIFS(Rutas[Volumen de Combustible (gal)],Rutas[Placa Vehiculo],IF($D96="","*",$D96),Rutas[Fecha de Llegada],"&gt;="&amp;G$3,Rutas[Fecha de Llegada],"&lt;="&amp;G$4)</f>
        <v>24.54</v>
      </c>
      <c r="H188" s="523">
        <f>SUMIFS(Rutas[Volumen de Combustible (gal)],Rutas[Placa Vehiculo],IF($D96="","*",$D96),Rutas[Fecha de Llegada],"&gt;="&amp;H$3,Rutas[Fecha de Llegada],"&lt;="&amp;H$4)</f>
        <v>24.54</v>
      </c>
      <c r="I188" s="523">
        <f>SUMIFS(Rutas[Volumen de Combustible (gal)],Rutas[Placa Vehiculo],IF($D96="","*",$D96),Rutas[Fecha de Llegada],"&gt;="&amp;I$3,Rutas[Fecha de Llegada],"&lt;="&amp;I$4)</f>
        <v>42.249999999999993</v>
      </c>
      <c r="J188" s="523">
        <f>SUMIFS(Rutas[Volumen de Combustible (gal)],Rutas[Placa Vehiculo],IF($D96="","*",$D96),Rutas[Fecha de Llegada],"&gt;="&amp;J$3,Rutas[Fecha de Llegada],"&lt;="&amp;J$4)</f>
        <v>53.45</v>
      </c>
      <c r="K188" s="504">
        <f>SUMIFS(Rutas[Volumen de Combustible (gal)],Rutas[Placa Vehiculo],IF($D96="","*",$D96),Rutas[Fecha de Llegada],"&gt;="&amp;K$3,Rutas[Fecha de Llegada],"&lt;="&amp;K$4)</f>
        <v>117.07</v>
      </c>
      <c r="L188" s="523">
        <f>SUMIFS(Rutas[Volumen de Combustible (gal)],Rutas[Placa Vehiculo],IF($D96="","*",$D96),Rutas[Fecha de Llegada],"&gt;="&amp;L$3,Rutas[Fecha de Llegada],"&lt;="&amp;L$4)</f>
        <v>23.68</v>
      </c>
      <c r="M188" s="523">
        <f>SUMIFS(Rutas[Volumen de Combustible (gal)],Rutas[Placa Vehiculo],IF($D96="","*",$D96),Rutas[Fecha de Llegada],"&gt;="&amp;M$3,Rutas[Fecha de Llegada],"&lt;="&amp;M$4)</f>
        <v>44.19</v>
      </c>
      <c r="N188" s="523">
        <f>SUMIFS(Rutas[Volumen de Combustible (gal)],Rutas[Placa Vehiculo],IF($D96="","*",$D96),Rutas[Fecha de Llegada],"&gt;="&amp;N$3,Rutas[Fecha de Llegada],"&lt;="&amp;N$4)</f>
        <v>156.72</v>
      </c>
      <c r="O188" s="523">
        <f>SUMIFS(Rutas[Volumen de Combustible (gal)],Rutas[Placa Vehiculo],IF($D96="","*",$D96),Rutas[Fecha de Llegada],"&gt;="&amp;O$3,Rutas[Fecha de Llegada],"&lt;="&amp;O$4)</f>
        <v>166.45</v>
      </c>
      <c r="P188" s="523">
        <f>SUMIFS(Rutas[Volumen de Combustible (gal)],Rutas[Placa Vehiculo],IF($D96="","*",$D96),Rutas[Fecha de Llegada],"&gt;="&amp;P$3,Rutas[Fecha de Llegada],"&lt;="&amp;P$4)</f>
        <v>137.32</v>
      </c>
      <c r="Q188" s="523">
        <f>SUMIFS(Rutas[Volumen de Combustible (gal)],Rutas[Placa Vehiculo],IF($D96="","*",$D96),Rutas[Fecha de Llegada],"&gt;="&amp;Q$3,Rutas[Fecha de Llegada],"&lt;="&amp;Q$4)</f>
        <v>169.46</v>
      </c>
      <c r="R188" s="505">
        <f t="shared" si="42"/>
        <v>1042.21</v>
      </c>
    </row>
    <row r="189" spans="1:18" ht="25" customHeight="1" x14ac:dyDescent="0.2">
      <c r="A189" s="47"/>
      <c r="C189" s="497" t="s">
        <v>390</v>
      </c>
      <c r="D189" s="498" t="s">
        <v>311</v>
      </c>
      <c r="E189" s="464"/>
      <c r="F189" s="523">
        <f>SUMIFS(Rutas[Volumen de Combustible (gal)],Rutas[Placa Vehiculo],IF($D97="","*",$D97),Rutas[Fecha de Llegada],"&gt;="&amp;F$3,Rutas[Fecha de Llegada],"&lt;="&amp;F$4)</f>
        <v>11.15</v>
      </c>
      <c r="G189" s="523">
        <f>SUMIFS(Rutas[Volumen de Combustible (gal)],Rutas[Placa Vehiculo],IF($D97="","*",$D97),Rutas[Fecha de Llegada],"&gt;="&amp;G$3,Rutas[Fecha de Llegada],"&lt;="&amp;G$4)</f>
        <v>86.38</v>
      </c>
      <c r="H189" s="523">
        <f>SUMIFS(Rutas[Volumen de Combustible (gal)],Rutas[Placa Vehiculo],IF($D97="","*",$D97),Rutas[Fecha de Llegada],"&gt;="&amp;H$3,Rutas[Fecha de Llegada],"&lt;="&amp;H$4)</f>
        <v>88.139999999999986</v>
      </c>
      <c r="I189" s="523">
        <f>SUMIFS(Rutas[Volumen de Combustible (gal)],Rutas[Placa Vehiculo],IF($D97="","*",$D97),Rutas[Fecha de Llegada],"&gt;="&amp;I$3,Rutas[Fecha de Llegada],"&lt;="&amp;I$4)</f>
        <v>130.01999999999998</v>
      </c>
      <c r="J189" s="523">
        <f>SUMIFS(Rutas[Volumen de Combustible (gal)],Rutas[Placa Vehiculo],IF($D97="","*",$D97),Rutas[Fecha de Llegada],"&gt;="&amp;J$3,Rutas[Fecha de Llegada],"&lt;="&amp;J$4)</f>
        <v>10</v>
      </c>
      <c r="K189" s="504">
        <f>SUMIFS(Rutas[Volumen de Combustible (gal)],Rutas[Placa Vehiculo],IF($D97="","*",$D97),Rutas[Fecha de Llegada],"&gt;="&amp;K$3,Rutas[Fecha de Llegada],"&lt;="&amp;K$4)</f>
        <v>0</v>
      </c>
      <c r="L189" s="523">
        <f>SUMIFS(Rutas[Volumen de Combustible (gal)],Rutas[Placa Vehiculo],IF($D97="","*",$D97),Rutas[Fecha de Llegada],"&gt;="&amp;L$3,Rutas[Fecha de Llegada],"&lt;="&amp;L$4)</f>
        <v>0</v>
      </c>
      <c r="M189" s="523">
        <f>SUMIFS(Rutas[Volumen de Combustible (gal)],Rutas[Placa Vehiculo],IF($D97="","*",$D97),Rutas[Fecha de Llegada],"&gt;="&amp;M$3,Rutas[Fecha de Llegada],"&lt;="&amp;M$4)</f>
        <v>0</v>
      </c>
      <c r="N189" s="523">
        <f>SUMIFS(Rutas[Volumen de Combustible (gal)],Rutas[Placa Vehiculo],IF($D97="","*",$D97),Rutas[Fecha de Llegada],"&gt;="&amp;N$3,Rutas[Fecha de Llegada],"&lt;="&amp;N$4)</f>
        <v>0</v>
      </c>
      <c r="O189" s="523">
        <f>SUMIFS(Rutas[Volumen de Combustible (gal)],Rutas[Placa Vehiculo],IF($D97="","*",$D97),Rutas[Fecha de Llegada],"&gt;="&amp;O$3,Rutas[Fecha de Llegada],"&lt;="&amp;O$4)</f>
        <v>132.91</v>
      </c>
      <c r="P189" s="523">
        <f>SUMIFS(Rutas[Volumen de Combustible (gal)],Rutas[Placa Vehiculo],IF($D97="","*",$D97),Rutas[Fecha de Llegada],"&gt;="&amp;P$3,Rutas[Fecha de Llegada],"&lt;="&amp;P$4)</f>
        <v>0</v>
      </c>
      <c r="Q189" s="523">
        <f>SUMIFS(Rutas[Volumen de Combustible (gal)],Rutas[Placa Vehiculo],IF($D97="","*",$D97),Rutas[Fecha de Llegada],"&gt;="&amp;Q$3,Rutas[Fecha de Llegada],"&lt;="&amp;Q$4)</f>
        <v>0</v>
      </c>
      <c r="R189" s="505">
        <f t="shared" si="42"/>
        <v>458.59999999999991</v>
      </c>
    </row>
    <row r="190" spans="1:18" ht="25" customHeight="1" x14ac:dyDescent="0.2">
      <c r="A190" s="47"/>
      <c r="C190" s="497" t="s">
        <v>390</v>
      </c>
      <c r="D190" s="498" t="s">
        <v>312</v>
      </c>
      <c r="E190" s="464"/>
      <c r="F190" s="523">
        <f>SUMIFS(Rutas[Volumen de Combustible (gal)],Rutas[Placa Vehiculo],IF($D98="","*",$D98),Rutas[Fecha de Llegada],"&gt;="&amp;F$3,Rutas[Fecha de Llegada],"&lt;="&amp;F$4)</f>
        <v>69.400000000000006</v>
      </c>
      <c r="G190" s="523">
        <f>SUMIFS(Rutas[Volumen de Combustible (gal)],Rutas[Placa Vehiculo],IF($D98="","*",$D98),Rutas[Fecha de Llegada],"&gt;="&amp;G$3,Rutas[Fecha de Llegada],"&lt;="&amp;G$4)</f>
        <v>76.37</v>
      </c>
      <c r="H190" s="523">
        <f>SUMIFS(Rutas[Volumen de Combustible (gal)],Rutas[Placa Vehiculo],IF($D98="","*",$D98),Rutas[Fecha de Llegada],"&gt;="&amp;H$3,Rutas[Fecha de Llegada],"&lt;="&amp;H$4)</f>
        <v>103.3</v>
      </c>
      <c r="I190" s="523">
        <f>SUMIFS(Rutas[Volumen de Combustible (gal)],Rutas[Placa Vehiculo],IF($D98="","*",$D98),Rutas[Fecha de Llegada],"&gt;="&amp;I$3,Rutas[Fecha de Llegada],"&lt;="&amp;I$4)</f>
        <v>37.35</v>
      </c>
      <c r="J190" s="523">
        <f>SUMIFS(Rutas[Volumen de Combustible (gal)],Rutas[Placa Vehiculo],IF($D98="","*",$D98),Rutas[Fecha de Llegada],"&gt;="&amp;J$3,Rutas[Fecha de Llegada],"&lt;="&amp;J$4)</f>
        <v>130.79999999999998</v>
      </c>
      <c r="K190" s="504">
        <f>SUMIFS(Rutas[Volumen de Combustible (gal)],Rutas[Placa Vehiculo],IF($D98="","*",$D98),Rutas[Fecha de Llegada],"&gt;="&amp;K$3,Rutas[Fecha de Llegada],"&lt;="&amp;K$4)</f>
        <v>14.280000000000001</v>
      </c>
      <c r="L190" s="523">
        <f>SUMIFS(Rutas[Volumen de Combustible (gal)],Rutas[Placa Vehiculo],IF($D98="","*",$D98),Rutas[Fecha de Llegada],"&gt;="&amp;L$3,Rutas[Fecha de Llegada],"&lt;="&amp;L$4)</f>
        <v>33.979999999999997</v>
      </c>
      <c r="M190" s="523">
        <f>SUMIFS(Rutas[Volumen de Combustible (gal)],Rutas[Placa Vehiculo],IF($D98="","*",$D98),Rutas[Fecha de Llegada],"&gt;="&amp;M$3,Rutas[Fecha de Llegada],"&lt;="&amp;M$4)</f>
        <v>124.77000000000002</v>
      </c>
      <c r="N190" s="523">
        <f>SUMIFS(Rutas[Volumen de Combustible (gal)],Rutas[Placa Vehiculo],IF($D98="","*",$D98),Rutas[Fecha de Llegada],"&gt;="&amp;N$3,Rutas[Fecha de Llegada],"&lt;="&amp;N$4)</f>
        <v>152.16000000000003</v>
      </c>
      <c r="O190" s="523">
        <f>SUMIFS(Rutas[Volumen de Combustible (gal)],Rutas[Placa Vehiculo],IF($D98="","*",$D98),Rutas[Fecha de Llegada],"&gt;="&amp;O$3,Rutas[Fecha de Llegada],"&lt;="&amp;O$4)</f>
        <v>18</v>
      </c>
      <c r="P190" s="523">
        <f>SUMIFS(Rutas[Volumen de Combustible (gal)],Rutas[Placa Vehiculo],IF($D98="","*",$D98),Rutas[Fecha de Llegada],"&gt;="&amp;P$3,Rutas[Fecha de Llegada],"&lt;="&amp;P$4)</f>
        <v>139.51</v>
      </c>
      <c r="Q190" s="523">
        <f>SUMIFS(Rutas[Volumen de Combustible (gal)],Rutas[Placa Vehiculo],IF($D98="","*",$D98),Rutas[Fecha de Llegada],"&gt;="&amp;Q$3,Rutas[Fecha de Llegada],"&lt;="&amp;Q$4)</f>
        <v>160.1</v>
      </c>
      <c r="R190" s="505">
        <f t="shared" si="42"/>
        <v>1060.02</v>
      </c>
    </row>
    <row r="191" spans="1:18" ht="25" customHeight="1" x14ac:dyDescent="0.2">
      <c r="A191" s="47"/>
      <c r="C191" s="497" t="s">
        <v>390</v>
      </c>
      <c r="D191" s="498" t="s">
        <v>313</v>
      </c>
      <c r="E191" s="464"/>
      <c r="F191" s="523">
        <f>SUMIFS(Rutas[Volumen de Combustible (gal)],Rutas[Placa Vehiculo],IF($D99="","*",$D99),Rutas[Fecha de Llegada],"&gt;="&amp;F$3,Rutas[Fecha de Llegada],"&lt;="&amp;F$4)</f>
        <v>41.03</v>
      </c>
      <c r="G191" s="523">
        <f>SUMIFS(Rutas[Volumen de Combustible (gal)],Rutas[Placa Vehiculo],IF($D99="","*",$D99),Rutas[Fecha de Llegada],"&gt;="&amp;G$3,Rutas[Fecha de Llegada],"&lt;="&amp;G$4)</f>
        <v>57.4</v>
      </c>
      <c r="H191" s="523">
        <f>SUMIFS(Rutas[Volumen de Combustible (gal)],Rutas[Placa Vehiculo],IF($D99="","*",$D99),Rutas[Fecha de Llegada],"&gt;="&amp;H$3,Rutas[Fecha de Llegada],"&lt;="&amp;H$4)</f>
        <v>0</v>
      </c>
      <c r="I191" s="523">
        <f>SUMIFS(Rutas[Volumen de Combustible (gal)],Rutas[Placa Vehiculo],IF($D99="","*",$D99),Rutas[Fecha de Llegada],"&gt;="&amp;I$3,Rutas[Fecha de Llegada],"&lt;="&amp;I$4)</f>
        <v>15.68</v>
      </c>
      <c r="J191" s="523">
        <f>SUMIFS(Rutas[Volumen de Combustible (gal)],Rutas[Placa Vehiculo],IF($D99="","*",$D99),Rutas[Fecha de Llegada],"&gt;="&amp;J$3,Rutas[Fecha de Llegada],"&lt;="&amp;J$4)</f>
        <v>0</v>
      </c>
      <c r="K191" s="504">
        <f>SUMIFS(Rutas[Volumen de Combustible (gal)],Rutas[Placa Vehiculo],IF($D99="","*",$D99),Rutas[Fecha de Llegada],"&gt;="&amp;K$3,Rutas[Fecha de Llegada],"&lt;="&amp;K$4)</f>
        <v>0</v>
      </c>
      <c r="L191" s="523">
        <f>SUMIFS(Rutas[Volumen de Combustible (gal)],Rutas[Placa Vehiculo],IF($D99="","*",$D99),Rutas[Fecha de Llegada],"&gt;="&amp;L$3,Rutas[Fecha de Llegada],"&lt;="&amp;L$4)</f>
        <v>0</v>
      </c>
      <c r="M191" s="523">
        <f>SUMIFS(Rutas[Volumen de Combustible (gal)],Rutas[Placa Vehiculo],IF($D99="","*",$D99),Rutas[Fecha de Llegada],"&gt;="&amp;M$3,Rutas[Fecha de Llegada],"&lt;="&amp;M$4)</f>
        <v>0</v>
      </c>
      <c r="N191" s="523">
        <f>SUMIFS(Rutas[Volumen de Combustible (gal)],Rutas[Placa Vehiculo],IF($D99="","*",$D99),Rutas[Fecha de Llegada],"&gt;="&amp;N$3,Rutas[Fecha de Llegada],"&lt;="&amp;N$4)</f>
        <v>0</v>
      </c>
      <c r="O191" s="523">
        <f>SUMIFS(Rutas[Volumen de Combustible (gal)],Rutas[Placa Vehiculo],IF($D99="","*",$D99),Rutas[Fecha de Llegada],"&gt;="&amp;O$3,Rutas[Fecha de Llegada],"&lt;="&amp;O$4)</f>
        <v>0</v>
      </c>
      <c r="P191" s="523">
        <f>SUMIFS(Rutas[Volumen de Combustible (gal)],Rutas[Placa Vehiculo],IF($D99="","*",$D99),Rutas[Fecha de Llegada],"&gt;="&amp;P$3,Rutas[Fecha de Llegada],"&lt;="&amp;P$4)</f>
        <v>0</v>
      </c>
      <c r="Q191" s="523">
        <f>SUMIFS(Rutas[Volumen de Combustible (gal)],Rutas[Placa Vehiculo],IF($D99="","*",$D99),Rutas[Fecha de Llegada],"&gt;="&amp;Q$3,Rutas[Fecha de Llegada],"&lt;="&amp;Q$4)</f>
        <v>0</v>
      </c>
      <c r="R191" s="505">
        <f t="shared" si="42"/>
        <v>114.11000000000001</v>
      </c>
    </row>
    <row r="192" spans="1:18" ht="25" customHeight="1" x14ac:dyDescent="0.2">
      <c r="A192" s="47"/>
      <c r="C192" s="497" t="s">
        <v>390</v>
      </c>
      <c r="D192" s="498" t="s">
        <v>318</v>
      </c>
      <c r="E192" s="464"/>
      <c r="F192" s="503">
        <f>SUMIFS(Rutas[Volumen de Combustible (gal)],Rutas[Placa Vehiculo],IF($D100="","*",$D100),Rutas[Fecha de Llegada],"&gt;="&amp;F$3,Rutas[Fecha de Llegada],"&lt;="&amp;F$4)</f>
        <v>0</v>
      </c>
      <c r="G192" s="503">
        <f>SUMIFS(Rutas[Volumen de Combustible (gal)],Rutas[Placa Vehiculo],IF($D100="","*",$D100),Rutas[Fecha de Llegada],"&gt;="&amp;G$3,Rutas[Fecha de Llegada],"&lt;="&amp;G$4)</f>
        <v>0</v>
      </c>
      <c r="H192" s="503">
        <f>SUMIFS(Rutas[Volumen de Combustible (gal)],Rutas[Placa Vehiculo],IF($D100="","*",$D100),Rutas[Fecha de Llegada],"&gt;="&amp;H$3,Rutas[Fecha de Llegada],"&lt;="&amp;H$4)</f>
        <v>0</v>
      </c>
      <c r="I192" s="523">
        <f>SUMIFS(Rutas[Volumen de Combustible (gal)],Rutas[Placa Vehiculo],IF($D100="","*",$D100),Rutas[Fecha de Llegada],"&gt;="&amp;I$3,Rutas[Fecha de Llegada],"&lt;="&amp;I$4)</f>
        <v>54.29</v>
      </c>
      <c r="J192" s="523">
        <f>SUMIFS(Rutas[Volumen de Combustible (gal)],Rutas[Placa Vehiculo],IF($D100="","*",$D100),Rutas[Fecha de Llegada],"&gt;="&amp;J$3,Rutas[Fecha de Llegada],"&lt;="&amp;J$4)</f>
        <v>61.739999999999995</v>
      </c>
      <c r="K192" s="504">
        <f>SUMIFS(Rutas[Volumen de Combustible (gal)],Rutas[Placa Vehiculo],IF($D100="","*",$D100),Rutas[Fecha de Llegada],"&gt;="&amp;K$3,Rutas[Fecha de Llegada],"&lt;="&amp;K$4)</f>
        <v>105.72</v>
      </c>
      <c r="L192" s="523">
        <f>SUMIFS(Rutas[Volumen de Combustible (gal)],Rutas[Placa Vehiculo],IF($D100="","*",$D100),Rutas[Fecha de Llegada],"&gt;="&amp;L$3,Rutas[Fecha de Llegada],"&lt;="&amp;L$4)</f>
        <v>28.65</v>
      </c>
      <c r="M192" s="523">
        <f>SUMIFS(Rutas[Volumen de Combustible (gal)],Rutas[Placa Vehiculo],IF($D100="","*",$D100),Rutas[Fecha de Llegada],"&gt;="&amp;M$3,Rutas[Fecha de Llegada],"&lt;="&amp;M$4)</f>
        <v>94.570000000000007</v>
      </c>
      <c r="N192" s="523">
        <f>SUMIFS(Rutas[Volumen de Combustible (gal)],Rutas[Placa Vehiculo],IF($D100="","*",$D100),Rutas[Fecha de Llegada],"&gt;="&amp;N$3,Rutas[Fecha de Llegada],"&lt;="&amp;N$4)</f>
        <v>134.02999999999997</v>
      </c>
      <c r="O192" s="523">
        <f>SUMIFS(Rutas[Volumen de Combustible (gal)],Rutas[Placa Vehiculo],IF($D100="","*",$D100),Rutas[Fecha de Llegada],"&gt;="&amp;O$3,Rutas[Fecha de Llegada],"&lt;="&amp;O$4)</f>
        <v>110.68999999999998</v>
      </c>
      <c r="P192" s="523">
        <f>SUMIFS(Rutas[Volumen de Combustible (gal)],Rutas[Placa Vehiculo],IF($D100="","*",$D100),Rutas[Fecha de Llegada],"&gt;="&amp;P$3,Rutas[Fecha de Llegada],"&lt;="&amp;P$4)</f>
        <v>86</v>
      </c>
      <c r="Q192" s="523">
        <f>SUMIFS(Rutas[Volumen de Combustible (gal)],Rutas[Placa Vehiculo],IF($D100="","*",$D100),Rutas[Fecha de Llegada],"&gt;="&amp;Q$3,Rutas[Fecha de Llegada],"&lt;="&amp;Q$4)</f>
        <v>97.009999999999991</v>
      </c>
      <c r="R192" s="505">
        <f t="shared" si="42"/>
        <v>772.69999999999993</v>
      </c>
    </row>
    <row r="193" spans="1:18" ht="25" customHeight="1" x14ac:dyDescent="0.2">
      <c r="A193" s="47"/>
      <c r="C193" s="497" t="s">
        <v>390</v>
      </c>
      <c r="D193" s="498" t="s">
        <v>320</v>
      </c>
      <c r="E193" s="464"/>
      <c r="F193" s="503">
        <f>SUMIFS(Rutas[Volumen de Combustible (gal)],Rutas[Placa Vehiculo],IF($D101="","*",$D101),Rutas[Fecha de Llegada],"&gt;="&amp;F$3,Rutas[Fecha de Llegada],"&lt;="&amp;F$4)</f>
        <v>0</v>
      </c>
      <c r="G193" s="503">
        <f>SUMIFS(Rutas[Volumen de Combustible (gal)],Rutas[Placa Vehiculo],IF($D101="","*",$D101),Rutas[Fecha de Llegada],"&gt;="&amp;G$3,Rutas[Fecha de Llegada],"&lt;="&amp;G$4)</f>
        <v>0</v>
      </c>
      <c r="H193" s="523">
        <f>SUMIFS(Rutas[Volumen de Combustible (gal)],Rutas[Placa Vehiculo],IF($D101="","*",$D101),Rutas[Fecha de Llegada],"&gt;="&amp;H$3,Rutas[Fecha de Llegada],"&lt;="&amp;H$4)</f>
        <v>10</v>
      </c>
      <c r="I193" s="503">
        <f>SUMIFS(Rutas[Volumen de Combustible (gal)],Rutas[Placa Vehiculo],IF($D101="","*",$D101),Rutas[Fecha de Llegada],"&gt;="&amp;I$3,Rutas[Fecha de Llegada],"&lt;="&amp;I$4)</f>
        <v>203.17</v>
      </c>
      <c r="J193" s="523">
        <f>SUMIFS(Rutas[Volumen de Combustible (gal)],Rutas[Placa Vehiculo],IF($D101="","*",$D101),Rutas[Fecha de Llegada],"&gt;="&amp;J$3,Rutas[Fecha de Llegada],"&lt;="&amp;J$4)</f>
        <v>145.87</v>
      </c>
      <c r="K193" s="504">
        <f>SUMIFS(Rutas[Volumen de Combustible (gal)],Rutas[Placa Vehiculo],IF($D101="","*",$D101),Rutas[Fecha de Llegada],"&gt;="&amp;K$3,Rutas[Fecha de Llegada],"&lt;="&amp;K$4)</f>
        <v>171.80199999999999</v>
      </c>
      <c r="L193" s="523">
        <f>SUMIFS(Rutas[Volumen de Combustible (gal)],Rutas[Placa Vehiculo],IF($D101="","*",$D101),Rutas[Fecha de Llegada],"&gt;="&amp;L$3,Rutas[Fecha de Llegada],"&lt;="&amp;L$4)</f>
        <v>27.55</v>
      </c>
      <c r="M193" s="523">
        <f>SUMIFS(Rutas[Volumen de Combustible (gal)],Rutas[Placa Vehiculo],IF($D101="","*",$D101),Rutas[Fecha de Llegada],"&gt;="&amp;M$3,Rutas[Fecha de Llegada],"&lt;="&amp;M$4)</f>
        <v>136.72</v>
      </c>
      <c r="N193" s="523">
        <f>SUMIFS(Rutas[Volumen de Combustible (gal)],Rutas[Placa Vehiculo],IF($D101="","*",$D101),Rutas[Fecha de Llegada],"&gt;="&amp;N$3,Rutas[Fecha de Llegada],"&lt;="&amp;N$4)</f>
        <v>190.21</v>
      </c>
      <c r="O193" s="523">
        <f>SUMIFS(Rutas[Volumen de Combustible (gal)],Rutas[Placa Vehiculo],IF($D101="","*",$D101),Rutas[Fecha de Llegada],"&gt;="&amp;O$3,Rutas[Fecha de Llegada],"&lt;="&amp;O$4)</f>
        <v>168.72000000000003</v>
      </c>
      <c r="P193" s="523">
        <f>SUMIFS(Rutas[Volumen de Combustible (gal)],Rutas[Placa Vehiculo],IF($D101="","*",$D101),Rutas[Fecha de Llegada],"&gt;="&amp;P$3,Rutas[Fecha de Llegada],"&lt;="&amp;P$4)</f>
        <v>176.5</v>
      </c>
      <c r="Q193" s="523">
        <f>SUMIFS(Rutas[Volumen de Combustible (gal)],Rutas[Placa Vehiculo],IF($D101="","*",$D101),Rutas[Fecha de Llegada],"&gt;="&amp;Q$3,Rutas[Fecha de Llegada],"&lt;="&amp;Q$4)</f>
        <v>183.26</v>
      </c>
      <c r="R193" s="505">
        <f t="shared" si="42"/>
        <v>1413.8019999999999</v>
      </c>
    </row>
    <row r="194" spans="1:18" ht="25" customHeight="1" x14ac:dyDescent="0.2">
      <c r="A194" s="47"/>
      <c r="C194" s="497" t="s">
        <v>390</v>
      </c>
      <c r="D194" s="498" t="s">
        <v>352</v>
      </c>
      <c r="E194" s="464"/>
      <c r="F194" s="503">
        <f>SUMIFS(Rutas[Volumen de Combustible (gal)],Rutas[Placa Vehiculo],IF($D102="","*",$D102),Rutas[Fecha de Llegada],"&gt;="&amp;F$3,Rutas[Fecha de Llegada],"&lt;="&amp;F$4)</f>
        <v>0</v>
      </c>
      <c r="G194" s="503">
        <f>SUMIFS(Rutas[Volumen de Combustible (gal)],Rutas[Placa Vehiculo],IF($D102="","*",$D102),Rutas[Fecha de Llegada],"&gt;="&amp;G$3,Rutas[Fecha de Llegada],"&lt;="&amp;G$4)</f>
        <v>0</v>
      </c>
      <c r="H194" s="503">
        <f>SUMIFS(Rutas[Volumen de Combustible (gal)],Rutas[Placa Vehiculo],IF($D102="","*",$D102),Rutas[Fecha de Llegada],"&gt;="&amp;H$3,Rutas[Fecha de Llegada],"&lt;="&amp;H$4)</f>
        <v>0</v>
      </c>
      <c r="I194" s="503">
        <f>SUMIFS(Rutas[Volumen de Combustible (gal)],Rutas[Placa Vehiculo],IF($D102="","*",$D102),Rutas[Fecha de Llegada],"&gt;="&amp;I$3,Rutas[Fecha de Llegada],"&lt;="&amp;I$4)</f>
        <v>0</v>
      </c>
      <c r="J194" s="523">
        <f>SUMIFS(Rutas[Volumen de Combustible (gal)],Rutas[Placa Vehiculo],IF($D102="","*",$D102),Rutas[Fecha de Llegada],"&gt;="&amp;J$3,Rutas[Fecha de Llegada],"&lt;="&amp;J$4)</f>
        <v>120.62</v>
      </c>
      <c r="K194" s="504">
        <f>SUMIFS(Rutas[Volumen de Combustible (gal)],Rutas[Placa Vehiculo],IF($D102="","*",$D102),Rutas[Fecha de Llegada],"&gt;="&amp;K$3,Rutas[Fecha de Llegada],"&lt;="&amp;K$4)</f>
        <v>63.311</v>
      </c>
      <c r="L194" s="523">
        <f>SUMIFS(Rutas[Volumen de Combustible (gal)],Rutas[Placa Vehiculo],IF($D102="","*",$D102),Rutas[Fecha de Llegada],"&gt;="&amp;L$3,Rutas[Fecha de Llegada],"&lt;="&amp;L$4)</f>
        <v>0</v>
      </c>
      <c r="M194" s="523">
        <f>SUMIFS(Rutas[Volumen de Combustible (gal)],Rutas[Placa Vehiculo],IF($D102="","*",$D102),Rutas[Fecha de Llegada],"&gt;="&amp;M$3,Rutas[Fecha de Llegada],"&lt;="&amp;M$4)</f>
        <v>124.33999999999999</v>
      </c>
      <c r="N194" s="523">
        <f>SUMIFS(Rutas[Volumen de Combustible (gal)],Rutas[Placa Vehiculo],IF($D102="","*",$D102),Rutas[Fecha de Llegada],"&gt;="&amp;N$3,Rutas[Fecha de Llegada],"&lt;="&amp;N$4)</f>
        <v>151.28</v>
      </c>
      <c r="O194" s="523">
        <f>SUMIFS(Rutas[Volumen de Combustible (gal)],Rutas[Placa Vehiculo],IF($D102="","*",$D102),Rutas[Fecha de Llegada],"&gt;="&amp;O$3,Rutas[Fecha de Llegada],"&lt;="&amp;O$4)</f>
        <v>183.91</v>
      </c>
      <c r="P194" s="523">
        <f>SUMIFS(Rutas[Volumen de Combustible (gal)],Rutas[Placa Vehiculo],IF($D102="","*",$D102),Rutas[Fecha de Llegada],"&gt;="&amp;P$3,Rutas[Fecha de Llegada],"&lt;="&amp;P$4)</f>
        <v>198.31</v>
      </c>
      <c r="Q194" s="523">
        <f>SUMIFS(Rutas[Volumen de Combustible (gal)],Rutas[Placa Vehiculo],IF($D102="","*",$D102),Rutas[Fecha de Llegada],"&gt;="&amp;Q$3,Rutas[Fecha de Llegada],"&lt;="&amp;Q$4)</f>
        <v>238.26999999999998</v>
      </c>
      <c r="R194" s="505">
        <f t="shared" si="42"/>
        <v>1080.0409999999999</v>
      </c>
    </row>
    <row r="195" spans="1:18" ht="21" x14ac:dyDescent="0.2">
      <c r="A195" s="47"/>
      <c r="C195" s="558" t="s">
        <v>391</v>
      </c>
      <c r="D195" s="559" t="s">
        <v>414</v>
      </c>
      <c r="E195" s="465"/>
      <c r="F195" s="503">
        <f>SUMIFS(Rutas[Volumen de Combustible (gal)],Rutas[Placa Vehiculo],IF($D195="","*",$D195),Rutas[Fecha de Llegada],"&gt;="&amp;F$3,Rutas[Fecha de Llegada],"&lt;="&amp;F$4)</f>
        <v>0</v>
      </c>
      <c r="G195" s="503">
        <f>SUMIFS(Rutas[Volumen de Combustible (gal)],Rutas[Placa Vehiculo],IF($D195="","*",$D195),Rutas[Fecha de Llegada],"&gt;="&amp;G$3,Rutas[Fecha de Llegada],"&lt;="&amp;G$4)</f>
        <v>0</v>
      </c>
      <c r="H195" s="503">
        <f>SUMIFS(Rutas[Volumen de Combustible (gal)],Rutas[Placa Vehiculo],IF($D195="","*",$D195),Rutas[Fecha de Llegada],"&gt;="&amp;H$3,Rutas[Fecha de Llegada],"&lt;="&amp;H$4)</f>
        <v>0</v>
      </c>
      <c r="I195" s="503">
        <f>SUMIFS(Rutas[Volumen de Combustible (gal)],Rutas[Placa Vehiculo],IF($D195="","*",$D195),Rutas[Fecha de Llegada],"&gt;="&amp;I$3,Rutas[Fecha de Llegada],"&lt;="&amp;I$4)</f>
        <v>0</v>
      </c>
      <c r="J195" s="523">
        <f>SUMIFS(Rutas[Volumen de Combustible (gal)],Rutas[Placa Vehiculo],IF($D195="","*",$D195),Rutas[Fecha de Llegada],"&gt;="&amp;J$3,Rutas[Fecha de Llegada],"&lt;="&amp;J$4)</f>
        <v>0</v>
      </c>
      <c r="K195" s="504">
        <f>SUMIFS(Rutas[Volumen de Combustible (gal)],Rutas[Placa Vehiculo],IF($D195="","*",$D195),Rutas[Fecha de Llegada],"&gt;="&amp;K$3,Rutas[Fecha de Llegada],"&lt;="&amp;K$4)</f>
        <v>0</v>
      </c>
      <c r="L195" s="523">
        <f>SUMIFS(Rutas[Volumen de Combustible (gal)],Rutas[Placa Vehiculo],IF($D195="","*",$D195),Rutas[Fecha de Llegada],"&gt;="&amp;L$3,Rutas[Fecha de Llegada],"&lt;="&amp;L$4)</f>
        <v>0</v>
      </c>
      <c r="M195" s="523">
        <f>SUMIFS(Rutas[Volumen de Combustible (gal)],Rutas[Placa Vehiculo],IF($D103="","*",$D103),Rutas[Fecha de Llegada],"&gt;="&amp;M$3,Rutas[Fecha de Llegada],"&lt;="&amp;M$4)</f>
        <v>0</v>
      </c>
      <c r="N195" s="523">
        <f>SUMIFS(Rutas[Volumen de Combustible (gal)],Rutas[Placa Vehiculo],IF($D103="","*",$D103),Rutas[Fecha de Llegada],"&gt;="&amp;N$3,Rutas[Fecha de Llegada],"&lt;="&amp;N$4)</f>
        <v>0</v>
      </c>
      <c r="O195" s="523">
        <f>SUMIFS(Rutas[Volumen de Combustible (gal)],Rutas[Placa Vehiculo],IF($D103="","*",$D103),Rutas[Fecha de Llegada],"&gt;="&amp;O$3,Rutas[Fecha de Llegada],"&lt;="&amp;O$4)</f>
        <v>0</v>
      </c>
      <c r="P195" s="523">
        <f>SUMIFS(Rutas[Volumen de Combustible (gal)],Rutas[Placa Vehiculo],IF($D103="","*",$D103),Rutas[Fecha de Llegada],"&gt;="&amp;P$3,Rutas[Fecha de Llegada],"&lt;="&amp;P$4)</f>
        <v>0</v>
      </c>
      <c r="Q195" s="523">
        <f>SUMIFS(Rutas[Volumen de Combustible (gal)],Rutas[Placa Vehiculo],IF($D103="","*",$D103),Rutas[Fecha de Llegada],"&gt;="&amp;Q$3,Rutas[Fecha de Llegada],"&lt;="&amp;Q$4)</f>
        <v>0</v>
      </c>
      <c r="R195" s="505">
        <f t="shared" si="42"/>
        <v>0</v>
      </c>
    </row>
    <row r="196" spans="1:18" x14ac:dyDescent="0.2">
      <c r="A196" s="47"/>
    </row>
    <row r="197" spans="1:18" x14ac:dyDescent="0.2">
      <c r="A197" s="47"/>
    </row>
    <row r="198" spans="1:18" x14ac:dyDescent="0.2">
      <c r="A198" s="47"/>
    </row>
    <row r="199" spans="1:18" x14ac:dyDescent="0.2">
      <c r="A199" s="47"/>
    </row>
    <row r="200" spans="1:18" x14ac:dyDescent="0.2">
      <c r="A200" s="47"/>
    </row>
    <row r="201" spans="1:18" x14ac:dyDescent="0.2">
      <c r="A201" s="47"/>
    </row>
    <row r="202" spans="1:18" x14ac:dyDescent="0.2">
      <c r="A202" s="47"/>
    </row>
    <row r="203" spans="1:18" x14ac:dyDescent="0.2">
      <c r="A203" s="47"/>
    </row>
    <row r="204" spans="1:18" x14ac:dyDescent="0.2">
      <c r="A204" s="47"/>
    </row>
    <row r="205" spans="1:18" x14ac:dyDescent="0.2">
      <c r="A205" s="47"/>
    </row>
    <row r="206" spans="1:18" x14ac:dyDescent="0.2">
      <c r="A206" s="47"/>
    </row>
    <row r="207" spans="1:18" x14ac:dyDescent="0.2">
      <c r="A207" s="47"/>
    </row>
    <row r="208" spans="1:18" x14ac:dyDescent="0.2">
      <c r="A208" s="47"/>
    </row>
    <row r="209" spans="1:1" x14ac:dyDescent="0.2">
      <c r="A209" s="47"/>
    </row>
    <row r="210" spans="1:1" x14ac:dyDescent="0.2">
      <c r="A210" s="47"/>
    </row>
    <row r="211" spans="1:1" x14ac:dyDescent="0.2">
      <c r="A211" s="47"/>
    </row>
    <row r="212" spans="1:1" x14ac:dyDescent="0.2">
      <c r="A212" s="47"/>
    </row>
    <row r="213" spans="1:1" x14ac:dyDescent="0.2">
      <c r="A213" s="47"/>
    </row>
    <row r="214" spans="1:1" x14ac:dyDescent="0.2">
      <c r="A214" s="47"/>
    </row>
    <row r="215" spans="1:1" x14ac:dyDescent="0.2">
      <c r="A215" s="47"/>
    </row>
    <row r="216" spans="1:1" x14ac:dyDescent="0.2">
      <c r="A216" s="47"/>
    </row>
    <row r="217" spans="1:1" x14ac:dyDescent="0.2">
      <c r="A217" s="47"/>
    </row>
    <row r="218" spans="1:1" x14ac:dyDescent="0.2">
      <c r="A218" s="47"/>
    </row>
    <row r="219" spans="1:1" x14ac:dyDescent="0.2">
      <c r="A219" s="47"/>
    </row>
    <row r="220" spans="1:1" x14ac:dyDescent="0.2">
      <c r="A220" s="47"/>
    </row>
    <row r="221" spans="1:1" x14ac:dyDescent="0.2">
      <c r="A221" s="47"/>
    </row>
    <row r="222" spans="1:1" x14ac:dyDescent="0.2">
      <c r="A222" s="47"/>
    </row>
    <row r="223" spans="1:1" x14ac:dyDescent="0.2">
      <c r="A223" s="47"/>
    </row>
    <row r="224" spans="1:1" x14ac:dyDescent="0.2">
      <c r="A224" s="47"/>
    </row>
    <row r="225" spans="1:1" x14ac:dyDescent="0.2">
      <c r="A225" s="47"/>
    </row>
    <row r="226" spans="1:1" x14ac:dyDescent="0.2">
      <c r="A226" s="47"/>
    </row>
    <row r="227" spans="1:1" x14ac:dyDescent="0.2">
      <c r="A227" s="47"/>
    </row>
    <row r="228" spans="1:1" x14ac:dyDescent="0.2">
      <c r="A228" s="47"/>
    </row>
    <row r="229" spans="1:1" x14ac:dyDescent="0.2">
      <c r="A229" s="47"/>
    </row>
    <row r="230" spans="1:1" x14ac:dyDescent="0.2">
      <c r="A230" s="47"/>
    </row>
    <row r="231" spans="1:1" x14ac:dyDescent="0.2">
      <c r="A231" s="47"/>
    </row>
    <row r="232" spans="1:1" x14ac:dyDescent="0.2">
      <c r="A232" s="47"/>
    </row>
    <row r="233" spans="1:1" x14ac:dyDescent="0.2">
      <c r="A233" s="47"/>
    </row>
    <row r="234" spans="1:1" x14ac:dyDescent="0.2">
      <c r="A234" s="47"/>
    </row>
    <row r="235" spans="1:1" x14ac:dyDescent="0.2">
      <c r="A235" s="47"/>
    </row>
    <row r="236" spans="1:1" x14ac:dyDescent="0.2">
      <c r="A236" s="47"/>
    </row>
    <row r="237" spans="1:1" x14ac:dyDescent="0.2">
      <c r="A237" s="47"/>
    </row>
    <row r="238" spans="1:1" x14ac:dyDescent="0.2">
      <c r="A238" s="47"/>
    </row>
    <row r="239" spans="1:1" x14ac:dyDescent="0.2">
      <c r="A239" s="47"/>
    </row>
    <row r="240" spans="1:1" x14ac:dyDescent="0.2">
      <c r="A240" s="47"/>
    </row>
    <row r="241" spans="1:1" x14ac:dyDescent="0.2">
      <c r="A241" s="47"/>
    </row>
    <row r="242" spans="1:1" x14ac:dyDescent="0.2">
      <c r="A242" s="47"/>
    </row>
    <row r="243" spans="1:1" x14ac:dyDescent="0.2">
      <c r="A243" s="47"/>
    </row>
    <row r="244" spans="1:1" x14ac:dyDescent="0.2">
      <c r="A244" s="47"/>
    </row>
    <row r="245" spans="1:1" x14ac:dyDescent="0.2">
      <c r="A245" s="47"/>
    </row>
    <row r="246" spans="1:1" x14ac:dyDescent="0.2">
      <c r="A246" s="47"/>
    </row>
    <row r="247" spans="1:1" x14ac:dyDescent="0.2">
      <c r="A247" s="47"/>
    </row>
    <row r="248" spans="1:1" x14ac:dyDescent="0.2">
      <c r="A248" s="47"/>
    </row>
    <row r="249" spans="1:1" x14ac:dyDescent="0.2">
      <c r="A249" s="47"/>
    </row>
    <row r="250" spans="1:1" x14ac:dyDescent="0.2">
      <c r="A250" s="47"/>
    </row>
    <row r="251" spans="1:1" x14ac:dyDescent="0.2">
      <c r="A251" s="47"/>
    </row>
    <row r="252" spans="1:1" x14ac:dyDescent="0.2">
      <c r="A252" s="47"/>
    </row>
    <row r="253" spans="1:1" x14ac:dyDescent="0.2">
      <c r="A253" s="47"/>
    </row>
    <row r="254" spans="1:1" x14ac:dyDescent="0.2">
      <c r="A254" s="47"/>
    </row>
    <row r="255" spans="1:1" x14ac:dyDescent="0.2">
      <c r="A255" s="47"/>
    </row>
    <row r="256" spans="1:1" x14ac:dyDescent="0.2">
      <c r="A256" s="47"/>
    </row>
    <row r="257" spans="1:1" x14ac:dyDescent="0.2">
      <c r="A257" s="47"/>
    </row>
    <row r="258" spans="1:1" x14ac:dyDescent="0.2">
      <c r="A258" s="47"/>
    </row>
    <row r="259" spans="1:1" x14ac:dyDescent="0.2">
      <c r="A259" s="47"/>
    </row>
    <row r="260" spans="1:1" x14ac:dyDescent="0.2">
      <c r="A260" s="47"/>
    </row>
    <row r="261" spans="1:1" x14ac:dyDescent="0.2">
      <c r="A261" s="47"/>
    </row>
    <row r="262" spans="1:1" x14ac:dyDescent="0.2">
      <c r="A262" s="47"/>
    </row>
    <row r="263" spans="1:1" x14ac:dyDescent="0.2">
      <c r="A263" s="47"/>
    </row>
    <row r="264" spans="1:1" x14ac:dyDescent="0.2">
      <c r="A264" s="47"/>
    </row>
    <row r="265" spans="1:1" x14ac:dyDescent="0.2">
      <c r="A265" s="47"/>
    </row>
    <row r="266" spans="1:1" x14ac:dyDescent="0.2">
      <c r="A266" s="47"/>
    </row>
    <row r="267" spans="1:1" x14ac:dyDescent="0.2">
      <c r="A267" s="47"/>
    </row>
    <row r="268" spans="1:1" x14ac:dyDescent="0.2">
      <c r="A268" s="47"/>
    </row>
    <row r="269" spans="1:1" x14ac:dyDescent="0.2">
      <c r="A269" s="47"/>
    </row>
    <row r="270" spans="1:1" x14ac:dyDescent="0.2">
      <c r="A270" s="47"/>
    </row>
    <row r="271" spans="1:1" x14ac:dyDescent="0.2">
      <c r="A271" s="47"/>
    </row>
    <row r="272" spans="1:1" x14ac:dyDescent="0.2">
      <c r="A272" s="47"/>
    </row>
    <row r="273" spans="1:1" x14ac:dyDescent="0.2">
      <c r="A273" s="47"/>
    </row>
    <row r="274" spans="1:1" x14ac:dyDescent="0.2">
      <c r="A274" s="47"/>
    </row>
    <row r="275" spans="1:1" x14ac:dyDescent="0.2">
      <c r="A275" s="47"/>
    </row>
    <row r="276" spans="1:1" x14ac:dyDescent="0.2">
      <c r="A276" s="47"/>
    </row>
    <row r="277" spans="1:1" x14ac:dyDescent="0.2">
      <c r="A277" s="47"/>
    </row>
    <row r="278" spans="1:1" x14ac:dyDescent="0.2">
      <c r="A278" s="47"/>
    </row>
    <row r="279" spans="1:1" x14ac:dyDescent="0.2">
      <c r="A279" s="47"/>
    </row>
    <row r="280" spans="1:1" x14ac:dyDescent="0.2">
      <c r="A280" s="47"/>
    </row>
    <row r="281" spans="1:1" x14ac:dyDescent="0.2">
      <c r="A281" s="47"/>
    </row>
    <row r="282" spans="1:1" x14ac:dyDescent="0.2">
      <c r="A282" s="47"/>
    </row>
    <row r="283" spans="1:1" x14ac:dyDescent="0.2">
      <c r="A283" s="47"/>
    </row>
    <row r="284" spans="1:1" x14ac:dyDescent="0.2">
      <c r="A284" s="47"/>
    </row>
    <row r="285" spans="1:1" x14ac:dyDescent="0.2">
      <c r="A285" s="47"/>
    </row>
    <row r="286" spans="1:1" x14ac:dyDescent="0.2">
      <c r="A286" s="47"/>
    </row>
    <row r="287" spans="1:1" x14ac:dyDescent="0.2">
      <c r="A287" s="47"/>
    </row>
    <row r="288" spans="1:1" x14ac:dyDescent="0.2">
      <c r="A288" s="47"/>
    </row>
    <row r="289" spans="1:1" x14ac:dyDescent="0.2">
      <c r="A289" s="47"/>
    </row>
    <row r="290" spans="1:1" x14ac:dyDescent="0.2">
      <c r="A290" s="47"/>
    </row>
    <row r="291" spans="1:1" x14ac:dyDescent="0.2">
      <c r="A291" s="47"/>
    </row>
    <row r="292" spans="1:1" x14ac:dyDescent="0.2">
      <c r="A292" s="47"/>
    </row>
    <row r="293" spans="1:1" x14ac:dyDescent="0.2">
      <c r="A293" s="47"/>
    </row>
    <row r="294" spans="1:1" x14ac:dyDescent="0.2">
      <c r="A294" s="47"/>
    </row>
    <row r="295" spans="1:1" x14ac:dyDescent="0.2">
      <c r="A295" s="47"/>
    </row>
    <row r="296" spans="1:1" x14ac:dyDescent="0.2">
      <c r="A296" s="47"/>
    </row>
    <row r="297" spans="1:1" x14ac:dyDescent="0.2">
      <c r="A297" s="47"/>
    </row>
    <row r="298" spans="1:1" x14ac:dyDescent="0.2">
      <c r="A298" s="47"/>
    </row>
    <row r="299" spans="1:1" x14ac:dyDescent="0.2">
      <c r="A299" s="47"/>
    </row>
    <row r="300" spans="1:1" x14ac:dyDescent="0.2">
      <c r="A300" s="47"/>
    </row>
    <row r="301" spans="1:1" x14ac:dyDescent="0.2">
      <c r="A301" s="47"/>
    </row>
    <row r="302" spans="1:1" x14ac:dyDescent="0.2">
      <c r="A302" s="47"/>
    </row>
    <row r="303" spans="1:1" x14ac:dyDescent="0.2">
      <c r="A303" s="47"/>
    </row>
    <row r="304" spans="1:1" x14ac:dyDescent="0.2">
      <c r="A304" s="47"/>
    </row>
    <row r="305" spans="1:1" x14ac:dyDescent="0.2">
      <c r="A305" s="47"/>
    </row>
    <row r="306" spans="1:1" x14ac:dyDescent="0.2">
      <c r="A306" s="47"/>
    </row>
    <row r="307" spans="1:1" x14ac:dyDescent="0.2">
      <c r="A307" s="47"/>
    </row>
    <row r="308" spans="1:1" x14ac:dyDescent="0.2">
      <c r="A308" s="47"/>
    </row>
  </sheetData>
  <sheetProtection selectLockedCells="1"/>
  <mergeCells count="1">
    <mergeCell ref="B1:R1"/>
  </mergeCells>
  <phoneticPr fontId="4" type="noConversion"/>
  <conditionalFormatting sqref="X109:X122">
    <cfRule type="cellIs" dxfId="0" priority="2" operator="greaterThanOrEqual">
      <formula>46022</formula>
    </cfRule>
  </conditionalFormatting>
  <dataValidations count="1">
    <dataValidation type="list" errorStyle="warning" allowBlank="1" showInputMessage="1" showErrorMessage="1" sqref="D7" xr:uid="{08BAAD1A-DA51-4E09-894A-4905413A248E}">
      <formula1>Lista_Placas</formula1>
    </dataValidation>
  </dataValidations>
  <pageMargins left="0.7" right="0.7" top="0.75" bottom="0.75" header="0.3" footer="0.3"/>
  <pageSetup scale="24" orientation="landscape" r:id="rId1"/>
  <rowBreaks count="4" manualBreakCount="4">
    <brk id="44" max="16383" man="1"/>
    <brk id="137" max="18" man="1"/>
    <brk id="166" max="18" man="1"/>
    <brk id="195" max="18" man="1"/>
  </rowBreaks>
  <ignoredErrors>
    <ignoredError sqref="E7" unlockedFormula="1"/>
    <ignoredError sqref="W110" calculatedColumn="1"/>
  </ignoredErrors>
  <drawing r:id="rId2"/>
  <legacyDrawing r:id="rId3"/>
  <tableParts count="6"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ED4337B0-4411-4C9A-9F2D-90A774F650E2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8"/>
          <x14:colorLow rgb="FFFF0000"/>
          <x14:sparklines>
            <x14:sparkline>
              <xm:f>'Reporte General'!F171:Q171</xm:f>
              <xm:sqref>E171</xm:sqref>
            </x14:sparkline>
            <x14:sparkline>
              <xm:f>'Reporte General'!F172:Q172</xm:f>
              <xm:sqref>E172</xm:sqref>
            </x14:sparkline>
            <x14:sparkline>
              <xm:f>'Reporte General'!F173:Q173</xm:f>
              <xm:sqref>E173</xm:sqref>
            </x14:sparkline>
            <x14:sparkline>
              <xm:f>'Reporte General'!F174:Q174</xm:f>
              <xm:sqref>E174</xm:sqref>
            </x14:sparkline>
            <x14:sparkline>
              <xm:f>'Reporte General'!F175:Q175</xm:f>
              <xm:sqref>E175</xm:sqref>
            </x14:sparkline>
            <x14:sparkline>
              <xm:f>'Reporte General'!F176:Q176</xm:f>
              <xm:sqref>E176</xm:sqref>
            </x14:sparkline>
            <x14:sparkline>
              <xm:f>'Reporte General'!F177:Q177</xm:f>
              <xm:sqref>E177</xm:sqref>
            </x14:sparkline>
            <x14:sparkline>
              <xm:f>'Reporte General'!F178:Q178</xm:f>
              <xm:sqref>E178</xm:sqref>
            </x14:sparkline>
            <x14:sparkline>
              <xm:f>'Reporte General'!F179:Q179</xm:f>
              <xm:sqref>E179</xm:sqref>
            </x14:sparkline>
            <x14:sparkline>
              <xm:f>'Reporte General'!F180:Q180</xm:f>
              <xm:sqref>E180</xm:sqref>
            </x14:sparkline>
            <x14:sparkline>
              <xm:f>'Reporte General'!F181:Q181</xm:f>
              <xm:sqref>E181</xm:sqref>
            </x14:sparkline>
            <x14:sparkline>
              <xm:f>'Reporte General'!F182:Q182</xm:f>
              <xm:sqref>E182</xm:sqref>
            </x14:sparkline>
            <x14:sparkline>
              <xm:f>'Reporte General'!F183:Q183</xm:f>
              <xm:sqref>E183</xm:sqref>
            </x14:sparkline>
            <x14:sparkline>
              <xm:f>'Reporte General'!F184:Q184</xm:f>
              <xm:sqref>E184</xm:sqref>
            </x14:sparkline>
            <x14:sparkline>
              <xm:f>'Reporte General'!F185:Q185</xm:f>
              <xm:sqref>E185</xm:sqref>
            </x14:sparkline>
            <x14:sparkline>
              <xm:f>'Reporte General'!F186:Q186</xm:f>
              <xm:sqref>E186</xm:sqref>
            </x14:sparkline>
            <x14:sparkline>
              <xm:f>'Reporte General'!F187:Q187</xm:f>
              <xm:sqref>E187</xm:sqref>
            </x14:sparkline>
            <x14:sparkline>
              <xm:f>'Reporte General'!F188:Q188</xm:f>
              <xm:sqref>E188</xm:sqref>
            </x14:sparkline>
            <x14:sparkline>
              <xm:f>'Reporte General'!F189:Q189</xm:f>
              <xm:sqref>E189</xm:sqref>
            </x14:sparkline>
            <x14:sparkline>
              <xm:f>'Reporte General'!F190:Q190</xm:f>
              <xm:sqref>E190</xm:sqref>
            </x14:sparkline>
            <x14:sparkline>
              <xm:f>'Reporte General'!F191:Q191</xm:f>
              <xm:sqref>E191</xm:sqref>
            </x14:sparkline>
            <x14:sparkline>
              <xm:f>'Reporte General'!F192:Q192</xm:f>
              <xm:sqref>E192</xm:sqref>
            </x14:sparkline>
            <x14:sparkline>
              <xm:f>'Reporte General'!F193:Q193</xm:f>
              <xm:sqref>E193</xm:sqref>
            </x14:sparkline>
            <x14:sparkline>
              <xm:f>'Reporte General'!F194:Q194</xm:f>
              <xm:sqref>E194</xm:sqref>
            </x14:sparkline>
          </x14:sparklines>
        </x14:sparklineGroup>
        <x14:sparklineGroup manualMax="0" manualMin="0" displayEmptyCellsAs="gap" xr2:uid="{9B8A01E2-4834-450D-BE5B-1BA2AFD8198A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8"/>
          <x14:colorLow rgb="FFFF0000"/>
          <x14:sparklines>
            <x14:sparkline>
              <xm:f>'Reporte General'!F110:Q110</xm:f>
              <xm:sqref>E110</xm:sqref>
            </x14:sparkline>
            <x14:sparkline>
              <xm:f>'Reporte General'!F111:Q111</xm:f>
              <xm:sqref>E111</xm:sqref>
            </x14:sparkline>
            <x14:sparkline>
              <xm:f>'Reporte General'!F112:Q112</xm:f>
              <xm:sqref>E112</xm:sqref>
            </x14:sparkline>
            <x14:sparkline>
              <xm:f>'Reporte General'!F113:Q113</xm:f>
              <xm:sqref>E113</xm:sqref>
            </x14:sparkline>
            <x14:sparkline>
              <xm:f>'Reporte General'!F114:Q114</xm:f>
              <xm:sqref>E114</xm:sqref>
            </x14:sparkline>
            <x14:sparkline>
              <xm:f>'Reporte General'!F115:Q115</xm:f>
              <xm:sqref>E115</xm:sqref>
            </x14:sparkline>
            <x14:sparkline>
              <xm:f>'Reporte General'!F116:Q116</xm:f>
              <xm:sqref>E116</xm:sqref>
            </x14:sparkline>
            <x14:sparkline>
              <xm:f>'Reporte General'!F117:Q117</xm:f>
              <xm:sqref>E117</xm:sqref>
            </x14:sparkline>
            <x14:sparkline>
              <xm:f>'Reporte General'!F118:Q118</xm:f>
              <xm:sqref>E118</xm:sqref>
            </x14:sparkline>
            <x14:sparkline>
              <xm:f>'Reporte General'!F119:Q119</xm:f>
              <xm:sqref>E119</xm:sqref>
            </x14:sparkline>
            <x14:sparkline>
              <xm:f>'Reporte General'!F120:Q120</xm:f>
              <xm:sqref>E120</xm:sqref>
            </x14:sparkline>
            <x14:sparkline>
              <xm:f>'Reporte General'!F121:Q121</xm:f>
              <xm:sqref>E121</xm:sqref>
            </x14:sparkline>
            <x14:sparkline>
              <xm:f>'Reporte General'!F122:Q122</xm:f>
              <xm:sqref>E122</xm:sqref>
            </x14:sparkline>
            <x14:sparkline>
              <xm:f>'Reporte General'!F123:Q123</xm:f>
              <xm:sqref>E123</xm:sqref>
            </x14:sparkline>
            <x14:sparkline>
              <xm:f>'Reporte General'!F124:Q124</xm:f>
              <xm:sqref>E124</xm:sqref>
            </x14:sparkline>
            <x14:sparkline>
              <xm:f>'Reporte General'!F125:Q125</xm:f>
              <xm:sqref>E125</xm:sqref>
            </x14:sparkline>
            <x14:sparkline>
              <xm:f>'Reporte General'!F126:Q126</xm:f>
              <xm:sqref>E126</xm:sqref>
            </x14:sparkline>
            <x14:sparkline>
              <xm:f>'Reporte General'!F127:Q127</xm:f>
              <xm:sqref>E127</xm:sqref>
            </x14:sparkline>
            <x14:sparkline>
              <xm:f>'Reporte General'!F128:Q128</xm:f>
              <xm:sqref>E128</xm:sqref>
            </x14:sparkline>
            <x14:sparkline>
              <xm:f>'Reporte General'!F129:Q129</xm:f>
              <xm:sqref>E129</xm:sqref>
            </x14:sparkline>
            <x14:sparkline>
              <xm:f>'Reporte General'!F130:Q130</xm:f>
              <xm:sqref>E130</xm:sqref>
            </x14:sparkline>
            <x14:sparkline>
              <xm:f>'Reporte General'!F131:Q131</xm:f>
              <xm:sqref>E131</xm:sqref>
            </x14:sparkline>
            <x14:sparkline>
              <xm:f>'Reporte General'!F132:Q132</xm:f>
              <xm:sqref>E132</xm:sqref>
            </x14:sparkline>
            <x14:sparkline>
              <xm:f>'Reporte General'!F133:Q133</xm:f>
              <xm:sqref>E133</xm:sqref>
            </x14:sparkline>
            <x14:sparkline>
              <xm:f>'Reporte General'!F134:Q134</xm:f>
              <xm:sqref>E134</xm:sqref>
            </x14:sparkline>
          </x14:sparklines>
        </x14:sparklineGroup>
        <x14:sparklineGroup manualMax="0" manualMin="0" displayEmptyCellsAs="gap" xr2:uid="{8F2ABE87-D7FB-4F59-9F91-947877AD1A4A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8"/>
          <x14:colorLow rgb="FFFF0000"/>
          <x14:sparklines>
            <x14:sparkline>
              <xm:f>'Reporte General'!F25:Q25</xm:f>
              <xm:sqref>E25</xm:sqref>
            </x14:sparkline>
            <x14:sparkline>
              <xm:f>'Reporte General'!F26:Q26</xm:f>
              <xm:sqref>E26</xm:sqref>
            </x14:sparkline>
            <x14:sparkline>
              <xm:f>'Reporte General'!F27:Q27</xm:f>
              <xm:sqref>E27</xm:sqref>
            </x14:sparkline>
            <x14:sparkline>
              <xm:f>'Reporte General'!F28:Q28</xm:f>
              <xm:sqref>E28</xm:sqref>
            </x14:sparkline>
            <x14:sparkline>
              <xm:f>'Reporte General'!F29:Q29</xm:f>
              <xm:sqref>E29</xm:sqref>
            </x14:sparkline>
            <x14:sparkline>
              <xm:f>'Reporte General'!F30:Q30</xm:f>
              <xm:sqref>E30</xm:sqref>
            </x14:sparkline>
            <x14:sparkline>
              <xm:f>'Reporte General'!F31:Q31</xm:f>
              <xm:sqref>E31</xm:sqref>
            </x14:sparkline>
            <x14:sparkline>
              <xm:f>'Reporte General'!F32:Q32</xm:f>
              <xm:sqref>E32</xm:sqref>
            </x14:sparkline>
            <x14:sparkline>
              <xm:f>'Reporte General'!F33:Q33</xm:f>
              <xm:sqref>E33</xm:sqref>
            </x14:sparkline>
            <x14:sparkline>
              <xm:f>'Reporte General'!F34:Q34</xm:f>
              <xm:sqref>E34</xm:sqref>
            </x14:sparkline>
            <x14:sparkline>
              <xm:f>'Reporte General'!F35:Q35</xm:f>
              <xm:sqref>E35</xm:sqref>
            </x14:sparkline>
          </x14:sparklines>
        </x14:sparklineGroup>
        <x14:sparklineGroup manualMax="0" manualMin="0" displayEmptyCellsAs="gap" xr2:uid="{984BA17B-B070-4BF9-BE19-5D883D63E9A2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8"/>
          <x14:colorLow rgb="FFFF0000"/>
          <x14:sparklines>
            <x14:sparkline>
              <xm:f>'Reporte General'!F10:Q10</xm:f>
              <xm:sqref>E10</xm:sqref>
            </x14:sparkline>
            <x14:sparkline>
              <xm:f>'Reporte General'!F11:Q11</xm:f>
              <xm:sqref>E11</xm:sqref>
            </x14:sparkline>
            <x14:sparkline>
              <xm:f>'Reporte General'!F12:Q12</xm:f>
              <xm:sqref>E12</xm:sqref>
            </x14:sparkline>
            <x14:sparkline>
              <xm:f>'Reporte General'!F13:Q13</xm:f>
              <xm:sqref>E13</xm:sqref>
            </x14:sparkline>
            <x14:sparkline>
              <xm:f>'Reporte General'!F14:Q14</xm:f>
              <xm:sqref>E14</xm:sqref>
            </x14:sparkline>
            <x14:sparkline>
              <xm:f>'Reporte General'!F15:Q15</xm:f>
              <xm:sqref>E15</xm:sqref>
            </x14:sparkline>
            <x14:sparkline>
              <xm:f>'Reporte General'!F16:Q16</xm:f>
              <xm:sqref>E16</xm:sqref>
            </x14:sparkline>
            <x14:sparkline>
              <xm:f>'Reporte General'!F17:Q17</xm:f>
              <xm:sqref>E17</xm:sqref>
            </x14:sparkline>
            <x14:sparkline>
              <xm:f>'Reporte General'!F18:Q18</xm:f>
              <xm:sqref>E18</xm:sqref>
            </x14:sparkline>
            <x14:sparkline>
              <xm:f>'Reporte General'!F19:Q19</xm:f>
              <xm:sqref>E19</xm:sqref>
            </x14:sparkline>
            <x14:sparkline>
              <xm:f>'Reporte General'!F20:Q20</xm:f>
              <xm:sqref>E20</xm:sqref>
            </x14:sparkline>
            <x14:sparkline>
              <xm:f>'Reporte General'!F21:Q21</xm:f>
              <xm:sqref>E21</xm:sqref>
            </x14:sparkline>
            <x14:sparkline>
              <xm:f>'Reporte General'!F22:Q22</xm:f>
              <xm:sqref>E22</xm:sqref>
            </x14:sparkline>
          </x14:sparklines>
        </x14:sparklineGroup>
        <x14:sparklineGroup manualMax="0" manualMin="0" displayEmptyCellsAs="gap" xr2:uid="{DEE00F14-F6F8-4A82-9EB3-6F07771F8A3E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8"/>
          <x14:colorLow rgb="FFFF0000"/>
          <x14:sparklines>
            <x14:sparkline>
              <xm:f>'Reporte General'!F38:Q38</xm:f>
              <xm:sqref>E38</xm:sqref>
            </x14:sparkline>
            <x14:sparkline>
              <xm:f>'Reporte General'!F39:Q39</xm:f>
              <xm:sqref>E39</xm:sqref>
            </x14:sparkline>
            <x14:sparkline>
              <xm:f>'Reporte General'!F40:Q40</xm:f>
              <xm:sqref>E40</xm:sqref>
            </x14:sparkline>
            <x14:sparkline>
              <xm:f>'Reporte General'!F41:Q41</xm:f>
              <xm:sqref>E41</xm:sqref>
            </x14:sparkline>
            <x14:sparkline>
              <xm:f>'Reporte General'!F42:Q42</xm:f>
              <xm:sqref>E42</xm:sqref>
            </x14:sparkline>
            <x14:sparkline>
              <xm:f>'Reporte General'!F43:Q43</xm:f>
              <xm:sqref>E43</xm:sqref>
            </x14:sparkline>
            <x14:sparkline>
              <xm:f>'Reporte General'!F44:Q44</xm:f>
              <xm:sqref>E44</xm:sqref>
            </x14:sparkline>
          </x14:sparklines>
        </x14:sparklineGroup>
        <x14:sparklineGroup manualMax="0" manualMin="0" displayEmptyCellsAs="gap" xr2:uid="{C51C7011-748C-4FFE-81C4-EEA42DF8932A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8"/>
          <x14:colorLow rgb="FFFF0000"/>
          <x14:sparklines>
            <x14:sparkline>
              <xm:f>'Reporte General'!F141:Q141</xm:f>
              <xm:sqref>E141</xm:sqref>
            </x14:sparkline>
            <x14:sparkline>
              <xm:f>'Reporte General'!F142:Q142</xm:f>
              <xm:sqref>E142</xm:sqref>
            </x14:sparkline>
            <x14:sparkline>
              <xm:f>'Reporte General'!F143:Q143</xm:f>
              <xm:sqref>E143</xm:sqref>
            </x14:sparkline>
            <x14:sparkline>
              <xm:f>'Reporte General'!F144:Q144</xm:f>
              <xm:sqref>E144</xm:sqref>
            </x14:sparkline>
            <x14:sparkline>
              <xm:f>'Reporte General'!F145:Q145</xm:f>
              <xm:sqref>E145</xm:sqref>
            </x14:sparkline>
            <x14:sparkline>
              <xm:f>'Reporte General'!F146:Q146</xm:f>
              <xm:sqref>E146</xm:sqref>
            </x14:sparkline>
            <x14:sparkline>
              <xm:f>'Reporte General'!F147:Q147</xm:f>
              <xm:sqref>E147</xm:sqref>
            </x14:sparkline>
            <x14:sparkline>
              <xm:f>'Reporte General'!F148:Q148</xm:f>
              <xm:sqref>E148</xm:sqref>
            </x14:sparkline>
            <x14:sparkline>
              <xm:f>'Reporte General'!F149:Q149</xm:f>
              <xm:sqref>E149</xm:sqref>
            </x14:sparkline>
            <x14:sparkline>
              <xm:f>'Reporte General'!F150:Q150</xm:f>
              <xm:sqref>E150</xm:sqref>
            </x14:sparkline>
            <x14:sparkline>
              <xm:f>'Reporte General'!F151:Q151</xm:f>
              <xm:sqref>E151</xm:sqref>
            </x14:sparkline>
            <x14:sparkline>
              <xm:f>'Reporte General'!F152:Q152</xm:f>
              <xm:sqref>E152</xm:sqref>
            </x14:sparkline>
            <x14:sparkline>
              <xm:f>'Reporte General'!F153:Q153</xm:f>
              <xm:sqref>E153</xm:sqref>
            </x14:sparkline>
            <x14:sparkline>
              <xm:f>'Reporte General'!F154:Q154</xm:f>
              <xm:sqref>E154</xm:sqref>
            </x14:sparkline>
            <x14:sparkline>
              <xm:f>'Reporte General'!F155:Q155</xm:f>
              <xm:sqref>E155</xm:sqref>
            </x14:sparkline>
            <x14:sparkline>
              <xm:f>'Reporte General'!F156:Q156</xm:f>
              <xm:sqref>E156</xm:sqref>
            </x14:sparkline>
            <x14:sparkline>
              <xm:f>'Reporte General'!F157:Q157</xm:f>
              <xm:sqref>E157</xm:sqref>
            </x14:sparkline>
            <x14:sparkline>
              <xm:f>'Reporte General'!F158:Q158</xm:f>
              <xm:sqref>E158</xm:sqref>
            </x14:sparkline>
            <x14:sparkline>
              <xm:f>'Reporte General'!F159:Q159</xm:f>
              <xm:sqref>E159</xm:sqref>
            </x14:sparkline>
            <x14:sparkline>
              <xm:f>'Reporte General'!F160:Q160</xm:f>
              <xm:sqref>E160</xm:sqref>
            </x14:sparkline>
            <x14:sparkline>
              <xm:f>'Reporte General'!F161:Q161</xm:f>
              <xm:sqref>E161</xm:sqref>
            </x14:sparkline>
            <x14:sparkline>
              <xm:f>'Reporte General'!F162:Q162</xm:f>
              <xm:sqref>E162</xm:sqref>
            </x14:sparkline>
            <x14:sparkline>
              <xm:f>'Reporte General'!F163:Q163</xm:f>
              <xm:sqref>E163</xm:sqref>
            </x14:sparkline>
            <x14:sparkline>
              <xm:f>'Reporte General'!F164:Q164</xm:f>
              <xm:sqref>E164</xm:sqref>
            </x14:sparkline>
            <x14:sparkline>
              <xm:f>'Reporte General'!F165:Q165</xm:f>
              <xm:sqref>E165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29B8-4152-496A-A452-A2E87EE4678F}">
  <sheetPr codeName="Hoja12">
    <tabColor theme="7" tint="-0.249977111117893"/>
  </sheetPr>
  <dimension ref="A1:BZ164"/>
  <sheetViews>
    <sheetView showGridLines="0" zoomScale="90" zoomScaleNormal="90" workbookViewId="0">
      <selection activeCell="G3" sqref="G3"/>
    </sheetView>
  </sheetViews>
  <sheetFormatPr baseColWidth="10" defaultRowHeight="15" x14ac:dyDescent="0.2"/>
  <cols>
    <col min="1" max="1" width="8.6640625" style="2" customWidth="1"/>
    <col min="2" max="2" width="1.6640625" customWidth="1"/>
    <col min="3" max="3" width="39.6640625" customWidth="1"/>
    <col min="4" max="4" width="10.5" customWidth="1"/>
    <col min="5" max="5" width="13.5" customWidth="1"/>
    <col min="6" max="6" width="11.5" customWidth="1"/>
    <col min="7" max="7" width="14.6640625" customWidth="1"/>
    <col min="8" max="8" width="12.1640625" customWidth="1"/>
    <col min="9" max="9" width="15.6640625" customWidth="1"/>
    <col min="10" max="10" width="12.1640625" customWidth="1"/>
    <col min="11" max="11" width="14.1640625" customWidth="1"/>
    <col min="12" max="12" width="16.1640625" customWidth="1"/>
    <col min="13" max="14" width="12.6640625" customWidth="1"/>
  </cols>
  <sheetData>
    <row r="1" spans="1:78" s="3" customFormat="1" ht="62.25" customHeight="1" thickBot="1" x14ac:dyDescent="0.25">
      <c r="A1" s="47"/>
      <c r="B1" s="671" t="s">
        <v>167</v>
      </c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</row>
    <row r="2" spans="1:78" ht="8" customHeight="1" thickBot="1" x14ac:dyDescent="0.25">
      <c r="A2" s="47"/>
    </row>
    <row r="3" spans="1:78" ht="20" thickBot="1" x14ac:dyDescent="0.25">
      <c r="A3" s="47"/>
      <c r="C3" s="115" t="s">
        <v>4</v>
      </c>
      <c r="D3" s="116">
        <f>'Flujo de Caja'!D6</f>
        <v>2025</v>
      </c>
      <c r="F3" s="115" t="s">
        <v>84</v>
      </c>
      <c r="G3" s="117" t="s">
        <v>59</v>
      </c>
      <c r="I3" s="28">
        <f>DATE(D3,MATCH(G3,'Flujo de Caja'!$D$8:$O$8,0),1)</f>
        <v>45839</v>
      </c>
      <c r="J3" s="28">
        <f>EOMONTH(I3,0)</f>
        <v>45869</v>
      </c>
    </row>
    <row r="4" spans="1:78" ht="8" customHeight="1" thickBot="1" x14ac:dyDescent="0.25">
      <c r="A4" s="47"/>
    </row>
    <row r="5" spans="1:78" ht="39" thickBot="1" x14ac:dyDescent="0.25">
      <c r="A5" s="47"/>
      <c r="C5" s="99" t="s">
        <v>36</v>
      </c>
      <c r="D5" s="100" t="s">
        <v>65</v>
      </c>
      <c r="E5" s="100" t="s">
        <v>38</v>
      </c>
      <c r="F5" s="114" t="s">
        <v>66</v>
      </c>
      <c r="G5" s="97" t="s">
        <v>77</v>
      </c>
      <c r="H5" s="112" t="s">
        <v>88</v>
      </c>
      <c r="I5" s="113" t="s">
        <v>89</v>
      </c>
      <c r="J5" s="101" t="s">
        <v>46</v>
      </c>
      <c r="K5" s="113" t="s">
        <v>68</v>
      </c>
      <c r="L5" s="113" t="s">
        <v>87</v>
      </c>
      <c r="M5" s="101" t="s">
        <v>85</v>
      </c>
      <c r="N5" s="100" t="s">
        <v>86</v>
      </c>
    </row>
    <row r="6" spans="1:78" x14ac:dyDescent="0.2">
      <c r="A6" s="47"/>
      <c r="C6" s="30" t="str">
        <f>IF('Conductores'!E4=0,"",'Conductores'!E4)</f>
        <v>ARGUELLO PAUCAR JOHN FRANKLIN</v>
      </c>
      <c r="D6" s="31">
        <f>COUNTIFS(Rutas[Conductor],$C6,Rutas[Fecha de Llegada],"&gt;="&amp;$I$3,Rutas[Fecha de Llegada],"&lt;="&amp;$J$3)</f>
        <v>0</v>
      </c>
      <c r="E6" s="31">
        <f>SUMIFS(Rutas[Kms Recorridos],Rutas[Conductor],$C6,Rutas[Fecha de Llegada],"&gt;="&amp;$I$3,Rutas[Fecha de Llegada],"&lt;="&amp;$J$3)</f>
        <v>0</v>
      </c>
      <c r="F6" s="29">
        <f t="shared" ref="F6:F19" si="0">IFERROR(E6/D6,0)</f>
        <v>0</v>
      </c>
      <c r="G6" s="32">
        <f>SUMIFS(Rutas[Peso de carga (BLS)],Rutas[Conductor],$C6,Rutas[Fecha de Llegada],"&gt;="&amp;$I$3,Rutas[Fecha de Llegada],"&lt;="&amp;$J$3)</f>
        <v>0</v>
      </c>
      <c r="H6" s="29">
        <f t="shared" ref="H6:H19" si="1">IFERROR(G6/E6,0)</f>
        <v>0</v>
      </c>
      <c r="I6" s="29">
        <f t="shared" ref="I6:I19" si="2">IFERROR(G6/D6,0)</f>
        <v>0</v>
      </c>
      <c r="J6" s="33">
        <f>SUMIFS(Rutas[Ingreso Total ($)],Rutas[Conductor],$C6,Rutas[Fecha de Llegada],"&gt;="&amp;$I$3,Rutas[Fecha de Llegada],"&lt;="&amp;$J$3)</f>
        <v>0</v>
      </c>
      <c r="K6" s="29">
        <f t="shared" ref="K6:K19" si="3">IFERROR(J6/E6,0)</f>
        <v>0</v>
      </c>
      <c r="L6" s="29">
        <f t="shared" ref="L6:L19" si="4">IFERROR(J6/D6,0)</f>
        <v>0</v>
      </c>
      <c r="M6" s="31">
        <f>COUNTIFS(Multas[Conductor],$C6,Multas[Fecha],"&gt;="&amp;$I$3,Multas[Fecha],"&lt;="&amp;$J$3)</f>
        <v>0</v>
      </c>
      <c r="N6" s="33">
        <f>SUMIFS(Multas[Importe pagado ($)],Multas[Conductor],$C6,Multas[Fecha],"&gt;="&amp;$I$3,Multas[Fecha],"&lt;="&amp;$J$3)</f>
        <v>0</v>
      </c>
    </row>
    <row r="7" spans="1:78" x14ac:dyDescent="0.2">
      <c r="A7" s="47"/>
      <c r="C7" s="30" t="str">
        <f>IF('Conductores'!E5=0,"",'Conductores'!E5)</f>
        <v>BAYAS VASQUEZ PEDRO BENJAMIN</v>
      </c>
      <c r="D7" s="31">
        <f>COUNTIFS(Rutas[Conductor],$C7,Rutas[Fecha de Llegada],"&gt;="&amp;$I$3,Rutas[Fecha de Llegada],"&lt;="&amp;$J$3)</f>
        <v>0</v>
      </c>
      <c r="E7" s="31">
        <f>SUMIFS(Rutas[Kms Recorridos],Rutas[Conductor],$C7,Rutas[Fecha de Llegada],"&gt;="&amp;$I$3,Rutas[Fecha de Llegada],"&lt;="&amp;$J$3)</f>
        <v>0</v>
      </c>
      <c r="F7" s="29">
        <f t="shared" si="0"/>
        <v>0</v>
      </c>
      <c r="G7" s="32">
        <f>SUMIFS(Rutas[Peso de carga (BLS)],Rutas[Conductor],$C7,Rutas[Fecha de Llegada],"&gt;="&amp;$I$3,Rutas[Fecha de Llegada],"&lt;="&amp;$J$3)</f>
        <v>0</v>
      </c>
      <c r="H7" s="29">
        <f t="shared" si="1"/>
        <v>0</v>
      </c>
      <c r="I7" s="29">
        <f t="shared" si="2"/>
        <v>0</v>
      </c>
      <c r="J7" s="32">
        <f>SUMIFS(Rutas[Ingreso Total ($)],Rutas[Conductor],$C7,Rutas[Fecha de Llegada],"&gt;="&amp;$I$3,Rutas[Fecha de Llegada],"&lt;="&amp;$J$3)</f>
        <v>0</v>
      </c>
      <c r="K7" s="29">
        <f t="shared" si="3"/>
        <v>0</v>
      </c>
      <c r="L7" s="29">
        <f t="shared" si="4"/>
        <v>0</v>
      </c>
      <c r="M7" s="31">
        <f>COUNTIFS(Multas[Conductor],$C7,Multas[Fecha],"&gt;="&amp;$I$3,Multas[Fecha],"&lt;="&amp;$J$3)</f>
        <v>0</v>
      </c>
      <c r="N7" s="33">
        <f>SUMIFS(Multas[Importe pagado ($)],Multas[Conductor],$C7,Multas[Fecha],"&gt;="&amp;$I$3,Multas[Fecha],"&lt;="&amp;$J$3)</f>
        <v>0</v>
      </c>
    </row>
    <row r="8" spans="1:78" x14ac:dyDescent="0.2">
      <c r="A8" s="47"/>
      <c r="C8" s="30" t="str">
        <f>IF('Conductores'!E6=0,"",'Conductores'!E6)</f>
        <v>BRAVO SONGOR MARCO HERNAN</v>
      </c>
      <c r="D8" s="31">
        <f>COUNTIFS(Rutas[Conductor],$C8,Rutas[Fecha de Llegada],"&gt;="&amp;$I$3,Rutas[Fecha de Llegada],"&lt;="&amp;$J$3)</f>
        <v>2</v>
      </c>
      <c r="E8" s="31">
        <f>SUMIFS(Rutas[Kms Recorridos],Rutas[Conductor],$C8,Rutas[Fecha de Llegada],"&gt;="&amp;$I$3,Rutas[Fecha de Llegada],"&lt;="&amp;$J$3)</f>
        <v>2268</v>
      </c>
      <c r="F8" s="29">
        <f t="shared" si="0"/>
        <v>1134</v>
      </c>
      <c r="G8" s="32">
        <f>SUMIFS(Rutas[Peso de carga (BLS)],Rutas[Conductor],$C8,Rutas[Fecha de Llegada],"&gt;="&amp;$I$3,Rutas[Fecha de Llegada],"&lt;="&amp;$J$3)</f>
        <v>0</v>
      </c>
      <c r="H8" s="29">
        <f t="shared" si="1"/>
        <v>0</v>
      </c>
      <c r="I8" s="29">
        <f t="shared" si="2"/>
        <v>0</v>
      </c>
      <c r="J8" s="32">
        <f>SUMIFS(Rutas[Ingreso Total ($)],Rutas[Conductor],$C8,Rutas[Fecha de Llegada],"&gt;="&amp;$I$3,Rutas[Fecha de Llegada],"&lt;="&amp;$J$3)</f>
        <v>0</v>
      </c>
      <c r="K8" s="29">
        <f t="shared" si="3"/>
        <v>0</v>
      </c>
      <c r="L8" s="29">
        <f t="shared" si="4"/>
        <v>0</v>
      </c>
      <c r="M8" s="31">
        <f>COUNTIFS(Multas[Conductor],$C8,Multas[Fecha],"&gt;="&amp;$I$3,Multas[Fecha],"&lt;="&amp;$J$3)</f>
        <v>0</v>
      </c>
      <c r="N8" s="33">
        <f>SUMIFS(Multas[Importe pagado ($)],Multas[Conductor],$C8,Multas[Fecha],"&gt;="&amp;$I$3,Multas[Fecha],"&lt;="&amp;$J$3)</f>
        <v>0</v>
      </c>
    </row>
    <row r="9" spans="1:78" x14ac:dyDescent="0.2">
      <c r="A9" s="47"/>
      <c r="C9" s="30" t="str">
        <f>IF('Conductores'!E7=0,"",'Conductores'!E7)</f>
        <v>BRIONES SOLORZANO LEONARDO FABIO</v>
      </c>
      <c r="D9" s="31">
        <f>COUNTIFS(Rutas[Conductor],$C9,Rutas[Fecha de Llegada],"&gt;="&amp;$I$3,Rutas[Fecha de Llegada],"&lt;="&amp;$J$3)</f>
        <v>0</v>
      </c>
      <c r="E9" s="31">
        <f>SUMIFS(Rutas[Kms Recorridos],Rutas[Conductor],$C9,Rutas[Fecha de Llegada],"&gt;="&amp;$I$3,Rutas[Fecha de Llegada],"&lt;="&amp;$J$3)</f>
        <v>0</v>
      </c>
      <c r="F9" s="29">
        <f t="shared" si="0"/>
        <v>0</v>
      </c>
      <c r="G9" s="32">
        <f>SUMIFS(Rutas[Peso de carga (BLS)],Rutas[Conductor],$C9,Rutas[Fecha de Llegada],"&gt;="&amp;$I$3,Rutas[Fecha de Llegada],"&lt;="&amp;$J$3)</f>
        <v>0</v>
      </c>
      <c r="H9" s="29">
        <f t="shared" si="1"/>
        <v>0</v>
      </c>
      <c r="I9" s="29">
        <f t="shared" si="2"/>
        <v>0</v>
      </c>
      <c r="J9" s="32">
        <f>SUMIFS(Rutas[Ingreso Total ($)],Rutas[Conductor],$C9,Rutas[Fecha de Llegada],"&gt;="&amp;$I$3,Rutas[Fecha de Llegada],"&lt;="&amp;$J$3)</f>
        <v>0</v>
      </c>
      <c r="K9" s="29">
        <f t="shared" si="3"/>
        <v>0</v>
      </c>
      <c r="L9" s="29">
        <f t="shared" si="4"/>
        <v>0</v>
      </c>
      <c r="M9" s="31">
        <f>COUNTIFS(Multas[Conductor],$C9,Multas[Fecha],"&gt;="&amp;$I$3,Multas[Fecha],"&lt;="&amp;$J$3)</f>
        <v>0</v>
      </c>
      <c r="N9" s="33">
        <f>SUMIFS(Multas[Importe pagado ($)],Multas[Conductor],$C9,Multas[Fecha],"&gt;="&amp;$I$3,Multas[Fecha],"&lt;="&amp;$J$3)</f>
        <v>0</v>
      </c>
    </row>
    <row r="10" spans="1:78" x14ac:dyDescent="0.2">
      <c r="A10" s="47"/>
      <c r="C10" s="30" t="str">
        <f>IF('Conductores'!E8=0,"",'Conductores'!E8)</f>
        <v>CAMACHO MORENO GILSON ADALBERTO</v>
      </c>
      <c r="D10" s="31">
        <f>COUNTIFS(Rutas[Conductor],$C10,Rutas[Fecha de Llegada],"&gt;="&amp;$I$3,Rutas[Fecha de Llegada],"&lt;="&amp;$J$3)</f>
        <v>1</v>
      </c>
      <c r="E10" s="31">
        <f>SUMIFS(Rutas[Kms Recorridos],Rutas[Conductor],$C10,Rutas[Fecha de Llegada],"&gt;="&amp;$I$3,Rutas[Fecha de Llegada],"&lt;="&amp;$J$3)</f>
        <v>529</v>
      </c>
      <c r="F10" s="29">
        <f t="shared" si="0"/>
        <v>529</v>
      </c>
      <c r="G10" s="32">
        <f>SUMIFS(Rutas[Peso de carga (BLS)],Rutas[Conductor],$C10,Rutas[Fecha de Llegada],"&gt;="&amp;$I$3,Rutas[Fecha de Llegada],"&lt;="&amp;$J$3)</f>
        <v>0</v>
      </c>
      <c r="H10" s="29">
        <f t="shared" si="1"/>
        <v>0</v>
      </c>
      <c r="I10" s="29">
        <f t="shared" si="2"/>
        <v>0</v>
      </c>
      <c r="J10" s="32">
        <f>SUMIFS(Rutas[Ingreso Total ($)],Rutas[Conductor],$C10,Rutas[Fecha de Llegada],"&gt;="&amp;$I$3,Rutas[Fecha de Llegada],"&lt;="&amp;$J$3)</f>
        <v>0</v>
      </c>
      <c r="K10" s="29">
        <f t="shared" si="3"/>
        <v>0</v>
      </c>
      <c r="L10" s="29">
        <f t="shared" si="4"/>
        <v>0</v>
      </c>
      <c r="M10" s="31">
        <f>COUNTIFS(Multas[Conductor],$C10,Multas[Fecha],"&gt;="&amp;$I$3,Multas[Fecha],"&lt;="&amp;$J$3)</f>
        <v>0</v>
      </c>
      <c r="N10" s="33">
        <f>SUMIFS(Multas[Importe pagado ($)],Multas[Conductor],$C10,Multas[Fecha],"&gt;="&amp;$I$3,Multas[Fecha],"&lt;="&amp;$J$3)</f>
        <v>0</v>
      </c>
    </row>
    <row r="11" spans="1:78" x14ac:dyDescent="0.2">
      <c r="A11" s="47"/>
      <c r="C11" s="30" t="str">
        <f>IF('Conductores'!E9=0,"",'Conductores'!E9)</f>
        <v>CAMACHO NARANJO CARLOS ANDRES</v>
      </c>
      <c r="D11" s="31">
        <f>COUNTIFS(Rutas[Conductor],$C11,Rutas[Fecha de Llegada],"&gt;="&amp;$I$3,Rutas[Fecha de Llegada],"&lt;="&amp;$J$3)</f>
        <v>0</v>
      </c>
      <c r="E11" s="31">
        <f>SUMIFS(Rutas[Kms Recorridos],Rutas[Conductor],$C11,Rutas[Fecha de Llegada],"&gt;="&amp;$I$3,Rutas[Fecha de Llegada],"&lt;="&amp;$J$3)</f>
        <v>0</v>
      </c>
      <c r="F11" s="29">
        <f t="shared" si="0"/>
        <v>0</v>
      </c>
      <c r="G11" s="32">
        <f>SUMIFS(Rutas[Peso de carga (BLS)],Rutas[Conductor],$C11,Rutas[Fecha de Llegada],"&gt;="&amp;$I$3,Rutas[Fecha de Llegada],"&lt;="&amp;$J$3)</f>
        <v>0</v>
      </c>
      <c r="H11" s="29">
        <f t="shared" si="1"/>
        <v>0</v>
      </c>
      <c r="I11" s="29">
        <f t="shared" si="2"/>
        <v>0</v>
      </c>
      <c r="J11" s="32">
        <f>SUMIFS(Rutas[Ingreso Total ($)],Rutas[Conductor],$C11,Rutas[Fecha de Llegada],"&gt;="&amp;$I$3,Rutas[Fecha de Llegada],"&lt;="&amp;$J$3)</f>
        <v>0</v>
      </c>
      <c r="K11" s="29">
        <f t="shared" si="3"/>
        <v>0</v>
      </c>
      <c r="L11" s="29">
        <f t="shared" si="4"/>
        <v>0</v>
      </c>
      <c r="M11" s="31">
        <f>COUNTIFS(Multas[Conductor],$C11,Multas[Fecha],"&gt;="&amp;$I$3,Multas[Fecha],"&lt;="&amp;$J$3)</f>
        <v>0</v>
      </c>
      <c r="N11" s="33">
        <f>SUMIFS(Multas[Importe pagado ($)],Multas[Conductor],$C11,Multas[Fecha],"&gt;="&amp;$I$3,Multas[Fecha],"&lt;="&amp;$J$3)</f>
        <v>0</v>
      </c>
    </row>
    <row r="12" spans="1:78" x14ac:dyDescent="0.2">
      <c r="A12" s="47"/>
      <c r="C12" s="30" t="str">
        <f>IF('Conductores'!E10=0,"",'Conductores'!E10)</f>
        <v>CASTILLO VILLALVA EDGAR PATRICIO</v>
      </c>
      <c r="D12" s="31">
        <f>COUNTIFS(Rutas[Conductor],$C12,Rutas[Fecha de Llegada],"&gt;="&amp;$I$3,Rutas[Fecha de Llegada],"&lt;="&amp;$J$3)</f>
        <v>4</v>
      </c>
      <c r="E12" s="31">
        <f>SUMIFS(Rutas[Kms Recorridos],Rutas[Conductor],$C12,Rutas[Fecha de Llegada],"&gt;="&amp;$I$3,Rutas[Fecha de Llegada],"&lt;="&amp;$J$3)</f>
        <v>967</v>
      </c>
      <c r="F12" s="29">
        <f t="shared" si="0"/>
        <v>241.75</v>
      </c>
      <c r="G12" s="32">
        <f>SUMIFS(Rutas[Peso de carga (BLS)],Rutas[Conductor],$C12,Rutas[Fecha de Llegada],"&gt;="&amp;$I$3,Rutas[Fecha de Llegada],"&lt;="&amp;$J$3)</f>
        <v>0</v>
      </c>
      <c r="H12" s="29">
        <f t="shared" si="1"/>
        <v>0</v>
      </c>
      <c r="I12" s="29">
        <f t="shared" si="2"/>
        <v>0</v>
      </c>
      <c r="J12" s="32">
        <f>SUMIFS(Rutas[Ingreso Total ($)],Rutas[Conductor],$C12,Rutas[Fecha de Llegada],"&gt;="&amp;$I$3,Rutas[Fecha de Llegada],"&lt;="&amp;$J$3)</f>
        <v>0</v>
      </c>
      <c r="K12" s="29">
        <f t="shared" si="3"/>
        <v>0</v>
      </c>
      <c r="L12" s="29">
        <f t="shared" si="4"/>
        <v>0</v>
      </c>
      <c r="M12" s="31">
        <f>COUNTIFS(Multas[Conductor],$C12,Multas[Fecha],"&gt;="&amp;$I$3,Multas[Fecha],"&lt;="&amp;$J$3)</f>
        <v>0</v>
      </c>
      <c r="N12" s="33">
        <f>SUMIFS(Multas[Importe pagado ($)],Multas[Conductor],$C12,Multas[Fecha],"&gt;="&amp;$I$3,Multas[Fecha],"&lt;="&amp;$J$3)</f>
        <v>0</v>
      </c>
    </row>
    <row r="13" spans="1:78" x14ac:dyDescent="0.2">
      <c r="A13" s="47"/>
      <c r="C13" s="30" t="str">
        <f>IF('Conductores'!E11=0,"",'Conductores'!E11)</f>
        <v>CORDOVA CELI ANDRES ALEXANDER</v>
      </c>
      <c r="D13" s="31">
        <f>COUNTIFS(Rutas[Conductor],$C13,Rutas[Fecha de Llegada],"&gt;="&amp;$I$3,Rutas[Fecha de Llegada],"&lt;="&amp;$J$3)</f>
        <v>7</v>
      </c>
      <c r="E13" s="31">
        <f>SUMIFS(Rutas[Kms Recorridos],Rutas[Conductor],$C13,Rutas[Fecha de Llegada],"&gt;="&amp;$I$3,Rutas[Fecha de Llegada],"&lt;="&amp;$J$3)</f>
        <v>2402</v>
      </c>
      <c r="F13" s="29">
        <f t="shared" si="0"/>
        <v>343.14285714285717</v>
      </c>
      <c r="G13" s="32">
        <f>SUMIFS(Rutas[Peso de carga (BLS)],Rutas[Conductor],$C13,Rutas[Fecha de Llegada],"&gt;="&amp;$I$3,Rutas[Fecha de Llegada],"&lt;="&amp;$J$3)</f>
        <v>0</v>
      </c>
      <c r="H13" s="29">
        <f t="shared" si="1"/>
        <v>0</v>
      </c>
      <c r="I13" s="29">
        <f t="shared" si="2"/>
        <v>0</v>
      </c>
      <c r="J13" s="32">
        <f>SUMIFS(Rutas[Ingreso Total ($)],Rutas[Conductor],$C13,Rutas[Fecha de Llegada],"&gt;="&amp;$I$3,Rutas[Fecha de Llegada],"&lt;="&amp;$J$3)</f>
        <v>0</v>
      </c>
      <c r="K13" s="29">
        <f t="shared" si="3"/>
        <v>0</v>
      </c>
      <c r="L13" s="29">
        <f t="shared" si="4"/>
        <v>0</v>
      </c>
      <c r="M13" s="31">
        <f>COUNTIFS(Multas[Conductor],$C13,Multas[Fecha],"&gt;="&amp;$I$3,Multas[Fecha],"&lt;="&amp;$J$3)</f>
        <v>0</v>
      </c>
      <c r="N13" s="33">
        <f>SUMIFS(Multas[Importe pagado ($)],Multas[Conductor],$C13,Multas[Fecha],"&gt;="&amp;$I$3,Multas[Fecha],"&lt;="&amp;$J$3)</f>
        <v>0</v>
      </c>
    </row>
    <row r="14" spans="1:78" x14ac:dyDescent="0.2">
      <c r="A14" s="47"/>
      <c r="C14" s="30" t="str">
        <f>IF('Conductores'!E12=0,"",'Conductores'!E12)</f>
        <v>ESTACIO DAVILA EDWIN ALEXIS</v>
      </c>
      <c r="D14" s="31">
        <f>COUNTIFS(Rutas[Conductor],$C14,Rutas[Fecha de Llegada],"&gt;="&amp;$I$3,Rutas[Fecha de Llegada],"&lt;="&amp;$J$3)</f>
        <v>4</v>
      </c>
      <c r="E14" s="31">
        <f>SUMIFS(Rutas[Kms Recorridos],Rutas[Conductor],$C14,Rutas[Fecha de Llegada],"&gt;="&amp;$I$3,Rutas[Fecha de Llegada],"&lt;="&amp;$J$3)</f>
        <v>794</v>
      </c>
      <c r="F14" s="29">
        <f t="shared" si="0"/>
        <v>198.5</v>
      </c>
      <c r="G14" s="32">
        <f>SUMIFS(Rutas[Peso de carga (BLS)],Rutas[Conductor],$C14,Rutas[Fecha de Llegada],"&gt;="&amp;$I$3,Rutas[Fecha de Llegada],"&lt;="&amp;$J$3)</f>
        <v>0</v>
      </c>
      <c r="H14" s="29">
        <f t="shared" si="1"/>
        <v>0</v>
      </c>
      <c r="I14" s="29">
        <f t="shared" si="2"/>
        <v>0</v>
      </c>
      <c r="J14" s="32">
        <f>SUMIFS(Rutas[Ingreso Total ($)],Rutas[Conductor],$C14,Rutas[Fecha de Llegada],"&gt;="&amp;$I$3,Rutas[Fecha de Llegada],"&lt;="&amp;$J$3)</f>
        <v>0</v>
      </c>
      <c r="K14" s="29">
        <f t="shared" si="3"/>
        <v>0</v>
      </c>
      <c r="L14" s="29">
        <f t="shared" si="4"/>
        <v>0</v>
      </c>
      <c r="M14" s="31">
        <f>COUNTIFS(Multas[Conductor],$C14,Multas[Fecha],"&gt;="&amp;$I$3,Multas[Fecha],"&lt;="&amp;$J$3)</f>
        <v>0</v>
      </c>
      <c r="N14" s="33">
        <f>SUMIFS(Multas[Importe pagado ($)],Multas[Conductor],$C14,Multas[Fecha],"&gt;="&amp;$I$3,Multas[Fecha],"&lt;="&amp;$J$3)</f>
        <v>0</v>
      </c>
    </row>
    <row r="15" spans="1:78" x14ac:dyDescent="0.2">
      <c r="A15" s="47"/>
      <c r="C15" s="30" t="str">
        <f>IF('Conductores'!E13=0,"",'Conductores'!E13)</f>
        <v>GALEAS AGUILA FREDY RODOLFO</v>
      </c>
      <c r="D15" s="31">
        <f>COUNTIFS(Rutas[Conductor],$C15,Rutas[Fecha de Llegada],"&gt;="&amp;$I$3,Rutas[Fecha de Llegada],"&lt;="&amp;$J$3)</f>
        <v>1</v>
      </c>
      <c r="E15" s="31">
        <f>SUMIFS(Rutas[Kms Recorridos],Rutas[Conductor],$C15,Rutas[Fecha de Llegada],"&gt;="&amp;$I$3,Rutas[Fecha de Llegada],"&lt;="&amp;$J$3)</f>
        <v>584</v>
      </c>
      <c r="F15" s="29">
        <f t="shared" si="0"/>
        <v>584</v>
      </c>
      <c r="G15" s="32">
        <f>SUMIFS(Rutas[Peso de carga (BLS)],Rutas[Conductor],$C15,Rutas[Fecha de Llegada],"&gt;="&amp;$I$3,Rutas[Fecha de Llegada],"&lt;="&amp;$J$3)</f>
        <v>0</v>
      </c>
      <c r="H15" s="29">
        <f t="shared" si="1"/>
        <v>0</v>
      </c>
      <c r="I15" s="29">
        <f t="shared" si="2"/>
        <v>0</v>
      </c>
      <c r="J15" s="32">
        <f>SUMIFS(Rutas[Ingreso Total ($)],Rutas[Conductor],$C15,Rutas[Fecha de Llegada],"&gt;="&amp;$I$3,Rutas[Fecha de Llegada],"&lt;="&amp;$J$3)</f>
        <v>0</v>
      </c>
      <c r="K15" s="29">
        <f t="shared" si="3"/>
        <v>0</v>
      </c>
      <c r="L15" s="29">
        <f t="shared" si="4"/>
        <v>0</v>
      </c>
      <c r="M15" s="31">
        <f>COUNTIFS(Multas[Conductor],$C15,Multas[Fecha],"&gt;="&amp;$I$3,Multas[Fecha],"&lt;="&amp;$J$3)</f>
        <v>0</v>
      </c>
      <c r="N15" s="33">
        <f>SUMIFS(Multas[Importe pagado ($)],Multas[Conductor],$C15,Multas[Fecha],"&gt;="&amp;$I$3,Multas[Fecha],"&lt;="&amp;$J$3)</f>
        <v>0</v>
      </c>
    </row>
    <row r="16" spans="1:78" x14ac:dyDescent="0.2">
      <c r="A16" s="47"/>
      <c r="C16" s="30" t="str">
        <f>IF('Conductores'!E14=0,"",'Conductores'!E14)</f>
        <v>LOPEZ GUERRERO CRISTIAN ALEJANDRO</v>
      </c>
      <c r="D16" s="31">
        <f>COUNTIFS(Rutas[Conductor],$C16,Rutas[Fecha de Llegada],"&gt;="&amp;$I$3,Rutas[Fecha de Llegada],"&lt;="&amp;$J$3)</f>
        <v>2</v>
      </c>
      <c r="E16" s="31">
        <f>SUMIFS(Rutas[Kms Recorridos],Rutas[Conductor],$C16,Rutas[Fecha de Llegada],"&gt;="&amp;$I$3,Rutas[Fecha de Llegada],"&lt;="&amp;$J$3)</f>
        <v>1363</v>
      </c>
      <c r="F16" s="29">
        <f t="shared" si="0"/>
        <v>681.5</v>
      </c>
      <c r="G16" s="32">
        <f>SUMIFS(Rutas[Peso de carga (BLS)],Rutas[Conductor],$C16,Rutas[Fecha de Llegada],"&gt;="&amp;$I$3,Rutas[Fecha de Llegada],"&lt;="&amp;$J$3)</f>
        <v>0</v>
      </c>
      <c r="H16" s="29">
        <f t="shared" si="1"/>
        <v>0</v>
      </c>
      <c r="I16" s="29">
        <f t="shared" si="2"/>
        <v>0</v>
      </c>
      <c r="J16" s="32">
        <f>SUMIFS(Rutas[Ingreso Total ($)],Rutas[Conductor],$C16,Rutas[Fecha de Llegada],"&gt;="&amp;$I$3,Rutas[Fecha de Llegada],"&lt;="&amp;$J$3)</f>
        <v>0</v>
      </c>
      <c r="K16" s="29">
        <f t="shared" si="3"/>
        <v>0</v>
      </c>
      <c r="L16" s="29">
        <f t="shared" si="4"/>
        <v>0</v>
      </c>
      <c r="M16" s="31">
        <f>COUNTIFS(Multas[Conductor],$C16,Multas[Fecha],"&gt;="&amp;$I$3,Multas[Fecha],"&lt;="&amp;$J$3)</f>
        <v>0</v>
      </c>
      <c r="N16" s="33">
        <f>SUMIFS(Multas[Importe pagado ($)],Multas[Conductor],$C16,Multas[Fecha],"&gt;="&amp;$I$3,Multas[Fecha],"&lt;="&amp;$J$3)</f>
        <v>0</v>
      </c>
    </row>
    <row r="17" spans="1:14" x14ac:dyDescent="0.2">
      <c r="A17" s="47"/>
      <c r="C17" s="30" t="str">
        <f>IF('Conductores'!E15=0,"",'Conductores'!E15)</f>
        <v>LUNA HERNANDEZ LUIS ALBERTO</v>
      </c>
      <c r="D17" s="31">
        <f>COUNTIFS(Rutas[Conductor],$C17,Rutas[Fecha de Llegada],"&gt;="&amp;$I$3,Rutas[Fecha de Llegada],"&lt;="&amp;$J$3)</f>
        <v>3</v>
      </c>
      <c r="E17" s="31">
        <f>SUMIFS(Rutas[Kms Recorridos],Rutas[Conductor],$C17,Rutas[Fecha de Llegada],"&gt;="&amp;$I$3,Rutas[Fecha de Llegada],"&lt;="&amp;$J$3)</f>
        <v>1266</v>
      </c>
      <c r="F17" s="29">
        <f t="shared" si="0"/>
        <v>422</v>
      </c>
      <c r="G17" s="32">
        <f>SUMIFS(Rutas[Peso de carga (BLS)],Rutas[Conductor],$C17,Rutas[Fecha de Llegada],"&gt;="&amp;$I$3,Rutas[Fecha de Llegada],"&lt;="&amp;$J$3)</f>
        <v>0</v>
      </c>
      <c r="H17" s="29">
        <f t="shared" si="1"/>
        <v>0</v>
      </c>
      <c r="I17" s="29">
        <f t="shared" si="2"/>
        <v>0</v>
      </c>
      <c r="J17" s="32">
        <f>SUMIFS(Rutas[Ingreso Total ($)],Rutas[Conductor],$C17,Rutas[Fecha de Llegada],"&gt;="&amp;$I$3,Rutas[Fecha de Llegada],"&lt;="&amp;$J$3)</f>
        <v>0</v>
      </c>
      <c r="K17" s="29">
        <f t="shared" si="3"/>
        <v>0</v>
      </c>
      <c r="L17" s="29">
        <f t="shared" si="4"/>
        <v>0</v>
      </c>
      <c r="M17" s="31">
        <f>COUNTIFS(Multas[Conductor],$C17,Multas[Fecha],"&gt;="&amp;$I$3,Multas[Fecha],"&lt;="&amp;$J$3)</f>
        <v>0</v>
      </c>
      <c r="N17" s="33">
        <f>SUMIFS(Multas[Importe pagado ($)],Multas[Conductor],$C17,Multas[Fecha],"&gt;="&amp;$I$3,Multas[Fecha],"&lt;="&amp;$J$3)</f>
        <v>0</v>
      </c>
    </row>
    <row r="18" spans="1:14" x14ac:dyDescent="0.2">
      <c r="A18" s="47"/>
      <c r="C18" s="30" t="str">
        <f>IF('Conductores'!E16=0,"",'Conductores'!E16)</f>
        <v>MOSCUY RAMIREZ MILVIO PAUL</v>
      </c>
      <c r="D18" s="31">
        <f>COUNTIFS(Rutas[Conductor],$C18,Rutas[Fecha de Llegada],"&gt;="&amp;$I$3,Rutas[Fecha de Llegada],"&lt;="&amp;$J$3)</f>
        <v>3</v>
      </c>
      <c r="E18" s="31">
        <f>SUMIFS(Rutas[Kms Recorridos],Rutas[Conductor],$C18,Rutas[Fecha de Llegada],"&gt;="&amp;$I$3,Rutas[Fecha de Llegada],"&lt;="&amp;$J$3)</f>
        <v>721</v>
      </c>
      <c r="F18" s="29">
        <f t="shared" si="0"/>
        <v>240.33333333333334</v>
      </c>
      <c r="G18" s="32">
        <f>SUMIFS(Rutas[Peso de carga (BLS)],Rutas[Conductor],$C18,Rutas[Fecha de Llegada],"&gt;="&amp;$I$3,Rutas[Fecha de Llegada],"&lt;="&amp;$J$3)</f>
        <v>0</v>
      </c>
      <c r="H18" s="29">
        <f t="shared" si="1"/>
        <v>0</v>
      </c>
      <c r="I18" s="29">
        <f t="shared" si="2"/>
        <v>0</v>
      </c>
      <c r="J18" s="32">
        <f>SUMIFS(Rutas[Ingreso Total ($)],Rutas[Conductor],$C18,Rutas[Fecha de Llegada],"&gt;="&amp;$I$3,Rutas[Fecha de Llegada],"&lt;="&amp;$J$3)</f>
        <v>0</v>
      </c>
      <c r="K18" s="29">
        <f t="shared" si="3"/>
        <v>0</v>
      </c>
      <c r="L18" s="29">
        <f t="shared" si="4"/>
        <v>0</v>
      </c>
      <c r="M18" s="31">
        <f>COUNTIFS(Multas[Conductor],$C18,Multas[Fecha],"&gt;="&amp;$I$3,Multas[Fecha],"&lt;="&amp;$J$3)</f>
        <v>0</v>
      </c>
      <c r="N18" s="33">
        <f>SUMIFS(Multas[Importe pagado ($)],Multas[Conductor],$C18,Multas[Fecha],"&gt;="&amp;$I$3,Multas[Fecha],"&lt;="&amp;$J$3)</f>
        <v>0</v>
      </c>
    </row>
    <row r="19" spans="1:14" x14ac:dyDescent="0.2">
      <c r="A19" s="47"/>
      <c r="C19" s="30" t="str">
        <f>IF('Conductores'!E17=0,"",'Conductores'!E17)</f>
        <v>NAZARENO PALOMINO JORGE MANUEL</v>
      </c>
      <c r="D19" s="31">
        <f>COUNTIFS(Rutas[Conductor],$C19,Rutas[Fecha de Llegada],"&gt;="&amp;$I$3,Rutas[Fecha de Llegada],"&lt;="&amp;$J$3)</f>
        <v>0</v>
      </c>
      <c r="E19" s="31">
        <f>SUMIFS(Rutas[Kms Recorridos],Rutas[Conductor],$C19,Rutas[Fecha de Llegada],"&gt;="&amp;$I$3,Rutas[Fecha de Llegada],"&lt;="&amp;$J$3)</f>
        <v>0</v>
      </c>
      <c r="F19" s="29">
        <f t="shared" si="0"/>
        <v>0</v>
      </c>
      <c r="G19" s="32">
        <f>SUMIFS(Rutas[Peso de carga (BLS)],Rutas[Conductor],$C19,Rutas[Fecha de Llegada],"&gt;="&amp;$I$3,Rutas[Fecha de Llegada],"&lt;="&amp;$J$3)</f>
        <v>0</v>
      </c>
      <c r="H19" s="29">
        <f t="shared" si="1"/>
        <v>0</v>
      </c>
      <c r="I19" s="29">
        <f t="shared" si="2"/>
        <v>0</v>
      </c>
      <c r="J19" s="32">
        <f>SUMIFS(Rutas[Ingreso Total ($)],Rutas[Conductor],$C19,Rutas[Fecha de Llegada],"&gt;="&amp;$I$3,Rutas[Fecha de Llegada],"&lt;="&amp;$J$3)</f>
        <v>0</v>
      </c>
      <c r="K19" s="29">
        <f t="shared" si="3"/>
        <v>0</v>
      </c>
      <c r="L19" s="29">
        <f t="shared" si="4"/>
        <v>0</v>
      </c>
      <c r="M19" s="31">
        <f>COUNTIFS(Multas[Conductor],$C19,Multas[Fecha],"&gt;="&amp;$I$3,Multas[Fecha],"&lt;="&amp;$J$3)</f>
        <v>0</v>
      </c>
      <c r="N19" s="33">
        <f>SUMIFS(Multas[Importe pagado ($)],Multas[Conductor],$C19,Multas[Fecha],"&gt;="&amp;$I$3,Multas[Fecha],"&lt;="&amp;$J$3)</f>
        <v>0</v>
      </c>
    </row>
    <row r="20" spans="1:14" x14ac:dyDescent="0.2">
      <c r="A20" s="47"/>
      <c r="C20" s="30" t="str">
        <f>IF('Conductores'!E18=0,"",'Conductores'!E18)</f>
        <v>ORDOÑEZ CALLE JOSE SALVADOR</v>
      </c>
      <c r="D20" s="31">
        <f>COUNTIFS(Rutas[Conductor],$C20,Rutas[Fecha de Llegada],"&gt;="&amp;$I$3,Rutas[Fecha de Llegada],"&lt;="&amp;$J$3)</f>
        <v>9</v>
      </c>
      <c r="E20" s="31">
        <f>SUMIFS(Rutas[Kms Recorridos],Rutas[Conductor],$C20,Rutas[Fecha de Llegada],"&gt;="&amp;$I$3,Rutas[Fecha de Llegada],"&lt;="&amp;$J$3)</f>
        <v>1816</v>
      </c>
      <c r="F20" s="29">
        <f t="shared" ref="F20:F26" si="5">IFERROR(E20/D20,0)</f>
        <v>201.77777777777777</v>
      </c>
      <c r="G20" s="32">
        <f>SUMIFS(Rutas[Peso de carga (BLS)],Rutas[Conductor],$C20,Rutas[Fecha de Llegada],"&gt;="&amp;$I$3,Rutas[Fecha de Llegada],"&lt;="&amp;$J$3)</f>
        <v>0</v>
      </c>
      <c r="H20" s="29">
        <f t="shared" ref="H20:H26" si="6">IFERROR(G20/E20,0)</f>
        <v>0</v>
      </c>
      <c r="I20" s="29">
        <f t="shared" ref="I20:I26" si="7">IFERROR(G20/D20,0)</f>
        <v>0</v>
      </c>
      <c r="J20" s="33">
        <f>SUMIFS(Rutas[Ingreso Total ($)],Rutas[Conductor],$C20,Rutas[Fecha de Llegada],"&gt;="&amp;$I$3,Rutas[Fecha de Llegada],"&lt;="&amp;$J$3)</f>
        <v>0</v>
      </c>
      <c r="K20" s="29">
        <f t="shared" ref="K20:K26" si="8">IFERROR(J20/E20,0)</f>
        <v>0</v>
      </c>
      <c r="L20" s="29">
        <f t="shared" ref="L20:L26" si="9">IFERROR(J20/D20,0)</f>
        <v>0</v>
      </c>
      <c r="M20" s="31">
        <f>COUNTIFS(Multas[Conductor],$C20,Multas[Fecha],"&gt;="&amp;$I$3,Multas[Fecha],"&lt;="&amp;$J$3)</f>
        <v>0</v>
      </c>
      <c r="N20" s="33">
        <f>SUMIFS(Multas[Importe pagado ($)],Multas[Conductor],$C20,Multas[Fecha],"&gt;="&amp;$I$3,Multas[Fecha],"&lt;="&amp;$J$3)</f>
        <v>0</v>
      </c>
    </row>
    <row r="21" spans="1:14" x14ac:dyDescent="0.2">
      <c r="A21" s="47"/>
      <c r="C21" s="30" t="str">
        <f>IF('Conductores'!E19=0,"",'Conductores'!E19)</f>
        <v>ORDOÑEZ MENENDEZ JOSUE ELISEO</v>
      </c>
      <c r="D21" s="31">
        <f>COUNTIFS(Rutas[Conductor],$C21,Rutas[Fecha de Llegada],"&gt;="&amp;$I$3,Rutas[Fecha de Llegada],"&lt;="&amp;$J$3)</f>
        <v>0</v>
      </c>
      <c r="E21" s="31">
        <f>SUMIFS(Rutas[Kms Recorridos],Rutas[Conductor],$C21,Rutas[Fecha de Llegada],"&gt;="&amp;$I$3,Rutas[Fecha de Llegada],"&lt;="&amp;$J$3)</f>
        <v>0</v>
      </c>
      <c r="F21" s="29">
        <f t="shared" si="5"/>
        <v>0</v>
      </c>
      <c r="G21" s="32">
        <f>SUMIFS(Rutas[Peso de carga (BLS)],Rutas[Conductor],$C21,Rutas[Fecha de Llegada],"&gt;="&amp;$I$3,Rutas[Fecha de Llegada],"&lt;="&amp;$J$3)</f>
        <v>0</v>
      </c>
      <c r="H21" s="29">
        <f t="shared" si="6"/>
        <v>0</v>
      </c>
      <c r="I21" s="29">
        <f t="shared" si="7"/>
        <v>0</v>
      </c>
      <c r="J21" s="33">
        <f>SUMIFS(Rutas[Ingreso Total ($)],Rutas[Conductor],$C21,Rutas[Fecha de Llegada],"&gt;="&amp;$I$3,Rutas[Fecha de Llegada],"&lt;="&amp;$J$3)</f>
        <v>0</v>
      </c>
      <c r="K21" s="29">
        <f t="shared" si="8"/>
        <v>0</v>
      </c>
      <c r="L21" s="29">
        <f t="shared" si="9"/>
        <v>0</v>
      </c>
      <c r="M21" s="31">
        <f>COUNTIFS(Multas[Conductor],$C21,Multas[Fecha],"&gt;="&amp;$I$3,Multas[Fecha],"&lt;="&amp;$J$3)</f>
        <v>0</v>
      </c>
      <c r="N21" s="33">
        <f>SUMIFS(Multas[Importe pagado ($)],Multas[Conductor],$C21,Multas[Fecha],"&gt;="&amp;$I$3,Multas[Fecha],"&lt;="&amp;$J$3)</f>
        <v>0</v>
      </c>
    </row>
    <row r="22" spans="1:14" x14ac:dyDescent="0.2">
      <c r="A22" s="47"/>
      <c r="C22" s="30" t="str">
        <f>IF('Conductores'!E20=0,"",'Conductores'!E20)</f>
        <v>PONCE RUIZ SIXTO LUBERNDI</v>
      </c>
      <c r="D22" s="31">
        <f>COUNTIFS(Rutas[Conductor],$C22,Rutas[Fecha de Llegada],"&gt;="&amp;$I$3,Rutas[Fecha de Llegada],"&lt;="&amp;$J$3)</f>
        <v>0</v>
      </c>
      <c r="E22" s="31">
        <f>SUMIFS(Rutas[Kms Recorridos],Rutas[Conductor],$C22,Rutas[Fecha de Llegada],"&gt;="&amp;$I$3,Rutas[Fecha de Llegada],"&lt;="&amp;$J$3)</f>
        <v>0</v>
      </c>
      <c r="F22" s="29">
        <f t="shared" si="5"/>
        <v>0</v>
      </c>
      <c r="G22" s="32">
        <f>SUMIFS(Rutas[Peso de carga (BLS)],Rutas[Conductor],$C22,Rutas[Fecha de Llegada],"&gt;="&amp;$I$3,Rutas[Fecha de Llegada],"&lt;="&amp;$J$3)</f>
        <v>0</v>
      </c>
      <c r="H22" s="29">
        <f t="shared" si="6"/>
        <v>0</v>
      </c>
      <c r="I22" s="29">
        <f t="shared" si="7"/>
        <v>0</v>
      </c>
      <c r="J22" s="33">
        <f>SUMIFS(Rutas[Ingreso Total ($)],Rutas[Conductor],$C22,Rutas[Fecha de Llegada],"&gt;="&amp;$I$3,Rutas[Fecha de Llegada],"&lt;="&amp;$J$3)</f>
        <v>0</v>
      </c>
      <c r="K22" s="29">
        <f t="shared" si="8"/>
        <v>0</v>
      </c>
      <c r="L22" s="29">
        <f t="shared" si="9"/>
        <v>0</v>
      </c>
      <c r="M22" s="31">
        <f>COUNTIFS(Multas[Conductor],$C22,Multas[Fecha],"&gt;="&amp;$I$3,Multas[Fecha],"&lt;="&amp;$J$3)</f>
        <v>0</v>
      </c>
      <c r="N22" s="33">
        <f>SUMIFS(Multas[Importe pagado ($)],Multas[Conductor],$C22,Multas[Fecha],"&gt;="&amp;$I$3,Multas[Fecha],"&lt;="&amp;$J$3)</f>
        <v>0</v>
      </c>
    </row>
    <row r="23" spans="1:14" x14ac:dyDescent="0.2">
      <c r="A23" s="47"/>
      <c r="C23" s="30" t="str">
        <f>IF('Conductores'!E21=0,"",'Conductores'!E21)</f>
        <v>TANDAZO ROSILLO VICTOR HUGO</v>
      </c>
      <c r="D23" s="31">
        <f>COUNTIFS(Rutas[Conductor],$C23,Rutas[Fecha de Llegada],"&gt;="&amp;$I$3,Rutas[Fecha de Llegada],"&lt;="&amp;$J$3)</f>
        <v>0</v>
      </c>
      <c r="E23" s="31">
        <f>SUMIFS(Rutas[Kms Recorridos],Rutas[Conductor],$C23,Rutas[Fecha de Llegada],"&gt;="&amp;$I$3,Rutas[Fecha de Llegada],"&lt;="&amp;$J$3)</f>
        <v>0</v>
      </c>
      <c r="F23" s="29">
        <f t="shared" si="5"/>
        <v>0</v>
      </c>
      <c r="G23" s="32">
        <f>SUMIFS(Rutas[Peso de carga (BLS)],Rutas[Conductor],$C23,Rutas[Fecha de Llegada],"&gt;="&amp;$I$3,Rutas[Fecha de Llegada],"&lt;="&amp;$J$3)</f>
        <v>0</v>
      </c>
      <c r="H23" s="29">
        <f t="shared" si="6"/>
        <v>0</v>
      </c>
      <c r="I23" s="29">
        <f t="shared" si="7"/>
        <v>0</v>
      </c>
      <c r="J23" s="33">
        <f>SUMIFS(Rutas[Ingreso Total ($)],Rutas[Conductor],$C23,Rutas[Fecha de Llegada],"&gt;="&amp;$I$3,Rutas[Fecha de Llegada],"&lt;="&amp;$J$3)</f>
        <v>0</v>
      </c>
      <c r="K23" s="29">
        <f t="shared" si="8"/>
        <v>0</v>
      </c>
      <c r="L23" s="29">
        <f t="shared" si="9"/>
        <v>0</v>
      </c>
      <c r="M23" s="31">
        <f>COUNTIFS(Multas[Conductor],$C23,Multas[Fecha],"&gt;="&amp;$I$3,Multas[Fecha],"&lt;="&amp;$J$3)</f>
        <v>0</v>
      </c>
      <c r="N23" s="33">
        <f>SUMIFS(Multas[Importe pagado ($)],Multas[Conductor],$C23,Multas[Fecha],"&gt;="&amp;$I$3,Multas[Fecha],"&lt;="&amp;$J$3)</f>
        <v>0</v>
      </c>
    </row>
    <row r="24" spans="1:14" x14ac:dyDescent="0.2">
      <c r="A24" s="47"/>
      <c r="C24" s="30" t="str">
        <f>IF('Conductores'!E22=0,"",'Conductores'!E22)</f>
        <v>VARGAS CARAVAJAL ROMEL LEONEL</v>
      </c>
      <c r="D24" s="31">
        <f>COUNTIFS(Rutas[Conductor],$C24,Rutas[Fecha de Llegada],"&gt;="&amp;$I$3,Rutas[Fecha de Llegada],"&lt;="&amp;$J$3)</f>
        <v>1</v>
      </c>
      <c r="E24" s="31">
        <f>SUMIFS(Rutas[Kms Recorridos],Rutas[Conductor],$C24,Rutas[Fecha de Llegada],"&gt;="&amp;$I$3,Rutas[Fecha de Llegada],"&lt;="&amp;$J$3)</f>
        <v>791</v>
      </c>
      <c r="F24" s="29">
        <f t="shared" si="5"/>
        <v>791</v>
      </c>
      <c r="G24" s="32">
        <f>SUMIFS(Rutas[Peso de carga (BLS)],Rutas[Conductor],$C24,Rutas[Fecha de Llegada],"&gt;="&amp;$I$3,Rutas[Fecha de Llegada],"&lt;="&amp;$J$3)</f>
        <v>0</v>
      </c>
      <c r="H24" s="29">
        <f t="shared" si="6"/>
        <v>0</v>
      </c>
      <c r="I24" s="29">
        <f t="shared" si="7"/>
        <v>0</v>
      </c>
      <c r="J24" s="33">
        <f>SUMIFS(Rutas[Ingreso Total ($)],Rutas[Conductor],$C24,Rutas[Fecha de Llegada],"&gt;="&amp;$I$3,Rutas[Fecha de Llegada],"&lt;="&amp;$J$3)</f>
        <v>0</v>
      </c>
      <c r="K24" s="29">
        <f t="shared" si="8"/>
        <v>0</v>
      </c>
      <c r="L24" s="29">
        <f t="shared" si="9"/>
        <v>0</v>
      </c>
      <c r="M24" s="31">
        <f>COUNTIFS(Multas[Conductor],$C24,Multas[Fecha],"&gt;="&amp;$I$3,Multas[Fecha],"&lt;="&amp;$J$3)</f>
        <v>0</v>
      </c>
      <c r="N24" s="33">
        <f>SUMIFS(Multas[Importe pagado ($)],Multas[Conductor],$C24,Multas[Fecha],"&gt;="&amp;$I$3,Multas[Fecha],"&lt;="&amp;$J$3)</f>
        <v>0</v>
      </c>
    </row>
    <row r="25" spans="1:14" x14ac:dyDescent="0.2">
      <c r="A25" s="47"/>
      <c r="C25" s="30" t="str">
        <f>IF('Conductores'!E23=0,"",'Conductores'!E23)</f>
        <v>AGURTO LOPEZ ERWIN JESULIN</v>
      </c>
      <c r="D25" s="31">
        <f>COUNTIFS(Rutas[Conductor],$C25,Rutas[Fecha de Llegada],"&gt;="&amp;$I$3,Rutas[Fecha de Llegada],"&lt;="&amp;$J$3)</f>
        <v>0</v>
      </c>
      <c r="E25" s="31">
        <f>SUMIFS(Rutas[Kms Recorridos],Rutas[Conductor],$C25,Rutas[Fecha de Llegada],"&gt;="&amp;$I$3,Rutas[Fecha de Llegada],"&lt;="&amp;$J$3)</f>
        <v>0</v>
      </c>
      <c r="F25" s="29">
        <f t="shared" si="5"/>
        <v>0</v>
      </c>
      <c r="G25" s="32">
        <f>SUMIFS(Rutas[Peso de carga (BLS)],Rutas[Conductor],$C25,Rutas[Fecha de Llegada],"&gt;="&amp;$I$3,Rutas[Fecha de Llegada],"&lt;="&amp;$J$3)</f>
        <v>0</v>
      </c>
      <c r="H25" s="29">
        <f t="shared" si="6"/>
        <v>0</v>
      </c>
      <c r="I25" s="29">
        <f t="shared" si="7"/>
        <v>0</v>
      </c>
      <c r="J25" s="33">
        <f>SUMIFS(Rutas[Ingreso Total ($)],Rutas[Conductor],$C25,Rutas[Fecha de Llegada],"&gt;="&amp;$I$3,Rutas[Fecha de Llegada],"&lt;="&amp;$J$3)</f>
        <v>0</v>
      </c>
      <c r="K25" s="29">
        <f t="shared" si="8"/>
        <v>0</v>
      </c>
      <c r="L25" s="29">
        <f t="shared" si="9"/>
        <v>0</v>
      </c>
      <c r="M25" s="31">
        <f>COUNTIFS(Multas[Conductor],$C25,Multas[Fecha],"&gt;="&amp;$I$3,Multas[Fecha],"&lt;="&amp;$J$3)</f>
        <v>0</v>
      </c>
      <c r="N25" s="33">
        <f>SUMIFS(Multas[Importe pagado ($)],Multas[Conductor],$C25,Multas[Fecha],"&gt;="&amp;$I$3,Multas[Fecha],"&lt;="&amp;$J$3)</f>
        <v>0</v>
      </c>
    </row>
    <row r="26" spans="1:14" x14ac:dyDescent="0.2">
      <c r="A26" s="47"/>
      <c r="C26" s="30" t="str">
        <f>IF('Conductores'!E24=0,"",'Conductores'!E24)</f>
        <v>ANCHUNDIA LISANDRO</v>
      </c>
      <c r="D26" s="31">
        <f>COUNTIFS(Rutas[Conductor],$C26,Rutas[Fecha de Llegada],"&gt;="&amp;$I$3,Rutas[Fecha de Llegada],"&lt;="&amp;$J$3)</f>
        <v>0</v>
      </c>
      <c r="E26" s="31">
        <f>SUMIFS(Rutas[Kms Recorridos],Rutas[Conductor],$C26,Rutas[Fecha de Llegada],"&gt;="&amp;$I$3,Rutas[Fecha de Llegada],"&lt;="&amp;$J$3)</f>
        <v>0</v>
      </c>
      <c r="F26" s="29">
        <f t="shared" si="5"/>
        <v>0</v>
      </c>
      <c r="G26" s="32">
        <f>SUMIFS(Rutas[Peso de carga (BLS)],Rutas[Conductor],$C26,Rutas[Fecha de Llegada],"&gt;="&amp;$I$3,Rutas[Fecha de Llegada],"&lt;="&amp;$J$3)</f>
        <v>0</v>
      </c>
      <c r="H26" s="29">
        <f t="shared" si="6"/>
        <v>0</v>
      </c>
      <c r="I26" s="29">
        <f t="shared" si="7"/>
        <v>0</v>
      </c>
      <c r="J26" s="33">
        <f>SUMIFS(Rutas[Ingreso Total ($)],Rutas[Conductor],$C26,Rutas[Fecha de Llegada],"&gt;="&amp;$I$3,Rutas[Fecha de Llegada],"&lt;="&amp;$J$3)</f>
        <v>0</v>
      </c>
      <c r="K26" s="29">
        <f t="shared" si="8"/>
        <v>0</v>
      </c>
      <c r="L26" s="29">
        <f t="shared" si="9"/>
        <v>0</v>
      </c>
      <c r="M26" s="31">
        <f>COUNTIFS(Multas[Conductor],$C26,Multas[Fecha],"&gt;="&amp;$I$3,Multas[Fecha],"&lt;="&amp;$J$3)</f>
        <v>0</v>
      </c>
      <c r="N26" s="33">
        <f>SUMIFS(Multas[Importe pagado ($)],Multas[Conductor],$C26,Multas[Fecha],"&gt;="&amp;$I$3,Multas[Fecha],"&lt;="&amp;$J$3)</f>
        <v>0</v>
      </c>
    </row>
    <row r="27" spans="1:14" x14ac:dyDescent="0.2">
      <c r="A27" s="47"/>
      <c r="C27" s="30" t="str">
        <f>IF('Conductores'!E25=0,"",'Conductores'!E25)</f>
        <v>BARRAGAN GARCIA GISSELA NOEMI</v>
      </c>
      <c r="D27" s="31">
        <f>COUNTIFS(Rutas[Conductor],$C27,Rutas[Fecha de Llegada],"&gt;="&amp;'Reporte Conductor'!$I$3,Rutas[Fecha de Llegada],"&lt;="&amp;'Reporte Conductor'!$J$3)</f>
        <v>0</v>
      </c>
      <c r="E27" s="31">
        <f>SUMIFS(Rutas[Kms Recorridos],Rutas[Conductor],$C27,Rutas[Fecha de Llegada],"&gt;="&amp;'Reporte Conductor'!$I$3,Rutas[Fecha de Llegada],"&lt;="&amp;'Reporte Conductor'!$J$3)</f>
        <v>0</v>
      </c>
      <c r="F27" s="29">
        <f>IFERROR(E27/D27,0)</f>
        <v>0</v>
      </c>
      <c r="G27" s="32">
        <f>SUMIFS(Rutas[Peso de carga (BLS)],Rutas[Conductor],$C27,Rutas[Fecha de Llegada],"&gt;="&amp;'Reporte Conductor'!$I$3,Rutas[Fecha de Llegada],"&lt;="&amp;'Reporte Conductor'!$J$3)</f>
        <v>0</v>
      </c>
      <c r="H27" s="29">
        <f>IFERROR(G27/E27,0)</f>
        <v>0</v>
      </c>
      <c r="I27" s="29">
        <f>IFERROR(G27/D27,0)</f>
        <v>0</v>
      </c>
      <c r="J27" s="33">
        <f>SUMIFS(Rutas[Ingreso Total ($)],Rutas[Conductor],$C27,Rutas[Fecha de Llegada],"&gt;="&amp;'Reporte Conductor'!$I$3,Rutas[Fecha de Llegada],"&lt;="&amp;'Reporte Conductor'!$J$3)</f>
        <v>0</v>
      </c>
      <c r="K27" s="29">
        <f>IFERROR(J27/E27,0)</f>
        <v>0</v>
      </c>
      <c r="L27" s="29">
        <f>IFERROR(J27/D27,0)</f>
        <v>0</v>
      </c>
      <c r="M27" s="31">
        <f>COUNTIFS(Multas[Conductor],$C27,Multas[Fecha],"&gt;="&amp;$I$3,Multas[Fecha],"&lt;="&amp;$J$3)</f>
        <v>0</v>
      </c>
      <c r="N27" s="33">
        <f>SUMIFS(Multas[Importe pagado ($)],Multas[Conductor],$C27,Multas[Fecha],"&gt;="&amp;$I$3,Multas[Fecha],"&lt;="&amp;$J$3)</f>
        <v>0</v>
      </c>
    </row>
    <row r="28" spans="1:14" x14ac:dyDescent="0.2">
      <c r="A28" s="47"/>
      <c r="C28" s="30" t="str">
        <f>IF('Conductores'!E26=0,"",'Conductores'!E26)</f>
        <v>CAMACHO ZURITA ALEX ADRIAN</v>
      </c>
      <c r="D28" s="31">
        <f>COUNTIFS(Rutas[Conductor],$C28,Rutas[Fecha de Llegada],"&gt;="&amp;'Reporte Conductor'!$I$3,Rutas[Fecha de Llegada],"&lt;="&amp;'Reporte Conductor'!$J$3)</f>
        <v>0</v>
      </c>
      <c r="E28" s="31">
        <f>SUMIFS(Rutas[Kms Recorridos],Rutas[Conductor],$C28,Rutas[Fecha de Llegada],"&gt;="&amp;'Reporte Conductor'!$I$3,Rutas[Fecha de Llegada],"&lt;="&amp;'Reporte Conductor'!$J$3)</f>
        <v>0</v>
      </c>
      <c r="F28" s="29">
        <f>IFERROR(E28/D28,0)</f>
        <v>0</v>
      </c>
      <c r="G28" s="32">
        <f>SUMIFS(Rutas[Peso de carga (BLS)],Rutas[Conductor],$C28,Rutas[Fecha de Llegada],"&gt;="&amp;'Reporte Conductor'!$I$3,Rutas[Fecha de Llegada],"&lt;="&amp;'Reporte Conductor'!$J$3)</f>
        <v>0</v>
      </c>
      <c r="H28" s="29">
        <f>IFERROR(G28/E28,0)</f>
        <v>0</v>
      </c>
      <c r="I28" s="29">
        <f>IFERROR(G28/D28,0)</f>
        <v>0</v>
      </c>
      <c r="J28" s="33">
        <f>SUMIFS(Rutas[Ingreso Total ($)],Rutas[Conductor],$C28,Rutas[Fecha de Llegada],"&gt;="&amp;'Reporte Conductor'!$I$3,Rutas[Fecha de Llegada],"&lt;="&amp;'Reporte Conductor'!$J$3)</f>
        <v>0</v>
      </c>
      <c r="K28" s="29">
        <f>IFERROR(J28/E28,0)</f>
        <v>0</v>
      </c>
      <c r="L28" s="29">
        <f>IFERROR(J28/D28,0)</f>
        <v>0</v>
      </c>
      <c r="M28" s="31">
        <f>COUNTIFS(Multas[Conductor],$C28,Multas[Fecha],"&gt;="&amp;$I$3,Multas[Fecha],"&lt;="&amp;$J$3)</f>
        <v>0</v>
      </c>
      <c r="N28" s="33">
        <f>SUMIFS(Multas[Importe pagado ($)],Multas[Conductor],$C28,Multas[Fecha],"&gt;="&amp;$I$3,Multas[Fecha],"&lt;="&amp;$J$3)</f>
        <v>0</v>
      </c>
    </row>
    <row r="29" spans="1:14" x14ac:dyDescent="0.2">
      <c r="A29" s="47"/>
      <c r="C29" s="30" t="str">
        <f>IF('Conductores'!E27=0,"",'Conductores'!E27)</f>
        <v>DEL VALLE CASTRO JAIME FERNANDO</v>
      </c>
      <c r="D29" s="31">
        <f>COUNTIFS(Rutas[Conductor],$C29,Rutas[Fecha de Llegada],"&gt;="&amp;'Reporte Conductor'!$I$3,Rutas[Fecha de Llegada],"&lt;="&amp;'Reporte Conductor'!$J$3)</f>
        <v>0</v>
      </c>
      <c r="E29" s="31">
        <f>SUMIFS(Rutas[Kms Recorridos],Rutas[Conductor],$C29,Rutas[Fecha de Llegada],"&gt;="&amp;'Reporte Conductor'!$I$3,Rutas[Fecha de Llegada],"&lt;="&amp;'Reporte Conductor'!$J$3)</f>
        <v>0</v>
      </c>
      <c r="F29" s="29">
        <f>IFERROR(E29/D29,0)</f>
        <v>0</v>
      </c>
      <c r="G29" s="32">
        <f>SUMIFS(Rutas[Peso de carga (BLS)],Rutas[Conductor],$C29,Rutas[Fecha de Llegada],"&gt;="&amp;'Reporte Conductor'!$I$3,Rutas[Fecha de Llegada],"&lt;="&amp;'Reporte Conductor'!$J$3)</f>
        <v>0</v>
      </c>
      <c r="H29" s="29">
        <f>IFERROR(G29/E29,0)</f>
        <v>0</v>
      </c>
      <c r="I29" s="29">
        <f>IFERROR(G29/D29,0)</f>
        <v>0</v>
      </c>
      <c r="J29" s="33">
        <f>SUMIFS(Rutas[Ingreso Total ($)],Rutas[Conductor],$C29,Rutas[Fecha de Llegada],"&gt;="&amp;'Reporte Conductor'!$I$3,Rutas[Fecha de Llegada],"&lt;="&amp;'Reporte Conductor'!$J$3)</f>
        <v>0</v>
      </c>
      <c r="K29" s="29">
        <f>IFERROR(J29/E29,0)</f>
        <v>0</v>
      </c>
      <c r="L29" s="29">
        <f>IFERROR(J29/D29,0)</f>
        <v>0</v>
      </c>
      <c r="M29" s="31">
        <f>COUNTIFS(Multas[Conductor],$C29,Multas[Fecha],"&gt;="&amp;$I$3,Multas[Fecha],"&lt;="&amp;$J$3)</f>
        <v>0</v>
      </c>
      <c r="N29" s="33">
        <f>SUMIFS(Multas[Importe pagado ($)],Multas[Conductor],$C29,Multas[Fecha],"&gt;="&amp;$I$3,Multas[Fecha],"&lt;="&amp;$J$3)</f>
        <v>0</v>
      </c>
    </row>
    <row r="30" spans="1:14" x14ac:dyDescent="0.2">
      <c r="A30" s="47"/>
      <c r="C30" s="30" t="str">
        <f>IF('Conductores'!E28=0,"",'Conductores'!E28)</f>
        <v>GAROFALO PALAGUACHAY YOMAIRA MARICELA</v>
      </c>
      <c r="D30" s="31">
        <f>COUNTIFS(Rutas[Conductor],$C30,Rutas[Fecha de Llegada],"&gt;="&amp;'Reporte Conductor'!$I$3,Rutas[Fecha de Llegada],"&lt;="&amp;'Reporte Conductor'!$J$3)</f>
        <v>0</v>
      </c>
      <c r="E30" s="31">
        <f>SUMIFS(Rutas[Kms Recorridos],Rutas[Conductor],$C30,Rutas[Fecha de Llegada],"&gt;="&amp;'Reporte Conductor'!$I$3,Rutas[Fecha de Llegada],"&lt;="&amp;'Reporte Conductor'!$J$3)</f>
        <v>0</v>
      </c>
      <c r="F30" s="29">
        <f t="shared" ref="F30:F37" si="10">IFERROR(E30/D30,0)</f>
        <v>0</v>
      </c>
      <c r="G30" s="32">
        <f>SUMIFS(Rutas[Peso de carga (BLS)],Rutas[Conductor],$C30,Rutas[Fecha de Llegada],"&gt;="&amp;'Reporte Conductor'!$I$3,Rutas[Fecha de Llegada],"&lt;="&amp;'Reporte Conductor'!$J$3)</f>
        <v>0</v>
      </c>
      <c r="H30" s="29">
        <f t="shared" ref="H30:H37" si="11">IFERROR(G30/E30,0)</f>
        <v>0</v>
      </c>
      <c r="I30" s="29">
        <f t="shared" ref="I30:I37" si="12">IFERROR(G30/D30,0)</f>
        <v>0</v>
      </c>
      <c r="J30" s="33">
        <f>SUMIFS(Rutas[Ingreso Total ($)],Rutas[Conductor],$C30,Rutas[Fecha de Llegada],"&gt;="&amp;'Reporte Conductor'!$I$3,Rutas[Fecha de Llegada],"&lt;="&amp;'Reporte Conductor'!$J$3)</f>
        <v>0</v>
      </c>
      <c r="K30" s="29">
        <f t="shared" ref="K30:K37" si="13">IFERROR(J30/E30,0)</f>
        <v>0</v>
      </c>
      <c r="L30" s="29">
        <f t="shared" ref="L30:L37" si="14">IFERROR(J30/D30,0)</f>
        <v>0</v>
      </c>
      <c r="M30" s="31">
        <f>COUNTIFS(Multas[Conductor],$C30,Multas[Fecha],"&gt;="&amp;$I$3,Multas[Fecha],"&lt;="&amp;$J$3)</f>
        <v>0</v>
      </c>
      <c r="N30" s="33">
        <f>SUMIFS(Multas[Importe pagado ($)],Multas[Conductor],$C30,Multas[Fecha],"&gt;="&amp;$I$3,Multas[Fecha],"&lt;="&amp;$J$3)</f>
        <v>0</v>
      </c>
    </row>
    <row r="31" spans="1:14" x14ac:dyDescent="0.2">
      <c r="A31" s="47"/>
      <c r="C31" s="30" t="str">
        <f>IF('Conductores'!E29=0,"",'Conductores'!E29)</f>
        <v>HUANCA MAITA SANTOS ARCECIO</v>
      </c>
      <c r="D31" s="31">
        <f>COUNTIFS(Rutas[Conductor],$C31,Rutas[Fecha de Llegada],"&gt;="&amp;'Reporte Conductor'!$I$3,Rutas[Fecha de Llegada],"&lt;="&amp;'Reporte Conductor'!$J$3)</f>
        <v>0</v>
      </c>
      <c r="E31" s="31">
        <f>SUMIFS(Rutas[Kms Recorridos],Rutas[Conductor],$C31,Rutas[Fecha de Llegada],"&gt;="&amp;'Reporte Conductor'!$I$3,Rutas[Fecha de Llegada],"&lt;="&amp;'Reporte Conductor'!$J$3)</f>
        <v>0</v>
      </c>
      <c r="F31" s="29">
        <f t="shared" si="10"/>
        <v>0</v>
      </c>
      <c r="G31" s="32">
        <f>SUMIFS(Rutas[Peso de carga (BLS)],Rutas[Conductor],$C31,Rutas[Fecha de Llegada],"&gt;="&amp;'Reporte Conductor'!$I$3,Rutas[Fecha de Llegada],"&lt;="&amp;'Reporte Conductor'!$J$3)</f>
        <v>0</v>
      </c>
      <c r="H31" s="29">
        <f t="shared" si="11"/>
        <v>0</v>
      </c>
      <c r="I31" s="29">
        <f t="shared" si="12"/>
        <v>0</v>
      </c>
      <c r="J31" s="33">
        <f>SUMIFS(Rutas[Ingreso Total ($)],Rutas[Conductor],$C31,Rutas[Fecha de Llegada],"&gt;="&amp;'Reporte Conductor'!$I$3,Rutas[Fecha de Llegada],"&lt;="&amp;'Reporte Conductor'!$J$3)</f>
        <v>0</v>
      </c>
      <c r="K31" s="29">
        <f t="shared" si="13"/>
        <v>0</v>
      </c>
      <c r="L31" s="29">
        <f t="shared" si="14"/>
        <v>0</v>
      </c>
      <c r="M31" s="31">
        <f>COUNTIFS(Multas[Conductor],$C31,Multas[Fecha],"&gt;="&amp;$I$3,Multas[Fecha],"&lt;="&amp;$J$3)</f>
        <v>0</v>
      </c>
      <c r="N31" s="33">
        <f>SUMIFS(Multas[Importe pagado ($)],Multas[Conductor],$C31,Multas[Fecha],"&gt;="&amp;$I$3,Multas[Fecha],"&lt;="&amp;$J$3)</f>
        <v>0</v>
      </c>
    </row>
    <row r="32" spans="1:14" x14ac:dyDescent="0.2">
      <c r="A32" s="47"/>
      <c r="C32" s="30" t="str">
        <f>IF('Conductores'!E30=0,"",'Conductores'!E30)</f>
        <v>JARAMILLO CONZA LUIS ALBERTO</v>
      </c>
      <c r="D32" s="31">
        <f>COUNTIFS(Rutas[Conductor],$C32,Rutas[Fecha de Llegada],"&gt;="&amp;'Reporte Conductor'!$I$3,Rutas[Fecha de Llegada],"&lt;="&amp;'Reporte Conductor'!$J$3)</f>
        <v>1</v>
      </c>
      <c r="E32" s="31">
        <f>SUMIFS(Rutas[Kms Recorridos],Rutas[Conductor],$C32,Rutas[Fecha de Llegada],"&gt;="&amp;'Reporte Conductor'!$I$3,Rutas[Fecha de Llegada],"&lt;="&amp;'Reporte Conductor'!$J$3)</f>
        <v>502</v>
      </c>
      <c r="F32" s="29">
        <f t="shared" si="10"/>
        <v>502</v>
      </c>
      <c r="G32" s="32">
        <f>SUMIFS(Rutas[Peso de carga (BLS)],Rutas[Conductor],$C32,Rutas[Fecha de Llegada],"&gt;="&amp;'Reporte Conductor'!$I$3,Rutas[Fecha de Llegada],"&lt;="&amp;'Reporte Conductor'!$J$3)</f>
        <v>0</v>
      </c>
      <c r="H32" s="29">
        <f t="shared" si="11"/>
        <v>0</v>
      </c>
      <c r="I32" s="29">
        <f t="shared" si="12"/>
        <v>0</v>
      </c>
      <c r="J32" s="33">
        <f>SUMIFS(Rutas[Ingreso Total ($)],Rutas[Conductor],$C32,Rutas[Fecha de Llegada],"&gt;="&amp;'Reporte Conductor'!$I$3,Rutas[Fecha de Llegada],"&lt;="&amp;'Reporte Conductor'!$J$3)</f>
        <v>0</v>
      </c>
      <c r="K32" s="29">
        <f t="shared" si="13"/>
        <v>0</v>
      </c>
      <c r="L32" s="29">
        <f t="shared" si="14"/>
        <v>0</v>
      </c>
      <c r="M32" s="31">
        <f>COUNTIFS(Multas[Conductor],$C32,Multas[Fecha],"&gt;="&amp;$I$3,Multas[Fecha],"&lt;="&amp;$J$3)</f>
        <v>0</v>
      </c>
      <c r="N32" s="33">
        <f>SUMIFS(Multas[Importe pagado ($)],Multas[Conductor],$C32,Multas[Fecha],"&gt;="&amp;$I$3,Multas[Fecha],"&lt;="&amp;$J$3)</f>
        <v>0</v>
      </c>
    </row>
    <row r="33" spans="1:14" x14ac:dyDescent="0.2">
      <c r="A33" s="47"/>
      <c r="C33" s="30" t="str">
        <f>IF('Conductores'!E31=0,"",'Conductores'!E31)</f>
        <v>MANOBANDA SANCHEZ WILMER BENIGNO</v>
      </c>
      <c r="D33" s="31">
        <f>COUNTIFS(Rutas[Conductor],$C33,Rutas[Fecha de Llegada],"&gt;="&amp;'Reporte Conductor'!$I$3,Rutas[Fecha de Llegada],"&lt;="&amp;'Reporte Conductor'!$J$3)</f>
        <v>0</v>
      </c>
      <c r="E33" s="31">
        <f>SUMIFS(Rutas[Kms Recorridos],Rutas[Conductor],$C33,Rutas[Fecha de Llegada],"&gt;="&amp;'Reporte Conductor'!$I$3,Rutas[Fecha de Llegada],"&lt;="&amp;'Reporte Conductor'!$J$3)</f>
        <v>0</v>
      </c>
      <c r="F33" s="29">
        <f t="shared" si="10"/>
        <v>0</v>
      </c>
      <c r="G33" s="32">
        <f>SUMIFS(Rutas[Peso de carga (BLS)],Rutas[Conductor],$C33,Rutas[Fecha de Llegada],"&gt;="&amp;'Reporte Conductor'!$I$3,Rutas[Fecha de Llegada],"&lt;="&amp;'Reporte Conductor'!$J$3)</f>
        <v>0</v>
      </c>
      <c r="H33" s="29">
        <f t="shared" si="11"/>
        <v>0</v>
      </c>
      <c r="I33" s="29">
        <f t="shared" si="12"/>
        <v>0</v>
      </c>
      <c r="J33" s="33">
        <f>SUMIFS(Rutas[Ingreso Total ($)],Rutas[Conductor],$C33,Rutas[Fecha de Llegada],"&gt;="&amp;'Reporte Conductor'!$I$3,Rutas[Fecha de Llegada],"&lt;="&amp;'Reporte Conductor'!$J$3)</f>
        <v>0</v>
      </c>
      <c r="K33" s="29">
        <f t="shared" si="13"/>
        <v>0</v>
      </c>
      <c r="L33" s="29">
        <f t="shared" si="14"/>
        <v>0</v>
      </c>
      <c r="M33" s="31">
        <f>COUNTIFS(Multas[Conductor],$C33,Multas[Fecha],"&gt;="&amp;$I$3,Multas[Fecha],"&lt;="&amp;$J$3)</f>
        <v>0</v>
      </c>
      <c r="N33" s="33">
        <f>SUMIFS(Multas[Importe pagado ($)],Multas[Conductor],$C33,Multas[Fecha],"&gt;="&amp;$I$3,Multas[Fecha],"&lt;="&amp;$J$3)</f>
        <v>0</v>
      </c>
    </row>
    <row r="34" spans="1:14" x14ac:dyDescent="0.2">
      <c r="A34" s="47"/>
      <c r="C34" s="30" t="str">
        <f>IF('Conductores'!E32=0,"",'Conductores'!E32)</f>
        <v>MORAN PRIAS PEDRO PABLO</v>
      </c>
      <c r="D34" s="31">
        <f>COUNTIFS(Rutas[Conductor],$C34,Rutas[Fecha de Llegada],"&gt;="&amp;'Reporte Conductor'!$I$3,Rutas[Fecha de Llegada],"&lt;="&amp;'Reporte Conductor'!$J$3)</f>
        <v>0</v>
      </c>
      <c r="E34" s="31">
        <f>SUMIFS(Rutas[Kms Recorridos],Rutas[Conductor],$C34,Rutas[Fecha de Llegada],"&gt;="&amp;'Reporte Conductor'!$I$3,Rutas[Fecha de Llegada],"&lt;="&amp;'Reporte Conductor'!$J$3)</f>
        <v>0</v>
      </c>
      <c r="F34" s="29">
        <f t="shared" si="10"/>
        <v>0</v>
      </c>
      <c r="G34" s="32">
        <f>SUMIFS(Rutas[Peso de carga (BLS)],Rutas[Conductor],$C34,Rutas[Fecha de Llegada],"&gt;="&amp;'Reporte Conductor'!$I$3,Rutas[Fecha de Llegada],"&lt;="&amp;'Reporte Conductor'!$J$3)</f>
        <v>0</v>
      </c>
      <c r="H34" s="29">
        <f t="shared" si="11"/>
        <v>0</v>
      </c>
      <c r="I34" s="29">
        <f t="shared" si="12"/>
        <v>0</v>
      </c>
      <c r="J34" s="33">
        <f>SUMIFS(Rutas[Ingreso Total ($)],Rutas[Conductor],$C34,Rutas[Fecha de Llegada],"&gt;="&amp;'Reporte Conductor'!$I$3,Rutas[Fecha de Llegada],"&lt;="&amp;'Reporte Conductor'!$J$3)</f>
        <v>0</v>
      </c>
      <c r="K34" s="29">
        <f t="shared" si="13"/>
        <v>0</v>
      </c>
      <c r="L34" s="29">
        <f t="shared" si="14"/>
        <v>0</v>
      </c>
      <c r="M34" s="31">
        <f>COUNTIFS(Multas[Conductor],$C34,Multas[Fecha],"&gt;="&amp;$I$3,Multas[Fecha],"&lt;="&amp;$J$3)</f>
        <v>0</v>
      </c>
      <c r="N34" s="33">
        <f>SUMIFS(Multas[Importe pagado ($)],Multas[Conductor],$C34,Multas[Fecha],"&gt;="&amp;$I$3,Multas[Fecha],"&lt;="&amp;$J$3)</f>
        <v>0</v>
      </c>
    </row>
    <row r="35" spans="1:14" x14ac:dyDescent="0.2">
      <c r="A35" s="47"/>
      <c r="C35" s="30" t="str">
        <f>IF('Conductores'!E60=0,"",'Conductores'!E60)</f>
        <v/>
      </c>
      <c r="D35" s="31">
        <f>COUNTIFS(Rutas[Conductor],$C35,Rutas[Fecha de Llegada],"&gt;="&amp;'Reporte Conductor'!$I$3,Rutas[Fecha de Llegada],"&lt;="&amp;'Reporte Conductor'!$J$3)</f>
        <v>6</v>
      </c>
      <c r="E35" s="31">
        <f>SUMIFS(Rutas[Kms Recorridos],Rutas[Conductor],$C35,Rutas[Fecha de Llegada],"&gt;="&amp;'Reporte Conductor'!$I$3,Rutas[Fecha de Llegada],"&lt;="&amp;'Reporte Conductor'!$J$3)</f>
        <v>880</v>
      </c>
      <c r="F35" s="29">
        <f t="shared" si="10"/>
        <v>146.66666666666666</v>
      </c>
      <c r="G35" s="32">
        <f>SUMIFS(Rutas[Peso de carga (BLS)],Rutas[Conductor],$C35,Rutas[Fecha de Llegada],"&gt;="&amp;'Reporte Conductor'!$I$3,Rutas[Fecha de Llegada],"&lt;="&amp;'Reporte Conductor'!$J$3)</f>
        <v>0</v>
      </c>
      <c r="H35" s="29">
        <f t="shared" si="11"/>
        <v>0</v>
      </c>
      <c r="I35" s="29">
        <f t="shared" si="12"/>
        <v>0</v>
      </c>
      <c r="J35" s="33">
        <f>SUMIFS(Rutas[Ingreso Total ($)],Rutas[Conductor],$C35,Rutas[Fecha de Llegada],"&gt;="&amp;'Reporte Conductor'!$I$3,Rutas[Fecha de Llegada],"&lt;="&amp;'Reporte Conductor'!$J$3)</f>
        <v>0</v>
      </c>
      <c r="K35" s="29">
        <f t="shared" si="13"/>
        <v>0</v>
      </c>
      <c r="L35" s="29">
        <f t="shared" si="14"/>
        <v>0</v>
      </c>
      <c r="M35" s="31">
        <f>COUNTIFS(Multas[Conductor],$C35,Multas[Fecha],"&gt;="&amp;$I$3,Multas[Fecha],"&lt;="&amp;$J$3)</f>
        <v>0</v>
      </c>
      <c r="N35" s="33">
        <f>SUMIFS(Multas[Importe pagado ($)],Multas[Conductor],$C35,Multas[Fecha],"&gt;="&amp;$I$3,Multas[Fecha],"&lt;="&amp;$J$3)</f>
        <v>0</v>
      </c>
    </row>
    <row r="36" spans="1:14" x14ac:dyDescent="0.2">
      <c r="A36" s="47"/>
      <c r="C36" s="30" t="str">
        <f>IF('Conductores'!E33=0,"",'Conductores'!E33)</f>
        <v>MORENO GALEAS JOSE LEODAN</v>
      </c>
      <c r="D36" s="31">
        <f>COUNTIFS(Rutas[Conductor],$C36,Rutas[Fecha de Llegada],"&gt;="&amp;'Reporte Conductor'!$I$3,Rutas[Fecha de Llegada],"&lt;="&amp;'Reporte Conductor'!$J$3)</f>
        <v>0</v>
      </c>
      <c r="E36" s="31">
        <f>SUMIFS(Rutas[Kms Recorridos],Rutas[Conductor],$C36,Rutas[Fecha de Llegada],"&gt;="&amp;'Reporte Conductor'!$I$3,Rutas[Fecha de Llegada],"&lt;="&amp;'Reporte Conductor'!$J$3)</f>
        <v>0</v>
      </c>
      <c r="F36" s="29">
        <f t="shared" si="10"/>
        <v>0</v>
      </c>
      <c r="G36" s="32">
        <f>SUMIFS(Rutas[Peso de carga (BLS)],Rutas[Conductor],$C36,Rutas[Fecha de Llegada],"&gt;="&amp;'Reporte Conductor'!$I$3,Rutas[Fecha de Llegada],"&lt;="&amp;'Reporte Conductor'!$J$3)</f>
        <v>0</v>
      </c>
      <c r="H36" s="29">
        <f t="shared" si="11"/>
        <v>0</v>
      </c>
      <c r="I36" s="29">
        <f t="shared" si="12"/>
        <v>0</v>
      </c>
      <c r="J36" s="33">
        <f>SUMIFS(Rutas[Ingreso Total ($)],Rutas[Conductor],$C36,Rutas[Fecha de Llegada],"&gt;="&amp;'Reporte Conductor'!$I$3,Rutas[Fecha de Llegada],"&lt;="&amp;'Reporte Conductor'!$J$3)</f>
        <v>0</v>
      </c>
      <c r="K36" s="29">
        <f t="shared" si="13"/>
        <v>0</v>
      </c>
      <c r="L36" s="29">
        <f t="shared" si="14"/>
        <v>0</v>
      </c>
      <c r="M36" s="31">
        <f>COUNTIFS(Multas[Conductor],$C36,Multas[Fecha],"&gt;="&amp;$I$3,Multas[Fecha],"&lt;="&amp;$J$3)</f>
        <v>0</v>
      </c>
      <c r="N36" s="33">
        <f>SUMIFS(Multas[Importe pagado ($)],Multas[Conductor],$C36,Multas[Fecha],"&gt;="&amp;$I$3,Multas[Fecha],"&lt;="&amp;$J$3)</f>
        <v>0</v>
      </c>
    </row>
    <row r="37" spans="1:14" x14ac:dyDescent="0.2">
      <c r="A37" s="47"/>
      <c r="C37" s="30" t="str">
        <f>IF('Conductores'!E34=0,"",'Conductores'!E34)</f>
        <v>NARANJO PERALTA VANESSA KATERINE</v>
      </c>
      <c r="D37" s="31">
        <f>COUNTIFS(Rutas[Conductor],$C37,Rutas[Fecha de Llegada],"&gt;="&amp;'Reporte Conductor'!$I$3,Rutas[Fecha de Llegada],"&lt;="&amp;'Reporte Conductor'!$J$3)</f>
        <v>0</v>
      </c>
      <c r="E37" s="31">
        <f>SUMIFS(Rutas[Kms Recorridos],Rutas[Conductor],$C37,Rutas[Fecha de Llegada],"&gt;="&amp;'Reporte Conductor'!$I$3,Rutas[Fecha de Llegada],"&lt;="&amp;'Reporte Conductor'!$J$3)</f>
        <v>0</v>
      </c>
      <c r="F37" s="29">
        <f t="shared" si="10"/>
        <v>0</v>
      </c>
      <c r="G37" s="32">
        <f>SUMIFS(Rutas[Peso de carga (BLS)],Rutas[Conductor],$C37,Rutas[Fecha de Llegada],"&gt;="&amp;'Reporte Conductor'!$I$3,Rutas[Fecha de Llegada],"&lt;="&amp;'Reporte Conductor'!$J$3)</f>
        <v>0</v>
      </c>
      <c r="H37" s="29">
        <f t="shared" si="11"/>
        <v>0</v>
      </c>
      <c r="I37" s="29">
        <f t="shared" si="12"/>
        <v>0</v>
      </c>
      <c r="J37" s="33">
        <f>SUMIFS(Rutas[Ingreso Total ($)],Rutas[Conductor],$C37,Rutas[Fecha de Llegada],"&gt;="&amp;'Reporte Conductor'!$I$3,Rutas[Fecha de Llegada],"&lt;="&amp;'Reporte Conductor'!$J$3)</f>
        <v>0</v>
      </c>
      <c r="K37" s="29">
        <f t="shared" si="13"/>
        <v>0</v>
      </c>
      <c r="L37" s="29">
        <f t="shared" si="14"/>
        <v>0</v>
      </c>
      <c r="M37" s="31">
        <f>COUNTIFS(Multas[Conductor],$C37,Multas[Fecha],"&gt;="&amp;$I$3,Multas[Fecha],"&lt;="&amp;$J$3)</f>
        <v>0</v>
      </c>
      <c r="N37" s="33">
        <f>SUMIFS(Multas[Importe pagado ($)],Multas[Conductor],$C37,Multas[Fecha],"&gt;="&amp;$I$3,Multas[Fecha],"&lt;="&amp;$J$3)</f>
        <v>0</v>
      </c>
    </row>
    <row r="38" spans="1:14" x14ac:dyDescent="0.2">
      <c r="A38" s="47"/>
      <c r="C38" s="30" t="str">
        <f>IF('Conductores'!E35=0,"",'Conductores'!E35)</f>
        <v>QUINTANILLA GARCIA LUIS HUMBERTO</v>
      </c>
      <c r="D38" s="31">
        <f>COUNTIFS(Rutas[Conductor],$C38,Rutas[Fecha de Llegada],"&gt;="&amp;'Reporte Conductor'!$I$3,Rutas[Fecha de Llegada],"&lt;="&amp;'Reporte Conductor'!$J$3)</f>
        <v>0</v>
      </c>
      <c r="E38" s="31">
        <f>SUMIFS(Rutas[Kms Recorridos],Rutas[Conductor],$C38,Rutas[Fecha de Llegada],"&gt;="&amp;'Reporte Conductor'!$I$3,Rutas[Fecha de Llegada],"&lt;="&amp;'Reporte Conductor'!$J$3)</f>
        <v>0</v>
      </c>
      <c r="F38" s="29">
        <f t="shared" ref="F38:F45" si="15">IFERROR(E38/D38,0)</f>
        <v>0</v>
      </c>
      <c r="G38" s="32">
        <f>SUMIFS(Rutas[Peso de carga (BLS)],Rutas[Conductor],$C38,Rutas[Fecha de Llegada],"&gt;="&amp;'Reporte Conductor'!$I$3,Rutas[Fecha de Llegada],"&lt;="&amp;'Reporte Conductor'!$J$3)</f>
        <v>0</v>
      </c>
      <c r="H38" s="29">
        <f t="shared" ref="H38:H45" si="16">IFERROR(G38/E38,0)</f>
        <v>0</v>
      </c>
      <c r="I38" s="29">
        <f t="shared" ref="I38:I45" si="17">IFERROR(G38/D38,0)</f>
        <v>0</v>
      </c>
      <c r="J38" s="33">
        <f>SUMIFS(Rutas[Ingreso Total ($)],Rutas[Conductor],$C38,Rutas[Fecha de Llegada],"&gt;="&amp;'Reporte Conductor'!$I$3,Rutas[Fecha de Llegada],"&lt;="&amp;'Reporte Conductor'!$J$3)</f>
        <v>0</v>
      </c>
      <c r="K38" s="29">
        <f t="shared" ref="K38:K45" si="18">IFERROR(J38/E38,0)</f>
        <v>0</v>
      </c>
      <c r="L38" s="29">
        <f t="shared" ref="L38:L45" si="19">IFERROR(J38/D38,0)</f>
        <v>0</v>
      </c>
      <c r="M38" s="31">
        <f>COUNTIFS(Multas[Conductor],$C38,Multas[Fecha],"&gt;="&amp;$I$3,Multas[Fecha],"&lt;="&amp;$J$3)</f>
        <v>0</v>
      </c>
      <c r="N38" s="33">
        <f>SUMIFS(Multas[Importe pagado ($)],Multas[Conductor],$C38,Multas[Fecha],"&gt;="&amp;$I$3,Multas[Fecha],"&lt;="&amp;$J$3)</f>
        <v>0</v>
      </c>
    </row>
    <row r="39" spans="1:14" x14ac:dyDescent="0.2">
      <c r="A39" s="47"/>
      <c r="C39" s="30" t="str">
        <f>IF('Conductores'!E36=0,"",'Conductores'!E36)</f>
        <v>QUINTERO BRAVO KAREN LISETH</v>
      </c>
      <c r="D39" s="31">
        <f>COUNTIFS(Rutas[Conductor],$C39,Rutas[Fecha de Llegada],"&gt;="&amp;'Reporte Conductor'!$I$3,Rutas[Fecha de Llegada],"&lt;="&amp;'Reporte Conductor'!$J$3)</f>
        <v>0</v>
      </c>
      <c r="E39" s="31">
        <f>SUMIFS(Rutas[Kms Recorridos],Rutas[Conductor],$C39,Rutas[Fecha de Llegada],"&gt;="&amp;'Reporte Conductor'!$I$3,Rutas[Fecha de Llegada],"&lt;="&amp;'Reporte Conductor'!$J$3)</f>
        <v>0</v>
      </c>
      <c r="F39" s="29">
        <f t="shared" si="15"/>
        <v>0</v>
      </c>
      <c r="G39" s="32">
        <f>SUMIFS(Rutas[Peso de carga (BLS)],Rutas[Conductor],$C39,Rutas[Fecha de Llegada],"&gt;="&amp;'Reporte Conductor'!$I$3,Rutas[Fecha de Llegada],"&lt;="&amp;'Reporte Conductor'!$J$3)</f>
        <v>0</v>
      </c>
      <c r="H39" s="29">
        <f t="shared" si="16"/>
        <v>0</v>
      </c>
      <c r="I39" s="29">
        <f t="shared" si="17"/>
        <v>0</v>
      </c>
      <c r="J39" s="33">
        <f>SUMIFS(Rutas[Ingreso Total ($)],Rutas[Conductor],$C39,Rutas[Fecha de Llegada],"&gt;="&amp;'Reporte Conductor'!$I$3,Rutas[Fecha de Llegada],"&lt;="&amp;'Reporte Conductor'!$J$3)</f>
        <v>0</v>
      </c>
      <c r="K39" s="29">
        <f t="shared" si="18"/>
        <v>0</v>
      </c>
      <c r="L39" s="29">
        <f t="shared" si="19"/>
        <v>0</v>
      </c>
      <c r="M39" s="31">
        <f>COUNTIFS(Multas[Conductor],$C39,Multas[Fecha],"&gt;="&amp;$I$3,Multas[Fecha],"&lt;="&amp;$J$3)</f>
        <v>0</v>
      </c>
      <c r="N39" s="33">
        <f>SUMIFS(Multas[Importe pagado ($)],Multas[Conductor],$C39,Multas[Fecha],"&gt;="&amp;$I$3,Multas[Fecha],"&lt;="&amp;$J$3)</f>
        <v>0</v>
      </c>
    </row>
    <row r="40" spans="1:14" x14ac:dyDescent="0.2">
      <c r="A40" s="47"/>
      <c r="C40" s="30" t="str">
        <f>IF('Conductores'!E37=0,"",'Conductores'!E37)</f>
        <v>REYES CELI JAVIER MAURICIO</v>
      </c>
      <c r="D40" s="31">
        <f>COUNTIFS(Rutas[Conductor],$C40,Rutas[Fecha de Llegada],"&gt;="&amp;'Reporte Conductor'!$I$3,Rutas[Fecha de Llegada],"&lt;="&amp;'Reporte Conductor'!$J$3)</f>
        <v>0</v>
      </c>
      <c r="E40" s="31">
        <f>SUMIFS(Rutas[Kms Recorridos],Rutas[Conductor],$C40,Rutas[Fecha de Llegada],"&gt;="&amp;'Reporte Conductor'!$I$3,Rutas[Fecha de Llegada],"&lt;="&amp;'Reporte Conductor'!$J$3)</f>
        <v>0</v>
      </c>
      <c r="F40" s="29">
        <f t="shared" si="15"/>
        <v>0</v>
      </c>
      <c r="G40" s="32">
        <f>SUMIFS(Rutas[Peso de carga (BLS)],Rutas[Conductor],$C40,Rutas[Fecha de Llegada],"&gt;="&amp;'Reporte Conductor'!$I$3,Rutas[Fecha de Llegada],"&lt;="&amp;'Reporte Conductor'!$J$3)</f>
        <v>0</v>
      </c>
      <c r="H40" s="29">
        <f t="shared" si="16"/>
        <v>0</v>
      </c>
      <c r="I40" s="29">
        <f t="shared" si="17"/>
        <v>0</v>
      </c>
      <c r="J40" s="33">
        <f>SUMIFS(Rutas[Ingreso Total ($)],Rutas[Conductor],$C40,Rutas[Fecha de Llegada],"&gt;="&amp;'Reporte Conductor'!$I$3,Rutas[Fecha de Llegada],"&lt;="&amp;'Reporte Conductor'!$J$3)</f>
        <v>0</v>
      </c>
      <c r="K40" s="29">
        <f t="shared" si="18"/>
        <v>0</v>
      </c>
      <c r="L40" s="29">
        <f t="shared" si="19"/>
        <v>0</v>
      </c>
      <c r="M40" s="31">
        <f>COUNTIFS(Multas[Conductor],$C40,Multas[Fecha],"&gt;="&amp;$I$3,Multas[Fecha],"&lt;="&amp;$J$3)</f>
        <v>0</v>
      </c>
      <c r="N40" s="33">
        <f>SUMIFS(Multas[Importe pagado ($)],Multas[Conductor],$C40,Multas[Fecha],"&gt;="&amp;$I$3,Multas[Fecha],"&lt;="&amp;$J$3)</f>
        <v>0</v>
      </c>
    </row>
    <row r="41" spans="1:14" x14ac:dyDescent="0.2">
      <c r="A41" s="47"/>
      <c r="C41" s="30" t="str">
        <f>IF('Conductores'!E38=0,"",'Conductores'!E38)</f>
        <v>RIVERA GAONA CARLOS FABIAN</v>
      </c>
      <c r="D41" s="31">
        <f>COUNTIFS(Rutas[Conductor],$C41,Rutas[Fecha de Llegada],"&gt;="&amp;'Reporte Conductor'!$I$3,Rutas[Fecha de Llegada],"&lt;="&amp;'Reporte Conductor'!$J$3)</f>
        <v>6</v>
      </c>
      <c r="E41" s="31">
        <f>SUMIFS(Rutas[Kms Recorridos],Rutas[Conductor],$C41,Rutas[Fecha de Llegada],"&gt;="&amp;'Reporte Conductor'!$I$3,Rutas[Fecha de Llegada],"&lt;="&amp;'Reporte Conductor'!$J$3)</f>
        <v>552</v>
      </c>
      <c r="F41" s="29">
        <f t="shared" si="15"/>
        <v>92</v>
      </c>
      <c r="G41" s="32">
        <f>SUMIFS(Rutas[Peso de carga (BLS)],Rutas[Conductor],$C41,Rutas[Fecha de Llegada],"&gt;="&amp;'Reporte Conductor'!$I$3,Rutas[Fecha de Llegada],"&lt;="&amp;'Reporte Conductor'!$J$3)</f>
        <v>0</v>
      </c>
      <c r="H41" s="29">
        <f t="shared" si="16"/>
        <v>0</v>
      </c>
      <c r="I41" s="29">
        <f t="shared" si="17"/>
        <v>0</v>
      </c>
      <c r="J41" s="33">
        <f>SUMIFS(Rutas[Ingreso Total ($)],Rutas[Conductor],$C41,Rutas[Fecha de Llegada],"&gt;="&amp;'Reporte Conductor'!$I$3,Rutas[Fecha de Llegada],"&lt;="&amp;'Reporte Conductor'!$J$3)</f>
        <v>0</v>
      </c>
      <c r="K41" s="29">
        <f t="shared" si="18"/>
        <v>0</v>
      </c>
      <c r="L41" s="29">
        <f t="shared" si="19"/>
        <v>0</v>
      </c>
      <c r="M41" s="31">
        <f>COUNTIFS(Multas[Conductor],$C41,Multas[Fecha],"&gt;="&amp;$I$3,Multas[Fecha],"&lt;="&amp;$J$3)</f>
        <v>0</v>
      </c>
      <c r="N41" s="33">
        <f>SUMIFS(Multas[Importe pagado ($)],Multas[Conductor],$C41,Multas[Fecha],"&gt;="&amp;$I$3,Multas[Fecha],"&lt;="&amp;$J$3)</f>
        <v>0</v>
      </c>
    </row>
    <row r="42" spans="1:14" x14ac:dyDescent="0.2">
      <c r="A42" s="47"/>
      <c r="C42" s="30" t="str">
        <f>IF('Conductores'!E39=0,"",'Conductores'!E39)</f>
        <v>TACURI GUEVARA LUIS EDUARDO</v>
      </c>
      <c r="D42" s="31">
        <f>COUNTIFS(Rutas[Conductor],$C42,Rutas[Fecha de Llegada],"&gt;="&amp;'Reporte Conductor'!$I$3,Rutas[Fecha de Llegada],"&lt;="&amp;'Reporte Conductor'!$J$3)</f>
        <v>4</v>
      </c>
      <c r="E42" s="31">
        <f>SUMIFS(Rutas[Kms Recorridos],Rutas[Conductor],$C42,Rutas[Fecha de Llegada],"&gt;="&amp;'Reporte Conductor'!$I$3,Rutas[Fecha de Llegada],"&lt;="&amp;'Reporte Conductor'!$J$3)</f>
        <v>2233</v>
      </c>
      <c r="F42" s="29">
        <f t="shared" si="15"/>
        <v>558.25</v>
      </c>
      <c r="G42" s="32">
        <f>SUMIFS(Rutas[Peso de carga (BLS)],Rutas[Conductor],$C42,Rutas[Fecha de Llegada],"&gt;="&amp;'Reporte Conductor'!$I$3,Rutas[Fecha de Llegada],"&lt;="&amp;'Reporte Conductor'!$J$3)</f>
        <v>0</v>
      </c>
      <c r="H42" s="29">
        <f t="shared" si="16"/>
        <v>0</v>
      </c>
      <c r="I42" s="29">
        <f t="shared" si="17"/>
        <v>0</v>
      </c>
      <c r="J42" s="33">
        <f>SUMIFS(Rutas[Ingreso Total ($)],Rutas[Conductor],$C42,Rutas[Fecha de Llegada],"&gt;="&amp;'Reporte Conductor'!$I$3,Rutas[Fecha de Llegada],"&lt;="&amp;'Reporte Conductor'!$J$3)</f>
        <v>0</v>
      </c>
      <c r="K42" s="29">
        <f t="shared" si="18"/>
        <v>0</v>
      </c>
      <c r="L42" s="29">
        <f t="shared" si="19"/>
        <v>0</v>
      </c>
      <c r="M42" s="31">
        <f>COUNTIFS(Multas[Conductor],$C42,Multas[Fecha],"&gt;="&amp;$I$3,Multas[Fecha],"&lt;="&amp;$J$3)</f>
        <v>0</v>
      </c>
      <c r="N42" s="33">
        <f>SUMIFS(Multas[Importe pagado ($)],Multas[Conductor],$C42,Multas[Fecha],"&gt;="&amp;$I$3,Multas[Fecha],"&lt;="&amp;$J$3)</f>
        <v>0</v>
      </c>
    </row>
    <row r="43" spans="1:14" x14ac:dyDescent="0.2">
      <c r="A43" s="47"/>
      <c r="C43" s="30" t="str">
        <f>IF('Conductores'!E40=0,"",'Conductores'!E40)</f>
        <v>SILVA FERNANDO</v>
      </c>
      <c r="D43" s="31">
        <f>COUNTIFS(Rutas[Conductor],$C43,Rutas[Fecha de Llegada],"&gt;="&amp;'Reporte Conductor'!$I$3,Rutas[Fecha de Llegada],"&lt;="&amp;'Reporte Conductor'!$J$3)</f>
        <v>2</v>
      </c>
      <c r="E43" s="31">
        <f>SUMIFS(Rutas[Kms Recorridos],Rutas[Conductor],$C43,Rutas[Fecha de Llegada],"&gt;="&amp;'Reporte Conductor'!$I$3,Rutas[Fecha de Llegada],"&lt;="&amp;'Reporte Conductor'!$J$3)</f>
        <v>1084</v>
      </c>
      <c r="F43" s="29">
        <f t="shared" si="15"/>
        <v>542</v>
      </c>
      <c r="G43" s="32">
        <f>SUMIFS(Rutas[Peso de carga (BLS)],Rutas[Conductor],$C43,Rutas[Fecha de Llegada],"&gt;="&amp;'Reporte Conductor'!$I$3,Rutas[Fecha de Llegada],"&lt;="&amp;'Reporte Conductor'!$J$3)</f>
        <v>0</v>
      </c>
      <c r="H43" s="29">
        <f t="shared" si="16"/>
        <v>0</v>
      </c>
      <c r="I43" s="29">
        <f t="shared" si="17"/>
        <v>0</v>
      </c>
      <c r="J43" s="33">
        <f>SUMIFS(Rutas[Ingreso Total ($)],Rutas[Conductor],$C43,Rutas[Fecha de Llegada],"&gt;="&amp;'Reporte Conductor'!$I$3,Rutas[Fecha de Llegada],"&lt;="&amp;'Reporte Conductor'!$J$3)</f>
        <v>0</v>
      </c>
      <c r="K43" s="29">
        <f t="shared" si="18"/>
        <v>0</v>
      </c>
      <c r="L43" s="29">
        <f t="shared" si="19"/>
        <v>0</v>
      </c>
      <c r="M43" s="31">
        <f>COUNTIFS(Multas[Conductor],$C43,Multas[Fecha],"&gt;="&amp;$I$3,Multas[Fecha],"&lt;="&amp;$J$3)</f>
        <v>0</v>
      </c>
      <c r="N43" s="33">
        <f>SUMIFS(Multas[Importe pagado ($)],Multas[Conductor],$C43,Multas[Fecha],"&gt;="&amp;$I$3,Multas[Fecha],"&lt;="&amp;$J$3)</f>
        <v>0</v>
      </c>
    </row>
    <row r="44" spans="1:14" x14ac:dyDescent="0.2">
      <c r="A44" s="47"/>
      <c r="C44" s="30" t="str">
        <f>IF('Conductores'!E41=0,"",'Conductores'!E41)</f>
        <v>SAMANIEGO RICHARD</v>
      </c>
      <c r="D44" s="31">
        <f>COUNTIFS(Rutas[Conductor],$C44,Rutas[Fecha de Llegada],"&gt;="&amp;'Reporte Conductor'!$I$3,Rutas[Fecha de Llegada],"&lt;="&amp;'Reporte Conductor'!$J$3)</f>
        <v>4</v>
      </c>
      <c r="E44" s="31">
        <f>SUMIFS(Rutas[Kms Recorridos],Rutas[Conductor],$C44,Rutas[Fecha de Llegada],"&gt;="&amp;'Reporte Conductor'!$I$3,Rutas[Fecha de Llegada],"&lt;="&amp;'Reporte Conductor'!$J$3)</f>
        <v>1183</v>
      </c>
      <c r="F44" s="29">
        <f t="shared" si="15"/>
        <v>295.75</v>
      </c>
      <c r="G44" s="32">
        <f>SUMIFS(Rutas[Peso de carga (BLS)],Rutas[Conductor],$C44,Rutas[Fecha de Llegada],"&gt;="&amp;'Reporte Conductor'!$I$3,Rutas[Fecha de Llegada],"&lt;="&amp;'Reporte Conductor'!$J$3)</f>
        <v>0</v>
      </c>
      <c r="H44" s="29">
        <f t="shared" si="16"/>
        <v>0</v>
      </c>
      <c r="I44" s="29">
        <f t="shared" si="17"/>
        <v>0</v>
      </c>
      <c r="J44" s="33">
        <f>SUMIFS(Rutas[Ingreso Total ($)],Rutas[Conductor],$C44,Rutas[Fecha de Llegada],"&gt;="&amp;'Reporte Conductor'!$I$3,Rutas[Fecha de Llegada],"&lt;="&amp;'Reporte Conductor'!$J$3)</f>
        <v>0</v>
      </c>
      <c r="K44" s="29">
        <f t="shared" si="18"/>
        <v>0</v>
      </c>
      <c r="L44" s="29">
        <f t="shared" si="19"/>
        <v>0</v>
      </c>
      <c r="M44" s="31">
        <f>COUNTIFS(Multas[Conductor],$C44,Multas[Fecha],"&gt;="&amp;$I$3,Multas[Fecha],"&lt;="&amp;$J$3)</f>
        <v>0</v>
      </c>
      <c r="N44" s="33">
        <f>SUMIFS(Multas[Importe pagado ($)],Multas[Conductor],$C44,Multas[Fecha],"&gt;="&amp;$I$3,Multas[Fecha],"&lt;="&amp;$J$3)</f>
        <v>0</v>
      </c>
    </row>
    <row r="45" spans="1:14" x14ac:dyDescent="0.2">
      <c r="A45" s="47"/>
      <c r="C45" s="30" t="str">
        <f>IF('Conductores'!E42=0,"",'Conductores'!E42)</f>
        <v>INTRIAGO ANDRES</v>
      </c>
      <c r="D45" s="31">
        <f>COUNTIFS(Rutas[Conductor],$C45,Rutas[Fecha de Llegada],"&gt;="&amp;'Reporte Conductor'!$I$3,Rutas[Fecha de Llegada],"&lt;="&amp;'Reporte Conductor'!$J$3)</f>
        <v>0</v>
      </c>
      <c r="E45" s="31">
        <f>SUMIFS(Rutas[Kms Recorridos],Rutas[Conductor],$C45,Rutas[Fecha de Llegada],"&gt;="&amp;'Reporte Conductor'!$I$3,Rutas[Fecha de Llegada],"&lt;="&amp;'Reporte Conductor'!$J$3)</f>
        <v>0</v>
      </c>
      <c r="F45" s="29">
        <f t="shared" si="15"/>
        <v>0</v>
      </c>
      <c r="G45" s="32">
        <f>SUMIFS(Rutas[Peso de carga (BLS)],Rutas[Conductor],$C45,Rutas[Fecha de Llegada],"&gt;="&amp;'Reporte Conductor'!$I$3,Rutas[Fecha de Llegada],"&lt;="&amp;'Reporte Conductor'!$J$3)</f>
        <v>0</v>
      </c>
      <c r="H45" s="29">
        <f t="shared" si="16"/>
        <v>0</v>
      </c>
      <c r="I45" s="29">
        <f t="shared" si="17"/>
        <v>0</v>
      </c>
      <c r="J45" s="33">
        <f>SUMIFS(Rutas[Ingreso Total ($)],Rutas[Conductor],$C45,Rutas[Fecha de Llegada],"&gt;="&amp;'Reporte Conductor'!$I$3,Rutas[Fecha de Llegada],"&lt;="&amp;'Reporte Conductor'!$J$3)</f>
        <v>0</v>
      </c>
      <c r="K45" s="29">
        <f t="shared" si="18"/>
        <v>0</v>
      </c>
      <c r="L45" s="29">
        <f t="shared" si="19"/>
        <v>0</v>
      </c>
      <c r="M45" s="31">
        <f>COUNTIFS(Multas[Conductor],$C45,Multas[Fecha],"&gt;="&amp;$I$3,Multas[Fecha],"&lt;="&amp;$J$3)</f>
        <v>0</v>
      </c>
      <c r="N45" s="33">
        <f>SUMIFS(Multas[Importe pagado ($)],Multas[Conductor],$C45,Multas[Fecha],"&gt;="&amp;$I$3,Multas[Fecha],"&lt;="&amp;$J$3)</f>
        <v>0</v>
      </c>
    </row>
    <row r="46" spans="1:14" x14ac:dyDescent="0.2">
      <c r="A46" s="47"/>
    </row>
    <row r="47" spans="1:14" x14ac:dyDescent="0.2">
      <c r="A47" s="47"/>
    </row>
    <row r="48" spans="1:14" x14ac:dyDescent="0.2">
      <c r="A48" s="47"/>
    </row>
    <row r="49" spans="1:1" x14ac:dyDescent="0.2">
      <c r="A49" s="47"/>
    </row>
    <row r="50" spans="1:1" x14ac:dyDescent="0.2">
      <c r="A50" s="47"/>
    </row>
    <row r="51" spans="1:1" x14ac:dyDescent="0.2">
      <c r="A51" s="47"/>
    </row>
    <row r="52" spans="1:1" x14ac:dyDescent="0.2">
      <c r="A52" s="47"/>
    </row>
    <row r="53" spans="1:1" x14ac:dyDescent="0.2">
      <c r="A53" s="47"/>
    </row>
    <row r="54" spans="1:1" x14ac:dyDescent="0.2">
      <c r="A54" s="47"/>
    </row>
    <row r="55" spans="1:1" x14ac:dyDescent="0.2">
      <c r="A55" s="47"/>
    </row>
    <row r="56" spans="1:1" x14ac:dyDescent="0.2">
      <c r="A56" s="47"/>
    </row>
    <row r="57" spans="1:1" x14ac:dyDescent="0.2">
      <c r="A57" s="47"/>
    </row>
    <row r="58" spans="1:1" x14ac:dyDescent="0.2">
      <c r="A58" s="47"/>
    </row>
    <row r="59" spans="1:1" x14ac:dyDescent="0.2">
      <c r="A59" s="47"/>
    </row>
    <row r="60" spans="1:1" x14ac:dyDescent="0.2">
      <c r="A60" s="47"/>
    </row>
    <row r="61" spans="1:1" x14ac:dyDescent="0.2">
      <c r="A61" s="47"/>
    </row>
    <row r="62" spans="1:1" x14ac:dyDescent="0.2">
      <c r="A62" s="47"/>
    </row>
    <row r="63" spans="1:1" x14ac:dyDescent="0.2">
      <c r="A63" s="47"/>
    </row>
    <row r="64" spans="1:1" x14ac:dyDescent="0.2">
      <c r="A64" s="47"/>
    </row>
    <row r="65" spans="1:1" x14ac:dyDescent="0.2">
      <c r="A65" s="47"/>
    </row>
    <row r="66" spans="1:1" x14ac:dyDescent="0.2">
      <c r="A66" s="47"/>
    </row>
    <row r="67" spans="1:1" x14ac:dyDescent="0.2">
      <c r="A67" s="47"/>
    </row>
    <row r="68" spans="1:1" x14ac:dyDescent="0.2">
      <c r="A68" s="47"/>
    </row>
    <row r="69" spans="1:1" x14ac:dyDescent="0.2">
      <c r="A69" s="47"/>
    </row>
    <row r="70" spans="1:1" x14ac:dyDescent="0.2">
      <c r="A70" s="47"/>
    </row>
    <row r="71" spans="1:1" x14ac:dyDescent="0.2">
      <c r="A71" s="47"/>
    </row>
    <row r="72" spans="1:1" x14ac:dyDescent="0.2">
      <c r="A72" s="47"/>
    </row>
    <row r="73" spans="1:1" x14ac:dyDescent="0.2">
      <c r="A73" s="47"/>
    </row>
    <row r="74" spans="1:1" x14ac:dyDescent="0.2">
      <c r="A74" s="47"/>
    </row>
    <row r="75" spans="1:1" x14ac:dyDescent="0.2">
      <c r="A75" s="47"/>
    </row>
    <row r="76" spans="1:1" x14ac:dyDescent="0.2">
      <c r="A76" s="47"/>
    </row>
    <row r="77" spans="1:1" x14ac:dyDescent="0.2">
      <c r="A77" s="47"/>
    </row>
    <row r="78" spans="1:1" x14ac:dyDescent="0.2">
      <c r="A78" s="47"/>
    </row>
    <row r="79" spans="1:1" x14ac:dyDescent="0.2">
      <c r="A79" s="47"/>
    </row>
    <row r="80" spans="1:1" x14ac:dyDescent="0.2">
      <c r="A80" s="47"/>
    </row>
    <row r="81" spans="1:1" x14ac:dyDescent="0.2">
      <c r="A81" s="47"/>
    </row>
    <row r="82" spans="1:1" x14ac:dyDescent="0.2">
      <c r="A82" s="47"/>
    </row>
    <row r="83" spans="1:1" x14ac:dyDescent="0.2">
      <c r="A83" s="47"/>
    </row>
    <row r="84" spans="1:1" x14ac:dyDescent="0.2">
      <c r="A84" s="47"/>
    </row>
    <row r="85" spans="1:1" x14ac:dyDescent="0.2">
      <c r="A85" s="47"/>
    </row>
    <row r="86" spans="1:1" x14ac:dyDescent="0.2">
      <c r="A86" s="47"/>
    </row>
    <row r="87" spans="1:1" x14ac:dyDescent="0.2">
      <c r="A87" s="47"/>
    </row>
    <row r="88" spans="1:1" x14ac:dyDescent="0.2">
      <c r="A88" s="47"/>
    </row>
    <row r="89" spans="1:1" x14ac:dyDescent="0.2">
      <c r="A89" s="47"/>
    </row>
    <row r="90" spans="1:1" x14ac:dyDescent="0.2">
      <c r="A90" s="47"/>
    </row>
    <row r="91" spans="1:1" x14ac:dyDescent="0.2">
      <c r="A91" s="47"/>
    </row>
    <row r="92" spans="1:1" x14ac:dyDescent="0.2">
      <c r="A92" s="47"/>
    </row>
    <row r="93" spans="1:1" x14ac:dyDescent="0.2">
      <c r="A93" s="47"/>
    </row>
    <row r="94" spans="1:1" x14ac:dyDescent="0.2">
      <c r="A94" s="47"/>
    </row>
    <row r="95" spans="1:1" x14ac:dyDescent="0.2">
      <c r="A95" s="47"/>
    </row>
    <row r="96" spans="1:1" x14ac:dyDescent="0.2">
      <c r="A96" s="47"/>
    </row>
    <row r="97" spans="1:1" x14ac:dyDescent="0.2">
      <c r="A97" s="47"/>
    </row>
    <row r="98" spans="1:1" x14ac:dyDescent="0.2">
      <c r="A98" s="47"/>
    </row>
    <row r="99" spans="1:1" x14ac:dyDescent="0.2">
      <c r="A99" s="47"/>
    </row>
    <row r="100" spans="1:1" x14ac:dyDescent="0.2">
      <c r="A100" s="47"/>
    </row>
    <row r="101" spans="1:1" x14ac:dyDescent="0.2">
      <c r="A101" s="47"/>
    </row>
    <row r="102" spans="1:1" x14ac:dyDescent="0.2">
      <c r="A102" s="47"/>
    </row>
    <row r="103" spans="1:1" x14ac:dyDescent="0.2">
      <c r="A103" s="47"/>
    </row>
    <row r="104" spans="1:1" x14ac:dyDescent="0.2">
      <c r="A104" s="47"/>
    </row>
    <row r="105" spans="1:1" x14ac:dyDescent="0.2">
      <c r="A105" s="47"/>
    </row>
    <row r="106" spans="1:1" x14ac:dyDescent="0.2">
      <c r="A106" s="47"/>
    </row>
    <row r="107" spans="1:1" x14ac:dyDescent="0.2">
      <c r="A107" s="47"/>
    </row>
    <row r="108" spans="1:1" x14ac:dyDescent="0.2">
      <c r="A108" s="47"/>
    </row>
    <row r="109" spans="1:1" x14ac:dyDescent="0.2">
      <c r="A109" s="47"/>
    </row>
    <row r="110" spans="1:1" x14ac:dyDescent="0.2">
      <c r="A110" s="47"/>
    </row>
    <row r="111" spans="1:1" x14ac:dyDescent="0.2">
      <c r="A111" s="47"/>
    </row>
    <row r="112" spans="1:1" x14ac:dyDescent="0.2">
      <c r="A112" s="47"/>
    </row>
    <row r="113" spans="1:1" x14ac:dyDescent="0.2">
      <c r="A113" s="47"/>
    </row>
    <row r="114" spans="1:1" x14ac:dyDescent="0.2">
      <c r="A114" s="47"/>
    </row>
    <row r="115" spans="1:1" x14ac:dyDescent="0.2">
      <c r="A115" s="47"/>
    </row>
    <row r="116" spans="1:1" x14ac:dyDescent="0.2">
      <c r="A116" s="47"/>
    </row>
    <row r="117" spans="1:1" x14ac:dyDescent="0.2">
      <c r="A117" s="47"/>
    </row>
    <row r="118" spans="1:1" x14ac:dyDescent="0.2">
      <c r="A118" s="47"/>
    </row>
    <row r="119" spans="1:1" x14ac:dyDescent="0.2">
      <c r="A119" s="47"/>
    </row>
    <row r="120" spans="1:1" x14ac:dyDescent="0.2">
      <c r="A120" s="47"/>
    </row>
    <row r="121" spans="1:1" x14ac:dyDescent="0.2">
      <c r="A121" s="47"/>
    </row>
    <row r="122" spans="1:1" x14ac:dyDescent="0.2">
      <c r="A122" s="47"/>
    </row>
    <row r="123" spans="1:1" x14ac:dyDescent="0.2">
      <c r="A123" s="47"/>
    </row>
    <row r="124" spans="1:1" x14ac:dyDescent="0.2">
      <c r="A124" s="47"/>
    </row>
    <row r="125" spans="1:1" x14ac:dyDescent="0.2">
      <c r="A125" s="47"/>
    </row>
    <row r="126" spans="1:1" x14ac:dyDescent="0.2">
      <c r="A126" s="47"/>
    </row>
    <row r="127" spans="1:1" x14ac:dyDescent="0.2">
      <c r="A127" s="47"/>
    </row>
    <row r="128" spans="1:1" x14ac:dyDescent="0.2">
      <c r="A128" s="47"/>
    </row>
    <row r="129" spans="1:1" x14ac:dyDescent="0.2">
      <c r="A129" s="47"/>
    </row>
    <row r="130" spans="1:1" x14ac:dyDescent="0.2">
      <c r="A130" s="47"/>
    </row>
    <row r="131" spans="1:1" x14ac:dyDescent="0.2">
      <c r="A131" s="47"/>
    </row>
    <row r="132" spans="1:1" x14ac:dyDescent="0.2">
      <c r="A132" s="47"/>
    </row>
    <row r="133" spans="1:1" x14ac:dyDescent="0.2">
      <c r="A133" s="47"/>
    </row>
    <row r="134" spans="1:1" x14ac:dyDescent="0.2">
      <c r="A134" s="47"/>
    </row>
    <row r="135" spans="1:1" x14ac:dyDescent="0.2">
      <c r="A135" s="47"/>
    </row>
    <row r="136" spans="1:1" x14ac:dyDescent="0.2">
      <c r="A136" s="47"/>
    </row>
    <row r="137" spans="1:1" x14ac:dyDescent="0.2">
      <c r="A137" s="47"/>
    </row>
    <row r="138" spans="1:1" x14ac:dyDescent="0.2">
      <c r="A138" s="47"/>
    </row>
    <row r="139" spans="1:1" x14ac:dyDescent="0.2">
      <c r="A139" s="47"/>
    </row>
    <row r="140" spans="1:1" x14ac:dyDescent="0.2">
      <c r="A140" s="47"/>
    </row>
    <row r="141" spans="1:1" x14ac:dyDescent="0.2">
      <c r="A141" s="47"/>
    </row>
    <row r="142" spans="1:1" x14ac:dyDescent="0.2">
      <c r="A142" s="47"/>
    </row>
    <row r="143" spans="1:1" x14ac:dyDescent="0.2">
      <c r="A143" s="47"/>
    </row>
    <row r="144" spans="1:1" x14ac:dyDescent="0.2">
      <c r="A144" s="47"/>
    </row>
    <row r="145" spans="1:1" x14ac:dyDescent="0.2">
      <c r="A145" s="47"/>
    </row>
    <row r="146" spans="1:1" x14ac:dyDescent="0.2">
      <c r="A146" s="47"/>
    </row>
    <row r="147" spans="1:1" x14ac:dyDescent="0.2">
      <c r="A147" s="47"/>
    </row>
    <row r="148" spans="1:1" x14ac:dyDescent="0.2">
      <c r="A148" s="47"/>
    </row>
    <row r="149" spans="1:1" x14ac:dyDescent="0.2">
      <c r="A149" s="47"/>
    </row>
    <row r="150" spans="1:1" x14ac:dyDescent="0.2">
      <c r="A150" s="47"/>
    </row>
    <row r="151" spans="1:1" x14ac:dyDescent="0.2">
      <c r="A151" s="47"/>
    </row>
    <row r="152" spans="1:1" x14ac:dyDescent="0.2">
      <c r="A152" s="47"/>
    </row>
    <row r="153" spans="1:1" x14ac:dyDescent="0.2">
      <c r="A153" s="47"/>
    </row>
    <row r="154" spans="1:1" x14ac:dyDescent="0.2">
      <c r="A154" s="47"/>
    </row>
    <row r="155" spans="1:1" x14ac:dyDescent="0.2">
      <c r="A155" s="47"/>
    </row>
    <row r="156" spans="1:1" x14ac:dyDescent="0.2">
      <c r="A156" s="47"/>
    </row>
    <row r="157" spans="1:1" x14ac:dyDescent="0.2">
      <c r="A157" s="47"/>
    </row>
    <row r="158" spans="1:1" x14ac:dyDescent="0.2">
      <c r="A158" s="47"/>
    </row>
    <row r="159" spans="1:1" x14ac:dyDescent="0.2">
      <c r="A159" s="47"/>
    </row>
    <row r="160" spans="1:1" x14ac:dyDescent="0.2">
      <c r="A160" s="47"/>
    </row>
    <row r="161" spans="1:1" x14ac:dyDescent="0.2">
      <c r="A161" s="47"/>
    </row>
    <row r="162" spans="1:1" x14ac:dyDescent="0.2">
      <c r="A162" s="47"/>
    </row>
    <row r="163" spans="1:1" x14ac:dyDescent="0.2">
      <c r="A163" s="47"/>
    </row>
    <row r="164" spans="1:1" x14ac:dyDescent="0.2">
      <c r="A164" s="47"/>
    </row>
  </sheetData>
  <sheetProtection selectLockedCells="1"/>
  <mergeCells count="1">
    <mergeCell ref="B1:N1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0AE7A3-20BE-49E8-B752-0F5E634B8BEB}">
          <x14:formula1>
            <xm:f>'Flujo de Caja'!$D$8:$O$8</xm:f>
          </x14:formula1>
          <xm:sqref>G3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79C4-4CA7-6746-91FD-61D26B8B14EA}">
  <sheetPr>
    <tabColor rgb="FF2E75B6"/>
  </sheetPr>
  <dimension ref="A1:X99"/>
  <sheetViews>
    <sheetView showGridLines="0" workbookViewId="0">
      <pane ySplit="3" topLeftCell="A23" activePane="bottomLeft" state="frozen"/>
      <selection pane="bottomLeft" activeCell="D2" sqref="D2:H2"/>
    </sheetView>
  </sheetViews>
  <sheetFormatPr baseColWidth="10" defaultRowHeight="15" x14ac:dyDescent="0.2"/>
  <cols>
    <col min="1" max="1" width="20" customWidth="1"/>
    <col min="2" max="24" width="10" customWidth="1"/>
  </cols>
  <sheetData>
    <row r="1" spans="1:24" ht="52" customHeight="1" thickBot="1" x14ac:dyDescent="0.25">
      <c r="A1" s="693" t="s">
        <v>564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3"/>
      <c r="N1" s="693"/>
      <c r="O1" s="693"/>
      <c r="P1" s="693"/>
      <c r="Q1" s="693"/>
      <c r="R1" s="693"/>
      <c r="S1" s="693"/>
      <c r="T1" s="693"/>
      <c r="U1" s="693"/>
      <c r="V1" s="693"/>
      <c r="W1" s="693"/>
      <c r="X1" s="693"/>
    </row>
    <row r="2" spans="1:24" ht="48" customHeight="1" thickTop="1" thickBot="1" x14ac:dyDescent="0.25">
      <c r="B2" s="694" t="s">
        <v>565</v>
      </c>
      <c r="C2" s="694"/>
      <c r="D2" s="695" t="s">
        <v>204</v>
      </c>
      <c r="E2" s="696"/>
      <c r="F2" s="696"/>
      <c r="G2" s="696"/>
      <c r="H2" s="697"/>
      <c r="I2" s="651" t="s">
        <v>566</v>
      </c>
      <c r="J2" s="698" t="str">
        <f>'Reporte General'!E7</f>
        <v>SHACMAN</v>
      </c>
      <c r="K2" s="698"/>
      <c r="L2" s="698"/>
      <c r="M2" s="651" t="s">
        <v>567</v>
      </c>
      <c r="N2" s="650">
        <f>'Reporte General'!G7</f>
        <v>2025</v>
      </c>
      <c r="P2" s="699" t="s">
        <v>568</v>
      </c>
      <c r="Q2" s="699"/>
      <c r="R2" s="699"/>
      <c r="S2" s="699"/>
      <c r="T2" s="699"/>
      <c r="U2" s="699"/>
      <c r="V2" s="699"/>
      <c r="W2" s="699"/>
      <c r="X2" s="699"/>
    </row>
    <row r="3" spans="1:24" ht="5" customHeight="1" thickTop="1" x14ac:dyDescent="0.2">
      <c r="A3" s="647"/>
      <c r="B3" s="647"/>
      <c r="C3" s="647"/>
      <c r="D3" s="647"/>
      <c r="E3" s="647"/>
      <c r="F3" s="647"/>
      <c r="G3" s="647"/>
      <c r="H3" s="647"/>
      <c r="I3" s="647"/>
      <c r="J3" s="647"/>
      <c r="K3" s="647"/>
      <c r="L3" s="647"/>
      <c r="M3" s="647"/>
      <c r="N3" s="647"/>
      <c r="O3" s="647"/>
      <c r="P3" s="647"/>
      <c r="Q3" s="647"/>
      <c r="R3" s="647"/>
      <c r="S3" s="647"/>
      <c r="T3" s="647"/>
      <c r="U3" s="647"/>
      <c r="V3" s="647"/>
      <c r="W3" s="647"/>
      <c r="X3" s="647"/>
    </row>
    <row r="4" spans="1:24" ht="16" customHeight="1" x14ac:dyDescent="0.2">
      <c r="A4" s="692" t="s">
        <v>569</v>
      </c>
      <c r="B4" s="692"/>
      <c r="C4" s="692"/>
      <c r="D4" s="692"/>
      <c r="E4" s="692"/>
      <c r="F4" s="692"/>
      <c r="G4" s="692"/>
      <c r="H4" s="692"/>
      <c r="I4" s="692"/>
      <c r="J4" s="692"/>
      <c r="K4" s="692"/>
      <c r="L4" s="692"/>
      <c r="M4" s="692"/>
      <c r="N4" s="692"/>
      <c r="O4" s="692"/>
      <c r="P4" s="692"/>
      <c r="Q4" s="692"/>
      <c r="R4" s="692"/>
      <c r="S4" s="692"/>
      <c r="T4" s="692"/>
      <c r="U4" s="692"/>
      <c r="V4" s="692"/>
      <c r="W4" s="692"/>
      <c r="X4" s="692"/>
    </row>
    <row r="5" spans="1:24" ht="16" customHeight="1" x14ac:dyDescent="0.2">
      <c r="A5" s="641" t="s">
        <v>570</v>
      </c>
      <c r="B5" s="641" t="s">
        <v>535</v>
      </c>
      <c r="C5" s="641" t="s">
        <v>536</v>
      </c>
      <c r="D5" s="641" t="s">
        <v>537</v>
      </c>
      <c r="E5" s="641" t="s">
        <v>538</v>
      </c>
      <c r="F5" s="641" t="s">
        <v>539</v>
      </c>
      <c r="G5" s="641" t="s">
        <v>540</v>
      </c>
      <c r="H5" s="641" t="s">
        <v>541</v>
      </c>
      <c r="I5" s="641" t="s">
        <v>542</v>
      </c>
      <c r="J5" s="641" t="s">
        <v>543</v>
      </c>
      <c r="K5" s="641" t="s">
        <v>544</v>
      </c>
      <c r="L5" s="641" t="s">
        <v>545</v>
      </c>
      <c r="M5" s="641" t="s">
        <v>546</v>
      </c>
    </row>
    <row r="6" spans="1:24" ht="16" customHeight="1" x14ac:dyDescent="0.2">
      <c r="A6" s="642" t="s">
        <v>571</v>
      </c>
      <c r="B6" s="636">
        <f>IFERROR('Reporte General'!F11,0)</f>
        <v>774</v>
      </c>
      <c r="C6" s="636">
        <f>IFERROR('Reporte General'!G11,0)</f>
        <v>453</v>
      </c>
      <c r="D6" s="636">
        <f>IFERROR('Reporte General'!H11,0)</f>
        <v>1637</v>
      </c>
      <c r="E6" s="636">
        <f>IFERROR('Reporte General'!I11,0)</f>
        <v>1811</v>
      </c>
      <c r="F6" s="636">
        <f>IFERROR('Reporte General'!J11,0)</f>
        <v>3263</v>
      </c>
      <c r="G6" s="636">
        <f>IFERROR('Reporte General'!K11,0)</f>
        <v>1789</v>
      </c>
      <c r="H6" s="636">
        <f>IFERROR('Reporte General'!L11,0)</f>
        <v>2334</v>
      </c>
      <c r="I6" s="636">
        <f>IFERROR('Reporte General'!M11,0)</f>
        <v>2333</v>
      </c>
      <c r="J6" s="636">
        <f>IFERROR('Reporte General'!N11,0)</f>
        <v>2059</v>
      </c>
      <c r="K6" s="636">
        <f>IFERROR('Reporte General'!O11,0)</f>
        <v>2799</v>
      </c>
      <c r="L6" s="636">
        <f>IFERROR('Reporte General'!P11,0)</f>
        <v>1480</v>
      </c>
      <c r="M6" s="636">
        <f>IFERROR('Reporte General'!Q11,0)</f>
        <v>2112</v>
      </c>
    </row>
    <row r="7" spans="1:24" ht="16" customHeight="1" x14ac:dyDescent="0.2">
      <c r="A7" s="643" t="s">
        <v>572</v>
      </c>
      <c r="B7" s="644">
        <f>IFERROR('Reporte General'!F17,0)</f>
        <v>490</v>
      </c>
      <c r="C7" s="644">
        <f>IFERROR('Reporte General'!G17,0)</f>
        <v>457</v>
      </c>
      <c r="D7" s="644">
        <f>IFERROR('Reporte General'!H17,0)</f>
        <v>217</v>
      </c>
      <c r="E7" s="644">
        <f>IFERROR('Reporte General'!I17,0)</f>
        <v>284</v>
      </c>
      <c r="F7" s="644">
        <f>IFERROR('Reporte General'!J17,0)</f>
        <v>317</v>
      </c>
      <c r="G7" s="644">
        <f>IFERROR('Reporte General'!K17,0)</f>
        <v>300</v>
      </c>
      <c r="H7" s="644">
        <f>IFERROR('Reporte General'!L17,0)</f>
        <v>220</v>
      </c>
      <c r="I7" s="644">
        <f>IFERROR('Reporte General'!M17,0)</f>
        <v>310</v>
      </c>
      <c r="J7" s="644">
        <f>IFERROR('Reporte General'!N17,0)</f>
        <v>300</v>
      </c>
      <c r="K7" s="644">
        <f>IFERROR('Reporte General'!O17,0)</f>
        <v>321</v>
      </c>
      <c r="L7" s="644">
        <f>IFERROR('Reporte General'!P17,0)</f>
        <v>300</v>
      </c>
      <c r="M7" s="644">
        <f>IFERROR('Reporte General'!Q17,0)</f>
        <v>210</v>
      </c>
    </row>
    <row r="8" spans="1:24" ht="18" customHeight="1" x14ac:dyDescent="0.2">
      <c r="A8" s="652" t="s">
        <v>573</v>
      </c>
      <c r="B8" s="653">
        <f>IFERROR('Reporte General'!F14,0)</f>
        <v>331.89</v>
      </c>
      <c r="C8" s="653">
        <f>IFERROR('Reporte General'!G14,0)</f>
        <v>642.59</v>
      </c>
      <c r="D8" s="653">
        <f>IFERROR('Reporte General'!H14,0)</f>
        <v>669.06</v>
      </c>
      <c r="E8" s="653">
        <f>IFERROR('Reporte General'!I14,0)</f>
        <v>362.3</v>
      </c>
      <c r="F8" s="653">
        <f>IFERROR('Reporte General'!J14,0)</f>
        <v>462.8</v>
      </c>
      <c r="G8" s="653">
        <f>IFERROR('Reporte General'!K14,0)</f>
        <v>334.93</v>
      </c>
      <c r="H8" s="653">
        <f>IFERROR('Reporte General'!L14,0)</f>
        <v>340.28</v>
      </c>
      <c r="I8" s="653">
        <f>IFERROR('Reporte General'!M14,0)</f>
        <v>473.95000000000005</v>
      </c>
      <c r="J8" s="653">
        <f>IFERROR('Reporte General'!N14,0)</f>
        <v>335.46000000000004</v>
      </c>
      <c r="K8" s="653">
        <f>IFERROR('Reporte General'!O14,0)</f>
        <v>403.5</v>
      </c>
      <c r="L8" s="653">
        <f>IFERROR('Reporte General'!P14,0)</f>
        <v>216.49</v>
      </c>
      <c r="M8" s="653">
        <f>IFERROR('Reporte General'!Q14,0)</f>
        <v>314.25</v>
      </c>
    </row>
    <row r="9" spans="1:24" ht="20" customHeight="1" x14ac:dyDescent="0.2">
      <c r="A9" s="654" t="s">
        <v>574</v>
      </c>
      <c r="B9" s="655">
        <f>IFERROR('Reporte General'!F27,0)</f>
        <v>2.3320979842718974</v>
      </c>
      <c r="C9" s="656">
        <f>IFERROR('Reporte General'!G27,0)</f>
        <v>0.70495961655176709</v>
      </c>
      <c r="D9" s="656">
        <f>IFERROR('Reporte General'!H27,0)</f>
        <v>2.4467162885241982</v>
      </c>
      <c r="E9" s="656">
        <f>IFERROR('Reporte General'!I27,0)</f>
        <v>4.998619928236268</v>
      </c>
      <c r="F9" s="656">
        <f>IFERROR('Reporte General'!J27,0)</f>
        <v>7.0505617977528088</v>
      </c>
      <c r="G9" s="656">
        <f>IFERROR('Reporte General'!K27,0)</f>
        <v>5.3414146239512732</v>
      </c>
      <c r="H9" s="657">
        <f>IFERROR('Reporte General'!L27,0)</f>
        <v>6.8590572469730819</v>
      </c>
      <c r="I9" s="658">
        <f>IFERROR('Reporte General'!M27,0)</f>
        <v>4.9224601751239581</v>
      </c>
      <c r="J9" s="657">
        <f>IFERROR('Reporte General'!N27,0)</f>
        <v>6.1378405771179869</v>
      </c>
      <c r="K9" s="658">
        <f>IFERROR('Reporte General'!O27,0)</f>
        <v>6.9368029739776951</v>
      </c>
      <c r="L9" s="658">
        <f>IFERROR('Reporte General'!P27,0)</f>
        <v>6.8363434800683631</v>
      </c>
      <c r="M9" s="658">
        <f>IFERROR('Reporte General'!Q27,0)</f>
        <v>6.7207637231503581</v>
      </c>
    </row>
    <row r="10" spans="1:24" ht="19" customHeight="1" x14ac:dyDescent="0.2">
      <c r="A10" s="652" t="s">
        <v>575</v>
      </c>
      <c r="B10" s="653">
        <f>IFERROR('Reporte General'!F29,0)</f>
        <v>8039</v>
      </c>
      <c r="C10" s="653">
        <f>IFERROR('Reporte General'!G29,0)</f>
        <v>7836</v>
      </c>
      <c r="D10" s="653">
        <f>IFERROR('Reporte General'!H29,0)</f>
        <v>0</v>
      </c>
      <c r="E10" s="653">
        <f>IFERROR('Reporte General'!I29,0)</f>
        <v>0</v>
      </c>
      <c r="F10" s="653">
        <f>IFERROR('Reporte General'!J29,0)</f>
        <v>0</v>
      </c>
      <c r="G10" s="653">
        <f>IFERROR('Reporte General'!K29,0)</f>
        <v>8000</v>
      </c>
      <c r="H10" s="653">
        <f>IFERROR('Reporte General'!L29,0)</f>
        <v>0</v>
      </c>
      <c r="I10" s="653">
        <f>IFERROR('Reporte General'!M29,0)</f>
        <v>0</v>
      </c>
      <c r="J10" s="653">
        <f>IFERROR('Reporte General'!N29,0)</f>
        <v>7928</v>
      </c>
      <c r="K10" s="653">
        <f>IFERROR('Reporte General'!O29,0)</f>
        <v>0</v>
      </c>
      <c r="L10" s="653">
        <f>IFERROR('Reporte General'!P29,0)</f>
        <v>0</v>
      </c>
      <c r="M10" s="653">
        <f>IFERROR('Reporte General'!Q29,0)</f>
        <v>0</v>
      </c>
    </row>
    <row r="11" spans="1:24" ht="19" customHeight="1" x14ac:dyDescent="0.2">
      <c r="A11" s="654" t="s">
        <v>576</v>
      </c>
      <c r="B11" s="656">
        <f>IFERROR('Reporte General'!F32,0)</f>
        <v>0</v>
      </c>
      <c r="C11" s="656">
        <f>IFERROR('Reporte General'!G32,0)</f>
        <v>0</v>
      </c>
      <c r="D11" s="656">
        <f>IFERROR('Reporte General'!H32,0)</f>
        <v>0</v>
      </c>
      <c r="E11" s="656">
        <f>IFERROR('Reporte General'!I32,0)</f>
        <v>0</v>
      </c>
      <c r="F11" s="656">
        <f>IFERROR('Reporte General'!J32,0)</f>
        <v>0</v>
      </c>
      <c r="G11" s="656">
        <f>IFERROR('Reporte General'!K32,0)</f>
        <v>0</v>
      </c>
      <c r="H11" s="656">
        <f>IFERROR('Reporte General'!L32,0)</f>
        <v>0</v>
      </c>
      <c r="I11" s="656">
        <f>IFERROR('Reporte General'!M32,0)</f>
        <v>0</v>
      </c>
      <c r="J11" s="656">
        <f>IFERROR('Reporte General'!N32,0)</f>
        <v>0</v>
      </c>
      <c r="K11" s="656">
        <f>IFERROR('Reporte General'!O32,0)</f>
        <v>0</v>
      </c>
      <c r="L11" s="656">
        <f>IFERROR('Reporte General'!P32,0)</f>
        <v>0</v>
      </c>
      <c r="M11" s="656">
        <f>IFERROR('Reporte General'!Q32,0)</f>
        <v>96.666666666666686</v>
      </c>
    </row>
    <row r="12" spans="1:24" ht="18" customHeight="1" x14ac:dyDescent="0.2">
      <c r="A12" s="652" t="s">
        <v>577</v>
      </c>
      <c r="B12" s="653">
        <f>IFERROR('Reporte General'!F33,0)</f>
        <v>1</v>
      </c>
      <c r="C12" s="653">
        <f>IFERROR('Reporte General'!G33,0)</f>
        <v>1</v>
      </c>
      <c r="D12" s="653">
        <f>IFERROR('Reporte General'!H33,0)</f>
        <v>0</v>
      </c>
      <c r="E12" s="653">
        <f>IFERROR('Reporte General'!I33,0)</f>
        <v>0</v>
      </c>
      <c r="F12" s="653">
        <f>IFERROR('Reporte General'!J33,0)</f>
        <v>0</v>
      </c>
      <c r="G12" s="653">
        <f>IFERROR('Reporte General'!K33,0)</f>
        <v>1</v>
      </c>
      <c r="H12" s="653">
        <f>IFERROR('Reporte General'!L33,0)</f>
        <v>0</v>
      </c>
      <c r="I12" s="653">
        <f>IFERROR('Reporte General'!M33,0)</f>
        <v>0</v>
      </c>
      <c r="J12" s="653">
        <f>IFERROR('Reporte General'!N33,0)</f>
        <v>1</v>
      </c>
      <c r="K12" s="653">
        <f>IFERROR('Reporte General'!O33,0)</f>
        <v>0</v>
      </c>
      <c r="L12" s="653">
        <f>IFERROR('Reporte General'!P33,0)</f>
        <v>0</v>
      </c>
      <c r="M12" s="653">
        <f>IFERROR('Reporte General'!Q33,0)</f>
        <v>0</v>
      </c>
    </row>
    <row r="13" spans="1:24" ht="18" customHeight="1" x14ac:dyDescent="0.2">
      <c r="A13" s="654" t="s">
        <v>578</v>
      </c>
      <c r="B13" s="656">
        <f>IFERROR('Reporte General'!F34,0)</f>
        <v>0</v>
      </c>
      <c r="C13" s="656">
        <f>IFERROR('Reporte General'!G34,0)</f>
        <v>0</v>
      </c>
      <c r="D13" s="656">
        <f>IFERROR('Reporte General'!H34,0)</f>
        <v>0</v>
      </c>
      <c r="E13" s="656">
        <f>IFERROR('Reporte General'!I34,0)</f>
        <v>0</v>
      </c>
      <c r="F13" s="656">
        <f>IFERROR('Reporte General'!J34,0)</f>
        <v>0</v>
      </c>
      <c r="G13" s="656">
        <f>IFERROR('Reporte General'!K34,0)</f>
        <v>0</v>
      </c>
      <c r="H13" s="656">
        <f>IFERROR('Reporte General'!L34,0)</f>
        <v>0</v>
      </c>
      <c r="I13" s="656">
        <f>IFERROR('Reporte General'!M34,0)</f>
        <v>0</v>
      </c>
      <c r="J13" s="656">
        <f>IFERROR('Reporte General'!N34,0)</f>
        <v>0</v>
      </c>
      <c r="K13" s="656">
        <f>IFERROR('Reporte General'!O34,0)</f>
        <v>0</v>
      </c>
      <c r="L13" s="656">
        <f>IFERROR('Reporte General'!P34,0)</f>
        <v>0</v>
      </c>
      <c r="M13" s="656">
        <f>IFERROR('Reporte General'!Q34,0)</f>
        <v>3</v>
      </c>
    </row>
    <row r="14" spans="1:24" ht="5" customHeight="1" x14ac:dyDescent="0.2">
      <c r="A14" s="629" t="s">
        <v>584</v>
      </c>
      <c r="B14" s="648">
        <f t="shared" ref="B14:M14" si="0">IFERROR(B13/B7,0)</f>
        <v>0</v>
      </c>
      <c r="C14" s="648">
        <f t="shared" si="0"/>
        <v>0</v>
      </c>
      <c r="D14" s="648">
        <f t="shared" si="0"/>
        <v>0</v>
      </c>
      <c r="E14" s="648">
        <f t="shared" si="0"/>
        <v>0</v>
      </c>
      <c r="F14" s="648">
        <f t="shared" si="0"/>
        <v>0</v>
      </c>
      <c r="G14" s="648">
        <f t="shared" si="0"/>
        <v>0</v>
      </c>
      <c r="H14" s="648">
        <f t="shared" si="0"/>
        <v>0</v>
      </c>
      <c r="I14" s="648">
        <f t="shared" si="0"/>
        <v>0</v>
      </c>
      <c r="J14" s="648">
        <f t="shared" si="0"/>
        <v>0</v>
      </c>
      <c r="K14" s="648">
        <f t="shared" si="0"/>
        <v>0</v>
      </c>
      <c r="L14" s="648">
        <f t="shared" si="0"/>
        <v>0</v>
      </c>
      <c r="M14" s="648">
        <f t="shared" si="0"/>
        <v>1.4285714285714285E-2</v>
      </c>
      <c r="N14" s="628"/>
      <c r="O14" s="628"/>
      <c r="P14" s="628"/>
      <c r="Q14" s="628"/>
      <c r="R14" s="628"/>
      <c r="S14" s="628"/>
      <c r="T14" s="628"/>
      <c r="U14" s="628"/>
      <c r="V14" s="628"/>
      <c r="W14" s="628"/>
      <c r="X14" s="628"/>
    </row>
    <row r="15" spans="1:24" ht="22" customHeight="1" x14ac:dyDescent="0.2">
      <c r="A15" s="683" t="s">
        <v>559</v>
      </c>
      <c r="B15" s="684"/>
      <c r="C15" s="684"/>
      <c r="D15" s="684"/>
      <c r="E15" s="686" t="s">
        <v>579</v>
      </c>
      <c r="F15" s="687"/>
      <c r="G15" s="687"/>
      <c r="H15" s="687"/>
      <c r="I15" s="689" t="s">
        <v>560</v>
      </c>
      <c r="J15" s="690"/>
      <c r="K15" s="690"/>
      <c r="L15" s="690"/>
      <c r="M15" s="674" t="s">
        <v>580</v>
      </c>
      <c r="N15" s="675"/>
      <c r="O15" s="675"/>
      <c r="P15" s="675"/>
      <c r="Q15" s="675"/>
      <c r="R15" s="677" t="s">
        <v>581</v>
      </c>
      <c r="S15" s="678"/>
      <c r="T15" s="678"/>
      <c r="U15" s="678"/>
      <c r="V15" s="678"/>
      <c r="W15" s="680" t="s">
        <v>582</v>
      </c>
      <c r="X15" s="681"/>
    </row>
    <row r="16" spans="1:24" ht="40" customHeight="1" thickBot="1" x14ac:dyDescent="0.25">
      <c r="A16" s="685">
        <f>SUM(B6:M6)</f>
        <v>22844</v>
      </c>
      <c r="B16" s="685"/>
      <c r="C16" s="685"/>
      <c r="D16" s="685"/>
      <c r="E16" s="688">
        <f>SUM(B7:M7)</f>
        <v>3726</v>
      </c>
      <c r="F16" s="688"/>
      <c r="G16" s="688"/>
      <c r="H16" s="688"/>
      <c r="I16" s="691">
        <f>SUM(B8:M8)</f>
        <v>4887.4999999999991</v>
      </c>
      <c r="J16" s="691"/>
      <c r="K16" s="691"/>
      <c r="L16" s="691"/>
      <c r="M16" s="676">
        <f>IFERROR(SUM(B6:M6)/SUM(B8:M8),0)</f>
        <v>4.6739641943734025</v>
      </c>
      <c r="N16" s="676"/>
      <c r="O16" s="676"/>
      <c r="P16" s="676"/>
      <c r="Q16" s="676"/>
      <c r="R16" s="679">
        <f>IFERROR(AVERAGEIF(B11:M11,"&gt;0"),0)</f>
        <v>96.666666666666686</v>
      </c>
      <c r="S16" s="679"/>
      <c r="T16" s="679"/>
      <c r="U16" s="679"/>
      <c r="V16" s="679"/>
      <c r="W16" s="682">
        <f>SUM(B13:M13)</f>
        <v>3</v>
      </c>
      <c r="X16" s="682"/>
    </row>
    <row r="17" spans="1:24" ht="6" customHeight="1" thickTop="1" x14ac:dyDescent="0.2">
      <c r="A17" s="645"/>
      <c r="B17" s="645"/>
      <c r="C17" s="645"/>
      <c r="D17" s="645"/>
      <c r="E17" s="645"/>
      <c r="F17" s="645"/>
      <c r="G17" s="645"/>
      <c r="H17" s="645"/>
      <c r="I17" s="645"/>
      <c r="J17" s="645"/>
      <c r="K17" s="645"/>
      <c r="L17" s="645"/>
      <c r="M17" s="645"/>
      <c r="N17" s="645"/>
      <c r="O17" s="645"/>
      <c r="P17" s="645"/>
      <c r="Q17" s="645"/>
      <c r="R17" s="645"/>
      <c r="S17" s="645"/>
      <c r="T17" s="645"/>
      <c r="U17" s="645"/>
      <c r="V17" s="645"/>
      <c r="W17" s="645"/>
      <c r="X17" s="645"/>
    </row>
    <row r="18" spans="1:24" ht="17" customHeight="1" x14ac:dyDescent="0.2"/>
    <row r="19" spans="1:24" ht="17" customHeight="1" x14ac:dyDescent="0.2"/>
    <row r="20" spans="1:24" ht="17" customHeight="1" x14ac:dyDescent="0.2"/>
    <row r="21" spans="1:24" ht="17" customHeight="1" x14ac:dyDescent="0.2"/>
    <row r="22" spans="1:24" ht="17" customHeight="1" x14ac:dyDescent="0.2"/>
    <row r="23" spans="1:24" ht="17" customHeight="1" x14ac:dyDescent="0.2"/>
    <row r="24" spans="1:24" ht="17" customHeight="1" x14ac:dyDescent="0.2"/>
    <row r="25" spans="1:24" ht="17" customHeight="1" x14ac:dyDescent="0.2"/>
    <row r="26" spans="1:24" ht="17" customHeight="1" x14ac:dyDescent="0.2"/>
    <row r="27" spans="1:24" ht="17" customHeight="1" x14ac:dyDescent="0.2"/>
    <row r="28" spans="1:24" ht="17" customHeight="1" x14ac:dyDescent="0.2"/>
    <row r="29" spans="1:24" ht="17" customHeight="1" x14ac:dyDescent="0.2"/>
    <row r="30" spans="1:24" ht="17" customHeight="1" x14ac:dyDescent="0.2"/>
    <row r="31" spans="1:24" ht="17" customHeight="1" x14ac:dyDescent="0.2"/>
    <row r="32" spans="1:24" ht="17" customHeight="1" x14ac:dyDescent="0.2"/>
    <row r="33" ht="17" customHeight="1" x14ac:dyDescent="0.2"/>
    <row r="34" ht="17" customHeight="1" x14ac:dyDescent="0.2"/>
    <row r="35" ht="17" customHeight="1" x14ac:dyDescent="0.2"/>
    <row r="36" ht="17" customHeight="1" x14ac:dyDescent="0.2"/>
    <row r="37" ht="17" customHeight="1" x14ac:dyDescent="0.2"/>
    <row r="38" ht="17" customHeight="1" x14ac:dyDescent="0.2"/>
    <row r="39" ht="17" customHeight="1" x14ac:dyDescent="0.2"/>
    <row r="40" ht="17" customHeight="1" x14ac:dyDescent="0.2"/>
    <row r="41" ht="17" customHeight="1" x14ac:dyDescent="0.2"/>
    <row r="42" ht="17" customHeight="1" x14ac:dyDescent="0.2"/>
    <row r="43" ht="17" customHeight="1" x14ac:dyDescent="0.2"/>
    <row r="44" ht="17" customHeight="1" x14ac:dyDescent="0.2"/>
    <row r="45" ht="17" customHeight="1" x14ac:dyDescent="0.2"/>
    <row r="46" ht="17" customHeight="1" x14ac:dyDescent="0.2"/>
    <row r="47" ht="17" customHeight="1" x14ac:dyDescent="0.2"/>
    <row r="48" ht="17" customHeight="1" x14ac:dyDescent="0.2"/>
    <row r="49" ht="17" customHeight="1" x14ac:dyDescent="0.2"/>
    <row r="50" ht="17" customHeight="1" x14ac:dyDescent="0.2"/>
    <row r="51" ht="17" customHeight="1" x14ac:dyDescent="0.2"/>
    <row r="52" ht="17" customHeight="1" x14ac:dyDescent="0.2"/>
    <row r="53" ht="17" customHeight="1" x14ac:dyDescent="0.2"/>
    <row r="54" ht="17" customHeight="1" x14ac:dyDescent="0.2"/>
    <row r="55" ht="17" customHeight="1" x14ac:dyDescent="0.2"/>
    <row r="56" ht="17" customHeight="1" x14ac:dyDescent="0.2"/>
    <row r="57" ht="17" customHeight="1" x14ac:dyDescent="0.2"/>
    <row r="58" ht="17" customHeight="1" x14ac:dyDescent="0.2"/>
    <row r="59" ht="17" customHeight="1" x14ac:dyDescent="0.2"/>
    <row r="60" ht="17" customHeight="1" x14ac:dyDescent="0.2"/>
    <row r="61" ht="17" customHeight="1" x14ac:dyDescent="0.2"/>
    <row r="62" ht="17" customHeight="1" x14ac:dyDescent="0.2"/>
    <row r="63" ht="17" customHeight="1" x14ac:dyDescent="0.2"/>
    <row r="64" ht="17" customHeight="1" x14ac:dyDescent="0.2"/>
    <row r="65" spans="1:13" ht="17" customHeight="1" x14ac:dyDescent="0.2"/>
    <row r="66" spans="1:13" ht="17" customHeight="1" x14ac:dyDescent="0.2"/>
    <row r="67" spans="1:13" ht="17" customHeight="1" x14ac:dyDescent="0.2"/>
    <row r="68" spans="1:13" ht="17" customHeight="1" x14ac:dyDescent="0.2"/>
    <row r="69" spans="1:13" ht="17" customHeight="1" x14ac:dyDescent="0.2"/>
    <row r="70" spans="1:13" ht="17" customHeight="1" x14ac:dyDescent="0.2"/>
    <row r="71" spans="1:13" ht="17" customHeight="1" x14ac:dyDescent="0.2"/>
    <row r="72" spans="1:13" ht="17" customHeight="1" x14ac:dyDescent="0.2"/>
    <row r="73" spans="1:13" ht="17" customHeight="1" x14ac:dyDescent="0.2"/>
    <row r="74" spans="1:13" ht="17" customHeight="1" x14ac:dyDescent="0.2"/>
    <row r="75" spans="1:13" ht="17" customHeight="1" x14ac:dyDescent="0.2"/>
    <row r="76" spans="1:13" ht="17" customHeight="1" x14ac:dyDescent="0.2"/>
    <row r="77" spans="1:13" ht="17" customHeight="1" x14ac:dyDescent="0.2"/>
    <row r="78" spans="1:13" ht="17" customHeight="1" x14ac:dyDescent="0.2"/>
    <row r="79" spans="1:13" ht="17" customHeight="1" x14ac:dyDescent="0.2"/>
    <row r="80" spans="1:13" ht="17" customHeight="1" x14ac:dyDescent="0.2">
      <c r="A80" s="673" t="s">
        <v>583</v>
      </c>
      <c r="B80" s="673"/>
      <c r="C80" s="673"/>
      <c r="D80" s="673"/>
      <c r="E80" s="673"/>
      <c r="F80" s="673"/>
      <c r="G80" s="673"/>
      <c r="H80" s="673"/>
      <c r="I80" s="673"/>
      <c r="J80" s="673"/>
      <c r="K80" s="673"/>
      <c r="L80" s="673"/>
      <c r="M80" s="673"/>
    </row>
    <row r="81" spans="1:13" hidden="1" x14ac:dyDescent="0.2">
      <c r="A81" t="s">
        <v>84</v>
      </c>
      <c r="B81" t="s">
        <v>535</v>
      </c>
      <c r="C81" t="s">
        <v>536</v>
      </c>
      <c r="D81" t="s">
        <v>537</v>
      </c>
      <c r="E81" t="s">
        <v>538</v>
      </c>
      <c r="F81" t="s">
        <v>539</v>
      </c>
      <c r="G81" t="s">
        <v>540</v>
      </c>
      <c r="H81" t="s">
        <v>541</v>
      </c>
      <c r="I81" t="s">
        <v>542</v>
      </c>
      <c r="J81" t="s">
        <v>543</v>
      </c>
      <c r="K81" t="s">
        <v>544</v>
      </c>
      <c r="L81" t="s">
        <v>545</v>
      </c>
      <c r="M81" t="s">
        <v>546</v>
      </c>
    </row>
    <row r="82" spans="1:13" hidden="1" x14ac:dyDescent="0.2">
      <c r="A82" t="s">
        <v>571</v>
      </c>
      <c r="B82">
        <f t="shared" ref="B82:M82" si="1">B6</f>
        <v>774</v>
      </c>
      <c r="C82">
        <f t="shared" si="1"/>
        <v>453</v>
      </c>
      <c r="D82">
        <f t="shared" si="1"/>
        <v>1637</v>
      </c>
      <c r="E82">
        <f t="shared" si="1"/>
        <v>1811</v>
      </c>
      <c r="F82">
        <f t="shared" si="1"/>
        <v>3263</v>
      </c>
      <c r="G82">
        <f t="shared" si="1"/>
        <v>1789</v>
      </c>
      <c r="H82">
        <f t="shared" si="1"/>
        <v>2334</v>
      </c>
      <c r="I82">
        <f t="shared" si="1"/>
        <v>2333</v>
      </c>
      <c r="J82">
        <f t="shared" si="1"/>
        <v>2059</v>
      </c>
      <c r="K82">
        <f t="shared" si="1"/>
        <v>2799</v>
      </c>
      <c r="L82">
        <f t="shared" si="1"/>
        <v>1480</v>
      </c>
      <c r="M82">
        <f t="shared" si="1"/>
        <v>2112</v>
      </c>
    </row>
    <row r="83" spans="1:13" hidden="1" x14ac:dyDescent="0.2">
      <c r="A83" t="s">
        <v>572</v>
      </c>
      <c r="B83">
        <f t="shared" ref="B83:M83" si="2">B7</f>
        <v>490</v>
      </c>
      <c r="C83">
        <f t="shared" si="2"/>
        <v>457</v>
      </c>
      <c r="D83">
        <f t="shared" si="2"/>
        <v>217</v>
      </c>
      <c r="E83">
        <f t="shared" si="2"/>
        <v>284</v>
      </c>
      <c r="F83">
        <f t="shared" si="2"/>
        <v>317</v>
      </c>
      <c r="G83">
        <f t="shared" si="2"/>
        <v>300</v>
      </c>
      <c r="H83">
        <f t="shared" si="2"/>
        <v>220</v>
      </c>
      <c r="I83">
        <f t="shared" si="2"/>
        <v>310</v>
      </c>
      <c r="J83">
        <f t="shared" si="2"/>
        <v>300</v>
      </c>
      <c r="K83">
        <f t="shared" si="2"/>
        <v>321</v>
      </c>
      <c r="L83">
        <f t="shared" si="2"/>
        <v>300</v>
      </c>
      <c r="M83">
        <f t="shared" si="2"/>
        <v>210</v>
      </c>
    </row>
    <row r="84" spans="1:13" hidden="1" x14ac:dyDescent="0.2"/>
    <row r="85" spans="1:13" hidden="1" x14ac:dyDescent="0.2">
      <c r="A85" t="s">
        <v>84</v>
      </c>
      <c r="B85" t="s">
        <v>535</v>
      </c>
      <c r="C85" t="s">
        <v>536</v>
      </c>
      <c r="D85" t="s">
        <v>537</v>
      </c>
      <c r="E85" t="s">
        <v>538</v>
      </c>
      <c r="F85" t="s">
        <v>539</v>
      </c>
      <c r="G85" t="s">
        <v>540</v>
      </c>
      <c r="H85" t="s">
        <v>541</v>
      </c>
      <c r="I85" t="s">
        <v>542</v>
      </c>
      <c r="J85" t="s">
        <v>543</v>
      </c>
      <c r="K85" t="s">
        <v>544</v>
      </c>
      <c r="L85" t="s">
        <v>545</v>
      </c>
      <c r="M85" t="s">
        <v>546</v>
      </c>
    </row>
    <row r="86" spans="1:13" hidden="1" x14ac:dyDescent="0.2">
      <c r="A86" t="s">
        <v>573</v>
      </c>
      <c r="B86">
        <f t="shared" ref="B86:M86" si="3">B8</f>
        <v>331.89</v>
      </c>
      <c r="C86">
        <f t="shared" si="3"/>
        <v>642.59</v>
      </c>
      <c r="D86">
        <f t="shared" si="3"/>
        <v>669.06</v>
      </c>
      <c r="E86">
        <f t="shared" si="3"/>
        <v>362.3</v>
      </c>
      <c r="F86">
        <f t="shared" si="3"/>
        <v>462.8</v>
      </c>
      <c r="G86">
        <f t="shared" si="3"/>
        <v>334.93</v>
      </c>
      <c r="H86">
        <f t="shared" si="3"/>
        <v>340.28</v>
      </c>
      <c r="I86">
        <f t="shared" si="3"/>
        <v>473.95000000000005</v>
      </c>
      <c r="J86">
        <f t="shared" si="3"/>
        <v>335.46000000000004</v>
      </c>
      <c r="K86">
        <f t="shared" si="3"/>
        <v>403.5</v>
      </c>
      <c r="L86">
        <f t="shared" si="3"/>
        <v>216.49</v>
      </c>
      <c r="M86">
        <f t="shared" si="3"/>
        <v>314.25</v>
      </c>
    </row>
    <row r="87" spans="1:13" hidden="1" x14ac:dyDescent="0.2"/>
    <row r="88" spans="1:13" hidden="1" x14ac:dyDescent="0.2">
      <c r="A88" t="s">
        <v>84</v>
      </c>
      <c r="B88" t="s">
        <v>535</v>
      </c>
      <c r="C88" t="s">
        <v>536</v>
      </c>
      <c r="D88" t="s">
        <v>537</v>
      </c>
      <c r="E88" t="s">
        <v>538</v>
      </c>
      <c r="F88" t="s">
        <v>539</v>
      </c>
      <c r="G88" t="s">
        <v>540</v>
      </c>
      <c r="H88" t="s">
        <v>541</v>
      </c>
      <c r="I88" t="s">
        <v>542</v>
      </c>
      <c r="J88" t="s">
        <v>543</v>
      </c>
      <c r="K88" t="s">
        <v>544</v>
      </c>
      <c r="L88" t="s">
        <v>545</v>
      </c>
      <c r="M88" t="s">
        <v>546</v>
      </c>
    </row>
    <row r="89" spans="1:13" hidden="1" x14ac:dyDescent="0.2">
      <c r="A89" t="s">
        <v>574</v>
      </c>
      <c r="B89">
        <f t="shared" ref="B89:M89" si="4">B9</f>
        <v>2.3320979842718974</v>
      </c>
      <c r="C89">
        <f t="shared" si="4"/>
        <v>0.70495961655176709</v>
      </c>
      <c r="D89">
        <f t="shared" si="4"/>
        <v>2.4467162885241982</v>
      </c>
      <c r="E89">
        <f t="shared" si="4"/>
        <v>4.998619928236268</v>
      </c>
      <c r="F89">
        <f t="shared" si="4"/>
        <v>7.0505617977528088</v>
      </c>
      <c r="G89">
        <f t="shared" si="4"/>
        <v>5.3414146239512732</v>
      </c>
      <c r="H89">
        <f t="shared" si="4"/>
        <v>6.8590572469730819</v>
      </c>
      <c r="I89">
        <f t="shared" si="4"/>
        <v>4.9224601751239581</v>
      </c>
      <c r="J89">
        <f t="shared" si="4"/>
        <v>6.1378405771179869</v>
      </c>
      <c r="K89">
        <f t="shared" si="4"/>
        <v>6.9368029739776951</v>
      </c>
      <c r="L89">
        <f t="shared" si="4"/>
        <v>6.8363434800683631</v>
      </c>
      <c r="M89">
        <f t="shared" si="4"/>
        <v>6.7207637231503581</v>
      </c>
    </row>
    <row r="90" spans="1:13" hidden="1" x14ac:dyDescent="0.2"/>
    <row r="91" spans="1:13" hidden="1" x14ac:dyDescent="0.2">
      <c r="A91" t="s">
        <v>84</v>
      </c>
      <c r="B91" t="s">
        <v>535</v>
      </c>
      <c r="C91" t="s">
        <v>536</v>
      </c>
      <c r="D91" t="s">
        <v>537</v>
      </c>
      <c r="E91" t="s">
        <v>538</v>
      </c>
      <c r="F91" t="s">
        <v>539</v>
      </c>
      <c r="G91" t="s">
        <v>540</v>
      </c>
      <c r="H91" t="s">
        <v>541</v>
      </c>
      <c r="I91" t="s">
        <v>542</v>
      </c>
      <c r="J91" t="s">
        <v>543</v>
      </c>
      <c r="K91" t="s">
        <v>544</v>
      </c>
      <c r="L91" t="s">
        <v>545</v>
      </c>
      <c r="M91" t="s">
        <v>546</v>
      </c>
    </row>
    <row r="92" spans="1:13" hidden="1" x14ac:dyDescent="0.2">
      <c r="A92" t="s">
        <v>575</v>
      </c>
      <c r="B92">
        <f t="shared" ref="B92:M92" si="5">B10</f>
        <v>8039</v>
      </c>
      <c r="C92">
        <f t="shared" si="5"/>
        <v>7836</v>
      </c>
      <c r="D92">
        <f t="shared" si="5"/>
        <v>0</v>
      </c>
      <c r="E92">
        <f t="shared" si="5"/>
        <v>0</v>
      </c>
      <c r="F92">
        <f t="shared" si="5"/>
        <v>0</v>
      </c>
      <c r="G92">
        <f t="shared" si="5"/>
        <v>8000</v>
      </c>
      <c r="H92">
        <f t="shared" si="5"/>
        <v>0</v>
      </c>
      <c r="I92">
        <f t="shared" si="5"/>
        <v>0</v>
      </c>
      <c r="J92">
        <f t="shared" si="5"/>
        <v>7928</v>
      </c>
      <c r="K92">
        <f t="shared" si="5"/>
        <v>0</v>
      </c>
      <c r="L92">
        <f t="shared" si="5"/>
        <v>0</v>
      </c>
      <c r="M92">
        <f t="shared" si="5"/>
        <v>0</v>
      </c>
    </row>
    <row r="93" spans="1:13" hidden="1" x14ac:dyDescent="0.2"/>
    <row r="94" spans="1:13" hidden="1" x14ac:dyDescent="0.2">
      <c r="A94" t="s">
        <v>84</v>
      </c>
      <c r="B94" t="s">
        <v>535</v>
      </c>
      <c r="C94" t="s">
        <v>536</v>
      </c>
      <c r="D94" t="s">
        <v>537</v>
      </c>
      <c r="E94" t="s">
        <v>538</v>
      </c>
      <c r="F94" t="s">
        <v>539</v>
      </c>
      <c r="G94" t="s">
        <v>540</v>
      </c>
      <c r="H94" t="s">
        <v>541</v>
      </c>
      <c r="I94" t="s">
        <v>542</v>
      </c>
      <c r="J94" t="s">
        <v>543</v>
      </c>
      <c r="K94" t="s">
        <v>544</v>
      </c>
      <c r="L94" t="s">
        <v>545</v>
      </c>
      <c r="M94" t="s">
        <v>546</v>
      </c>
    </row>
    <row r="95" spans="1:13" hidden="1" x14ac:dyDescent="0.2">
      <c r="A95" t="s">
        <v>576</v>
      </c>
      <c r="B95">
        <f t="shared" ref="B95:M95" si="6">IFERROR(B11/100,0)</f>
        <v>0</v>
      </c>
      <c r="C95">
        <f t="shared" si="6"/>
        <v>0</v>
      </c>
      <c r="D95">
        <f t="shared" si="6"/>
        <v>0</v>
      </c>
      <c r="E95">
        <f t="shared" si="6"/>
        <v>0</v>
      </c>
      <c r="F95">
        <f t="shared" si="6"/>
        <v>0</v>
      </c>
      <c r="G95">
        <f t="shared" si="6"/>
        <v>0</v>
      </c>
      <c r="H95">
        <f t="shared" si="6"/>
        <v>0</v>
      </c>
      <c r="I95">
        <f t="shared" si="6"/>
        <v>0</v>
      </c>
      <c r="J95">
        <f t="shared" si="6"/>
        <v>0</v>
      </c>
      <c r="K95">
        <f t="shared" si="6"/>
        <v>0</v>
      </c>
      <c r="L95">
        <f t="shared" si="6"/>
        <v>0</v>
      </c>
      <c r="M95">
        <f t="shared" si="6"/>
        <v>0.9666666666666669</v>
      </c>
    </row>
    <row r="96" spans="1:13" hidden="1" x14ac:dyDescent="0.2"/>
    <row r="97" spans="1:13" hidden="1" x14ac:dyDescent="0.2">
      <c r="A97" t="s">
        <v>84</v>
      </c>
      <c r="B97" t="s">
        <v>535</v>
      </c>
      <c r="C97" t="s">
        <v>536</v>
      </c>
      <c r="D97" t="s">
        <v>537</v>
      </c>
      <c r="E97" t="s">
        <v>538</v>
      </c>
      <c r="F97" t="s">
        <v>539</v>
      </c>
      <c r="G97" t="s">
        <v>540</v>
      </c>
      <c r="H97" t="s">
        <v>541</v>
      </c>
      <c r="I97" t="s">
        <v>542</v>
      </c>
      <c r="J97" t="s">
        <v>543</v>
      </c>
      <c r="K97" t="s">
        <v>544</v>
      </c>
      <c r="L97" t="s">
        <v>545</v>
      </c>
      <c r="M97" t="s">
        <v>546</v>
      </c>
    </row>
    <row r="98" spans="1:13" hidden="1" x14ac:dyDescent="0.2">
      <c r="A98" t="s">
        <v>577</v>
      </c>
      <c r="B98">
        <f t="shared" ref="B98:M98" si="7">B12</f>
        <v>1</v>
      </c>
      <c r="C98">
        <f t="shared" si="7"/>
        <v>1</v>
      </c>
      <c r="D98">
        <f t="shared" si="7"/>
        <v>0</v>
      </c>
      <c r="E98">
        <f t="shared" si="7"/>
        <v>0</v>
      </c>
      <c r="F98">
        <f t="shared" si="7"/>
        <v>0</v>
      </c>
      <c r="G98">
        <f t="shared" si="7"/>
        <v>1</v>
      </c>
      <c r="H98">
        <f t="shared" si="7"/>
        <v>0</v>
      </c>
      <c r="I98">
        <f t="shared" si="7"/>
        <v>0</v>
      </c>
      <c r="J98">
        <f t="shared" si="7"/>
        <v>1</v>
      </c>
      <c r="K98">
        <f t="shared" si="7"/>
        <v>0</v>
      </c>
      <c r="L98">
        <f t="shared" si="7"/>
        <v>0</v>
      </c>
      <c r="M98">
        <f t="shared" si="7"/>
        <v>0</v>
      </c>
    </row>
    <row r="99" spans="1:13" hidden="1" x14ac:dyDescent="0.2">
      <c r="A99" t="s">
        <v>578</v>
      </c>
      <c r="B99">
        <f t="shared" ref="B99:M99" si="8">B13</f>
        <v>0</v>
      </c>
      <c r="C99">
        <f t="shared" si="8"/>
        <v>0</v>
      </c>
      <c r="D99">
        <f t="shared" si="8"/>
        <v>0</v>
      </c>
      <c r="E99">
        <f t="shared" si="8"/>
        <v>0</v>
      </c>
      <c r="F99">
        <f t="shared" si="8"/>
        <v>0</v>
      </c>
      <c r="G99">
        <f t="shared" si="8"/>
        <v>0</v>
      </c>
      <c r="H99">
        <f t="shared" si="8"/>
        <v>0</v>
      </c>
      <c r="I99">
        <f t="shared" si="8"/>
        <v>0</v>
      </c>
      <c r="J99">
        <f t="shared" si="8"/>
        <v>0</v>
      </c>
      <c r="K99">
        <f t="shared" si="8"/>
        <v>0</v>
      </c>
      <c r="L99">
        <f t="shared" si="8"/>
        <v>0</v>
      </c>
      <c r="M99">
        <f t="shared" si="8"/>
        <v>3</v>
      </c>
    </row>
  </sheetData>
  <mergeCells count="19">
    <mergeCell ref="A4:X4"/>
    <mergeCell ref="A1:X1"/>
    <mergeCell ref="B2:C2"/>
    <mergeCell ref="D2:H2"/>
    <mergeCell ref="J2:L2"/>
    <mergeCell ref="P2:X2"/>
    <mergeCell ref="W15:X15"/>
    <mergeCell ref="W16:X16"/>
    <mergeCell ref="A15:D15"/>
    <mergeCell ref="A16:D16"/>
    <mergeCell ref="E15:H15"/>
    <mergeCell ref="E16:H16"/>
    <mergeCell ref="I15:L15"/>
    <mergeCell ref="I16:L16"/>
    <mergeCell ref="A80:M80"/>
    <mergeCell ref="M15:Q15"/>
    <mergeCell ref="M16:Q16"/>
    <mergeCell ref="R15:V15"/>
    <mergeCell ref="R16:V16"/>
  </mergeCells>
  <dataValidations count="1">
    <dataValidation type="list" allowBlank="1" showInputMessage="1" showErrorMessage="1" promptTitle="Seleccionar Vehículo" prompt="Selecciona una placa del listado o escribe manualmente" sqref="D2" xr:uid="{C15AAC39-CDCA-A74A-B374-C614B58DCBB7}">
      <formula1>_xlfn._LONGTEXT("QAA-3164,QAA-3166,QAA-2912,QAA-2915,QAA-2916,PAB-3424,QAA-3165,QAA-1976,IAA-2747,PFG-2722,PFF-2857,QAA-3074,QAA-3220,QAA-3108,QAA-1974,KR-1189/42416,KR-1172/42409,KR-1344/42429,KR-1188/42405,KR-1088/42406,KR-1185/42408,KR-1184/42418,KR-1108/42403,KR-1094/","42424,OR-2276")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E3D4-2ED8-7540-9D79-00E14E075E54}">
  <sheetPr>
    <tabColor rgb="FF1F3864"/>
  </sheetPr>
  <dimension ref="A1:Z83"/>
  <sheetViews>
    <sheetView showGridLines="0" topLeftCell="A31" workbookViewId="0">
      <selection activeCell="M58" sqref="M58"/>
    </sheetView>
  </sheetViews>
  <sheetFormatPr baseColWidth="10" defaultRowHeight="15" x14ac:dyDescent="0.2"/>
  <cols>
    <col min="1" max="1" width="19.1640625" customWidth="1"/>
    <col min="2" max="13" width="9.1640625" customWidth="1"/>
    <col min="15" max="26" width="10" customWidth="1"/>
  </cols>
  <sheetData>
    <row r="1" spans="1:26" ht="40" customHeight="1" x14ac:dyDescent="0.25">
      <c r="A1" s="703" t="s">
        <v>531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  <c r="Y1" s="703"/>
      <c r="Z1" s="703"/>
    </row>
    <row r="2" spans="1:26" ht="22" customHeight="1" x14ac:dyDescent="0.2">
      <c r="A2" s="704" t="s">
        <v>532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  <c r="Y2" s="704"/>
      <c r="Z2" s="704"/>
    </row>
    <row r="3" spans="1:26" ht="30" customHeight="1" x14ac:dyDescent="0.2">
      <c r="A3" s="635"/>
      <c r="B3" s="684" t="s">
        <v>559</v>
      </c>
      <c r="C3" s="684"/>
      <c r="D3" s="684"/>
      <c r="E3" s="684"/>
      <c r="F3" s="690" t="s">
        <v>560</v>
      </c>
      <c r="G3" s="690"/>
      <c r="H3" s="690"/>
      <c r="I3" s="690"/>
      <c r="J3" s="675" t="s">
        <v>561</v>
      </c>
      <c r="K3" s="675"/>
      <c r="L3" s="675"/>
      <c r="M3" s="675"/>
      <c r="N3" s="681" t="s">
        <v>562</v>
      </c>
      <c r="O3" s="681"/>
      <c r="P3" s="681"/>
      <c r="Q3" s="681"/>
      <c r="R3" s="681"/>
      <c r="S3" s="678" t="s">
        <v>563</v>
      </c>
      <c r="T3" s="678"/>
      <c r="U3" s="678"/>
      <c r="V3" s="678"/>
      <c r="W3" s="678"/>
      <c r="X3" s="678"/>
      <c r="Y3" s="635"/>
      <c r="Z3" s="635"/>
    </row>
    <row r="4" spans="1:26" ht="20" customHeight="1" x14ac:dyDescent="0.2">
      <c r="A4" s="705" t="s">
        <v>533</v>
      </c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</row>
    <row r="5" spans="1:26" x14ac:dyDescent="0.2">
      <c r="A5" s="629" t="s">
        <v>534</v>
      </c>
      <c r="B5" s="629" t="s">
        <v>535</v>
      </c>
      <c r="C5" s="629" t="s">
        <v>536</v>
      </c>
      <c r="D5" s="629" t="s">
        <v>537</v>
      </c>
      <c r="E5" s="629" t="s">
        <v>538</v>
      </c>
      <c r="F5" s="629" t="s">
        <v>539</v>
      </c>
      <c r="G5" s="629" t="s">
        <v>540</v>
      </c>
      <c r="H5" s="629" t="s">
        <v>541</v>
      </c>
      <c r="I5" s="629" t="s">
        <v>542</v>
      </c>
      <c r="J5" s="629" t="s">
        <v>543</v>
      </c>
      <c r="K5" s="629" t="s">
        <v>544</v>
      </c>
      <c r="L5" s="629" t="s">
        <v>545</v>
      </c>
      <c r="M5" s="629" t="s">
        <v>546</v>
      </c>
    </row>
    <row r="6" spans="1:26" ht="15" customHeight="1" x14ac:dyDescent="0.2">
      <c r="A6" s="636" t="s">
        <v>204</v>
      </c>
      <c r="B6" s="636">
        <v>2.33</v>
      </c>
      <c r="C6" s="636">
        <v>0.7</v>
      </c>
      <c r="D6" s="636">
        <v>2.4500000000000002</v>
      </c>
      <c r="E6" s="636">
        <v>5</v>
      </c>
      <c r="F6" s="636">
        <v>7.05</v>
      </c>
      <c r="G6" s="636">
        <v>5.34</v>
      </c>
      <c r="H6" s="636">
        <v>6.86</v>
      </c>
      <c r="I6" s="636">
        <v>4.92</v>
      </c>
      <c r="J6" s="636">
        <v>6.14</v>
      </c>
      <c r="K6" s="636">
        <v>6.94</v>
      </c>
      <c r="L6" s="636">
        <v>6.84</v>
      </c>
      <c r="M6" s="636">
        <v>6.72</v>
      </c>
    </row>
    <row r="7" spans="1:26" ht="15" customHeight="1" x14ac:dyDescent="0.2">
      <c r="A7" s="637" t="s">
        <v>207</v>
      </c>
      <c r="B7" s="637">
        <v>1.37</v>
      </c>
      <c r="C7" s="637">
        <v>0.85</v>
      </c>
      <c r="D7" s="637">
        <v>6.28</v>
      </c>
      <c r="E7" s="637">
        <v>4.08</v>
      </c>
      <c r="F7" s="637">
        <v>6.15</v>
      </c>
      <c r="G7" s="637">
        <v>4.8600000000000003</v>
      </c>
      <c r="H7" s="637">
        <v>5.44</v>
      </c>
      <c r="I7" s="637">
        <v>4.08</v>
      </c>
      <c r="J7" s="637">
        <v>0</v>
      </c>
      <c r="K7" s="637">
        <v>0</v>
      </c>
      <c r="L7" s="637">
        <v>0</v>
      </c>
      <c r="M7" s="637">
        <v>0</v>
      </c>
    </row>
    <row r="8" spans="1:26" ht="15" customHeight="1" x14ac:dyDescent="0.2">
      <c r="A8" s="636" t="s">
        <v>208</v>
      </c>
      <c r="B8" s="636">
        <v>6.15</v>
      </c>
      <c r="C8" s="636">
        <v>5.59</v>
      </c>
      <c r="D8" s="636">
        <v>5.7</v>
      </c>
      <c r="E8" s="636">
        <v>4.99</v>
      </c>
      <c r="F8" s="636">
        <v>5.44</v>
      </c>
      <c r="G8" s="636">
        <v>5.36</v>
      </c>
      <c r="H8" s="636">
        <v>4.97</v>
      </c>
      <c r="I8" s="636">
        <v>5.33</v>
      </c>
      <c r="J8" s="636">
        <v>5.57</v>
      </c>
      <c r="K8" s="636">
        <v>5.89</v>
      </c>
      <c r="L8" s="636">
        <v>6.31</v>
      </c>
      <c r="M8" s="636">
        <v>6.28</v>
      </c>
    </row>
    <row r="9" spans="1:26" ht="15" customHeight="1" x14ac:dyDescent="0.2">
      <c r="A9" s="637" t="s">
        <v>209</v>
      </c>
      <c r="B9" s="637">
        <v>1.07</v>
      </c>
      <c r="C9" s="637">
        <v>6.79</v>
      </c>
      <c r="D9" s="637">
        <v>4.6399999999999997</v>
      </c>
      <c r="E9" s="637">
        <v>5.23</v>
      </c>
      <c r="F9" s="637">
        <v>5.91</v>
      </c>
      <c r="G9" s="637">
        <v>5.01</v>
      </c>
      <c r="H9" s="637">
        <v>5.85</v>
      </c>
      <c r="I9" s="637">
        <v>5.67</v>
      </c>
      <c r="J9" s="637">
        <v>6.2</v>
      </c>
      <c r="K9" s="637">
        <v>6.1</v>
      </c>
      <c r="L9" s="637">
        <v>5.92</v>
      </c>
      <c r="M9" s="637">
        <v>6.19</v>
      </c>
    </row>
    <row r="10" spans="1:26" ht="15" customHeight="1" x14ac:dyDescent="0.2">
      <c r="A10" s="636" t="s">
        <v>210</v>
      </c>
      <c r="B10" s="636">
        <v>0.88</v>
      </c>
      <c r="C10" s="636">
        <v>0.71</v>
      </c>
      <c r="D10" s="636">
        <v>5.73</v>
      </c>
      <c r="E10" s="636">
        <v>5.37</v>
      </c>
      <c r="F10" s="636">
        <v>5.81</v>
      </c>
      <c r="G10" s="636">
        <v>5.86</v>
      </c>
      <c r="H10" s="636">
        <v>6.03</v>
      </c>
      <c r="I10" s="636">
        <v>5.26</v>
      </c>
      <c r="J10" s="636">
        <v>5.77</v>
      </c>
      <c r="K10" s="636">
        <v>5.94</v>
      </c>
      <c r="L10" s="636">
        <v>6.38</v>
      </c>
      <c r="M10" s="636">
        <v>6.47</v>
      </c>
    </row>
    <row r="11" spans="1:26" ht="15" customHeight="1" x14ac:dyDescent="0.2">
      <c r="A11" s="637" t="s">
        <v>365</v>
      </c>
      <c r="B11" s="637">
        <v>3.08</v>
      </c>
      <c r="C11" s="637">
        <v>3.71</v>
      </c>
      <c r="D11" s="637">
        <v>3.22</v>
      </c>
      <c r="E11" s="637">
        <v>6.74</v>
      </c>
      <c r="F11" s="637">
        <v>8.31</v>
      </c>
      <c r="G11" s="637">
        <v>7.51</v>
      </c>
      <c r="H11" s="637">
        <v>4.42</v>
      </c>
      <c r="I11" s="637">
        <v>5.82</v>
      </c>
      <c r="J11" s="637">
        <v>4.0199999999999996</v>
      </c>
      <c r="K11" s="637">
        <v>7.45</v>
      </c>
      <c r="L11" s="637">
        <v>5.21</v>
      </c>
      <c r="M11" s="637">
        <v>5.79</v>
      </c>
    </row>
    <row r="12" spans="1:26" ht="15" customHeight="1" x14ac:dyDescent="0.2">
      <c r="A12" s="636" t="s">
        <v>211</v>
      </c>
      <c r="B12" s="636">
        <v>1.85</v>
      </c>
      <c r="C12" s="636">
        <v>0.93</v>
      </c>
      <c r="D12" s="636">
        <v>5.14</v>
      </c>
      <c r="E12" s="636">
        <v>3.6</v>
      </c>
      <c r="F12" s="636">
        <v>4.8099999999999996</v>
      </c>
      <c r="G12" s="636">
        <v>5.6</v>
      </c>
      <c r="H12" s="636">
        <v>5.03</v>
      </c>
      <c r="I12" s="636">
        <v>0</v>
      </c>
      <c r="J12" s="636">
        <v>5.97</v>
      </c>
      <c r="K12" s="636">
        <v>8.0299999999999994</v>
      </c>
      <c r="L12" s="636">
        <v>7.73</v>
      </c>
      <c r="M12" s="636">
        <v>7.57</v>
      </c>
    </row>
    <row r="13" spans="1:26" ht="15" customHeight="1" x14ac:dyDescent="0.2">
      <c r="A13" s="637" t="s">
        <v>212</v>
      </c>
      <c r="B13" s="637">
        <v>5.97</v>
      </c>
      <c r="C13" s="637">
        <v>0</v>
      </c>
      <c r="D13" s="637">
        <v>4.84</v>
      </c>
      <c r="E13" s="637">
        <v>3.79</v>
      </c>
      <c r="F13" s="637">
        <v>5.49</v>
      </c>
      <c r="G13" s="637">
        <v>3.93</v>
      </c>
      <c r="H13" s="637">
        <v>3.29</v>
      </c>
      <c r="I13" s="637">
        <v>3.86</v>
      </c>
      <c r="J13" s="637">
        <v>0</v>
      </c>
      <c r="K13" s="637">
        <v>0</v>
      </c>
      <c r="L13" s="637">
        <v>0</v>
      </c>
      <c r="M13" s="637">
        <v>0</v>
      </c>
    </row>
    <row r="14" spans="1:26" ht="15" customHeight="1" x14ac:dyDescent="0.2">
      <c r="A14" s="636" t="s">
        <v>213</v>
      </c>
      <c r="B14" s="636">
        <v>7.24</v>
      </c>
      <c r="C14" s="636">
        <v>5</v>
      </c>
      <c r="D14" s="636">
        <v>2.88</v>
      </c>
      <c r="E14" s="636">
        <v>11.2</v>
      </c>
      <c r="F14" s="636">
        <v>11.25</v>
      </c>
      <c r="G14" s="636">
        <v>10.47</v>
      </c>
      <c r="H14" s="636">
        <v>10.210000000000001</v>
      </c>
      <c r="I14" s="636">
        <v>11.99</v>
      </c>
      <c r="J14" s="636">
        <v>7.06</v>
      </c>
      <c r="K14" s="636">
        <v>9.64</v>
      </c>
      <c r="L14" s="636">
        <v>9.39</v>
      </c>
      <c r="M14" s="636">
        <v>9.09</v>
      </c>
    </row>
    <row r="15" spans="1:26" ht="15" customHeight="1" x14ac:dyDescent="0.2">
      <c r="A15" s="637" t="s">
        <v>403</v>
      </c>
      <c r="B15" s="637">
        <v>0</v>
      </c>
      <c r="C15" s="637">
        <v>0</v>
      </c>
      <c r="D15" s="637">
        <v>0</v>
      </c>
      <c r="E15" s="637">
        <v>0</v>
      </c>
      <c r="F15" s="637">
        <v>0</v>
      </c>
      <c r="G15" s="637">
        <v>5.92</v>
      </c>
      <c r="H15" s="637">
        <v>9.66</v>
      </c>
      <c r="I15" s="637">
        <v>7.81</v>
      </c>
      <c r="J15" s="637">
        <v>7.81</v>
      </c>
      <c r="K15" s="637">
        <v>5.97</v>
      </c>
      <c r="L15" s="637">
        <v>6.65</v>
      </c>
      <c r="M15" s="637">
        <v>5.65</v>
      </c>
    </row>
    <row r="16" spans="1:26" ht="15" customHeight="1" x14ac:dyDescent="0.2">
      <c r="A16" s="636" t="s">
        <v>286</v>
      </c>
      <c r="B16" s="636">
        <v>11.71</v>
      </c>
      <c r="C16" s="636">
        <v>3.79</v>
      </c>
      <c r="D16" s="636">
        <v>55.54</v>
      </c>
      <c r="E16" s="636">
        <v>44.99</v>
      </c>
      <c r="F16" s="636">
        <v>37.18</v>
      </c>
      <c r="G16" s="636">
        <v>37.78</v>
      </c>
      <c r="H16" s="636">
        <v>39.94</v>
      </c>
      <c r="I16" s="636">
        <v>39.4</v>
      </c>
      <c r="J16" s="636">
        <v>34.93</v>
      </c>
      <c r="K16" s="636">
        <v>41.48</v>
      </c>
      <c r="L16" s="636">
        <v>35.840000000000003</v>
      </c>
      <c r="M16" s="636">
        <v>27.54</v>
      </c>
    </row>
    <row r="17" spans="1:13" ht="15" customHeight="1" x14ac:dyDescent="0.2">
      <c r="A17" s="637" t="s">
        <v>350</v>
      </c>
      <c r="B17" s="637">
        <v>0</v>
      </c>
      <c r="C17" s="637">
        <v>0</v>
      </c>
      <c r="D17" s="637">
        <v>0</v>
      </c>
      <c r="E17" s="637">
        <v>0</v>
      </c>
      <c r="F17" s="637">
        <v>24.79</v>
      </c>
      <c r="G17" s="637">
        <v>0</v>
      </c>
      <c r="H17" s="637">
        <v>0</v>
      </c>
      <c r="I17" s="637">
        <v>5.62</v>
      </c>
      <c r="J17" s="637">
        <v>5.61</v>
      </c>
      <c r="K17" s="637">
        <v>5.55</v>
      </c>
      <c r="L17" s="637">
        <v>5.42</v>
      </c>
      <c r="M17" s="637">
        <v>6.31</v>
      </c>
    </row>
    <row r="18" spans="1:13" ht="15" customHeight="1" x14ac:dyDescent="0.2">
      <c r="A18" s="636" t="s">
        <v>547</v>
      </c>
      <c r="B18" s="636">
        <v>1.99</v>
      </c>
      <c r="C18" s="636">
        <v>3.79</v>
      </c>
      <c r="D18" s="636">
        <v>3.45</v>
      </c>
      <c r="E18" s="636">
        <v>2.1</v>
      </c>
      <c r="F18" s="636">
        <v>1.27</v>
      </c>
      <c r="G18" s="636">
        <v>1.51</v>
      </c>
      <c r="H18" s="636">
        <v>0</v>
      </c>
      <c r="I18" s="636">
        <v>0</v>
      </c>
      <c r="J18" s="636">
        <v>0</v>
      </c>
      <c r="K18" s="636">
        <v>0.71</v>
      </c>
      <c r="L18" s="636">
        <v>1.49</v>
      </c>
      <c r="M18" s="636">
        <v>0</v>
      </c>
    </row>
    <row r="19" spans="1:13" ht="15" customHeight="1" x14ac:dyDescent="0.2">
      <c r="A19" s="637" t="s">
        <v>548</v>
      </c>
      <c r="B19" s="637">
        <v>3.44</v>
      </c>
      <c r="C19" s="637">
        <v>2.29</v>
      </c>
      <c r="D19" s="637">
        <v>1.66</v>
      </c>
      <c r="E19" s="637">
        <v>1.4</v>
      </c>
      <c r="F19" s="637">
        <v>2.06</v>
      </c>
      <c r="G19" s="637">
        <v>1.86</v>
      </c>
      <c r="H19" s="637">
        <v>2.71</v>
      </c>
      <c r="I19" s="637">
        <v>2.37</v>
      </c>
      <c r="J19" s="637">
        <v>1.81</v>
      </c>
      <c r="K19" s="637">
        <v>1.72</v>
      </c>
      <c r="L19" s="637">
        <v>1.79</v>
      </c>
      <c r="M19" s="637">
        <v>2.0299999999999998</v>
      </c>
    </row>
    <row r="20" spans="1:13" ht="15" customHeight="1" x14ac:dyDescent="0.2">
      <c r="A20" s="636" t="s">
        <v>549</v>
      </c>
      <c r="B20" s="636">
        <v>2.2400000000000002</v>
      </c>
      <c r="C20" s="636">
        <v>3.14</v>
      </c>
      <c r="D20" s="636">
        <v>3.02</v>
      </c>
      <c r="E20" s="636">
        <v>1.68</v>
      </c>
      <c r="F20" s="636">
        <v>2.3199999999999998</v>
      </c>
      <c r="G20" s="636">
        <v>1.92</v>
      </c>
      <c r="H20" s="636">
        <v>2.2400000000000002</v>
      </c>
      <c r="I20" s="636">
        <v>3.78</v>
      </c>
      <c r="J20" s="636">
        <v>1.74</v>
      </c>
      <c r="K20" s="636">
        <v>1.51</v>
      </c>
      <c r="L20" s="636">
        <v>2.0099999999999998</v>
      </c>
      <c r="M20" s="636">
        <v>1.93</v>
      </c>
    </row>
    <row r="23" spans="1:13" ht="20" customHeight="1" x14ac:dyDescent="0.2">
      <c r="A23" s="706" t="s">
        <v>550</v>
      </c>
      <c r="B23" s="706"/>
      <c r="C23" s="706"/>
      <c r="D23" s="706"/>
      <c r="E23" s="706"/>
      <c r="F23" s="706"/>
      <c r="G23" s="706"/>
      <c r="H23" s="706"/>
      <c r="I23" s="706"/>
      <c r="J23" s="706"/>
      <c r="K23" s="706"/>
      <c r="L23" s="706"/>
      <c r="M23" s="706"/>
    </row>
    <row r="24" spans="1:13" x14ac:dyDescent="0.2">
      <c r="A24" s="631" t="s">
        <v>534</v>
      </c>
      <c r="B24" s="631" t="s">
        <v>535</v>
      </c>
      <c r="C24" s="631" t="s">
        <v>536</v>
      </c>
      <c r="D24" s="631" t="s">
        <v>537</v>
      </c>
      <c r="E24" s="631" t="s">
        <v>538</v>
      </c>
      <c r="F24" s="631" t="s">
        <v>539</v>
      </c>
      <c r="G24" s="631" t="s">
        <v>540</v>
      </c>
      <c r="H24" s="631" t="s">
        <v>541</v>
      </c>
      <c r="I24" s="631" t="s">
        <v>542</v>
      </c>
      <c r="J24" s="631" t="s">
        <v>543</v>
      </c>
      <c r="K24" s="631" t="s">
        <v>544</v>
      </c>
      <c r="L24" s="631" t="s">
        <v>545</v>
      </c>
      <c r="M24" s="631" t="s">
        <v>546</v>
      </c>
    </row>
    <row r="25" spans="1:13" ht="15" customHeight="1" x14ac:dyDescent="0.2">
      <c r="A25" s="637" t="s">
        <v>204</v>
      </c>
      <c r="B25" s="637">
        <v>774</v>
      </c>
      <c r="C25" s="637">
        <v>453</v>
      </c>
      <c r="D25" s="637">
        <v>1637</v>
      </c>
      <c r="E25" s="637">
        <v>1811</v>
      </c>
      <c r="F25" s="637">
        <v>3263</v>
      </c>
      <c r="G25" s="637">
        <v>1789</v>
      </c>
      <c r="H25" s="637">
        <v>2334</v>
      </c>
      <c r="I25" s="637">
        <v>2333</v>
      </c>
      <c r="J25" s="637">
        <v>2059</v>
      </c>
      <c r="K25" s="637">
        <v>2799</v>
      </c>
      <c r="L25" s="637">
        <v>1480</v>
      </c>
      <c r="M25" s="637">
        <v>2112</v>
      </c>
    </row>
    <row r="26" spans="1:13" ht="15" customHeight="1" x14ac:dyDescent="0.2">
      <c r="A26" s="638" t="s">
        <v>207</v>
      </c>
      <c r="B26" s="638">
        <v>1807</v>
      </c>
      <c r="C26" s="638">
        <v>505</v>
      </c>
      <c r="D26" s="638">
        <v>1528</v>
      </c>
      <c r="E26" s="638">
        <v>1244</v>
      </c>
      <c r="F26" s="638">
        <v>6461</v>
      </c>
      <c r="G26" s="638">
        <v>4208</v>
      </c>
      <c r="H26" s="638">
        <v>2052</v>
      </c>
      <c r="I26" s="638">
        <v>1940</v>
      </c>
      <c r="J26" s="638">
        <v>0</v>
      </c>
      <c r="K26" s="638">
        <v>0</v>
      </c>
      <c r="L26" s="638">
        <v>0</v>
      </c>
      <c r="M26" s="638">
        <v>0</v>
      </c>
    </row>
    <row r="27" spans="1:13" ht="15" customHeight="1" x14ac:dyDescent="0.2">
      <c r="A27" s="637" t="s">
        <v>208</v>
      </c>
      <c r="B27" s="637">
        <v>3627</v>
      </c>
      <c r="C27" s="637">
        <v>4077</v>
      </c>
      <c r="D27" s="637">
        <v>4876</v>
      </c>
      <c r="E27" s="637">
        <v>5838</v>
      </c>
      <c r="F27" s="637">
        <v>8193</v>
      </c>
      <c r="G27" s="637">
        <v>4583</v>
      </c>
      <c r="H27" s="637">
        <v>1589</v>
      </c>
      <c r="I27" s="637">
        <v>5741</v>
      </c>
      <c r="J27" s="637">
        <v>4392</v>
      </c>
      <c r="K27" s="637">
        <v>5876</v>
      </c>
      <c r="L27" s="637">
        <v>5040</v>
      </c>
      <c r="M27" s="637">
        <v>5022</v>
      </c>
    </row>
    <row r="28" spans="1:13" ht="15" customHeight="1" x14ac:dyDescent="0.2">
      <c r="A28" s="638" t="s">
        <v>209</v>
      </c>
      <c r="B28" s="638">
        <v>1019</v>
      </c>
      <c r="C28" s="638">
        <v>5500</v>
      </c>
      <c r="D28" s="638">
        <v>3759</v>
      </c>
      <c r="E28" s="638">
        <v>5895</v>
      </c>
      <c r="F28" s="638">
        <v>10263</v>
      </c>
      <c r="G28" s="638">
        <v>4466</v>
      </c>
      <c r="H28" s="638">
        <v>1420</v>
      </c>
      <c r="I28" s="638">
        <v>4963</v>
      </c>
      <c r="J28" s="638">
        <v>4706</v>
      </c>
      <c r="K28" s="638">
        <v>4988</v>
      </c>
      <c r="L28" s="638">
        <v>5140</v>
      </c>
      <c r="M28" s="638">
        <v>3488</v>
      </c>
    </row>
    <row r="29" spans="1:13" ht="15" customHeight="1" x14ac:dyDescent="0.2">
      <c r="A29" s="637" t="s">
        <v>210</v>
      </c>
      <c r="B29" s="637">
        <v>298</v>
      </c>
      <c r="C29" s="637">
        <v>388</v>
      </c>
      <c r="D29" s="637">
        <v>5035</v>
      </c>
      <c r="E29" s="637">
        <v>5813</v>
      </c>
      <c r="F29" s="637">
        <v>9852</v>
      </c>
      <c r="G29" s="637">
        <v>4994</v>
      </c>
      <c r="H29" s="637">
        <v>2430</v>
      </c>
      <c r="I29" s="637">
        <v>4626</v>
      </c>
      <c r="J29" s="637">
        <v>5002</v>
      </c>
      <c r="K29" s="637">
        <v>5200</v>
      </c>
      <c r="L29" s="637">
        <v>5264</v>
      </c>
      <c r="M29" s="637">
        <v>4996</v>
      </c>
    </row>
    <row r="30" spans="1:13" ht="15" customHeight="1" x14ac:dyDescent="0.2">
      <c r="A30" s="638" t="s">
        <v>365</v>
      </c>
      <c r="B30" s="638">
        <v>1548</v>
      </c>
      <c r="C30" s="638">
        <v>1594</v>
      </c>
      <c r="D30" s="638">
        <v>1159</v>
      </c>
      <c r="E30" s="638">
        <v>2021</v>
      </c>
      <c r="F30" s="638">
        <v>2534</v>
      </c>
      <c r="G30" s="638">
        <v>2139</v>
      </c>
      <c r="H30" s="638">
        <v>1547</v>
      </c>
      <c r="I30" s="638">
        <v>1746</v>
      </c>
      <c r="J30" s="638">
        <v>1889</v>
      </c>
      <c r="K30" s="638">
        <v>1653</v>
      </c>
      <c r="L30" s="638">
        <v>1725</v>
      </c>
      <c r="M30" s="638">
        <v>2026</v>
      </c>
    </row>
    <row r="31" spans="1:13" ht="15" customHeight="1" x14ac:dyDescent="0.2">
      <c r="A31" s="637" t="s">
        <v>211</v>
      </c>
      <c r="B31" s="637">
        <v>1431</v>
      </c>
      <c r="C31" s="637">
        <v>439</v>
      </c>
      <c r="D31" s="637">
        <v>1310</v>
      </c>
      <c r="E31" s="637">
        <v>699</v>
      </c>
      <c r="F31" s="637">
        <v>3298</v>
      </c>
      <c r="G31" s="637">
        <v>2454</v>
      </c>
      <c r="H31" s="637">
        <v>1194</v>
      </c>
      <c r="I31" s="637">
        <v>0</v>
      </c>
      <c r="J31" s="637">
        <v>4758</v>
      </c>
      <c r="K31" s="637">
        <v>3744</v>
      </c>
      <c r="L31" s="637">
        <v>5162</v>
      </c>
      <c r="M31" s="637">
        <v>3088</v>
      </c>
    </row>
    <row r="32" spans="1:13" ht="15" customHeight="1" x14ac:dyDescent="0.2">
      <c r="A32" s="638" t="s">
        <v>212</v>
      </c>
      <c r="B32" s="638">
        <v>2945</v>
      </c>
      <c r="C32" s="638">
        <v>0</v>
      </c>
      <c r="D32" s="638">
        <v>2207</v>
      </c>
      <c r="E32" s="638">
        <v>3472</v>
      </c>
      <c r="F32" s="638">
        <v>5704</v>
      </c>
      <c r="G32" s="638">
        <v>4084</v>
      </c>
      <c r="H32" s="638">
        <v>716</v>
      </c>
      <c r="I32" s="638">
        <v>4437</v>
      </c>
      <c r="J32" s="638">
        <v>0</v>
      </c>
      <c r="K32" s="638">
        <v>0</v>
      </c>
      <c r="L32" s="638">
        <v>0</v>
      </c>
      <c r="M32" s="638">
        <v>0</v>
      </c>
    </row>
    <row r="33" spans="1:14" ht="15" customHeight="1" x14ac:dyDescent="0.2">
      <c r="A33" s="637" t="s">
        <v>213</v>
      </c>
      <c r="B33" s="637">
        <v>2136</v>
      </c>
      <c r="C33" s="637">
        <v>2099</v>
      </c>
      <c r="D33" s="637">
        <v>1009</v>
      </c>
      <c r="E33" s="637">
        <v>3415</v>
      </c>
      <c r="F33" s="637">
        <v>3431</v>
      </c>
      <c r="G33" s="637">
        <v>3192</v>
      </c>
      <c r="H33" s="637">
        <v>3115</v>
      </c>
      <c r="I33" s="637">
        <v>3477</v>
      </c>
      <c r="J33" s="637">
        <v>2729</v>
      </c>
      <c r="K33" s="637">
        <v>3556</v>
      </c>
      <c r="L33" s="637">
        <v>4180</v>
      </c>
      <c r="M33" s="637">
        <v>3508</v>
      </c>
    </row>
    <row r="34" spans="1:14" ht="15" customHeight="1" x14ac:dyDescent="0.2">
      <c r="A34" s="638" t="s">
        <v>403</v>
      </c>
      <c r="B34" s="638">
        <v>0</v>
      </c>
      <c r="C34" s="638">
        <v>0</v>
      </c>
      <c r="D34" s="638">
        <v>0</v>
      </c>
      <c r="E34" s="638">
        <v>0</v>
      </c>
      <c r="F34" s="638">
        <v>0</v>
      </c>
      <c r="G34" s="638">
        <v>3549</v>
      </c>
      <c r="H34" s="638">
        <v>6472</v>
      </c>
      <c r="I34" s="638">
        <v>4997</v>
      </c>
      <c r="J34" s="638">
        <v>4758</v>
      </c>
      <c r="K34" s="638">
        <v>4811</v>
      </c>
      <c r="L34" s="638">
        <v>5142</v>
      </c>
      <c r="M34" s="638">
        <v>4542</v>
      </c>
    </row>
    <row r="35" spans="1:14" ht="15" customHeight="1" x14ac:dyDescent="0.2">
      <c r="A35" s="637" t="s">
        <v>286</v>
      </c>
      <c r="B35" s="637">
        <v>919</v>
      </c>
      <c r="C35" s="637">
        <v>245</v>
      </c>
      <c r="D35" s="637">
        <v>3459</v>
      </c>
      <c r="E35" s="637">
        <v>2719</v>
      </c>
      <c r="F35" s="637">
        <v>2626</v>
      </c>
      <c r="G35" s="637">
        <v>2777</v>
      </c>
      <c r="H35" s="637">
        <v>3292</v>
      </c>
      <c r="I35" s="637">
        <v>3400</v>
      </c>
      <c r="J35" s="637">
        <v>3534</v>
      </c>
      <c r="K35" s="637">
        <v>5709</v>
      </c>
      <c r="L35" s="637">
        <v>3771</v>
      </c>
      <c r="M35" s="637">
        <v>2015</v>
      </c>
    </row>
    <row r="36" spans="1:14" ht="15" customHeight="1" x14ac:dyDescent="0.2">
      <c r="A36" s="638" t="s">
        <v>350</v>
      </c>
      <c r="B36" s="638">
        <v>0</v>
      </c>
      <c r="C36" s="638">
        <v>0</v>
      </c>
      <c r="D36" s="638">
        <v>0</v>
      </c>
      <c r="E36" s="638">
        <v>0</v>
      </c>
      <c r="F36" s="638">
        <v>9723</v>
      </c>
      <c r="G36" s="638">
        <v>0</v>
      </c>
      <c r="H36" s="638">
        <v>0</v>
      </c>
      <c r="I36" s="638">
        <v>2449</v>
      </c>
      <c r="J36" s="638">
        <v>4210</v>
      </c>
      <c r="K36" s="638">
        <v>5007</v>
      </c>
      <c r="L36" s="638">
        <v>4740</v>
      </c>
      <c r="M36" s="638">
        <v>4422</v>
      </c>
    </row>
    <row r="37" spans="1:14" ht="15" customHeight="1" x14ac:dyDescent="0.2">
      <c r="A37" s="637" t="s">
        <v>547</v>
      </c>
      <c r="B37" s="637">
        <v>87</v>
      </c>
      <c r="C37" s="637">
        <v>90</v>
      </c>
      <c r="D37" s="637">
        <v>133</v>
      </c>
      <c r="E37" s="637">
        <v>233</v>
      </c>
      <c r="F37" s="637">
        <v>197</v>
      </c>
      <c r="G37" s="637">
        <v>216</v>
      </c>
      <c r="H37" s="637">
        <v>0</v>
      </c>
      <c r="I37" s="637">
        <v>0</v>
      </c>
      <c r="J37" s="637">
        <v>0</v>
      </c>
      <c r="K37" s="637">
        <v>29</v>
      </c>
      <c r="L37" s="637">
        <v>67</v>
      </c>
      <c r="M37" s="637">
        <v>0</v>
      </c>
    </row>
    <row r="38" spans="1:14" ht="15" customHeight="1" x14ac:dyDescent="0.2">
      <c r="A38" s="638" t="s">
        <v>548</v>
      </c>
      <c r="B38" s="638">
        <v>127</v>
      </c>
      <c r="C38" s="638">
        <v>127</v>
      </c>
      <c r="D38" s="638">
        <v>90</v>
      </c>
      <c r="E38" s="638">
        <v>69</v>
      </c>
      <c r="F38" s="638">
        <v>92</v>
      </c>
      <c r="G38" s="638">
        <v>69</v>
      </c>
      <c r="H38" s="638">
        <v>28</v>
      </c>
      <c r="I38" s="638">
        <v>104</v>
      </c>
      <c r="J38" s="638">
        <v>77</v>
      </c>
      <c r="K38" s="638">
        <v>98</v>
      </c>
      <c r="L38" s="638">
        <v>45</v>
      </c>
      <c r="M38" s="638">
        <v>104</v>
      </c>
    </row>
    <row r="39" spans="1:14" ht="15" customHeight="1" x14ac:dyDescent="0.2">
      <c r="A39" s="637" t="s">
        <v>549</v>
      </c>
      <c r="B39" s="637">
        <v>185</v>
      </c>
      <c r="C39" s="637">
        <v>77</v>
      </c>
      <c r="D39" s="637">
        <v>74</v>
      </c>
      <c r="E39" s="637">
        <v>71</v>
      </c>
      <c r="F39" s="637">
        <v>124</v>
      </c>
      <c r="G39" s="637">
        <v>225</v>
      </c>
      <c r="H39" s="637">
        <v>53</v>
      </c>
      <c r="I39" s="637">
        <v>167</v>
      </c>
      <c r="J39" s="637">
        <v>272</v>
      </c>
      <c r="K39" s="637">
        <v>252</v>
      </c>
      <c r="L39" s="637">
        <v>276</v>
      </c>
      <c r="M39" s="637">
        <v>327</v>
      </c>
    </row>
    <row r="42" spans="1:14" ht="20" customHeight="1" x14ac:dyDescent="0.2">
      <c r="A42" s="701" t="s">
        <v>551</v>
      </c>
      <c r="B42" s="701"/>
      <c r="C42" s="701"/>
      <c r="D42" s="701"/>
      <c r="E42" s="701"/>
      <c r="F42" s="701"/>
      <c r="G42" s="701"/>
      <c r="H42" s="701"/>
      <c r="I42" s="701"/>
      <c r="J42" s="701"/>
      <c r="K42" s="701"/>
      <c r="L42" s="701"/>
      <c r="M42" s="701"/>
      <c r="N42" s="701"/>
    </row>
    <row r="43" spans="1:14" x14ac:dyDescent="0.2">
      <c r="A43" s="632" t="s">
        <v>84</v>
      </c>
      <c r="B43" s="632" t="s">
        <v>535</v>
      </c>
      <c r="C43" s="632" t="s">
        <v>536</v>
      </c>
      <c r="D43" s="632" t="s">
        <v>537</v>
      </c>
      <c r="E43" s="632" t="s">
        <v>538</v>
      </c>
      <c r="F43" s="632" t="s">
        <v>539</v>
      </c>
      <c r="G43" s="632" t="s">
        <v>540</v>
      </c>
      <c r="H43" s="632" t="s">
        <v>541</v>
      </c>
      <c r="I43" s="632" t="s">
        <v>542</v>
      </c>
      <c r="J43" s="632" t="s">
        <v>543</v>
      </c>
      <c r="K43" s="632" t="s">
        <v>544</v>
      </c>
      <c r="L43" s="632" t="s">
        <v>545</v>
      </c>
      <c r="M43" s="632" t="s">
        <v>546</v>
      </c>
      <c r="N43" s="632" t="s">
        <v>155</v>
      </c>
    </row>
    <row r="44" spans="1:14" x14ac:dyDescent="0.2">
      <c r="A44" s="630" t="s">
        <v>400</v>
      </c>
      <c r="B44" s="630">
        <v>11</v>
      </c>
      <c r="C44" s="630">
        <v>10</v>
      </c>
      <c r="D44" s="630">
        <v>3</v>
      </c>
      <c r="E44" s="630">
        <v>12</v>
      </c>
      <c r="F44" s="630">
        <v>11</v>
      </c>
      <c r="G44" s="630">
        <v>18</v>
      </c>
      <c r="H44" s="630">
        <v>4</v>
      </c>
      <c r="I44" s="630">
        <v>13</v>
      </c>
      <c r="J44" s="630">
        <v>9</v>
      </c>
      <c r="K44" s="630">
        <v>13</v>
      </c>
      <c r="L44" s="630">
        <v>10</v>
      </c>
      <c r="M44" s="630">
        <v>8</v>
      </c>
      <c r="N44" s="630">
        <v>122</v>
      </c>
    </row>
    <row r="45" spans="1:14" x14ac:dyDescent="0.2">
      <c r="A45" s="630" t="s">
        <v>401</v>
      </c>
      <c r="B45" s="630">
        <v>10</v>
      </c>
      <c r="C45" s="630">
        <v>10</v>
      </c>
      <c r="D45" s="630">
        <v>10</v>
      </c>
      <c r="E45" s="630">
        <v>12</v>
      </c>
      <c r="F45" s="630">
        <v>10</v>
      </c>
      <c r="G45" s="630">
        <v>12</v>
      </c>
      <c r="H45" s="630">
        <v>10</v>
      </c>
      <c r="I45" s="630">
        <v>13</v>
      </c>
      <c r="J45" s="630">
        <v>9</v>
      </c>
      <c r="K45" s="630">
        <v>13</v>
      </c>
      <c r="L45" s="630">
        <v>9</v>
      </c>
      <c r="M45" s="630">
        <v>13</v>
      </c>
      <c r="N45" s="630">
        <v>131</v>
      </c>
    </row>
    <row r="48" spans="1:14" ht="20" customHeight="1" x14ac:dyDescent="0.2">
      <c r="A48" s="702" t="s">
        <v>552</v>
      </c>
      <c r="B48" s="702"/>
      <c r="C48" s="702"/>
      <c r="D48" s="702"/>
      <c r="E48" s="702"/>
      <c r="F48" s="702"/>
      <c r="G48" s="702"/>
      <c r="H48" s="702"/>
      <c r="I48" s="702"/>
      <c r="J48" s="702"/>
      <c r="K48" s="702"/>
      <c r="L48" s="702"/>
      <c r="M48" s="702"/>
    </row>
    <row r="49" spans="1:13" x14ac:dyDescent="0.2">
      <c r="A49" s="633" t="s">
        <v>534</v>
      </c>
      <c r="B49" s="633" t="s">
        <v>535</v>
      </c>
      <c r="C49" s="633" t="s">
        <v>536</v>
      </c>
      <c r="D49" s="633" t="s">
        <v>537</v>
      </c>
      <c r="E49" s="633" t="s">
        <v>538</v>
      </c>
      <c r="F49" s="633" t="s">
        <v>539</v>
      </c>
      <c r="G49" s="633" t="s">
        <v>540</v>
      </c>
      <c r="H49" s="633" t="s">
        <v>541</v>
      </c>
      <c r="I49" s="633" t="s">
        <v>542</v>
      </c>
      <c r="J49" s="633" t="s">
        <v>543</v>
      </c>
      <c r="K49" s="633" t="s">
        <v>544</v>
      </c>
      <c r="L49" s="633" t="s">
        <v>545</v>
      </c>
      <c r="M49" s="633" t="s">
        <v>546</v>
      </c>
    </row>
    <row r="50" spans="1:13" ht="15" customHeight="1" x14ac:dyDescent="0.2">
      <c r="A50" s="639" t="s">
        <v>204</v>
      </c>
      <c r="B50" s="639">
        <v>0</v>
      </c>
      <c r="C50" s="639">
        <v>0</v>
      </c>
      <c r="D50" s="639">
        <v>0</v>
      </c>
      <c r="E50" s="639">
        <v>0</v>
      </c>
      <c r="F50" s="639">
        <v>0</v>
      </c>
      <c r="G50" s="639">
        <v>0</v>
      </c>
      <c r="H50" s="639">
        <v>0</v>
      </c>
      <c r="I50" s="639">
        <v>0</v>
      </c>
      <c r="J50" s="639">
        <v>0</v>
      </c>
      <c r="K50" s="639">
        <v>0</v>
      </c>
      <c r="L50" s="639">
        <v>0</v>
      </c>
      <c r="M50" s="639">
        <v>3</v>
      </c>
    </row>
    <row r="51" spans="1:13" ht="15" customHeight="1" x14ac:dyDescent="0.2">
      <c r="A51" s="637" t="s">
        <v>208</v>
      </c>
      <c r="B51" s="637">
        <v>0</v>
      </c>
      <c r="C51" s="637">
        <v>0</v>
      </c>
      <c r="D51" s="637">
        <v>0</v>
      </c>
      <c r="E51" s="637">
        <v>0</v>
      </c>
      <c r="F51" s="637">
        <v>0</v>
      </c>
      <c r="G51" s="637">
        <v>0</v>
      </c>
      <c r="H51" s="637">
        <v>0</v>
      </c>
      <c r="I51" s="637">
        <v>0</v>
      </c>
      <c r="J51" s="637">
        <v>1</v>
      </c>
      <c r="K51" s="637">
        <v>0</v>
      </c>
      <c r="L51" s="637">
        <v>0</v>
      </c>
      <c r="M51" s="637">
        <v>1</v>
      </c>
    </row>
    <row r="52" spans="1:13" ht="15" customHeight="1" x14ac:dyDescent="0.2">
      <c r="A52" s="639" t="s">
        <v>209</v>
      </c>
      <c r="B52" s="639">
        <v>0</v>
      </c>
      <c r="C52" s="639">
        <v>0</v>
      </c>
      <c r="D52" s="639">
        <v>0</v>
      </c>
      <c r="E52" s="639">
        <v>0</v>
      </c>
      <c r="F52" s="639">
        <v>0</v>
      </c>
      <c r="G52" s="639">
        <v>0</v>
      </c>
      <c r="H52" s="639">
        <v>0</v>
      </c>
      <c r="I52" s="639">
        <v>0</v>
      </c>
      <c r="J52" s="639">
        <v>2</v>
      </c>
      <c r="K52" s="639">
        <v>3</v>
      </c>
      <c r="L52" s="639">
        <v>0</v>
      </c>
      <c r="M52" s="639">
        <v>0</v>
      </c>
    </row>
    <row r="53" spans="1:13" ht="15" customHeight="1" x14ac:dyDescent="0.2">
      <c r="A53" s="637" t="s">
        <v>210</v>
      </c>
      <c r="B53" s="637">
        <v>0</v>
      </c>
      <c r="C53" s="637">
        <v>0</v>
      </c>
      <c r="D53" s="637">
        <v>0</v>
      </c>
      <c r="E53" s="637">
        <v>0</v>
      </c>
      <c r="F53" s="637">
        <v>0</v>
      </c>
      <c r="G53" s="637">
        <v>0</v>
      </c>
      <c r="H53" s="637">
        <v>0</v>
      </c>
      <c r="I53" s="637">
        <v>0</v>
      </c>
      <c r="J53" s="637">
        <v>1</v>
      </c>
      <c r="K53" s="637">
        <v>1</v>
      </c>
      <c r="L53" s="637">
        <v>0</v>
      </c>
      <c r="M53" s="637">
        <v>1</v>
      </c>
    </row>
    <row r="54" spans="1:13" ht="15" customHeight="1" x14ac:dyDescent="0.2">
      <c r="A54" s="639" t="s">
        <v>211</v>
      </c>
      <c r="B54" s="639">
        <v>0</v>
      </c>
      <c r="C54" s="639">
        <v>0</v>
      </c>
      <c r="D54" s="639">
        <v>0</v>
      </c>
      <c r="E54" s="639">
        <v>0</v>
      </c>
      <c r="F54" s="639">
        <v>0</v>
      </c>
      <c r="G54" s="639">
        <v>0</v>
      </c>
      <c r="H54" s="639">
        <v>0</v>
      </c>
      <c r="I54" s="639">
        <v>0</v>
      </c>
      <c r="J54" s="639">
        <v>3</v>
      </c>
      <c r="K54" s="639">
        <v>1</v>
      </c>
      <c r="L54" s="639">
        <v>0</v>
      </c>
      <c r="M54" s="639">
        <v>0</v>
      </c>
    </row>
    <row r="55" spans="1:13" ht="15" customHeight="1" x14ac:dyDescent="0.2">
      <c r="A55" s="637" t="s">
        <v>350</v>
      </c>
      <c r="B55" s="637">
        <v>0</v>
      </c>
      <c r="C55" s="637">
        <v>0</v>
      </c>
      <c r="D55" s="637">
        <v>0</v>
      </c>
      <c r="E55" s="637">
        <v>0</v>
      </c>
      <c r="F55" s="637">
        <v>0</v>
      </c>
      <c r="G55" s="637">
        <v>0</v>
      </c>
      <c r="H55" s="637">
        <v>0</v>
      </c>
      <c r="I55" s="637">
        <v>0</v>
      </c>
      <c r="J55" s="637">
        <v>0</v>
      </c>
      <c r="K55" s="637">
        <v>0</v>
      </c>
      <c r="L55" s="637">
        <v>2</v>
      </c>
      <c r="M55" s="637">
        <v>0</v>
      </c>
    </row>
    <row r="56" spans="1:13" ht="15" customHeight="1" x14ac:dyDescent="0.2">
      <c r="A56" s="639" t="s">
        <v>473</v>
      </c>
      <c r="B56" s="639">
        <v>0</v>
      </c>
      <c r="C56" s="639">
        <v>0</v>
      </c>
      <c r="D56" s="639">
        <v>0</v>
      </c>
      <c r="E56" s="639">
        <v>0</v>
      </c>
      <c r="F56" s="639">
        <v>0</v>
      </c>
      <c r="G56" s="639">
        <v>0</v>
      </c>
      <c r="H56" s="639">
        <v>0</v>
      </c>
      <c r="I56" s="639">
        <v>0</v>
      </c>
      <c r="J56" s="639">
        <v>0</v>
      </c>
      <c r="K56" s="639">
        <v>1</v>
      </c>
      <c r="L56" s="639">
        <v>1</v>
      </c>
      <c r="M56" s="639">
        <v>0</v>
      </c>
    </row>
    <row r="57" spans="1:13" ht="15" customHeight="1" x14ac:dyDescent="0.2">
      <c r="A57" s="637" t="s">
        <v>286</v>
      </c>
      <c r="B57" s="637">
        <v>0</v>
      </c>
      <c r="C57" s="637">
        <v>0</v>
      </c>
      <c r="D57" s="637">
        <v>0</v>
      </c>
      <c r="E57" s="637">
        <v>0</v>
      </c>
      <c r="F57" s="637">
        <v>0</v>
      </c>
      <c r="G57" s="637">
        <v>0</v>
      </c>
      <c r="H57" s="637">
        <v>0</v>
      </c>
      <c r="I57" s="637">
        <v>0</v>
      </c>
      <c r="J57" s="637">
        <v>0</v>
      </c>
      <c r="K57" s="637">
        <v>0</v>
      </c>
      <c r="L57" s="637">
        <v>0</v>
      </c>
      <c r="M57" s="637">
        <v>1</v>
      </c>
    </row>
    <row r="58" spans="1:13" ht="15" customHeight="1" x14ac:dyDescent="0.2">
      <c r="A58" s="639" t="s">
        <v>549</v>
      </c>
      <c r="B58" s="639">
        <v>0</v>
      </c>
      <c r="C58" s="639">
        <v>0</v>
      </c>
      <c r="D58" s="639">
        <v>0</v>
      </c>
      <c r="E58" s="639">
        <v>0</v>
      </c>
      <c r="F58" s="639">
        <v>0</v>
      </c>
      <c r="G58" s="639">
        <v>0</v>
      </c>
      <c r="H58" s="639">
        <v>0</v>
      </c>
      <c r="I58" s="639">
        <v>0</v>
      </c>
      <c r="J58" s="639">
        <v>5</v>
      </c>
      <c r="K58" s="639">
        <v>0</v>
      </c>
      <c r="L58" s="639">
        <v>2</v>
      </c>
      <c r="M58" s="639">
        <v>1</v>
      </c>
    </row>
    <row r="59" spans="1:13" ht="15" customHeight="1" x14ac:dyDescent="0.2">
      <c r="A59" s="637" t="s">
        <v>553</v>
      </c>
      <c r="B59" s="637">
        <v>0</v>
      </c>
      <c r="C59" s="637">
        <v>0</v>
      </c>
      <c r="D59" s="637">
        <v>0</v>
      </c>
      <c r="E59" s="637">
        <v>1</v>
      </c>
      <c r="F59" s="637">
        <v>0</v>
      </c>
      <c r="G59" s="637">
        <v>1</v>
      </c>
      <c r="H59" s="637">
        <v>0</v>
      </c>
      <c r="I59" s="637">
        <v>0</v>
      </c>
      <c r="J59" s="637">
        <v>2</v>
      </c>
      <c r="K59" s="637">
        <v>2</v>
      </c>
      <c r="L59" s="637">
        <v>1</v>
      </c>
      <c r="M59" s="637">
        <v>1</v>
      </c>
    </row>
    <row r="60" spans="1:13" ht="15" customHeight="1" x14ac:dyDescent="0.2">
      <c r="A60" s="639" t="s">
        <v>554</v>
      </c>
      <c r="B60" s="639">
        <v>0</v>
      </c>
      <c r="C60" s="639">
        <v>0</v>
      </c>
      <c r="D60" s="639">
        <v>0</v>
      </c>
      <c r="E60" s="639">
        <v>0</v>
      </c>
      <c r="F60" s="639">
        <v>0</v>
      </c>
      <c r="G60" s="639">
        <v>0</v>
      </c>
      <c r="H60" s="639">
        <v>0</v>
      </c>
      <c r="I60" s="639">
        <v>0</v>
      </c>
      <c r="J60" s="639">
        <v>4</v>
      </c>
      <c r="K60" s="639">
        <v>2</v>
      </c>
      <c r="L60" s="639">
        <v>2</v>
      </c>
      <c r="M60" s="639">
        <v>0</v>
      </c>
    </row>
    <row r="61" spans="1:13" ht="15" customHeight="1" x14ac:dyDescent="0.2">
      <c r="A61" s="637" t="s">
        <v>555</v>
      </c>
      <c r="B61" s="637">
        <v>0</v>
      </c>
      <c r="C61" s="637">
        <v>0</v>
      </c>
      <c r="D61" s="637">
        <v>0</v>
      </c>
      <c r="E61" s="637">
        <v>0</v>
      </c>
      <c r="F61" s="637">
        <v>0</v>
      </c>
      <c r="G61" s="637">
        <v>0</v>
      </c>
      <c r="H61" s="637">
        <v>0</v>
      </c>
      <c r="I61" s="637">
        <v>0</v>
      </c>
      <c r="J61" s="637">
        <v>1</v>
      </c>
      <c r="K61" s="637">
        <v>0</v>
      </c>
      <c r="L61" s="637">
        <v>2</v>
      </c>
      <c r="M61" s="637">
        <v>1</v>
      </c>
    </row>
    <row r="62" spans="1:13" ht="15" customHeight="1" x14ac:dyDescent="0.2">
      <c r="A62" s="639" t="s">
        <v>556</v>
      </c>
      <c r="B62" s="639">
        <v>0</v>
      </c>
      <c r="C62" s="639">
        <v>0</v>
      </c>
      <c r="D62" s="639">
        <v>0</v>
      </c>
      <c r="E62" s="639">
        <v>0</v>
      </c>
      <c r="F62" s="639">
        <v>0</v>
      </c>
      <c r="G62" s="639">
        <v>0</v>
      </c>
      <c r="H62" s="639">
        <v>0</v>
      </c>
      <c r="I62" s="639">
        <v>0</v>
      </c>
      <c r="J62" s="639">
        <v>3</v>
      </c>
      <c r="K62" s="639">
        <v>2</v>
      </c>
      <c r="L62" s="639">
        <v>0</v>
      </c>
      <c r="M62" s="639">
        <v>0</v>
      </c>
    </row>
    <row r="63" spans="1:13" ht="15" customHeight="1" x14ac:dyDescent="0.2">
      <c r="A63" s="637" t="s">
        <v>557</v>
      </c>
      <c r="B63" s="637">
        <v>0</v>
      </c>
      <c r="C63" s="637">
        <v>0</v>
      </c>
      <c r="D63" s="637">
        <v>0</v>
      </c>
      <c r="E63" s="637">
        <v>0</v>
      </c>
      <c r="F63" s="637">
        <v>0</v>
      </c>
      <c r="G63" s="637">
        <v>0</v>
      </c>
      <c r="H63" s="637">
        <v>0</v>
      </c>
      <c r="I63" s="637">
        <v>0</v>
      </c>
      <c r="J63" s="637">
        <v>0</v>
      </c>
      <c r="K63" s="637">
        <v>1</v>
      </c>
      <c r="L63" s="637">
        <v>0</v>
      </c>
      <c r="M63" s="637">
        <v>0</v>
      </c>
    </row>
    <row r="67" spans="1:13" ht="20" customHeight="1" x14ac:dyDescent="0.2">
      <c r="A67" s="700" t="s">
        <v>558</v>
      </c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</row>
    <row r="68" spans="1:13" x14ac:dyDescent="0.2">
      <c r="A68" s="634" t="s">
        <v>534</v>
      </c>
      <c r="B68" s="634" t="s">
        <v>535</v>
      </c>
      <c r="C68" s="634" t="s">
        <v>536</v>
      </c>
      <c r="D68" s="634" t="s">
        <v>537</v>
      </c>
      <c r="E68" s="634" t="s">
        <v>538</v>
      </c>
      <c r="F68" s="634" t="s">
        <v>539</v>
      </c>
      <c r="G68" s="634" t="s">
        <v>540</v>
      </c>
      <c r="H68" s="634" t="s">
        <v>541</v>
      </c>
      <c r="I68" s="634" t="s">
        <v>542</v>
      </c>
      <c r="J68" s="634" t="s">
        <v>543</v>
      </c>
      <c r="K68" s="634" t="s">
        <v>544</v>
      </c>
      <c r="L68" s="634" t="s">
        <v>545</v>
      </c>
      <c r="M68" s="634" t="s">
        <v>546</v>
      </c>
    </row>
    <row r="69" spans="1:13" ht="15" customHeight="1" x14ac:dyDescent="0.2">
      <c r="A69" s="637" t="s">
        <v>204</v>
      </c>
      <c r="B69" s="637">
        <v>332</v>
      </c>
      <c r="C69" s="637">
        <v>643</v>
      </c>
      <c r="D69" s="637">
        <v>669</v>
      </c>
      <c r="E69" s="637">
        <v>362</v>
      </c>
      <c r="F69" s="637">
        <v>463</v>
      </c>
      <c r="G69" s="637">
        <v>335</v>
      </c>
      <c r="H69" s="637">
        <v>340</v>
      </c>
      <c r="I69" s="637">
        <v>474</v>
      </c>
      <c r="J69" s="637">
        <v>335</v>
      </c>
      <c r="K69" s="637">
        <v>404</v>
      </c>
      <c r="L69" s="637">
        <v>216</v>
      </c>
      <c r="M69" s="637">
        <v>314</v>
      </c>
    </row>
    <row r="70" spans="1:13" ht="15" customHeight="1" x14ac:dyDescent="0.2">
      <c r="A70" s="640" t="s">
        <v>207</v>
      </c>
      <c r="B70" s="640">
        <v>1320</v>
      </c>
      <c r="C70" s="640">
        <v>593</v>
      </c>
      <c r="D70" s="640">
        <v>243</v>
      </c>
      <c r="E70" s="640">
        <v>305</v>
      </c>
      <c r="F70" s="640">
        <v>1051</v>
      </c>
      <c r="G70" s="640">
        <v>866</v>
      </c>
      <c r="H70" s="640">
        <v>377</v>
      </c>
      <c r="I70" s="640">
        <v>476</v>
      </c>
      <c r="J70" s="640">
        <v>0</v>
      </c>
      <c r="K70" s="640">
        <v>0</v>
      </c>
      <c r="L70" s="640">
        <v>0</v>
      </c>
      <c r="M70" s="640">
        <v>0</v>
      </c>
    </row>
    <row r="71" spans="1:13" ht="15" customHeight="1" x14ac:dyDescent="0.2">
      <c r="A71" s="637" t="s">
        <v>208</v>
      </c>
      <c r="B71" s="637">
        <v>590</v>
      </c>
      <c r="C71" s="637">
        <v>730</v>
      </c>
      <c r="D71" s="637">
        <v>855</v>
      </c>
      <c r="E71" s="637">
        <v>1169</v>
      </c>
      <c r="F71" s="637">
        <v>1505</v>
      </c>
      <c r="G71" s="637">
        <v>855</v>
      </c>
      <c r="H71" s="637">
        <v>320</v>
      </c>
      <c r="I71" s="637">
        <v>1077</v>
      </c>
      <c r="J71" s="637">
        <v>789</v>
      </c>
      <c r="K71" s="637">
        <v>998</v>
      </c>
      <c r="L71" s="637">
        <v>799</v>
      </c>
      <c r="M71" s="637">
        <v>800</v>
      </c>
    </row>
    <row r="72" spans="1:13" ht="15" customHeight="1" x14ac:dyDescent="0.2">
      <c r="A72" s="640" t="s">
        <v>209</v>
      </c>
      <c r="B72" s="640">
        <v>951</v>
      </c>
      <c r="C72" s="640">
        <v>810</v>
      </c>
      <c r="D72" s="640">
        <v>809</v>
      </c>
      <c r="E72" s="640">
        <v>1126</v>
      </c>
      <c r="F72" s="640">
        <v>1738</v>
      </c>
      <c r="G72" s="640">
        <v>892</v>
      </c>
      <c r="H72" s="640">
        <v>243</v>
      </c>
      <c r="I72" s="640">
        <v>875</v>
      </c>
      <c r="J72" s="640">
        <v>759</v>
      </c>
      <c r="K72" s="640">
        <v>817</v>
      </c>
      <c r="L72" s="640">
        <v>868</v>
      </c>
      <c r="M72" s="640">
        <v>564</v>
      </c>
    </row>
    <row r="73" spans="1:13" ht="15" customHeight="1" x14ac:dyDescent="0.2">
      <c r="A73" s="637" t="s">
        <v>210</v>
      </c>
      <c r="B73" s="637">
        <v>338</v>
      </c>
      <c r="C73" s="637">
        <v>545</v>
      </c>
      <c r="D73" s="637">
        <v>878</v>
      </c>
      <c r="E73" s="637">
        <v>1082</v>
      </c>
      <c r="F73" s="637">
        <v>1696</v>
      </c>
      <c r="G73" s="637">
        <v>853</v>
      </c>
      <c r="H73" s="637">
        <v>403</v>
      </c>
      <c r="I73" s="637">
        <v>880</v>
      </c>
      <c r="J73" s="637">
        <v>867</v>
      </c>
      <c r="K73" s="637">
        <v>876</v>
      </c>
      <c r="L73" s="637">
        <v>825</v>
      </c>
      <c r="M73" s="637">
        <v>772</v>
      </c>
    </row>
    <row r="74" spans="1:13" ht="15" customHeight="1" x14ac:dyDescent="0.2">
      <c r="A74" s="640" t="s">
        <v>365</v>
      </c>
      <c r="B74" s="640">
        <v>503</v>
      </c>
      <c r="C74" s="640">
        <v>430</v>
      </c>
      <c r="D74" s="640">
        <v>360</v>
      </c>
      <c r="E74" s="640">
        <v>300</v>
      </c>
      <c r="F74" s="640">
        <v>305</v>
      </c>
      <c r="G74" s="640">
        <v>285</v>
      </c>
      <c r="H74" s="640">
        <v>350</v>
      </c>
      <c r="I74" s="640">
        <v>300</v>
      </c>
      <c r="J74" s="640">
        <v>470</v>
      </c>
      <c r="K74" s="640">
        <v>222</v>
      </c>
      <c r="L74" s="640">
        <v>331</v>
      </c>
      <c r="M74" s="640">
        <v>350</v>
      </c>
    </row>
    <row r="75" spans="1:13" ht="15" customHeight="1" x14ac:dyDescent="0.2">
      <c r="A75" s="637" t="s">
        <v>211</v>
      </c>
      <c r="B75" s="637">
        <v>773</v>
      </c>
      <c r="C75" s="637">
        <v>473</v>
      </c>
      <c r="D75" s="637">
        <v>255</v>
      </c>
      <c r="E75" s="637">
        <v>194</v>
      </c>
      <c r="F75" s="637">
        <v>686</v>
      </c>
      <c r="G75" s="637">
        <v>438</v>
      </c>
      <c r="H75" s="637">
        <v>237</v>
      </c>
      <c r="I75" s="637">
        <v>0</v>
      </c>
      <c r="J75" s="637">
        <v>797</v>
      </c>
      <c r="K75" s="637">
        <v>467</v>
      </c>
      <c r="L75" s="637">
        <v>667</v>
      </c>
      <c r="M75" s="637">
        <v>408</v>
      </c>
    </row>
    <row r="76" spans="1:13" ht="15" customHeight="1" x14ac:dyDescent="0.2">
      <c r="A76" s="640" t="s">
        <v>212</v>
      </c>
      <c r="B76" s="640">
        <v>493</v>
      </c>
      <c r="C76" s="640">
        <v>0</v>
      </c>
      <c r="D76" s="640">
        <v>456</v>
      </c>
      <c r="E76" s="640">
        <v>917</v>
      </c>
      <c r="F76" s="640">
        <v>1040</v>
      </c>
      <c r="G76" s="640">
        <v>1039</v>
      </c>
      <c r="H76" s="640">
        <v>218</v>
      </c>
      <c r="I76" s="640">
        <v>1149</v>
      </c>
      <c r="J76" s="640">
        <v>0</v>
      </c>
      <c r="K76" s="640">
        <v>0</v>
      </c>
      <c r="L76" s="640">
        <v>0</v>
      </c>
      <c r="M76" s="640">
        <v>0</v>
      </c>
    </row>
    <row r="77" spans="1:13" ht="15" customHeight="1" x14ac:dyDescent="0.2">
      <c r="A77" s="637" t="s">
        <v>213</v>
      </c>
      <c r="B77" s="637">
        <v>295</v>
      </c>
      <c r="C77" s="637">
        <v>420</v>
      </c>
      <c r="D77" s="637">
        <v>350</v>
      </c>
      <c r="E77" s="637">
        <v>305</v>
      </c>
      <c r="F77" s="637">
        <v>305</v>
      </c>
      <c r="G77" s="637">
        <v>305</v>
      </c>
      <c r="H77" s="637">
        <v>305</v>
      </c>
      <c r="I77" s="637">
        <v>290</v>
      </c>
      <c r="J77" s="637">
        <v>386</v>
      </c>
      <c r="K77" s="637">
        <v>369</v>
      </c>
      <c r="L77" s="637">
        <v>445</v>
      </c>
      <c r="M77" s="637">
        <v>386</v>
      </c>
    </row>
    <row r="78" spans="1:13" ht="15" customHeight="1" x14ac:dyDescent="0.2">
      <c r="A78" s="640" t="s">
        <v>403</v>
      </c>
      <c r="B78" s="640">
        <v>0</v>
      </c>
      <c r="C78" s="640">
        <v>0</v>
      </c>
      <c r="D78" s="640">
        <v>0</v>
      </c>
      <c r="E78" s="640">
        <v>0</v>
      </c>
      <c r="F78" s="640">
        <v>0</v>
      </c>
      <c r="G78" s="640">
        <v>600</v>
      </c>
      <c r="H78" s="640">
        <v>670</v>
      </c>
      <c r="I78" s="640">
        <v>640</v>
      </c>
      <c r="J78" s="640">
        <v>609</v>
      </c>
      <c r="K78" s="640">
        <v>806</v>
      </c>
      <c r="L78" s="640">
        <v>773</v>
      </c>
      <c r="M78" s="640">
        <v>803</v>
      </c>
    </row>
    <row r="79" spans="1:13" ht="15" customHeight="1" x14ac:dyDescent="0.2">
      <c r="A79" s="637" t="s">
        <v>286</v>
      </c>
      <c r="B79" s="637">
        <v>79</v>
      </c>
      <c r="C79" s="637">
        <v>65</v>
      </c>
      <c r="D79" s="637">
        <v>62</v>
      </c>
      <c r="E79" s="637">
        <v>60</v>
      </c>
      <c r="F79" s="637">
        <v>71</v>
      </c>
      <c r="G79" s="637">
        <v>74</v>
      </c>
      <c r="H79" s="637">
        <v>82</v>
      </c>
      <c r="I79" s="637">
        <v>86</v>
      </c>
      <c r="J79" s="637">
        <v>101</v>
      </c>
      <c r="K79" s="637">
        <v>138</v>
      </c>
      <c r="L79" s="637">
        <v>105</v>
      </c>
      <c r="M79" s="637">
        <v>73</v>
      </c>
    </row>
    <row r="80" spans="1:13" ht="15" customHeight="1" x14ac:dyDescent="0.2">
      <c r="A80" s="640" t="s">
        <v>350</v>
      </c>
      <c r="B80" s="640">
        <v>0</v>
      </c>
      <c r="C80" s="640">
        <v>0</v>
      </c>
      <c r="D80" s="640">
        <v>0</v>
      </c>
      <c r="E80" s="640">
        <v>0</v>
      </c>
      <c r="F80" s="640">
        <v>392</v>
      </c>
      <c r="G80" s="640">
        <v>0</v>
      </c>
      <c r="H80" s="640">
        <v>0</v>
      </c>
      <c r="I80" s="640">
        <v>436</v>
      </c>
      <c r="J80" s="640">
        <v>750</v>
      </c>
      <c r="K80" s="640">
        <v>903</v>
      </c>
      <c r="L80" s="640">
        <v>874</v>
      </c>
      <c r="M80" s="640">
        <v>701</v>
      </c>
    </row>
    <row r="81" spans="1:13" ht="15" customHeight="1" x14ac:dyDescent="0.2">
      <c r="A81" s="637" t="s">
        <v>547</v>
      </c>
      <c r="B81" s="637">
        <v>44</v>
      </c>
      <c r="C81" s="637">
        <v>24</v>
      </c>
      <c r="D81" s="637">
        <v>39</v>
      </c>
      <c r="E81" s="637">
        <v>111</v>
      </c>
      <c r="F81" s="637">
        <v>156</v>
      </c>
      <c r="G81" s="637">
        <v>143</v>
      </c>
      <c r="H81" s="637">
        <v>0</v>
      </c>
      <c r="I81" s="637">
        <v>0</v>
      </c>
      <c r="J81" s="637">
        <v>0</v>
      </c>
      <c r="K81" s="637">
        <v>41</v>
      </c>
      <c r="L81" s="637">
        <v>45</v>
      </c>
      <c r="M81" s="637">
        <v>0</v>
      </c>
    </row>
    <row r="82" spans="1:13" ht="15" customHeight="1" x14ac:dyDescent="0.2">
      <c r="A82" s="640" t="s">
        <v>548</v>
      </c>
      <c r="B82" s="640">
        <v>37</v>
      </c>
      <c r="C82" s="640">
        <v>55</v>
      </c>
      <c r="D82" s="640">
        <v>54</v>
      </c>
      <c r="E82" s="640">
        <v>49</v>
      </c>
      <c r="F82" s="640">
        <v>45</v>
      </c>
      <c r="G82" s="640">
        <v>37</v>
      </c>
      <c r="H82" s="640">
        <v>10</v>
      </c>
      <c r="I82" s="640">
        <v>44</v>
      </c>
      <c r="J82" s="640">
        <v>43</v>
      </c>
      <c r="K82" s="640">
        <v>57</v>
      </c>
      <c r="L82" s="640">
        <v>25</v>
      </c>
      <c r="M82" s="640">
        <v>51</v>
      </c>
    </row>
    <row r="83" spans="1:13" ht="15" customHeight="1" x14ac:dyDescent="0.2">
      <c r="A83" s="637" t="s">
        <v>549</v>
      </c>
      <c r="B83" s="637">
        <v>83</v>
      </c>
      <c r="C83" s="637">
        <v>25</v>
      </c>
      <c r="D83" s="637">
        <v>25</v>
      </c>
      <c r="E83" s="637">
        <v>42</v>
      </c>
      <c r="F83" s="637">
        <v>53</v>
      </c>
      <c r="G83" s="637">
        <v>117</v>
      </c>
      <c r="H83" s="637">
        <v>24</v>
      </c>
      <c r="I83" s="637">
        <v>44</v>
      </c>
      <c r="J83" s="637">
        <v>157</v>
      </c>
      <c r="K83" s="637">
        <v>166</v>
      </c>
      <c r="L83" s="637">
        <v>137</v>
      </c>
      <c r="M83" s="637">
        <v>169</v>
      </c>
    </row>
  </sheetData>
  <mergeCells count="12">
    <mergeCell ref="S3:X3"/>
    <mergeCell ref="A1:Z1"/>
    <mergeCell ref="A2:Z2"/>
    <mergeCell ref="A4:M4"/>
    <mergeCell ref="A23:M23"/>
    <mergeCell ref="A67:M67"/>
    <mergeCell ref="B3:E3"/>
    <mergeCell ref="F3:I3"/>
    <mergeCell ref="J3:M3"/>
    <mergeCell ref="N3:R3"/>
    <mergeCell ref="A42:N42"/>
    <mergeCell ref="A48:M4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F799-476B-0447-A922-6113426D5844}">
  <dimension ref="A1:M23"/>
  <sheetViews>
    <sheetView workbookViewId="0"/>
  </sheetViews>
  <sheetFormatPr baseColWidth="10" defaultRowHeight="15" x14ac:dyDescent="0.2"/>
  <sheetData>
    <row r="1" spans="1:13" x14ac:dyDescent="0.2">
      <c r="A1" s="646" t="s">
        <v>84</v>
      </c>
      <c r="B1" s="646" t="s">
        <v>535</v>
      </c>
      <c r="C1" s="646" t="s">
        <v>536</v>
      </c>
      <c r="D1" s="646" t="s">
        <v>537</v>
      </c>
      <c r="E1" s="646" t="s">
        <v>538</v>
      </c>
      <c r="F1" s="646" t="s">
        <v>539</v>
      </c>
      <c r="G1" s="646" t="s">
        <v>540</v>
      </c>
      <c r="H1" s="646" t="s">
        <v>541</v>
      </c>
      <c r="I1" s="646" t="s">
        <v>542</v>
      </c>
      <c r="J1" s="646" t="s">
        <v>543</v>
      </c>
      <c r="K1" s="646" t="s">
        <v>544</v>
      </c>
      <c r="L1" s="646" t="s">
        <v>545</v>
      </c>
      <c r="M1" s="646" t="s">
        <v>546</v>
      </c>
    </row>
    <row r="2" spans="1:13" x14ac:dyDescent="0.2">
      <c r="A2" s="630" t="s">
        <v>571</v>
      </c>
      <c r="B2" s="630">
        <f>'KPI Individual'!B6</f>
        <v>774</v>
      </c>
      <c r="C2" s="630">
        <f>'KPI Individual'!C6</f>
        <v>453</v>
      </c>
      <c r="D2" s="630">
        <f>'KPI Individual'!D6</f>
        <v>1637</v>
      </c>
      <c r="E2" s="630">
        <f>'KPI Individual'!E6</f>
        <v>1811</v>
      </c>
      <c r="F2" s="630">
        <f>'KPI Individual'!F6</f>
        <v>3263</v>
      </c>
      <c r="G2" s="630">
        <f>'KPI Individual'!G6</f>
        <v>1789</v>
      </c>
      <c r="H2" s="630">
        <f>'KPI Individual'!H6</f>
        <v>2334</v>
      </c>
      <c r="I2" s="630">
        <f>'KPI Individual'!I6</f>
        <v>2333</v>
      </c>
      <c r="J2" s="630">
        <f>'KPI Individual'!J6</f>
        <v>2059</v>
      </c>
      <c r="K2" s="630">
        <f>'KPI Individual'!K6</f>
        <v>2799</v>
      </c>
      <c r="L2" s="630">
        <f>'KPI Individual'!L6</f>
        <v>1480</v>
      </c>
      <c r="M2" s="630">
        <f>'KPI Individual'!M6</f>
        <v>2112</v>
      </c>
    </row>
    <row r="4" spans="1:13" x14ac:dyDescent="0.2">
      <c r="A4" s="646" t="s">
        <v>84</v>
      </c>
      <c r="B4" s="646" t="s">
        <v>535</v>
      </c>
      <c r="C4" s="646" t="s">
        <v>536</v>
      </c>
      <c r="D4" s="646" t="s">
        <v>537</v>
      </c>
      <c r="E4" s="646" t="s">
        <v>538</v>
      </c>
      <c r="F4" s="646" t="s">
        <v>539</v>
      </c>
      <c r="G4" s="646" t="s">
        <v>540</v>
      </c>
      <c r="H4" s="646" t="s">
        <v>541</v>
      </c>
      <c r="I4" s="646" t="s">
        <v>542</v>
      </c>
      <c r="J4" s="646" t="s">
        <v>543</v>
      </c>
      <c r="K4" s="646" t="s">
        <v>544</v>
      </c>
      <c r="L4" s="646" t="s">
        <v>545</v>
      </c>
      <c r="M4" s="646" t="s">
        <v>546</v>
      </c>
    </row>
    <row r="5" spans="1:13" x14ac:dyDescent="0.2">
      <c r="A5" s="630" t="s">
        <v>573</v>
      </c>
      <c r="B5" s="630">
        <f>'KPI Individual'!B8</f>
        <v>331.89</v>
      </c>
      <c r="C5" s="630">
        <f>'KPI Individual'!C8</f>
        <v>642.59</v>
      </c>
      <c r="D5" s="630">
        <f>'KPI Individual'!D8</f>
        <v>669.06</v>
      </c>
      <c r="E5" s="630">
        <f>'KPI Individual'!E8</f>
        <v>362.3</v>
      </c>
      <c r="F5" s="630">
        <f>'KPI Individual'!F8</f>
        <v>462.8</v>
      </c>
      <c r="G5" s="630">
        <f>'KPI Individual'!G8</f>
        <v>334.93</v>
      </c>
      <c r="H5" s="630">
        <f>'KPI Individual'!H8</f>
        <v>340.28</v>
      </c>
      <c r="I5" s="630">
        <f>'KPI Individual'!I8</f>
        <v>473.95000000000005</v>
      </c>
      <c r="J5" s="630">
        <f>'KPI Individual'!J8</f>
        <v>335.46000000000004</v>
      </c>
      <c r="K5" s="630">
        <f>'KPI Individual'!K8</f>
        <v>403.5</v>
      </c>
      <c r="L5" s="630">
        <f>'KPI Individual'!L8</f>
        <v>216.49</v>
      </c>
      <c r="M5" s="630">
        <f>'KPI Individual'!M8</f>
        <v>314.25</v>
      </c>
    </row>
    <row r="7" spans="1:13" x14ac:dyDescent="0.2">
      <c r="A7" s="646" t="s">
        <v>84</v>
      </c>
      <c r="B7" s="646" t="s">
        <v>535</v>
      </c>
      <c r="C7" s="646" t="s">
        <v>536</v>
      </c>
      <c r="D7" s="646" t="s">
        <v>537</v>
      </c>
      <c r="E7" s="646" t="s">
        <v>538</v>
      </c>
      <c r="F7" s="646" t="s">
        <v>539</v>
      </c>
      <c r="G7" s="646" t="s">
        <v>540</v>
      </c>
      <c r="H7" s="646" t="s">
        <v>541</v>
      </c>
      <c r="I7" s="646" t="s">
        <v>542</v>
      </c>
      <c r="J7" s="646" t="s">
        <v>543</v>
      </c>
      <c r="K7" s="646" t="s">
        <v>544</v>
      </c>
      <c r="L7" s="646" t="s">
        <v>545</v>
      </c>
      <c r="M7" s="646" t="s">
        <v>546</v>
      </c>
    </row>
    <row r="8" spans="1:13" x14ac:dyDescent="0.2">
      <c r="A8" s="630" t="s">
        <v>574</v>
      </c>
      <c r="B8" s="630">
        <f>'KPI Individual'!B9</f>
        <v>2.3320979842718974</v>
      </c>
      <c r="C8" s="630">
        <f>'KPI Individual'!C9</f>
        <v>0.70495961655176709</v>
      </c>
      <c r="D8" s="630">
        <f>'KPI Individual'!D9</f>
        <v>2.4467162885241982</v>
      </c>
      <c r="E8" s="630">
        <f>'KPI Individual'!E9</f>
        <v>4.998619928236268</v>
      </c>
      <c r="F8" s="630">
        <f>'KPI Individual'!F9</f>
        <v>7.0505617977528088</v>
      </c>
      <c r="G8" s="630">
        <f>'KPI Individual'!G9</f>
        <v>5.3414146239512732</v>
      </c>
      <c r="H8" s="630">
        <f>'KPI Individual'!H9</f>
        <v>6.8590572469730819</v>
      </c>
      <c r="I8" s="630">
        <f>'KPI Individual'!I9</f>
        <v>4.9224601751239581</v>
      </c>
      <c r="J8" s="630">
        <f>'KPI Individual'!J9</f>
        <v>6.1378405771179869</v>
      </c>
      <c r="K8" s="630">
        <f>'KPI Individual'!K9</f>
        <v>6.9368029739776951</v>
      </c>
      <c r="L8" s="630">
        <f>'KPI Individual'!L9</f>
        <v>6.8363434800683631</v>
      </c>
      <c r="M8" s="630">
        <f>'KPI Individual'!M9</f>
        <v>6.7207637231503581</v>
      </c>
    </row>
    <row r="10" spans="1:13" x14ac:dyDescent="0.2">
      <c r="A10" s="646" t="s">
        <v>84</v>
      </c>
      <c r="B10" s="646" t="s">
        <v>535</v>
      </c>
      <c r="C10" s="646" t="s">
        <v>536</v>
      </c>
      <c r="D10" s="646" t="s">
        <v>537</v>
      </c>
      <c r="E10" s="646" t="s">
        <v>538</v>
      </c>
      <c r="F10" s="646" t="s">
        <v>539</v>
      </c>
      <c r="G10" s="646" t="s">
        <v>540</v>
      </c>
      <c r="H10" s="646" t="s">
        <v>541</v>
      </c>
      <c r="I10" s="646" t="s">
        <v>542</v>
      </c>
      <c r="J10" s="646" t="s">
        <v>543</v>
      </c>
      <c r="K10" s="646" t="s">
        <v>544</v>
      </c>
      <c r="L10" s="646" t="s">
        <v>545</v>
      </c>
      <c r="M10" s="646" t="s">
        <v>546</v>
      </c>
    </row>
    <row r="11" spans="1:13" x14ac:dyDescent="0.2">
      <c r="A11" s="630" t="s">
        <v>575</v>
      </c>
      <c r="B11" s="630">
        <f>'KPI Individual'!B10</f>
        <v>8039</v>
      </c>
      <c r="C11" s="630">
        <f>'KPI Individual'!C10</f>
        <v>7836</v>
      </c>
      <c r="D11" s="630">
        <f>'KPI Individual'!D10</f>
        <v>0</v>
      </c>
      <c r="E11" s="630">
        <f>'KPI Individual'!E10</f>
        <v>0</v>
      </c>
      <c r="F11" s="630">
        <f>'KPI Individual'!F10</f>
        <v>0</v>
      </c>
      <c r="G11" s="630">
        <f>'KPI Individual'!G10</f>
        <v>8000</v>
      </c>
      <c r="H11" s="630">
        <f>'KPI Individual'!H10</f>
        <v>0</v>
      </c>
      <c r="I11" s="630">
        <f>'KPI Individual'!I10</f>
        <v>0</v>
      </c>
      <c r="J11" s="630">
        <f>'KPI Individual'!J10</f>
        <v>7928</v>
      </c>
      <c r="K11" s="630">
        <f>'KPI Individual'!K10</f>
        <v>0</v>
      </c>
      <c r="L11" s="630">
        <f>'KPI Individual'!L10</f>
        <v>0</v>
      </c>
      <c r="M11" s="630">
        <f>'KPI Individual'!M10</f>
        <v>0</v>
      </c>
    </row>
    <row r="13" spans="1:13" x14ac:dyDescent="0.2">
      <c r="A13" s="646" t="s">
        <v>84</v>
      </c>
      <c r="B13" s="646" t="s">
        <v>535</v>
      </c>
      <c r="C13" s="646" t="s">
        <v>536</v>
      </c>
      <c r="D13" s="646" t="s">
        <v>537</v>
      </c>
      <c r="E13" s="646" t="s">
        <v>538</v>
      </c>
      <c r="F13" s="646" t="s">
        <v>539</v>
      </c>
      <c r="G13" s="646" t="s">
        <v>540</v>
      </c>
      <c r="H13" s="646" t="s">
        <v>541</v>
      </c>
      <c r="I13" s="646" t="s">
        <v>542</v>
      </c>
      <c r="J13" s="646" t="s">
        <v>543</v>
      </c>
      <c r="K13" s="646" t="s">
        <v>544</v>
      </c>
      <c r="L13" s="646" t="s">
        <v>545</v>
      </c>
      <c r="M13" s="646" t="s">
        <v>546</v>
      </c>
    </row>
    <row r="14" spans="1:13" x14ac:dyDescent="0.2">
      <c r="A14" s="630" t="s">
        <v>576</v>
      </c>
      <c r="B14" s="630">
        <f>'KPI Individual'!B11</f>
        <v>0</v>
      </c>
      <c r="C14" s="630">
        <f>'KPI Individual'!C11</f>
        <v>0</v>
      </c>
      <c r="D14" s="630">
        <f>'KPI Individual'!D11</f>
        <v>0</v>
      </c>
      <c r="E14" s="630">
        <f>'KPI Individual'!E11</f>
        <v>0</v>
      </c>
      <c r="F14" s="630">
        <f>'KPI Individual'!F11</f>
        <v>0</v>
      </c>
      <c r="G14" s="630">
        <f>'KPI Individual'!G11</f>
        <v>0</v>
      </c>
      <c r="H14" s="630">
        <f>'KPI Individual'!H11</f>
        <v>0</v>
      </c>
      <c r="I14" s="630">
        <f>'KPI Individual'!I11</f>
        <v>0</v>
      </c>
      <c r="J14" s="630">
        <f>'KPI Individual'!J11</f>
        <v>0</v>
      </c>
      <c r="K14" s="630">
        <f>'KPI Individual'!K11</f>
        <v>0</v>
      </c>
      <c r="L14" s="630">
        <f>'KPI Individual'!L11</f>
        <v>0</v>
      </c>
      <c r="M14" s="630">
        <f>'KPI Individual'!M11</f>
        <v>96.666666666666686</v>
      </c>
    </row>
    <row r="16" spans="1:13" x14ac:dyDescent="0.2">
      <c r="A16" s="646" t="s">
        <v>84</v>
      </c>
      <c r="B16" s="646" t="s">
        <v>535</v>
      </c>
      <c r="C16" s="646" t="s">
        <v>536</v>
      </c>
      <c r="D16" s="646" t="s">
        <v>537</v>
      </c>
      <c r="E16" s="646" t="s">
        <v>538</v>
      </c>
      <c r="F16" s="646" t="s">
        <v>539</v>
      </c>
      <c r="G16" s="646" t="s">
        <v>540</v>
      </c>
      <c r="H16" s="646" t="s">
        <v>541</v>
      </c>
      <c r="I16" s="646" t="s">
        <v>542</v>
      </c>
      <c r="J16" s="646" t="s">
        <v>543</v>
      </c>
      <c r="K16" s="646" t="s">
        <v>544</v>
      </c>
      <c r="L16" s="646" t="s">
        <v>545</v>
      </c>
      <c r="M16" s="646" t="s">
        <v>546</v>
      </c>
    </row>
    <row r="17" spans="1:13" x14ac:dyDescent="0.2">
      <c r="A17" s="630" t="s">
        <v>577</v>
      </c>
      <c r="B17" s="630">
        <f>'KPI Individual'!B12</f>
        <v>1</v>
      </c>
      <c r="C17" s="630">
        <f>'KPI Individual'!C12</f>
        <v>1</v>
      </c>
      <c r="D17" s="630">
        <f>'KPI Individual'!D12</f>
        <v>0</v>
      </c>
      <c r="E17" s="630">
        <f>'KPI Individual'!E12</f>
        <v>0</v>
      </c>
      <c r="F17" s="630">
        <f>'KPI Individual'!F12</f>
        <v>0</v>
      </c>
      <c r="G17" s="630">
        <f>'KPI Individual'!G12</f>
        <v>1</v>
      </c>
      <c r="H17" s="630">
        <f>'KPI Individual'!H12</f>
        <v>0</v>
      </c>
      <c r="I17" s="630">
        <f>'KPI Individual'!I12</f>
        <v>0</v>
      </c>
      <c r="J17" s="630">
        <f>'KPI Individual'!J12</f>
        <v>1</v>
      </c>
      <c r="K17" s="630">
        <f>'KPI Individual'!K12</f>
        <v>0</v>
      </c>
      <c r="L17" s="630">
        <f>'KPI Individual'!L12</f>
        <v>0</v>
      </c>
      <c r="M17" s="630">
        <f>'KPI Individual'!M12</f>
        <v>0</v>
      </c>
    </row>
    <row r="19" spans="1:13" x14ac:dyDescent="0.2">
      <c r="A19" s="646" t="s">
        <v>84</v>
      </c>
      <c r="B19" s="646" t="s">
        <v>535</v>
      </c>
      <c r="C19" s="646" t="s">
        <v>536</v>
      </c>
      <c r="D19" s="646" t="s">
        <v>537</v>
      </c>
      <c r="E19" s="646" t="s">
        <v>538</v>
      </c>
      <c r="F19" s="646" t="s">
        <v>539</v>
      </c>
      <c r="G19" s="646" t="s">
        <v>540</v>
      </c>
      <c r="H19" s="646" t="s">
        <v>541</v>
      </c>
      <c r="I19" s="646" t="s">
        <v>542</v>
      </c>
      <c r="J19" s="646" t="s">
        <v>543</v>
      </c>
      <c r="K19" s="646" t="s">
        <v>544</v>
      </c>
      <c r="L19" s="646" t="s">
        <v>545</v>
      </c>
      <c r="M19" s="646" t="s">
        <v>546</v>
      </c>
    </row>
    <row r="20" spans="1:13" x14ac:dyDescent="0.2">
      <c r="A20" s="630" t="s">
        <v>578</v>
      </c>
      <c r="B20" s="630">
        <f>'KPI Individual'!B13</f>
        <v>0</v>
      </c>
      <c r="C20" s="630">
        <f>'KPI Individual'!C13</f>
        <v>0</v>
      </c>
      <c r="D20" s="630">
        <f>'KPI Individual'!D13</f>
        <v>0</v>
      </c>
      <c r="E20" s="630">
        <f>'KPI Individual'!E13</f>
        <v>0</v>
      </c>
      <c r="F20" s="630">
        <f>'KPI Individual'!F13</f>
        <v>0</v>
      </c>
      <c r="G20" s="630">
        <f>'KPI Individual'!G13</f>
        <v>0</v>
      </c>
      <c r="H20" s="630">
        <f>'KPI Individual'!H13</f>
        <v>0</v>
      </c>
      <c r="I20" s="630">
        <f>'KPI Individual'!I13</f>
        <v>0</v>
      </c>
      <c r="J20" s="630">
        <f>'KPI Individual'!J13</f>
        <v>0</v>
      </c>
      <c r="K20" s="630">
        <f>'KPI Individual'!K13</f>
        <v>0</v>
      </c>
      <c r="L20" s="630">
        <f>'KPI Individual'!L13</f>
        <v>0</v>
      </c>
      <c r="M20" s="630">
        <f>'KPI Individual'!M13</f>
        <v>3</v>
      </c>
    </row>
    <row r="22" spans="1:13" x14ac:dyDescent="0.2">
      <c r="A22" s="646" t="s">
        <v>84</v>
      </c>
      <c r="B22" s="646" t="s">
        <v>535</v>
      </c>
      <c r="C22" s="646" t="s">
        <v>536</v>
      </c>
      <c r="D22" s="646" t="s">
        <v>537</v>
      </c>
      <c r="E22" s="646" t="s">
        <v>538</v>
      </c>
      <c r="F22" s="646" t="s">
        <v>539</v>
      </c>
      <c r="G22" s="646" t="s">
        <v>540</v>
      </c>
      <c r="H22" s="646" t="s">
        <v>541</v>
      </c>
      <c r="I22" s="646" t="s">
        <v>542</v>
      </c>
      <c r="J22" s="646" t="s">
        <v>543</v>
      </c>
      <c r="K22" s="646" t="s">
        <v>544</v>
      </c>
      <c r="L22" s="646" t="s">
        <v>545</v>
      </c>
      <c r="M22" s="646" t="s">
        <v>546</v>
      </c>
    </row>
    <row r="23" spans="1:13" x14ac:dyDescent="0.2">
      <c r="A23" s="630" t="s">
        <v>584</v>
      </c>
      <c r="B23" s="630">
        <f>'KPI Individual'!B14</f>
        <v>0</v>
      </c>
      <c r="C23" s="630">
        <f>'KPI Individual'!C14</f>
        <v>0</v>
      </c>
      <c r="D23" s="630">
        <f>'KPI Individual'!D14</f>
        <v>0</v>
      </c>
      <c r="E23" s="630">
        <f>'KPI Individual'!E14</f>
        <v>0</v>
      </c>
      <c r="F23" s="630">
        <f>'KPI Individual'!F14</f>
        <v>0</v>
      </c>
      <c r="G23" s="630">
        <f>'KPI Individual'!G14</f>
        <v>0</v>
      </c>
      <c r="H23" s="630">
        <f>'KPI Individual'!H14</f>
        <v>0</v>
      </c>
      <c r="I23" s="630">
        <f>'KPI Individual'!I14</f>
        <v>0</v>
      </c>
      <c r="J23" s="630">
        <f>'KPI Individual'!J14</f>
        <v>0</v>
      </c>
      <c r="K23" s="630">
        <f>'KPI Individual'!K14</f>
        <v>0</v>
      </c>
      <c r="L23" s="630">
        <f>'KPI Individual'!L14</f>
        <v>0</v>
      </c>
      <c r="M23" s="630">
        <f>'KPI Individual'!M14</f>
        <v>1.4285714285714285E-2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Flota Vehicular</vt:lpstr>
      <vt:lpstr>Seguros</vt:lpstr>
      <vt:lpstr>Impuestos</vt:lpstr>
      <vt:lpstr>Conductores</vt:lpstr>
      <vt:lpstr>Talleres</vt:lpstr>
      <vt:lpstr>Otras listas</vt:lpstr>
      <vt:lpstr>Rutas</vt:lpstr>
      <vt:lpstr>Enapitos</vt:lpstr>
      <vt:lpstr>Mantenimiento</vt:lpstr>
      <vt:lpstr>DAÑOS</vt:lpstr>
      <vt:lpstr>Flujo de Caja</vt:lpstr>
      <vt:lpstr>Reporte General</vt:lpstr>
      <vt:lpstr>Reporte Conductor</vt:lpstr>
      <vt:lpstr>KPI Individual</vt:lpstr>
      <vt:lpstr>Dashboard Gerencia</vt:lpstr>
      <vt:lpstr>_DatosGraficas</vt:lpstr>
      <vt:lpstr>'Flota Vehicular'!Área_de_impresión</vt:lpstr>
      <vt:lpstr>Mantenimiento!Área_de_impresión</vt:lpstr>
      <vt:lpstr>'Reporte General'!Área_de_impresión</vt:lpstr>
      <vt:lpstr>Lista_Calificacion</vt:lpstr>
      <vt:lpstr>Lista_Combustible</vt:lpstr>
      <vt:lpstr>Lista_Conductores</vt:lpstr>
      <vt:lpstr>Lista_Estaciones</vt:lpstr>
      <vt:lpstr>Lista_infraccion</vt:lpstr>
      <vt:lpstr>Lista_Marcas</vt:lpstr>
      <vt:lpstr>Lista_PaqMnnto</vt:lpstr>
      <vt:lpstr>Lista_Placas</vt:lpstr>
      <vt:lpstr>Lista_Poliza</vt:lpstr>
      <vt:lpstr>Lista_Servicios</vt:lpstr>
      <vt:lpstr>Lista_Talleres</vt:lpstr>
      <vt:lpstr>Lista_Tipo_Vehiculo</vt:lpstr>
      <vt:lpstr>Lista_TipoMnnto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Riva</dc:creator>
  <cp:lastModifiedBy>Gabriel Tacuri</cp:lastModifiedBy>
  <cp:lastPrinted>2025-12-26T20:21:01Z</cp:lastPrinted>
  <dcterms:created xsi:type="dcterms:W3CDTF">2023-11-11T17:53:58Z</dcterms:created>
  <dcterms:modified xsi:type="dcterms:W3CDTF">2026-05-30T02:51:38Z</dcterms:modified>
</cp:coreProperties>
</file>